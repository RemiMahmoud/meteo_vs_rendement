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-270" yWindow="7185" windowWidth="19200" windowHeight="4455" tabRatio="901" activeTab="8"/>
  </bookViews>
  <sheets>
    <sheet name="README" sheetId="1" r:id="rId1"/>
    <sheet name="Trial" sheetId="2" r:id="rId2"/>
    <sheet name="Site" sheetId="3" r:id="rId3"/>
    <sheet name="Contact" sheetId="4" r:id="rId4"/>
    <sheet name="Variable" sheetId="5" r:id="rId5"/>
    <sheet name="PlantMaterial" sheetId="6" r:id="rId6"/>
    <sheet name="Treatment" sheetId="7" r:id="rId7"/>
    <sheet name="Level" sheetId="8" r:id="rId8"/>
    <sheet name="Data" sheetId="9" r:id="rId9"/>
    <sheet name="Files" sheetId="10" r:id="rId10"/>
    <sheet name="ForestComplementaryInfo" sheetId="11" r:id="rId11"/>
    <sheet name="StaticData" sheetId="12" r:id="rId12"/>
    <sheet name="Meteo_data" sheetId="13" r:id="rId13"/>
    <sheet name="Soil_data" sheetId="14" r:id="rId14"/>
    <sheet name="INN_data" sheetId="15" r:id="rId15"/>
    <sheet name="Parcellaire_data" sheetId="16" r:id="rId16"/>
    <sheet name="ITK_data" sheetId="17" r:id="rId17"/>
    <sheet name="Biotic" sheetId="18" r:id="rId18"/>
  </sheets>
  <definedNames>
    <definedName name="_xlnm._FilterDatabase" localSheetId="8" hidden="1">Data!$A$1:$CU$857</definedName>
    <definedName name="_xlnm._FilterDatabase" localSheetId="5" hidden="1">PlantMaterial!$A$1:$P$385</definedName>
    <definedName name="_xlnm._FilterDatabase" localSheetId="4" hidden="1">Variable!$A$1:$H$1</definedName>
    <definedName name="HoldingInstitution">StaticData!$C$1:$C$21</definedName>
    <definedName name="InstitutionName">StaticData!$B$1:$B$1457</definedName>
    <definedName name="ProjectAcronym">StaticData!$D$1:$D$225</definedName>
    <definedName name="SiteName">StaticData!$E$1:$E$24</definedName>
    <definedName name="TaxonScientificName">StaticData!$A$1:$A$5470</definedName>
  </definedNames>
  <calcPr calcId="145621" refMode="R1C1"/>
</workbook>
</file>

<file path=xl/calcChain.xml><?xml version="1.0" encoding="utf-8"?>
<calcChain xmlns="http://schemas.openxmlformats.org/spreadsheetml/2006/main">
  <c r="AH218" i="9" l="1"/>
  <c r="AH491" i="9"/>
  <c r="AH625" i="9"/>
  <c r="AH195" i="9"/>
  <c r="AH312" i="9"/>
  <c r="AH711" i="9"/>
  <c r="AH471" i="9"/>
  <c r="AH209" i="9"/>
  <c r="AH348" i="9"/>
  <c r="AH646" i="9"/>
  <c r="AH455" i="9"/>
  <c r="AH110" i="9"/>
  <c r="AH328" i="9"/>
  <c r="AH654" i="9"/>
  <c r="AH521" i="9"/>
  <c r="AH225" i="9"/>
  <c r="AH414" i="9"/>
  <c r="AH784" i="9"/>
  <c r="AH478" i="9"/>
  <c r="AH99" i="9"/>
  <c r="AH307" i="9"/>
  <c r="AH449" i="9"/>
  <c r="AH622" i="9"/>
  <c r="AH188" i="9"/>
  <c r="AH391" i="9"/>
  <c r="AH704" i="9"/>
  <c r="AH538" i="9"/>
  <c r="AH313" i="9"/>
  <c r="AH143" i="9"/>
  <c r="AH694" i="9"/>
  <c r="AH585" i="9"/>
  <c r="AH314" i="9"/>
  <c r="AH189" i="9"/>
  <c r="AH682" i="9"/>
  <c r="AH498" i="9"/>
  <c r="AH239" i="9"/>
  <c r="AH329" i="9"/>
  <c r="AH568" i="9"/>
  <c r="AH623" i="9"/>
  <c r="AH244" i="9"/>
  <c r="AH153" i="9"/>
  <c r="AH732" i="9"/>
  <c r="AH611" i="9"/>
  <c r="AH148" i="9"/>
  <c r="AH260" i="9"/>
  <c r="AH518" i="9"/>
  <c r="AH796" i="9"/>
  <c r="AH285" i="9"/>
  <c r="AH196" i="9"/>
  <c r="AH492" i="9"/>
  <c r="AH683" i="9"/>
  <c r="AH181" i="9"/>
  <c r="AH404" i="9"/>
  <c r="AH502" i="9"/>
  <c r="AH684" i="9"/>
  <c r="AH111" i="9"/>
  <c r="AH415" i="9"/>
  <c r="AH556" i="9"/>
  <c r="AH718" i="9"/>
  <c r="AH135" i="9"/>
  <c r="AH245" i="9"/>
  <c r="AH647" i="9"/>
  <c r="AH598" i="9"/>
  <c r="AH233" i="9"/>
  <c r="AH410" i="9"/>
  <c r="AH599" i="9"/>
  <c r="AH719" i="9"/>
  <c r="AH87" i="9"/>
  <c r="AH292" i="9"/>
  <c r="AH785" i="9"/>
  <c r="AH593" i="9"/>
  <c r="AH342" i="9"/>
  <c r="AH159" i="9"/>
  <c r="AH725" i="9"/>
  <c r="AH503" i="9"/>
  <c r="AH308" i="9"/>
  <c r="AH112" i="9"/>
  <c r="AH464" i="9"/>
  <c r="AH738" i="9"/>
  <c r="AH309" i="9"/>
  <c r="AH136" i="9"/>
  <c r="AH648" i="9"/>
  <c r="AH603" i="9"/>
  <c r="AH318" i="9"/>
  <c r="AH182" i="9"/>
  <c r="AH539" i="9"/>
  <c r="AH791" i="9"/>
  <c r="AH330" i="9"/>
  <c r="AH154" i="9"/>
  <c r="AH668" i="9"/>
  <c r="AH504" i="9"/>
  <c r="AH88" i="9"/>
  <c r="AH331" i="9"/>
  <c r="AH669" i="9"/>
  <c r="AH435" i="9"/>
  <c r="AH129" i="9"/>
  <c r="AH261" i="9"/>
  <c r="AH752" i="9"/>
  <c r="AH561" i="9"/>
  <c r="AH58" i="9"/>
  <c r="AH270" i="9"/>
  <c r="AH465" i="9"/>
  <c r="AH766" i="9"/>
  <c r="AH392" i="9"/>
  <c r="AH100" i="9"/>
  <c r="AH430" i="9"/>
  <c r="AH749" i="9"/>
  <c r="AH300" i="9"/>
  <c r="AH160" i="9"/>
  <c r="AH519" i="9"/>
  <c r="AH726" i="9"/>
  <c r="AH336" i="9"/>
  <c r="AH92" i="9"/>
  <c r="AH649" i="9"/>
  <c r="AH450" i="9"/>
  <c r="AH115" i="9"/>
  <c r="AH343" i="9"/>
  <c r="AH626" i="9"/>
  <c r="AH431" i="9"/>
  <c r="AH155" i="9"/>
  <c r="AH337" i="9"/>
  <c r="AH786" i="9"/>
  <c r="AH505" i="9"/>
  <c r="AH149" i="9"/>
  <c r="AH416" i="9"/>
  <c r="AH600" i="9"/>
  <c r="AH670" i="9"/>
  <c r="AH271" i="9"/>
  <c r="AH210" i="9"/>
  <c r="AH485" i="9"/>
  <c r="AH675" i="9"/>
  <c r="AH276" i="9"/>
  <c r="AH105" i="9"/>
  <c r="AH797" i="9"/>
  <c r="AH604" i="9"/>
  <c r="AH101" i="9"/>
  <c r="AH375" i="9"/>
  <c r="AH459" i="9"/>
  <c r="AH686" i="9"/>
  <c r="AH106" i="9"/>
  <c r="AH367" i="9"/>
  <c r="AH759" i="9"/>
  <c r="AH456" i="9"/>
  <c r="AH183" i="9"/>
  <c r="AH262" i="9"/>
  <c r="AH432" i="9"/>
  <c r="AH767" i="9"/>
  <c r="AH286" i="9"/>
  <c r="AH59" i="9"/>
  <c r="AH586" i="9"/>
  <c r="AH720" i="9"/>
  <c r="AH376" i="9"/>
  <c r="AH190" i="9"/>
  <c r="AH768" i="9"/>
  <c r="AH511" i="9"/>
  <c r="AH362" i="9"/>
  <c r="AH173" i="9"/>
  <c r="AH578" i="9"/>
  <c r="AH742" i="9"/>
  <c r="AH73" i="9"/>
  <c r="AH310" i="9"/>
  <c r="AH522" i="9"/>
  <c r="AH671" i="9"/>
  <c r="AH393" i="9"/>
  <c r="AH63" i="9"/>
  <c r="AH523" i="9"/>
  <c r="AH627" i="9"/>
  <c r="AH293" i="9"/>
  <c r="AH74" i="9"/>
  <c r="AH601" i="9"/>
  <c r="AH655" i="9"/>
  <c r="AH166" i="9"/>
  <c r="AH319" i="9"/>
  <c r="AH700" i="9"/>
  <c r="AH524" i="9"/>
  <c r="AH197" i="9"/>
  <c r="AH301" i="9"/>
  <c r="AH451" i="9"/>
  <c r="AH753" i="9"/>
  <c r="AH355" i="9"/>
  <c r="AH203" i="9"/>
  <c r="AH499" i="9"/>
  <c r="AH650" i="9"/>
  <c r="AH349" i="9"/>
  <c r="AH102" i="9"/>
  <c r="AH705" i="9"/>
  <c r="AH493" i="9"/>
  <c r="AH405" i="9"/>
  <c r="AH144" i="9"/>
  <c r="AH676" i="9"/>
  <c r="AH530" i="9"/>
  <c r="AH145" i="9"/>
  <c r="AH382" i="9"/>
  <c r="AH754" i="9"/>
  <c r="AH472" i="9"/>
  <c r="AH240" i="9"/>
  <c r="AH344" i="9"/>
  <c r="AH612" i="9"/>
  <c r="AH634" i="9"/>
  <c r="AH211" i="9"/>
  <c r="AH272" i="9"/>
  <c r="AH706" i="9"/>
  <c r="AH579" i="9"/>
  <c r="AH264" i="9"/>
  <c r="AH137" i="9"/>
  <c r="AH639" i="9"/>
  <c r="AH525" i="9"/>
  <c r="AH368" i="9"/>
  <c r="AH198" i="9"/>
  <c r="AH466" i="9"/>
  <c r="AH712" i="9"/>
  <c r="AH212" i="9"/>
  <c r="AH251" i="9"/>
  <c r="AH440" i="9"/>
  <c r="AH739" i="9"/>
  <c r="AH350" i="9"/>
  <c r="AH138" i="9"/>
  <c r="AH540" i="9"/>
  <c r="AH713" i="9"/>
  <c r="AH421" i="9"/>
  <c r="AH191" i="9"/>
  <c r="AH512" i="9"/>
  <c r="AH714" i="9"/>
  <c r="AH204" i="9"/>
  <c r="AH369" i="9"/>
  <c r="AH506" i="9"/>
  <c r="AH769" i="9"/>
  <c r="AH161" i="9"/>
  <c r="AH356" i="9"/>
  <c r="AH740" i="9"/>
  <c r="AH452" i="9"/>
  <c r="AH351" i="9"/>
  <c r="AH150" i="9"/>
  <c r="AH541" i="9"/>
  <c r="AH660" i="9"/>
  <c r="AH199" i="9"/>
  <c r="AH426" i="9"/>
  <c r="AH792" i="9"/>
  <c r="AH513" i="9"/>
  <c r="AH107" i="9"/>
  <c r="AH357" i="9"/>
  <c r="AH743" i="9"/>
  <c r="AH441" i="9"/>
  <c r="AH226" i="9"/>
  <c r="AH246" i="9"/>
  <c r="AH613" i="9"/>
  <c r="AH687" i="9"/>
  <c r="AH277" i="9"/>
  <c r="AH60" i="9"/>
  <c r="AH744" i="9"/>
  <c r="AH507" i="9"/>
  <c r="AH377" i="9"/>
  <c r="AH167" i="9"/>
  <c r="AH772" i="9"/>
  <c r="AH562" i="9"/>
  <c r="AH162" i="9"/>
  <c r="AH411" i="9"/>
  <c r="AH587" i="9"/>
  <c r="AH707" i="9"/>
  <c r="AH64" i="9"/>
  <c r="AH363" i="9"/>
  <c r="AH640" i="9"/>
  <c r="AH535" i="9"/>
  <c r="AH338" i="9"/>
  <c r="AH121" i="9"/>
  <c r="AH486" i="9"/>
  <c r="AH708" i="9"/>
  <c r="AH139" i="9"/>
  <c r="AH398" i="9"/>
  <c r="AH709" i="9"/>
  <c r="AH526" i="9"/>
  <c r="AH252" i="9"/>
  <c r="AH130" i="9"/>
  <c r="AH467" i="9"/>
  <c r="AH616" i="9"/>
  <c r="AH219" i="9"/>
  <c r="AH253" i="9"/>
  <c r="AH672" i="9"/>
  <c r="AH545" i="9"/>
  <c r="AH168" i="9"/>
  <c r="AH399" i="9"/>
  <c r="AH460" i="9"/>
  <c r="AH727" i="9"/>
  <c r="AH221" i="9"/>
  <c r="AH332" i="9"/>
  <c r="AH479" i="9"/>
  <c r="AH760" i="9"/>
  <c r="AH294" i="9"/>
  <c r="AH227" i="9"/>
  <c r="AH745" i="9"/>
  <c r="AH614" i="9"/>
  <c r="AH184" i="9"/>
  <c r="AH373" i="9"/>
  <c r="AH569" i="9"/>
  <c r="AH798" i="9"/>
  <c r="AH333" i="9"/>
  <c r="AH234" i="9"/>
  <c r="AH508" i="9"/>
  <c r="AH779" i="9"/>
  <c r="AH185" i="9"/>
  <c r="AH383" i="9"/>
  <c r="AH677" i="9"/>
  <c r="AH594" i="9"/>
  <c r="AH358" i="9"/>
  <c r="AH131" i="9"/>
  <c r="AH628" i="9"/>
  <c r="AH552" i="9"/>
  <c r="AH265" i="9"/>
  <c r="AH169" i="9"/>
  <c r="AH557" i="9"/>
  <c r="AH728" i="9"/>
  <c r="AH384" i="9"/>
  <c r="AH140" i="9"/>
  <c r="AH531" i="9"/>
  <c r="AH635" i="9"/>
  <c r="AH179" i="9"/>
  <c r="AH273" i="9"/>
  <c r="AH799" i="9"/>
  <c r="AH570" i="9"/>
  <c r="AH278" i="9"/>
  <c r="AH116" i="9"/>
  <c r="AH780" i="9"/>
  <c r="AH473" i="9"/>
  <c r="AH254" i="9"/>
  <c r="AH163" i="9"/>
  <c r="AH629" i="9"/>
  <c r="AH500" i="9"/>
  <c r="AH247" i="9"/>
  <c r="AH228" i="9"/>
  <c r="AH487" i="9"/>
  <c r="AH773" i="9"/>
  <c r="AH345" i="9"/>
  <c r="AH75" i="9"/>
  <c r="AH514" i="9"/>
  <c r="AH787" i="9"/>
  <c r="AH394" i="9"/>
  <c r="AH61" i="9"/>
  <c r="AH595" i="9"/>
  <c r="AH715" i="9"/>
  <c r="AH79" i="9"/>
  <c r="AH287" i="9"/>
  <c r="AH624" i="9"/>
  <c r="AH532" i="9"/>
  <c r="AH302" i="9"/>
  <c r="AH108" i="9"/>
  <c r="AH781" i="9"/>
  <c r="AH563" i="9"/>
  <c r="AH174" i="9"/>
  <c r="AH422" i="9"/>
  <c r="AH546" i="9"/>
  <c r="AH746" i="9"/>
  <c r="AH175" i="9"/>
  <c r="AH339" i="9"/>
  <c r="AH571" i="9"/>
  <c r="AH695" i="9"/>
  <c r="AH274" i="9"/>
  <c r="AH205" i="9"/>
  <c r="AH685" i="9"/>
  <c r="AH605" i="9"/>
  <c r="AH352" i="9"/>
  <c r="AH213" i="9"/>
  <c r="AH564" i="9"/>
  <c r="AH661" i="9"/>
  <c r="AH323" i="9"/>
  <c r="AH229" i="9"/>
  <c r="AH606" i="9"/>
  <c r="AH662" i="9"/>
  <c r="AH164" i="9"/>
  <c r="AH311" i="9"/>
  <c r="AH474" i="9"/>
  <c r="AH774" i="9"/>
  <c r="AH206" i="9"/>
  <c r="AH400" i="9"/>
  <c r="AH688" i="9"/>
  <c r="AH468" i="9"/>
  <c r="AH65" i="9"/>
  <c r="AH320" i="9"/>
  <c r="AH689" i="9"/>
  <c r="AH488" i="9"/>
  <c r="AH378" i="9"/>
  <c r="AH93" i="9"/>
  <c r="AH747" i="9"/>
  <c r="AH433" i="9"/>
  <c r="AH385" i="9"/>
  <c r="AH156" i="9"/>
  <c r="AH656" i="9"/>
  <c r="AH542" i="9"/>
  <c r="AH401" i="9"/>
  <c r="AH241" i="9"/>
  <c r="AH436" i="9"/>
  <c r="AH630" i="9"/>
  <c r="AH412" i="9"/>
  <c r="AH141" i="9"/>
  <c r="AH442" i="9"/>
  <c r="AH673" i="9"/>
  <c r="AH176" i="9"/>
  <c r="AH406" i="9"/>
  <c r="AH701" i="9"/>
  <c r="AH607" i="9"/>
  <c r="AH146" i="9"/>
  <c r="AH279" i="9"/>
  <c r="AH588" i="9"/>
  <c r="AH657" i="9"/>
  <c r="AH151" i="9"/>
  <c r="AH386" i="9"/>
  <c r="AH755" i="9"/>
  <c r="AH580" i="9"/>
  <c r="AH76" i="9"/>
  <c r="AH340" i="9"/>
  <c r="AH631" i="9"/>
  <c r="AH543" i="9"/>
  <c r="AH117" i="9"/>
  <c r="AH295" i="9"/>
  <c r="AH641" i="9"/>
  <c r="AH515" i="9"/>
  <c r="AH334" i="9"/>
  <c r="AH186" i="9"/>
  <c r="AH716" i="9"/>
  <c r="AH494" i="9"/>
  <c r="AH263" i="9"/>
  <c r="AH103" i="9"/>
  <c r="AH581" i="9"/>
  <c r="AH733" i="9"/>
  <c r="AH387" i="9"/>
  <c r="AH89" i="9"/>
  <c r="AH547" i="9"/>
  <c r="AH658" i="9"/>
  <c r="AH62" i="9"/>
  <c r="AH303" i="9"/>
  <c r="AH678" i="9"/>
  <c r="AH495" i="9"/>
  <c r="AH255" i="9"/>
  <c r="AH170" i="9"/>
  <c r="AH572" i="9"/>
  <c r="AH793" i="9"/>
  <c r="AH90" i="9"/>
  <c r="AH321" i="9"/>
  <c r="AH573" i="9"/>
  <c r="AH636" i="9"/>
  <c r="AH207" i="9"/>
  <c r="AH256" i="9"/>
  <c r="AH637" i="9"/>
  <c r="AH496" i="9"/>
  <c r="AH230" i="9"/>
  <c r="AH407" i="9"/>
  <c r="AH497" i="9"/>
  <c r="AH717" i="9"/>
  <c r="AH94" i="9"/>
  <c r="AH364" i="9"/>
  <c r="AH475" i="9"/>
  <c r="AH679" i="9"/>
  <c r="AH370" i="9"/>
  <c r="AH109" i="9"/>
  <c r="AH469" i="9"/>
  <c r="AH696" i="9"/>
  <c r="AH280" i="9"/>
  <c r="AH80" i="9"/>
  <c r="AH533" i="9"/>
  <c r="AH697" i="9"/>
  <c r="AH423" i="9"/>
  <c r="AH118" i="9"/>
  <c r="AH775" i="9"/>
  <c r="AH516" i="9"/>
  <c r="AH346" i="9"/>
  <c r="AH95" i="9"/>
  <c r="AH548" i="9"/>
  <c r="AH632" i="9"/>
  <c r="AH66" i="9"/>
  <c r="AH324" i="9"/>
  <c r="AH457" i="9"/>
  <c r="AH651" i="9"/>
  <c r="AH417" i="9"/>
  <c r="AH67" i="9"/>
  <c r="AH663" i="9"/>
  <c r="AH461" i="9"/>
  <c r="AH222" i="9"/>
  <c r="AH281" i="9"/>
  <c r="AH565" i="9"/>
  <c r="AH788" i="9"/>
  <c r="AH395" i="9"/>
  <c r="AH187" i="9"/>
  <c r="AH558" i="9"/>
  <c r="AH734" i="9"/>
  <c r="AH282" i="9"/>
  <c r="AH214" i="9"/>
  <c r="AH756" i="9"/>
  <c r="AH453" i="9"/>
  <c r="AH165" i="9"/>
  <c r="AH288" i="9"/>
  <c r="AH437" i="9"/>
  <c r="AH735" i="9"/>
  <c r="AH266" i="9"/>
  <c r="AH235" i="9"/>
  <c r="AH800" i="9"/>
  <c r="AH527" i="9"/>
  <c r="AH341" i="9"/>
  <c r="AH81" i="9"/>
  <c r="AH549" i="9"/>
  <c r="AH690" i="9"/>
  <c r="AH315" i="9"/>
  <c r="AH180" i="9"/>
  <c r="AH438" i="9"/>
  <c r="AH721" i="9"/>
  <c r="AH316" i="9"/>
  <c r="AH215" i="9"/>
  <c r="AH691" i="9"/>
  <c r="AH443" i="9"/>
  <c r="AH371" i="9"/>
  <c r="AH208" i="9"/>
  <c r="AH458" i="9"/>
  <c r="AH617" i="9"/>
  <c r="AH402" i="9"/>
  <c r="AH200" i="9"/>
  <c r="AH674" i="9"/>
  <c r="AH476" i="9"/>
  <c r="AH267" i="9"/>
  <c r="AH68" i="9"/>
  <c r="AH680" i="9"/>
  <c r="AH528" i="9"/>
  <c r="AH304" i="9"/>
  <c r="AH77" i="9"/>
  <c r="AH553" i="9"/>
  <c r="AH652" i="9"/>
  <c r="AH289" i="9"/>
  <c r="AH104" i="9"/>
  <c r="AH480" i="9"/>
  <c r="AH748" i="9"/>
  <c r="AH379" i="9"/>
  <c r="AH223" i="9"/>
  <c r="AH444" i="9"/>
  <c r="AH692" i="9"/>
  <c r="AH96" i="9"/>
  <c r="AH290" i="9"/>
  <c r="AH761" i="9"/>
  <c r="AH477" i="9"/>
  <c r="AH427" i="9"/>
  <c r="AH177" i="9"/>
  <c r="AH757" i="9"/>
  <c r="AH608" i="9"/>
  <c r="AH132" i="9"/>
  <c r="AH283" i="9"/>
  <c r="AH762" i="9"/>
  <c r="AH489" i="9"/>
  <c r="AH353" i="9"/>
  <c r="AH231" i="9"/>
  <c r="AH609" i="9"/>
  <c r="AH698" i="9"/>
  <c r="AH305" i="9"/>
  <c r="AH82" i="9"/>
  <c r="AH520" i="9"/>
  <c r="AH758" i="9"/>
  <c r="AH236" i="9"/>
  <c r="AH268" i="9"/>
  <c r="AH462" i="9"/>
  <c r="AH722" i="9"/>
  <c r="AH291" i="9"/>
  <c r="AH157" i="9"/>
  <c r="AH574" i="9"/>
  <c r="AH633" i="9"/>
  <c r="AH248" i="9"/>
  <c r="AH69" i="9"/>
  <c r="AH582" i="9"/>
  <c r="AH664" i="9"/>
  <c r="AH78" i="9"/>
  <c r="AH257" i="9"/>
  <c r="AH618" i="9"/>
  <c r="AH589" i="9"/>
  <c r="AH388" i="9"/>
  <c r="AH97" i="9"/>
  <c r="AH517" i="9"/>
  <c r="AH642" i="9"/>
  <c r="AH424" i="9"/>
  <c r="AH152" i="9"/>
  <c r="AH445" i="9"/>
  <c r="AH763" i="9"/>
  <c r="AH413" i="9"/>
  <c r="AH113" i="9"/>
  <c r="AH619" i="9"/>
  <c r="AH481" i="9"/>
  <c r="AH171" i="9"/>
  <c r="AH269" i="9"/>
  <c r="AH665" i="9"/>
  <c r="AH536" i="9"/>
  <c r="AH249" i="9"/>
  <c r="AH242" i="9"/>
  <c r="AH693" i="9"/>
  <c r="AH559" i="9"/>
  <c r="AH232" i="9"/>
  <c r="AH275" i="9"/>
  <c r="AH482" i="9"/>
  <c r="AH741" i="9"/>
  <c r="AH237" i="9"/>
  <c r="AH296" i="9"/>
  <c r="AH776" i="9"/>
  <c r="AH483" i="9"/>
  <c r="AH365" i="9"/>
  <c r="AH201" i="9"/>
  <c r="AH777" i="9"/>
  <c r="AH446" i="9"/>
  <c r="AH325" i="9"/>
  <c r="AH216" i="9"/>
  <c r="AH509" i="9"/>
  <c r="AH643" i="9"/>
  <c r="AH172" i="9"/>
  <c r="AH359" i="9"/>
  <c r="AH550" i="9"/>
  <c r="AH764" i="9"/>
  <c r="AH380" i="9"/>
  <c r="AH122" i="9"/>
  <c r="AH736" i="9"/>
  <c r="AH434" i="9"/>
  <c r="AH123" i="9"/>
  <c r="AH258" i="9"/>
  <c r="AH659" i="9"/>
  <c r="AH566" i="9"/>
  <c r="AH133" i="9"/>
  <c r="AH297" i="9"/>
  <c r="AH554" i="9"/>
  <c r="AH644" i="9"/>
  <c r="AH178" i="9"/>
  <c r="AH366" i="9"/>
  <c r="AH729" i="9"/>
  <c r="AH544" i="9"/>
  <c r="AH124" i="9"/>
  <c r="AH428" i="9"/>
  <c r="AH723" i="9"/>
  <c r="AH510" i="9"/>
  <c r="AH418" i="9"/>
  <c r="AH243" i="9"/>
  <c r="AH702" i="9"/>
  <c r="AH575" i="9"/>
  <c r="AH192" i="9"/>
  <c r="AH347" i="9"/>
  <c r="AH590" i="9"/>
  <c r="AH794" i="9"/>
  <c r="AH70" i="9"/>
  <c r="AH298" i="9"/>
  <c r="AH699" i="9"/>
  <c r="AH484" i="9"/>
  <c r="AH202" i="9"/>
  <c r="AH326" i="9"/>
  <c r="AH795" i="9"/>
  <c r="AH596" i="9"/>
  <c r="AH98" i="9"/>
  <c r="AH425" i="9"/>
  <c r="AH782" i="9"/>
  <c r="AH447" i="9"/>
  <c r="AH125" i="9"/>
  <c r="AH360" i="9"/>
  <c r="AH750" i="9"/>
  <c r="AH576" i="9"/>
  <c r="AH71" i="9"/>
  <c r="AH396" i="9"/>
  <c r="AH770" i="9"/>
  <c r="AH583" i="9"/>
  <c r="AH408" i="9"/>
  <c r="AH72" i="9"/>
  <c r="AH765" i="9"/>
  <c r="AH439" i="9"/>
  <c r="AH119" i="9"/>
  <c r="AH429" i="9"/>
  <c r="AH666" i="9"/>
  <c r="AH470" i="9"/>
  <c r="AH142" i="9"/>
  <c r="AH284" i="9"/>
  <c r="AH454" i="9"/>
  <c r="AH667" i="9"/>
  <c r="AH158" i="9"/>
  <c r="AH327" i="9"/>
  <c r="AH789" i="9"/>
  <c r="AH463" i="9"/>
  <c r="AH354" i="9"/>
  <c r="AH126" i="9"/>
  <c r="AH537" i="9"/>
  <c r="AH778" i="9"/>
  <c r="AH224" i="9"/>
  <c r="AH419" i="9"/>
  <c r="AH751" i="9"/>
  <c r="AH615" i="9"/>
  <c r="AH397" i="9"/>
  <c r="AH193" i="9"/>
  <c r="AH567" i="9"/>
  <c r="AH783" i="9"/>
  <c r="AH361" i="9"/>
  <c r="AH83" i="9"/>
  <c r="AH737" i="9"/>
  <c r="AH610" i="9"/>
  <c r="AH84" i="9"/>
  <c r="AH381" i="9"/>
  <c r="AH801" i="9"/>
  <c r="AH591" i="9"/>
  <c r="AH420" i="9"/>
  <c r="AH147" i="9"/>
  <c r="AH724" i="9"/>
  <c r="AH534" i="9"/>
  <c r="AH389" i="9"/>
  <c r="AH127" i="9"/>
  <c r="AH771" i="9"/>
  <c r="AH577" i="9"/>
  <c r="AH91" i="9"/>
  <c r="AH259" i="9"/>
  <c r="AH560" i="9"/>
  <c r="AH681" i="9"/>
  <c r="AH85" i="9"/>
  <c r="AH335" i="9"/>
  <c r="AH448" i="9"/>
  <c r="AH703" i="9"/>
  <c r="AH409" i="9"/>
  <c r="AH128" i="9"/>
  <c r="AH790" i="9"/>
  <c r="AH592" i="9"/>
  <c r="AH390" i="9"/>
  <c r="AH120" i="9"/>
  <c r="AH653" i="9"/>
  <c r="AH584" i="9"/>
  <c r="AH403" i="9"/>
  <c r="AH86" i="9"/>
  <c r="AH597" i="9"/>
  <c r="AH620" i="9"/>
  <c r="AH217" i="9"/>
  <c r="AH250" i="9"/>
  <c r="AH602" i="9"/>
  <c r="AH730" i="9"/>
  <c r="AH322" i="9"/>
  <c r="AH238" i="9"/>
  <c r="AH529" i="9"/>
  <c r="AH731" i="9"/>
  <c r="AH220" i="9"/>
  <c r="AH317" i="9"/>
  <c r="AH638" i="9"/>
  <c r="AH501" i="9"/>
  <c r="AH194" i="9"/>
  <c r="AH374" i="9"/>
  <c r="AH490" i="9"/>
  <c r="AH621" i="9"/>
  <c r="AH114" i="9"/>
  <c r="AH306" i="9"/>
  <c r="AH551" i="9"/>
  <c r="AH645" i="9"/>
  <c r="AH299" i="9"/>
  <c r="AH134" i="9"/>
  <c r="AH555" i="9"/>
  <c r="AH710" i="9"/>
  <c r="AH2" i="9"/>
  <c r="AH38" i="9"/>
  <c r="AH846" i="9"/>
  <c r="AH847" i="9"/>
  <c r="AH26" i="9"/>
  <c r="AH3" i="9"/>
  <c r="AH810" i="9"/>
  <c r="AH834" i="9"/>
  <c r="AH27" i="9"/>
  <c r="AH28" i="9"/>
  <c r="AH848" i="9"/>
  <c r="AH811" i="9"/>
  <c r="AH4" i="9"/>
  <c r="AH39" i="9"/>
  <c r="AH822" i="9"/>
  <c r="AH823" i="9"/>
  <c r="AH40" i="9"/>
  <c r="AH41" i="9"/>
  <c r="AH812" i="9"/>
  <c r="AH835" i="9"/>
  <c r="AH14" i="9"/>
  <c r="AH5" i="9"/>
  <c r="AH836" i="9"/>
  <c r="AH849" i="9"/>
  <c r="AH6" i="9"/>
  <c r="AH15" i="9"/>
  <c r="AH824" i="9"/>
  <c r="AH837" i="9"/>
  <c r="AH29" i="9"/>
  <c r="AH42" i="9"/>
  <c r="AH825" i="9"/>
  <c r="AH826" i="9"/>
  <c r="AH16" i="9"/>
  <c r="AH30" i="9"/>
  <c r="AH850" i="9"/>
  <c r="AH851" i="9"/>
  <c r="AH17" i="9"/>
  <c r="AH18" i="9"/>
  <c r="AH813" i="9"/>
  <c r="AH827" i="9"/>
  <c r="AH7" i="9"/>
  <c r="AH8" i="9"/>
  <c r="AH838" i="9"/>
  <c r="AH814" i="9"/>
  <c r="AH43" i="9"/>
  <c r="AH19" i="9"/>
  <c r="AH852" i="9"/>
  <c r="AH815" i="9"/>
  <c r="AH44" i="9"/>
  <c r="AH9" i="9"/>
  <c r="AH839" i="9"/>
  <c r="AH853" i="9"/>
  <c r="AH20" i="9"/>
  <c r="AH21" i="9"/>
  <c r="AH854" i="9"/>
  <c r="AH828" i="9"/>
  <c r="AH45" i="9"/>
  <c r="AH10" i="9"/>
  <c r="AH829" i="9"/>
  <c r="AH855" i="9"/>
  <c r="AH31" i="9"/>
  <c r="AH22" i="9"/>
  <c r="AH840" i="9"/>
  <c r="AH841" i="9"/>
  <c r="AH11" i="9"/>
  <c r="AH32" i="9"/>
  <c r="AH830" i="9"/>
  <c r="AH816" i="9"/>
  <c r="AH33" i="9"/>
  <c r="AH34" i="9"/>
  <c r="AH817" i="9"/>
  <c r="AH818" i="9"/>
  <c r="AH46" i="9"/>
  <c r="AH23" i="9"/>
  <c r="AH831" i="9"/>
  <c r="AH819" i="9"/>
  <c r="AH24" i="9"/>
  <c r="AH47" i="9"/>
  <c r="AH842" i="9"/>
  <c r="AH832" i="9"/>
  <c r="AH48" i="9"/>
  <c r="AH35" i="9"/>
  <c r="AH856" i="9"/>
  <c r="AH843" i="9"/>
  <c r="AH12" i="9"/>
  <c r="AH13" i="9"/>
  <c r="AH820" i="9"/>
  <c r="AH833" i="9"/>
  <c r="AH25" i="9"/>
  <c r="AH36" i="9"/>
  <c r="AH821" i="9"/>
  <c r="AH857" i="9"/>
  <c r="AH37" i="9"/>
  <c r="AH49" i="9"/>
  <c r="AH844" i="9"/>
  <c r="AH845" i="9"/>
  <c r="AH50" i="9"/>
  <c r="AH51" i="9"/>
  <c r="AH802" i="9"/>
  <c r="AH803" i="9"/>
  <c r="AH52" i="9"/>
  <c r="AH53" i="9"/>
  <c r="AH804" i="9"/>
  <c r="AH805" i="9"/>
  <c r="AH54" i="9"/>
  <c r="AH55" i="9"/>
  <c r="AH806" i="9"/>
  <c r="AH807" i="9"/>
  <c r="AH56" i="9"/>
  <c r="AH57" i="9"/>
  <c r="AH808" i="9"/>
  <c r="AH809" i="9"/>
  <c r="AH372" i="9"/>
  <c r="R32" i="15" l="1"/>
  <c r="R31" i="15"/>
  <c r="R30" i="15"/>
  <c r="R29" i="15"/>
  <c r="R28" i="15"/>
  <c r="R27" i="15"/>
  <c r="R26" i="15"/>
  <c r="R25" i="15"/>
  <c r="R24" i="15"/>
  <c r="R23" i="15"/>
  <c r="R22" i="15"/>
  <c r="R21" i="15"/>
  <c r="O22" i="15"/>
  <c r="O23" i="15"/>
  <c r="O24" i="15"/>
  <c r="O25" i="15"/>
  <c r="O26" i="15"/>
  <c r="O27" i="15"/>
  <c r="O28" i="15"/>
  <c r="O29" i="15"/>
  <c r="O30" i="15"/>
  <c r="O31" i="15"/>
  <c r="O32" i="15"/>
  <c r="O21" i="15"/>
</calcChain>
</file>

<file path=xl/comments1.xml><?xml version="1.0" encoding="utf-8"?>
<comments xmlns="http://schemas.openxmlformats.org/spreadsheetml/2006/main">
  <authors>
    <author/>
  </authors>
  <commentList>
    <comment ref="E68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2.xml><?xml version="1.0" encoding="utf-8"?>
<comments xmlns="http://schemas.openxmlformats.org/spreadsheetml/2006/main">
  <authors>
    <author>Tyfanie Bourlet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Adonis : modalité</t>
        </r>
      </text>
    </comment>
  </commentList>
</comments>
</file>

<file path=xl/comments4.xml><?xml version="1.0" encoding="utf-8"?>
<comments xmlns="http://schemas.openxmlformats.org/spreadsheetml/2006/main">
  <authors>
    <author>Tyfanie Bourlet</author>
    <author/>
  </authors>
  <commentList>
    <comment ref="C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LotNames (RAPSO003,,,,)</t>
        </r>
      </text>
    </comment>
    <comment ref="K1" authorId="1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5.xml><?xml version="1.0" encoding="utf-8"?>
<comments xmlns="http://schemas.openxmlformats.org/spreadsheetml/2006/main">
  <authors>
    <author>Tyfanie Bourlet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Insérer les fichiers comme : 
ITK, INN, Dispositif expérimental, Météo, Tensiométrie</t>
        </r>
      </text>
    </comment>
  </commentList>
</comments>
</file>

<file path=xl/sharedStrings.xml><?xml version="1.0" encoding="utf-8"?>
<sst xmlns="http://schemas.openxmlformats.org/spreadsheetml/2006/main" count="26959" uniqueCount="11681">
  <si>
    <t>GnpISVersionNumber</t>
  </si>
  <si>
    <t>14_1</t>
  </si>
  <si>
    <t>StaticDataExtraction</t>
  </si>
  <si>
    <t>SubmissionType</t>
  </si>
  <si>
    <t>Ephesis</t>
  </si>
  <si>
    <t>This worksheet is used for submit phenotyping data.</t>
  </si>
  <si>
    <t>SUBMIT NOTE</t>
  </si>
  <si>
    <r>
      <t>RED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required</t>
    </r>
    <r>
      <rPr>
        <sz val="10"/>
        <rFont val="Arial"/>
        <family val="2"/>
        <charset val="1"/>
      </rPr>
      <t xml:space="preserve"> for submission, must not be empty.</t>
    </r>
  </si>
  <si>
    <r>
      <t>BLACK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that are optional</t>
    </r>
    <r>
      <rPr>
        <sz val="10"/>
        <rFont val="Arial"/>
        <family val="2"/>
        <charset val="1"/>
      </rPr>
      <t xml:space="preserve"> for submission, may be empty.</t>
    </r>
  </si>
  <si>
    <r>
      <t>BLUE</t>
    </r>
    <r>
      <rPr>
        <sz val="10"/>
        <color indexed="4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>names indicate</t>
    </r>
    <r>
      <rPr>
        <b/>
        <sz val="10"/>
        <rFont val="Arial"/>
        <family val="2"/>
        <charset val="1"/>
      </rPr>
      <t xml:space="preserve"> specific fields / sheets </t>
    </r>
    <r>
      <rPr>
        <sz val="10"/>
        <rFont val="Arial"/>
        <family val="2"/>
        <charset val="1"/>
      </rPr>
      <t>for submission. Column can be empty but must not be deleted.</t>
    </r>
  </si>
  <si>
    <t>DOCUMENTATION</t>
  </si>
  <si>
    <t>TRIAL</t>
  </si>
  <si>
    <t>General information on the trial</t>
  </si>
  <si>
    <t>TrialName</t>
  </si>
  <si>
    <t>TrialCode</t>
  </si>
  <si>
    <t>DateBegin</t>
  </si>
  <si>
    <t>DateEnd</t>
  </si>
  <si>
    <t>TrialGoal</t>
  </si>
  <si>
    <t>TrialComments</t>
  </si>
  <si>
    <t>PhenotypingCampain</t>
  </si>
  <si>
    <t>PMID</t>
  </si>
  <si>
    <t>X</t>
  </si>
  <si>
    <t>Y</t>
  </si>
  <si>
    <t>PreviousCrop</t>
  </si>
  <si>
    <t>TrialDesign</t>
  </si>
  <si>
    <t>TrialHistory</t>
  </si>
  <si>
    <t>ProjectAcronym</t>
  </si>
  <si>
    <t>TrialSet</t>
  </si>
  <si>
    <t>TrialSetType</t>
  </si>
  <si>
    <t>Description</t>
  </si>
  <si>
    <t>Free naming of the trial/assay</t>
  </si>
  <si>
    <t>Trial identification. Used for data integrity and update so must be unique</t>
  </si>
  <si>
    <t>Beginning date of this trial</t>
  </si>
  <si>
    <t>End date of this trial</t>
  </si>
  <si>
    <t>The main objectives of this experimentation</t>
  </si>
  <si>
    <t>Comments on this trial</t>
  </si>
  <si>
    <t>Name/Tag of a group of observations within the Trial. For instance all 2012 observations for a multiannual perenial plant trial.</t>
  </si>
  <si>
    <t>Comma separated list of publication's PMID.</t>
  </si>
  <si>
    <r>
      <t xml:space="preserve">Description of the </t>
    </r>
    <r>
      <rPr>
        <b/>
        <sz val="10"/>
        <rFont val="Arial"/>
        <family val="2"/>
        <charset val="1"/>
      </rPr>
      <t>X</t>
    </r>
    <r>
      <rPr>
        <sz val="10"/>
        <rFont val="Arial"/>
        <family val="2"/>
        <charset val="1"/>
      </rPr>
      <t xml:space="preserve"> of the</t>
    </r>
    <r>
      <rPr>
        <b/>
        <sz val="10"/>
        <rFont val="Arial"/>
        <family val="2"/>
        <charset val="1"/>
      </rPr>
      <t xml:space="preserve"> Data sheet</t>
    </r>
  </si>
  <si>
    <r>
      <t>Description of the</t>
    </r>
    <r>
      <rPr>
        <b/>
        <sz val="10"/>
        <rFont val="Arial"/>
        <family val="2"/>
        <charset val="1"/>
      </rPr>
      <t xml:space="preserve"> Y</t>
    </r>
    <r>
      <rPr>
        <sz val="10"/>
        <rFont val="Arial"/>
        <family val="2"/>
        <charset val="1"/>
      </rPr>
      <t xml:space="preserve"> of the </t>
    </r>
    <r>
      <rPr>
        <b/>
        <sz val="10"/>
        <rFont val="Arial"/>
        <family val="2"/>
        <charset val="1"/>
      </rPr>
      <t>Data sheet</t>
    </r>
  </si>
  <si>
    <t>Crop installed on this site before this trial</t>
  </si>
  <si>
    <t>Design of the trial</t>
  </si>
  <si>
    <t>Identification of previous contacts and/or owners</t>
  </si>
  <si>
    <t>Acronym of the project in which the experiment was made</t>
  </si>
  <si>
    <t>Name of the trial group</t>
  </si>
  <si>
    <t>Type of the trial group</t>
  </si>
  <si>
    <t>Example</t>
  </si>
  <si>
    <t>mon test</t>
  </si>
  <si>
    <t>MON_TEST</t>
  </si>
  <si>
    <t>22/03/2013</t>
  </si>
  <si>
    <t>2014</t>
  </si>
  <si>
    <t>Diversity analysis</t>
  </si>
  <si>
    <t>Essai test</t>
  </si>
  <si>
    <t>15608279,2052071</t>
  </si>
  <si>
    <t>row</t>
  </si>
  <si>
    <t>column</t>
  </si>
  <si>
    <t>Come from BORDEAUX (Louvet)</t>
  </si>
  <si>
    <t>myGroup</t>
  </si>
  <si>
    <t>Replication</t>
  </si>
  <si>
    <t>Data type</t>
  </si>
  <si>
    <t>String</t>
  </si>
  <si>
    <t>Date: dd/mm/yyyy
Date: mm/yyyy
Date: yyyy</t>
  </si>
  <si>
    <t>Number</t>
  </si>
  <si>
    <t>SITE</t>
  </si>
  <si>
    <t>General information on the experimental site</t>
  </si>
  <si>
    <t>SiteName</t>
  </si>
  <si>
    <t>Latitude</t>
  </si>
  <si>
    <t>Longitude</t>
  </si>
  <si>
    <t>Elevation</t>
  </si>
  <si>
    <t>Exposure</t>
  </si>
  <si>
    <t>Slope</t>
  </si>
  <si>
    <t>CityOrRegionOrCountry</t>
  </si>
  <si>
    <t>SiteStatus</t>
  </si>
  <si>
    <t>Landowner</t>
  </si>
  <si>
    <t>Comment</t>
  </si>
  <si>
    <t>MeteoStationCode</t>
  </si>
  <si>
    <t>MeteoStationNetwork</t>
  </si>
  <si>
    <t>Name of the experimental site (Plateform name, Field identification, etc…)</t>
  </si>
  <si>
    <t>Latitude of the experimental site (GPS).
Use decimal version of the coordinate (cf. http://www.lexilogos.com/calcul_distances.htm)</t>
  </si>
  <si>
    <t>Longitude of the experimental site (GPS).
Use decimal version of the coordinate (cf. http://www.lexilogos.com/calcul_distances.htm)</t>
  </si>
  <si>
    <t>Altitude of the experimental site</t>
  </si>
  <si>
    <t>Principal exposure of the experimental site</t>
  </si>
  <si>
    <t>Principal type of the slope of the experimental site</t>
  </si>
  <si>
    <t>Nearest city, region or country from the experimental site</t>
  </si>
  <si>
    <t>Property status of the experimental site</t>
  </si>
  <si>
    <t>Landowner of the experimental site</t>
  </si>
  <si>
    <t>Comment about the experimental site</t>
  </si>
  <si>
    <t>Code of the meteo station</t>
  </si>
  <si>
    <t>Name of the meteo station network</t>
  </si>
  <si>
    <t>Examples</t>
  </si>
  <si>
    <t>Bordeaux</t>
  </si>
  <si>
    <t>FRA</t>
  </si>
  <si>
    <t>S</t>
  </si>
  <si>
    <t>Forêt domaniale</t>
  </si>
  <si>
    <t>P (= Private property)
I (= INRA)
S (= Under a specific regime)</t>
  </si>
  <si>
    <t>CONTACT</t>
  </si>
  <si>
    <t>List of persons involved in this trial (scientific, submiter, landowner…)</t>
  </si>
  <si>
    <t>Type</t>
  </si>
  <si>
    <t>LastName</t>
  </si>
  <si>
    <t>FirstName</t>
  </si>
  <si>
    <t>Phone</t>
  </si>
  <si>
    <t>Fax</t>
  </si>
  <si>
    <t>Email</t>
  </si>
  <si>
    <t>Institution</t>
  </si>
  <si>
    <t>Laboratory</t>
  </si>
  <si>
    <t>Type of the contact.</t>
  </si>
  <si>
    <t>Contact name, in upper case.</t>
  </si>
  <si>
    <t>Contact first name, first letter in upper case.</t>
  </si>
  <si>
    <t>Following international phone number convention.</t>
  </si>
  <si>
    <t>Following international fax number convention</t>
  </si>
  <si>
    <t>Electronic mail.</t>
  </si>
  <si>
    <t>Institution name.</t>
  </si>
  <si>
    <t>Laboratory name.</t>
  </si>
  <si>
    <t>Submiter</t>
  </si>
  <si>
    <t>DUPOND</t>
  </si>
  <si>
    <t>Jacques</t>
  </si>
  <si>
    <t>+33 (0) 1 30 83 38 99</t>
  </si>
  <si>
    <t>+33 (0) 1 30 83 38 90</t>
  </si>
  <si>
    <t>jacques.dupond@email.com</t>
  </si>
  <si>
    <t>INRA</t>
  </si>
  <si>
    <t>URGI</t>
  </si>
  <si>
    <t>Phone number</t>
  </si>
  <si>
    <t>Fax number</t>
  </si>
  <si>
    <t>VARIABLE</t>
  </si>
  <si>
    <t>List of variables observed in this trial. Idealy they are part of a well identified ontology.</t>
  </si>
  <si>
    <t>Each variable is reused as a column in the Data sheet.</t>
  </si>
  <si>
    <t>OntologyName</t>
  </si>
  <si>
    <t>VariableCode</t>
  </si>
  <si>
    <t>VariableName</t>
  </si>
  <si>
    <t>MeasurmentUnit</t>
  </si>
  <si>
    <t>MeasurmentProtocol</t>
  </si>
  <si>
    <t>ParentVariable</t>
  </si>
  <si>
    <t>Full name of the ontology holding this variable</t>
  </si>
  <si>
    <r>
      <t>Identification of the variable. Unique within the ontology declared in O</t>
    </r>
    <r>
      <rPr>
        <b/>
        <sz val="10"/>
        <rFont val="Arial"/>
        <family val="2"/>
        <charset val="1"/>
      </rPr>
      <t>ntologyName</t>
    </r>
    <r>
      <rPr>
        <sz val="10"/>
        <rFont val="Arial"/>
        <family val="2"/>
        <charset val="1"/>
      </rPr>
      <t xml:space="preserve">. This code is used as header in the </t>
    </r>
    <r>
      <rPr>
        <b/>
        <sz val="10"/>
        <rFont val="Arial"/>
        <family val="2"/>
        <charset val="1"/>
      </rPr>
      <t>Data sheet</t>
    </r>
  </si>
  <si>
    <t>Name of the variable</t>
  </si>
  <si>
    <t>Full description of the variable</t>
  </si>
  <si>
    <t>Unit of the mesured variable</t>
  </si>
  <si>
    <t>Reference measurment protocol of the variable</t>
  </si>
  <si>
    <r>
      <t>VariableCode</t>
    </r>
    <r>
      <rPr>
        <sz val="10"/>
        <rFont val="Arial"/>
        <family val="2"/>
        <charset val="1"/>
      </rPr>
      <t xml:space="preserve"> of this variable's parent</t>
    </r>
  </si>
  <si>
    <t>Comments on the variable</t>
  </si>
  <si>
    <t>trait ontology</t>
  </si>
  <si>
    <t>haut</t>
  </si>
  <si>
    <t>hauteur</t>
  </si>
  <si>
    <t>cm</t>
  </si>
  <si>
    <t>PLANT MATERIAL</t>
  </si>
  <si>
    <t>List of genotypes. Should be preexisting in GnpIS. If not sure contact us.</t>
  </si>
  <si>
    <t>TaxonScientificName</t>
  </si>
  <si>
    <t>AccessionNumber</t>
  </si>
  <si>
    <t>AccessionName</t>
  </si>
  <si>
    <t>HoldingInstitution</t>
  </si>
  <si>
    <t>LotName</t>
  </si>
  <si>
    <t>Scientific name of the taxon</t>
  </si>
  <si>
    <t>Unique identification of the accession/genotype</t>
  </si>
  <si>
    <t>Full name of the accession</t>
  </si>
  <si>
    <t>Institution holding this accession</t>
  </si>
  <si>
    <r>
      <t xml:space="preserve">Identification of the physical plant(s) used in the trial : seeds, tree, ….
Used in the first column of the </t>
    </r>
    <r>
      <rPr>
        <b/>
        <sz val="10"/>
        <rFont val="Arial"/>
        <family val="2"/>
        <charset val="1"/>
      </rPr>
      <t>Data sheet</t>
    </r>
  </si>
  <si>
    <t>Triticum aestivum</t>
  </si>
  <si>
    <t>274Col49</t>
  </si>
  <si>
    <t>chargeur</t>
  </si>
  <si>
    <t>ch</t>
  </si>
  <si>
    <t>TREATMENT</t>
  </si>
  <si>
    <t>List of factor and modalities used in this trial. Treatments are  combination of modalities.</t>
  </si>
  <si>
    <t>Each factor is reused as a column in the Data sheet. The modalities of each factor are the authorised value for this factor/column.</t>
  </si>
  <si>
    <t>Factor</t>
  </si>
  <si>
    <t>ModeCode</t>
  </si>
  <si>
    <t>ModeName</t>
  </si>
  <si>
    <t>ModeDescription</t>
  </si>
  <si>
    <r>
      <t xml:space="preserve">Name of the factor.
This name is used as header in the </t>
    </r>
    <r>
      <rPr>
        <b/>
        <sz val="10"/>
        <rFont val="Arial"/>
        <family val="2"/>
        <charset val="1"/>
      </rPr>
      <t>Data sheet</t>
    </r>
  </si>
  <si>
    <r>
      <t xml:space="preserve">Unique identifier of the modality.
This code is used as value in the </t>
    </r>
    <r>
      <rPr>
        <b/>
        <sz val="10"/>
        <rFont val="Arial"/>
        <family val="2"/>
        <charset val="1"/>
      </rPr>
      <t>Data sheet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factor</t>
    </r>
    <r>
      <rPr>
        <sz val="10"/>
        <rFont val="Arial"/>
        <family val="2"/>
        <charset val="1"/>
      </rPr>
      <t>'s column</t>
    </r>
  </si>
  <si>
    <t>Full name of the modality</t>
  </si>
  <si>
    <t>Full description of the modality, possibly with a short description of its caracteristics like phenologic stade for a given treatment</t>
  </si>
  <si>
    <t>engrais</t>
  </si>
  <si>
    <t>N0</t>
  </si>
  <si>
    <t>azote 0</t>
  </si>
  <si>
    <t>ajout de 0 kilog/hectar de produitA a x concentration tous les mois.</t>
  </si>
  <si>
    <t>LEVEL</t>
  </si>
  <si>
    <t xml:space="preserve">Structure of the trial, for instance bloc &gt; plot &gt; plant. Can be empty if you want to store only genotype x factor data and no plot data. </t>
  </si>
  <si>
    <t>Each level is reused as a column in the Data sheet.</t>
  </si>
  <si>
    <t>Code</t>
  </si>
  <si>
    <t>Name</t>
  </si>
  <si>
    <t>ParentLevel</t>
  </si>
  <si>
    <r>
      <t xml:space="preserve">Unique identification of the level (plot, bloc, plant, …) within the trial.
This code is used as header in the </t>
    </r>
    <r>
      <rPr>
        <b/>
        <sz val="10"/>
        <rFont val="Arial"/>
        <family val="2"/>
        <charset val="1"/>
      </rPr>
      <t>Data sheet</t>
    </r>
  </si>
  <si>
    <t>Full name of the level</t>
  </si>
  <si>
    <t>Description of the level</t>
  </si>
  <si>
    <r>
      <t>Code</t>
    </r>
    <r>
      <rPr>
        <sz val="10"/>
        <rFont val="Arial"/>
        <family val="2"/>
        <charset val="1"/>
      </rPr>
      <t xml:space="preserve"> of this level parents. If you have X levels, this column must be filled for X-1 levels</t>
    </r>
  </si>
  <si>
    <t>Rep</t>
  </si>
  <si>
    <t>Repetition</t>
  </si>
  <si>
    <t>Bloc</t>
  </si>
  <si>
    <t>DATA</t>
  </si>
  <si>
    <t>Data matrix: hold any type of observation (phenotype, env, etc…)</t>
  </si>
  <si>
    <t>&lt;factors&gt;</t>
  </si>
  <si>
    <t>&lt;levels&gt;</t>
  </si>
  <si>
    <t>X(m)</t>
  </si>
  <si>
    <t>Y(m)</t>
  </si>
  <si>
    <t>&lt;variables&gt;_value</t>
  </si>
  <si>
    <t>&lt;variables&gt;_date</t>
  </si>
  <si>
    <r>
      <t xml:space="preserve">Identification of the genotype of the observed object.
Must be found in the </t>
    </r>
    <r>
      <rPr>
        <b/>
        <sz val="10"/>
        <rFont val="Arial"/>
        <family val="2"/>
        <charset val="1"/>
      </rPr>
      <t>VarietalList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</si>
  <si>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factors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Treatments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</si>
  <si>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levels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StudySubjectLevels sheet</t>
    </r>
  </si>
  <si>
    <t>X position of the observed object</t>
  </si>
  <si>
    <t>Y position of the observed object</t>
  </si>
  <si>
    <t>X position of the observed object in meters</t>
  </si>
  <si>
    <t>Y position of the observed object in meters</t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</si>
  <si>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variables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Variables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</si>
  <si>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mode_code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</si>
  <si>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levels identifiers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</si>
  <si>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value of the variable for the observed object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</si>
  <si>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observation date of the variable</t>
    </r>
  </si>
  <si>
    <r>
      <t>header</t>
    </r>
    <r>
      <rPr>
        <sz val="10"/>
        <rFont val="Arial"/>
        <family val="2"/>
        <charset val="1"/>
      </rPr>
      <t xml:space="preserve">: engrais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N0</t>
    </r>
  </si>
  <si>
    <r>
      <t>header</t>
    </r>
    <r>
      <rPr>
        <sz val="10"/>
        <rFont val="Arial"/>
        <family val="2"/>
        <charset val="1"/>
      </rPr>
      <t xml:space="preserve">: bloc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bloc1</t>
    </r>
  </si>
  <si>
    <r>
      <t>header</t>
    </r>
    <r>
      <rPr>
        <sz val="10"/>
        <rFont val="Arial"/>
        <family val="2"/>
        <charset val="1"/>
      </rPr>
      <t xml:space="preserve">: haut_value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15</t>
    </r>
  </si>
  <si>
    <r>
      <t>header</t>
    </r>
    <r>
      <rPr>
        <sz val="10"/>
        <rFont val="Arial"/>
        <family val="2"/>
        <charset val="1"/>
      </rPr>
      <t xml:space="preserve">: haut_date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</t>
    </r>
  </si>
  <si>
    <t>String or Number</t>
  </si>
  <si>
    <t>Date</t>
  </si>
  <si>
    <t>FILES</t>
  </si>
  <si>
    <t>FileName</t>
  </si>
  <si>
    <t>Link</t>
  </si>
  <si>
    <t>FileType</t>
  </si>
  <si>
    <t>FileSize</t>
  </si>
  <si>
    <t>CreationDate</t>
  </si>
  <si>
    <t>Name of the file</t>
  </si>
  <si>
    <t>URL where the file can be found (file repository)</t>
  </si>
  <si>
    <t>File type</t>
  </si>
  <si>
    <t>File size</t>
  </si>
  <si>
    <t>Creation date of the file</t>
  </si>
  <si>
    <t>Description of the file</t>
  </si>
  <si>
    <t>MeteoWholeTrial.txt
ITK.xls
Plan.xls</t>
  </si>
  <si>
    <t>http://urgi.versailles.inra.fr/Species/Wheat/Sequence-Repository</t>
  </si>
  <si>
    <t>xls</t>
  </si>
  <si>
    <t>xls
csv
txt</t>
  </si>
  <si>
    <t>Date: dd/mm/yyyy</t>
  </si>
  <si>
    <t>FOREST COMPLEMENTARY INFO</t>
  </si>
  <si>
    <r>
      <t xml:space="preserve">Additional fields. </t>
    </r>
    <r>
      <rPr>
        <b/>
        <sz val="10"/>
        <color indexed="10"/>
        <rFont val="Arial"/>
        <family val="2"/>
        <charset val="1"/>
      </rPr>
      <t>Mandatory</t>
    </r>
    <r>
      <rPr>
        <b/>
        <sz val="10"/>
        <rFont val="Arial"/>
        <family val="2"/>
        <charset val="1"/>
      </rPr>
      <t xml:space="preserve"> tab for forest submissions.</t>
    </r>
  </si>
  <si>
    <t>TrialType</t>
  </si>
  <si>
    <t>TrialStatus</t>
  </si>
  <si>
    <t>DataFormat</t>
  </si>
  <si>
    <t>Type of this trial</t>
  </si>
  <si>
    <t>State and monitoring level of this trial</t>
  </si>
  <si>
    <t>Which format is used to store the data ?</t>
  </si>
  <si>
    <t>Digital</t>
  </si>
  <si>
    <t>1 (= provenances comparison)
2 (= maternal descendants comparison)
3 (= two-parents descendants comparison)
4 (= species comparison)
5 (=clones seeds orchard)
6 (=clonal comparison)
7 (= clonal park)
8 (= juveniles comparison)
9 (= other)</t>
  </si>
  <si>
    <t>A (= abandoned/ruined)
1 (= weakly active)
2 (= moderately active)
3 (= active)
4 (= very active)
9 (= unknown)</t>
  </si>
  <si>
    <t>Paper
Scan
Digital
Unknown</t>
  </si>
  <si>
    <t>Rapsodyn</t>
  </si>
  <si>
    <t>INRA Brassica Experimental Ontology</t>
  </si>
  <si>
    <t>m2</t>
  </si>
  <si>
    <t>kg</t>
  </si>
  <si>
    <t>%</t>
  </si>
  <si>
    <t>SY</t>
  </si>
  <si>
    <t>TSW</t>
  </si>
  <si>
    <t>g</t>
  </si>
  <si>
    <t>SN</t>
  </si>
  <si>
    <t>O</t>
  </si>
  <si>
    <t>PrY</t>
  </si>
  <si>
    <t>OY</t>
  </si>
  <si>
    <t>Brassica napus L.</t>
  </si>
  <si>
    <t>Warzanwski</t>
  </si>
  <si>
    <t>Forto</t>
  </si>
  <si>
    <t>Colvert</t>
  </si>
  <si>
    <t>Pacific</t>
  </si>
  <si>
    <t>Mikado</t>
  </si>
  <si>
    <t>Contact</t>
  </si>
  <si>
    <t>Express</t>
  </si>
  <si>
    <t>Nain de Hambourg</t>
  </si>
  <si>
    <t>Azote</t>
  </si>
  <si>
    <t>N1</t>
  </si>
  <si>
    <t>azote limitant</t>
  </si>
  <si>
    <t>N2</t>
  </si>
  <si>
    <t>azote optimal</t>
  </si>
  <si>
    <t>bloc</t>
  </si>
  <si>
    <t>plot</t>
  </si>
  <si>
    <t>parcelle</t>
  </si>
  <si>
    <t>Parcelle</t>
  </si>
  <si>
    <t>SY_value</t>
  </si>
  <si>
    <t>TSW_value</t>
  </si>
  <si>
    <t>TSW_date</t>
  </si>
  <si>
    <t>SN_value</t>
  </si>
  <si>
    <t>SN_date</t>
  </si>
  <si>
    <t>O_value</t>
  </si>
  <si>
    <t>O_date</t>
  </si>
  <si>
    <t>PrY_value</t>
  </si>
  <si>
    <t>PrY_date</t>
  </si>
  <si>
    <t>OY_value</t>
  </si>
  <si>
    <t>OY_date</t>
  </si>
  <si>
    <t>InstitutionName</t>
  </si>
  <si>
    <t>Acareosperma Gagnep.</t>
  </si>
  <si>
    <t>A &amp; I University</t>
  </si>
  <si>
    <t>Conservatoire Botanique National Méditerranéen de Porquerolles</t>
  </si>
  <si>
    <t>AF 1999 018</t>
  </si>
  <si>
    <t>Arvalis-Chalons</t>
  </si>
  <si>
    <t>Acareosperma spireanum Gagnep.</t>
  </si>
  <si>
    <t>Abed Plant Breeding Station</t>
  </si>
  <si>
    <t>Gautier Semences</t>
  </si>
  <si>
    <t>AF 1999 046</t>
  </si>
  <si>
    <t>Arvalis-Greoux</t>
  </si>
  <si>
    <t>Acyrthosiphon magnoliae</t>
  </si>
  <si>
    <t>Abteilung Biochemie</t>
  </si>
  <si>
    <t>Institut Jean-Pierre Bourgin</t>
  </si>
  <si>
    <t>AF 1999 064</t>
  </si>
  <si>
    <t>Bergheim</t>
  </si>
  <si>
    <t>Acyrthosiphon pisum</t>
  </si>
  <si>
    <t>Abteilung Traub</t>
  </si>
  <si>
    <t>Pépinière du Mas d'Auge</t>
  </si>
  <si>
    <t>AF 2001 001</t>
  </si>
  <si>
    <t>BGAMDV</t>
  </si>
  <si>
    <t>Aegilops</t>
  </si>
  <si>
    <t>ADIS DNA core facility at MPIZ</t>
  </si>
  <si>
    <t>Pépinières Rey</t>
  </si>
  <si>
    <t>AF 2001 009</t>
  </si>
  <si>
    <t>Aegilops aucheri Boiss.</t>
  </si>
  <si>
    <t>ADT</t>
  </si>
  <si>
    <t>UE Ressources Génétiques végétales en Conditions Océaniques, INRA-Rennes, Site de Ploudaniel</t>
  </si>
  <si>
    <t>AF 2001 019-031</t>
  </si>
  <si>
    <t>Clermont-Ferrand</t>
  </si>
  <si>
    <t>Aegilops bicornis</t>
  </si>
  <si>
    <t>Agricultural and Agri-Food Canada</t>
  </si>
  <si>
    <t>UMR Amélioration Génétique et Adaptation des Plantes, INRA-Montpellier</t>
  </si>
  <si>
    <t>AF 2001 024</t>
  </si>
  <si>
    <t>Colmar</t>
  </si>
  <si>
    <t>Aegilops bicornis (Forsk.) Jaub. &amp; Spach.</t>
  </si>
  <si>
    <t>Agricultural and Technological Research Centre</t>
  </si>
  <si>
    <t>UMR Développement et Amélioration des Plantes, INRA-Montpellier</t>
  </si>
  <si>
    <t>AF 2001 030</t>
  </si>
  <si>
    <t>Dijon</t>
  </si>
  <si>
    <t>Aegilops comosa</t>
  </si>
  <si>
    <t>Agricultural Biotechnology R&amp;D,  Life Technologies,  Inc.</t>
  </si>
  <si>
    <t>UMR Écophysiologie et Génomique Fonctionnelle de la Vigne, INRA-Bordeaux</t>
  </si>
  <si>
    <t>AF 2001 032</t>
  </si>
  <si>
    <t>Estrees-Mons</t>
  </si>
  <si>
    <t>Aegilops comosa Sibth. &amp; Sm.</t>
  </si>
  <si>
    <t>Agricultural Experiment Station University of the District of Columbia</t>
  </si>
  <si>
    <t>UMR Génétique, Diversité et Ecophysiologie des Céréales, INRA-Clermont</t>
  </si>
  <si>
    <t>AF 2001 047</t>
  </si>
  <si>
    <t>Estrées-Mons</t>
  </si>
  <si>
    <t>Aegilops crassa Boiss.</t>
  </si>
  <si>
    <t>Agricultural Genomics</t>
  </si>
  <si>
    <t>UMR Génétique et Écophysiologie des Légumineuses à Graines, INRA-Dijon</t>
  </si>
  <si>
    <t>AF 2001 051</t>
  </si>
  <si>
    <t>Fertreve - Foret de Vincence</t>
  </si>
  <si>
    <t>Aegilops crassa Boiss. subsp. vavilovi Zhuk.</t>
  </si>
  <si>
    <t>Agricultural Institute Krizevci</t>
  </si>
  <si>
    <t>UMR Institut de Génétique, Environnement et Protection des Plantes, INRA-Rennes, Site de Ploudaniel</t>
  </si>
  <si>
    <t>AF 2001 073</t>
  </si>
  <si>
    <t>FLORIMOND DESPREZ</t>
  </si>
  <si>
    <t>Aegilops crassa var. palaestina</t>
  </si>
  <si>
    <t>Agricultural Institute Osijek</t>
  </si>
  <si>
    <t>UMR Santé de la Vigne et Qualité du Vin, INRA-Colmar</t>
  </si>
  <si>
    <t>Ag_EST</t>
  </si>
  <si>
    <t>IPGPAS</t>
  </si>
  <si>
    <t>Aegilops crassa var. vavilovi</t>
  </si>
  <si>
    <t>Agricultural Research &amp; Advisory Station, Dept. of Agriculture</t>
  </si>
  <si>
    <t>Unité Expérimentale du Domaine de Vassal, INRA-Montpellier</t>
  </si>
  <si>
    <t>AIP_P00272</t>
  </si>
  <si>
    <t>Le Moulon</t>
  </si>
  <si>
    <t>Aegilops cylindrica Host</t>
  </si>
  <si>
    <t>Agricultural Research Centre - Mtwapa</t>
  </si>
  <si>
    <t>Unité Expérimentale Vigne et Vin, INRA-Montreuil Bellay</t>
  </si>
  <si>
    <t>ANR-06- GPLA-016</t>
  </si>
  <si>
    <t>LLC</t>
  </si>
  <si>
    <t>Aegilops juvenalis (Thell.) Eig</t>
  </si>
  <si>
    <t>Agricultural Research Institute for East Brazil</t>
  </si>
  <si>
    <t>UR AgroSystèmes TROpicaux, INRA Antilles-Guyane</t>
  </si>
  <si>
    <t>Ap_EST_Riken</t>
  </si>
  <si>
    <t>Lusignan</t>
  </si>
  <si>
    <t>Aegilops longissima</t>
  </si>
  <si>
    <t>Agricultural Research Institute Hungarian Academy of Sciences</t>
  </si>
  <si>
    <t>UR Espèces Fruitières, INRA-Bordeaux</t>
  </si>
  <si>
    <t>AS-2005</t>
  </si>
  <si>
    <t>Maule</t>
  </si>
  <si>
    <t>Aegilops longissima Schweinf. &amp; Muschli in Muschli</t>
  </si>
  <si>
    <t>Agricultural Research Institute Kromeriz, Co. Ltd.</t>
  </si>
  <si>
    <t>UR Génétique et Amélioration des Fruits et Légumes, INRA-Avignon</t>
  </si>
  <si>
    <t>ATH_AfNO1999032</t>
  </si>
  <si>
    <t>MOMONT</t>
  </si>
  <si>
    <t>Aegilops lorentii</t>
  </si>
  <si>
    <t>Agricultural Research Institute of Taihu Prefecture</t>
  </si>
  <si>
    <t>UR Génétique et Écophysiologie de la Qualité des Agrumes, INRA-Corse</t>
  </si>
  <si>
    <t>ATH_RI_NASC</t>
  </si>
  <si>
    <t>Orgeval</t>
  </si>
  <si>
    <t>Aegilops mutica Boiss.</t>
  </si>
  <si>
    <t>Agricultural Research Institute, Uyole</t>
  </si>
  <si>
    <t>URP Prairies et Plantes Fourragères, INRA-Lusignan</t>
  </si>
  <si>
    <t>AtPhy</t>
  </si>
  <si>
    <t>Reclainville</t>
  </si>
  <si>
    <t>Aegilops ovata L.</t>
  </si>
  <si>
    <t>Agricultural Research Organization Volcani Centre</t>
  </si>
  <si>
    <t>BcLTF1</t>
  </si>
  <si>
    <t>Rennes</t>
  </si>
  <si>
    <t>Aegilops ovata var. anatolica Eig</t>
  </si>
  <si>
    <t>Agricultural Research Station - Ghana</t>
  </si>
  <si>
    <t>BCVEL1</t>
  </si>
  <si>
    <t>Saint-Laurent - Foret domaniale de Vierzon</t>
  </si>
  <si>
    <t>Aegilops peregrina</t>
  </si>
  <si>
    <t>Agricultural Research Station - Greece</t>
  </si>
  <si>
    <t>BcYOH1</t>
  </si>
  <si>
    <t>Saint-Symphorien - Foret domaniale de la Petite Charnie</t>
  </si>
  <si>
    <t>Aegilops recta</t>
  </si>
  <si>
    <t>Agricultural Research Station Lovrin-Timis</t>
  </si>
  <si>
    <t>BerrySize</t>
  </si>
  <si>
    <t>Aegilops searsii Feldman &amp; Kislev</t>
  </si>
  <si>
    <t>Agriculture &amp; Animal Production State Research Farm</t>
  </si>
  <si>
    <t>BGI_EST_OS</t>
  </si>
  <si>
    <t>Aegilops sharonensis</t>
  </si>
  <si>
    <t>Agri-obtentions Clermont-Ferrand</t>
  </si>
  <si>
    <t>BIEP</t>
  </si>
  <si>
    <t>Aegilops speltoides</t>
  </si>
  <si>
    <t>Agri-Obtentions, Guyancourt</t>
  </si>
  <si>
    <t>BotPathoINRA</t>
  </si>
  <si>
    <t>Aegilops squarrosa auct., p. p., non. L.</t>
  </si>
  <si>
    <t>Agripro Seeds Inc.</t>
  </si>
  <si>
    <t>Botrytis_on_Sunflower_2008</t>
  </si>
  <si>
    <t>Aegilops squarrosa L.</t>
  </si>
  <si>
    <t>Agrogene</t>
  </si>
  <si>
    <t>B1</t>
  </si>
  <si>
    <t>Aegilops subulata Pomel</t>
  </si>
  <si>
    <t>Agrolit S.A.</t>
  </si>
  <si>
    <t>Cabomba_EST</t>
  </si>
  <si>
    <t>Aegilops tauschii</t>
  </si>
  <si>
    <t>Agronomy</t>
  </si>
  <si>
    <t>CANDIDATE_GENES_BIOGECO</t>
  </si>
  <si>
    <t>Aegilops tauschii subsp. tauschii x Triticum turgidum subsp.</t>
  </si>
  <si>
    <t>A.H. Whitmore Foundation Farm</t>
  </si>
  <si>
    <t>Chlorose</t>
  </si>
  <si>
    <t>Aegilops triuncialis L.</t>
  </si>
  <si>
    <t>Alata Horticultural Research Institute</t>
  </si>
  <si>
    <t>CI1999 076</t>
  </si>
  <si>
    <t>Aegilops turcomanica</t>
  </si>
  <si>
    <t>Alibert</t>
  </si>
  <si>
    <t>CI1999 088</t>
  </si>
  <si>
    <t>Aegilops variabilis Eig</t>
  </si>
  <si>
    <t>All-Union Institute for Vegetable Breeding and Seed Production</t>
  </si>
  <si>
    <t>CI2000 005</t>
  </si>
  <si>
    <t>Aegilops vavilovi</t>
  </si>
  <si>
    <t>Alternate Crops and  Systems Laboratory</t>
  </si>
  <si>
    <t>CI2001 002</t>
  </si>
  <si>
    <t>Aegilops ventricosa Tausch</t>
  </si>
  <si>
    <t>Amélioration des plantes et biotechnologies végétales</t>
  </si>
  <si>
    <t>CM2006-var4</t>
  </si>
  <si>
    <t>Allium cepa L.</t>
  </si>
  <si>
    <t>Amélioration des Semences Légumières</t>
  </si>
  <si>
    <t>CNVmaize</t>
  </si>
  <si>
    <t>Allium cepa L. groupe aggregatum</t>
  </si>
  <si>
    <t>Amelioration et Sante des Plantes</t>
  </si>
  <si>
    <t>CP1</t>
  </si>
  <si>
    <t>Allium L.</t>
  </si>
  <si>
    <t>AMIS/BIOTROP</t>
  </si>
  <si>
    <t>CP1P1</t>
  </si>
  <si>
    <t>Allium sativum L.</t>
  </si>
  <si>
    <t>André Pichot</t>
  </si>
  <si>
    <t>CP1p2</t>
  </si>
  <si>
    <t>Allium sativum longicuspis</t>
  </si>
  <si>
    <t>Applied Biotechnology Center,  CIMMYT</t>
  </si>
  <si>
    <t>CP1p3</t>
  </si>
  <si>
    <t>Allium sativum sativum</t>
  </si>
  <si>
    <t>ARC Interfruitec - Nietvoorbij, Stellenbosch - South Africa</t>
  </si>
  <si>
    <t>CP1p4</t>
  </si>
  <si>
    <t>Ampelopsis aconitifolia Bunge</t>
  </si>
  <si>
    <t>ARCHIVE</t>
  </si>
  <si>
    <t>CP1p5</t>
  </si>
  <si>
    <t>Ampelopsis aegirophylla Planch.</t>
  </si>
  <si>
    <t>Arizona Genomics Institute</t>
  </si>
  <si>
    <t>CP1p7</t>
  </si>
  <si>
    <t>Ampelopsis bipinnata Michx.</t>
  </si>
  <si>
    <t>Arkansas Agricultural Experiment Station, University of Arkansas</t>
  </si>
  <si>
    <t>CP2p1</t>
  </si>
  <si>
    <t>Ampelopsis bodinieri (H.Lév. &amp; Vaniot) Rehder</t>
  </si>
  <si>
    <t>Armenian Institute of Agriculture Armanskaja SSR</t>
  </si>
  <si>
    <t>CP3</t>
  </si>
  <si>
    <t>Ampelopsis brevipedunculata (Maxim.) Trautv.</t>
  </si>
  <si>
    <t>Arvalis-Institut du végétal</t>
  </si>
  <si>
    <t>CP4</t>
  </si>
  <si>
    <t>Ampelopsis chaffanjonii (H.Lév.) Rehder</t>
  </si>
  <si>
    <t>ASGROW</t>
  </si>
  <si>
    <t>CP4P2</t>
  </si>
  <si>
    <t>Ampelopsis citrulloïdes Lebas</t>
  </si>
  <si>
    <t>Asociacion de Nuevos Alquimistas</t>
  </si>
  <si>
    <t>CSIRO</t>
  </si>
  <si>
    <t>Ampelopsis cordata Michx.</t>
  </si>
  <si>
    <t>Association Cap Vert</t>
  </si>
  <si>
    <t>CSIRO-INRA_1</t>
  </si>
  <si>
    <t>Ampelopsis delavayana Planch.</t>
  </si>
  <si>
    <t>Association des Créateurs de Variétés Fourragères</t>
  </si>
  <si>
    <t>C2008-14-RGA</t>
  </si>
  <si>
    <t>Ampelopsis heterophylla Blume</t>
  </si>
  <si>
    <t>Association française interprofessionnelle de l'olive</t>
  </si>
  <si>
    <t>DayLength</t>
  </si>
  <si>
    <t>Ampelopsis megalophylla Diels &amp; Gilg</t>
  </si>
  <si>
    <t>Association Fruits Oubliés</t>
  </si>
  <si>
    <t>DBESTARABI</t>
  </si>
  <si>
    <t>Ampelopsis Michx.</t>
  </si>
  <si>
    <t>Association Les Croqueurs de Pommes du territoire du Jarez</t>
  </si>
  <si>
    <t>DBESTMAIZE</t>
  </si>
  <si>
    <t>Ampelopsis orientalis Planch.</t>
  </si>
  <si>
    <t>Association Les Croqueurs de Pommes du territoire du Jarez, Domaine de la Cantonnière</t>
  </si>
  <si>
    <t>DBESTPEA</t>
  </si>
  <si>
    <t>Ampelopsis serjaniifolia Bunge</t>
  </si>
  <si>
    <t>Association Les Croqueurs de Pommes du territoire du Jarez, Verger de Pleyne</t>
  </si>
  <si>
    <t>DBESTPOPLAR</t>
  </si>
  <si>
    <t>Ampelopsis vitifolia Planch.</t>
  </si>
  <si>
    <t>Association Technique Viticole de Bourgogne</t>
  </si>
  <si>
    <t>DBESTRAPE</t>
  </si>
  <si>
    <t>Aphis fabae</t>
  </si>
  <si>
    <t>ATAV Hérault</t>
  </si>
  <si>
    <t>DBESTRICE</t>
  </si>
  <si>
    <t>Aphis gossypii</t>
  </si>
  <si>
    <t>ATAV Val de Loire</t>
  </si>
  <si>
    <t>DBESTSUNFLOWER</t>
  </si>
  <si>
    <t>Aphis nerii</t>
  </si>
  <si>
    <t>Australian Medicago Genetic Resource Center</t>
  </si>
  <si>
    <t>DBESTWHEAT</t>
  </si>
  <si>
    <t>Apium graveolens</t>
  </si>
  <si>
    <t>Australian Winter Cereals Collection Agricultural Research Centre</t>
  </si>
  <si>
    <t>DBESTZINNIA</t>
  </si>
  <si>
    <t>Arabidopsis Heynh.</t>
  </si>
  <si>
    <t>Aventis CropScience</t>
  </si>
  <si>
    <t>D_noxia_KU</t>
  </si>
  <si>
    <t>Arabidopsis thaliana</t>
  </si>
  <si>
    <t>Ballard's Nurseries</t>
  </si>
  <si>
    <t>EGRAM</t>
  </si>
  <si>
    <t>Asteraceae</t>
  </si>
  <si>
    <t>Banco de Germoplasm de Trigo, Centro Internacional de Mejoramiento de Maíz y Trigo</t>
  </si>
  <si>
    <t>eIF4E</t>
  </si>
  <si>
    <t>Atalantia ceylanica (Arn.) Oliv.</t>
  </si>
  <si>
    <t>Banco de Germoplasma de El Encín</t>
  </si>
  <si>
    <t>ERECTA</t>
  </si>
  <si>
    <t>Atalantia Corrêa</t>
  </si>
  <si>
    <t>Banglasdesh Agricultural Research Institute</t>
  </si>
  <si>
    <t>EXEGESE-BLE</t>
  </si>
  <si>
    <t>Aurantioideae</t>
  </si>
  <si>
    <t>Barajev Kazakhstan Sciences Research Institute</t>
  </si>
  <si>
    <t>Fleshless</t>
  </si>
  <si>
    <t>Avena sativa</t>
  </si>
  <si>
    <t>Barani Agricultural Research Institute</t>
  </si>
  <si>
    <t>GABI-PLANT</t>
  </si>
  <si>
    <t>Botryotinia fuckeliana</t>
  </si>
  <si>
    <t>Bavaria Saat Muenchen BGB GmbH</t>
  </si>
  <si>
    <t>GCP 2006-02</t>
  </si>
  <si>
    <t>Brachypodium distachyon</t>
  </si>
  <si>
    <t>BAYER CROP SCIENCE</t>
  </si>
  <si>
    <t>Genoble</t>
  </si>
  <si>
    <t>Brassica carinata A. Braun</t>
  </si>
  <si>
    <t>Bayer CropScience</t>
  </si>
  <si>
    <t>GEN107_PTGS</t>
  </si>
  <si>
    <t>Brassica juncea (L.) Czern.</t>
  </si>
  <si>
    <t>Bayerische Pflanzenzuchtgesellschaft eG &amp; Co. KG</t>
  </si>
  <si>
    <t>GnpSeq</t>
  </si>
  <si>
    <t>Brassica L.</t>
  </si>
  <si>
    <t>Beatson RA, Nelson - New Zealand</t>
  </si>
  <si>
    <t>GNP05013C</t>
  </si>
  <si>
    <t>Beijing Academy of Agriculture and Forestry Sciences</t>
  </si>
  <si>
    <t>GNP3-B4</t>
  </si>
  <si>
    <t>Brassica napus var. napobrassica (L.) Rchb</t>
  </si>
  <si>
    <t>Beijing Agricultural University - Departement of Agriculture</t>
  </si>
  <si>
    <t>GOP A1</t>
  </si>
  <si>
    <t>Brassica napus var. napus L.</t>
  </si>
  <si>
    <t>Bejo</t>
  </si>
  <si>
    <t>GOP PEA-A</t>
  </si>
  <si>
    <t>Brassica nigra (L.) W. D. J. Koch</t>
  </si>
  <si>
    <t>Belloy et Compagnie</t>
  </si>
  <si>
    <t>GOP PEA-B</t>
  </si>
  <si>
    <t>Brassica oleracea L.</t>
  </si>
  <si>
    <t>Benito Poggiali, Faenza - Italy</t>
  </si>
  <si>
    <t>GOP PEA-C</t>
  </si>
  <si>
    <t>Brassica oleracea var. acephala DC.</t>
  </si>
  <si>
    <t>Bergeron Gabrielle, St-Cyr-au-Mont-d'Or Lyon - France</t>
  </si>
  <si>
    <t>GOP PEA-G</t>
  </si>
  <si>
    <t>Brassica oleracea var. botrytis L.</t>
  </si>
  <si>
    <t>BGI</t>
  </si>
  <si>
    <t>GOP Q5</t>
  </si>
  <si>
    <t>Brassica oleracea var. capitata f. capitata</t>
  </si>
  <si>
    <t>Biochemistry</t>
  </si>
  <si>
    <t>GOP T6</t>
  </si>
  <si>
    <t>Brassica oleracea var. capitata f. pyramidalis</t>
  </si>
  <si>
    <t>Biochemistry,  Department of Natural Sciences</t>
  </si>
  <si>
    <t>GPiDB</t>
  </si>
  <si>
    <t>Brassica oleracea var. capitata f. rubra</t>
  </si>
  <si>
    <t>Biochemistry and  Biophysics,  Department of Chemistry, Lundberg Laboratory</t>
  </si>
  <si>
    <t>GPLA06027C</t>
  </si>
  <si>
    <t>Brassica oleracea var. capitata L.</t>
  </si>
  <si>
    <t>Biochemistry Department</t>
  </si>
  <si>
    <t>GrainGenes</t>
  </si>
  <si>
    <t>Brassica oleracea var. costata DC.</t>
  </si>
  <si>
    <t>Biochimie et Physiologie Moleculaire des plantes</t>
  </si>
  <si>
    <t>GRAPEGEN06</t>
  </si>
  <si>
    <t>Brassica oleracea var. gemmifera (DC.) Zenker</t>
  </si>
  <si>
    <t>BIOGECO</t>
  </si>
  <si>
    <t>GrapeReSeq</t>
  </si>
  <si>
    <t>Brassica oleracea var. gongylodes L.</t>
  </si>
  <si>
    <t>BIOGEMMA</t>
  </si>
  <si>
    <t>GRAPESEQ</t>
  </si>
  <si>
    <t>Brassica oleracea var. italica Plenck</t>
  </si>
  <si>
    <t>Biogemma</t>
  </si>
  <si>
    <t>GRMap</t>
  </si>
  <si>
    <t>Brassica oleracea var. medullosa Thell.</t>
  </si>
  <si>
    <t>BIOGEMMA Mondonville</t>
  </si>
  <si>
    <t>GTPases</t>
  </si>
  <si>
    <t>Brassica oleracea var. oleracea L.</t>
  </si>
  <si>
    <t>BIOGEMMA SAS</t>
  </si>
  <si>
    <t>HA_HG1_EST</t>
  </si>
  <si>
    <t>Brassica oleracea var. ramosa DC.</t>
  </si>
  <si>
    <t>BIOGER</t>
  </si>
  <si>
    <t>Hcyl</t>
  </si>
  <si>
    <t>Brassica oleracea var. sabauda L.</t>
  </si>
  <si>
    <t>BIOGER - Equipe Analyse Fonctionnelle du genome de Botrytis cinerea</t>
  </si>
  <si>
    <t>HG1</t>
  </si>
  <si>
    <t>Brassica rapa L.</t>
  </si>
  <si>
    <t>BioInformatics</t>
  </si>
  <si>
    <t>Brassica rapa subsp. chinensis (L.) Hanelt</t>
  </si>
  <si>
    <t>Bioinformatics</t>
  </si>
  <si>
    <t>INRA_AFGBC</t>
  </si>
  <si>
    <t>Brassica rapa subsp. dichotoma (Roxb.) Hanelt</t>
  </si>
  <si>
    <t>Bioinformatics Department</t>
  </si>
  <si>
    <t>INRA_BBSRC_NUEtraits</t>
  </si>
  <si>
    <t>Brassica rapa subsp. oleifera (DC.) Metzg</t>
  </si>
  <si>
    <t>Bioinformatics Team</t>
  </si>
  <si>
    <t>INRA_CIS</t>
  </si>
  <si>
    <t>Brassica rapa subsp. pekinensis (Lour.) Hanelt</t>
  </si>
  <si>
    <t>Biological Resources Division</t>
  </si>
  <si>
    <t>INRA_EVOL</t>
  </si>
  <si>
    <t>Brassica rapa subsp. rapa L.</t>
  </si>
  <si>
    <t>Biological Sciences</t>
  </si>
  <si>
    <t>INRA_mapping</t>
  </si>
  <si>
    <t>Brassica rapa subsp. ruvo L. H. Bailey</t>
  </si>
  <si>
    <t>Biologie Cellulaire</t>
  </si>
  <si>
    <t>INRA_nitrate</t>
  </si>
  <si>
    <t>Brassica rapa subsp. trilocularis (Roxb.) Hanelt</t>
  </si>
  <si>
    <t>Biologie cellulaire</t>
  </si>
  <si>
    <t>INRA_PEA_GAP</t>
  </si>
  <si>
    <t>Bromus secalinus</t>
  </si>
  <si>
    <t>Biologie Vegetale</t>
  </si>
  <si>
    <t>INRA_POPYOMICS1</t>
  </si>
  <si>
    <t>Cabomba aquatica</t>
  </si>
  <si>
    <t>Biology</t>
  </si>
  <si>
    <t>INRA_split</t>
  </si>
  <si>
    <t>Canis lupus familiaris</t>
  </si>
  <si>
    <t>Biology Department and  Biotechnology Institute</t>
  </si>
  <si>
    <t>INRA_URLEG_IPK</t>
  </si>
  <si>
    <t>Capsicum annuum L.</t>
  </si>
  <si>
    <t>Biometrics and  Bioinformatics Unit</t>
  </si>
  <si>
    <t>INRA_Wheat_Breeding_Network</t>
  </si>
  <si>
    <t>Capsicum baccatum L.</t>
  </si>
  <si>
    <t>BioPia</t>
  </si>
  <si>
    <t>INRA_Zm</t>
  </si>
  <si>
    <t>Capsicum cardenasii L.</t>
  </si>
  <si>
    <t>Bioplante</t>
  </si>
  <si>
    <t>INRA01</t>
  </si>
  <si>
    <t>Capsicum chacoense Heiser &amp; Sm.</t>
  </si>
  <si>
    <t>Biotech Research Center</t>
  </si>
  <si>
    <t>INRA02</t>
  </si>
  <si>
    <t>Capsicum chinense</t>
  </si>
  <si>
    <t>Biotechnology</t>
  </si>
  <si>
    <t>INRA03</t>
  </si>
  <si>
    <t>Capsicum eximium Jacq.</t>
  </si>
  <si>
    <t>Biotechnology Division</t>
  </si>
  <si>
    <t>INRA04</t>
  </si>
  <si>
    <t>Capsicum frutescens Hunziker</t>
  </si>
  <si>
    <t>Biotechnology Institute</t>
  </si>
  <si>
    <t>INRA05</t>
  </si>
  <si>
    <t>Capsicum galapagoense L.</t>
  </si>
  <si>
    <t>Biotechnology Section,  Agricultural Experiment Station</t>
  </si>
  <si>
    <t>INRA06</t>
  </si>
  <si>
    <t>Capsicum L.</t>
  </si>
  <si>
    <t>Biotechnology Team</t>
  </si>
  <si>
    <t>INRA07</t>
  </si>
  <si>
    <t>Capsicum microcarpum</t>
  </si>
  <si>
    <t>Biotrop</t>
  </si>
  <si>
    <t>IN_SILICO_INFINIUM_OAK</t>
  </si>
  <si>
    <t>Capsicum praetermissum Cav.</t>
  </si>
  <si>
    <t>BiO3P</t>
  </si>
  <si>
    <t>Interop</t>
  </si>
  <si>
    <t>Capsicum pubescens</t>
  </si>
  <si>
    <t>Blanc Marie Thérèse et Jean-Claude Beaumont, Monteux - France</t>
  </si>
  <si>
    <t>IN_VITRO_INFINIUM_OAK</t>
  </si>
  <si>
    <t>Carica papaya</t>
  </si>
  <si>
    <t>BLONDEAU (ETS A)</t>
  </si>
  <si>
    <t>IN_VITRO_PETRAEA_SNP</t>
  </si>
  <si>
    <t>Castanea crenata</t>
  </si>
  <si>
    <t>BMAS</t>
  </si>
  <si>
    <t>ITEC</t>
  </si>
  <si>
    <t>Castanea crenata x dentata</t>
  </si>
  <si>
    <t>Bois Marie France, St Gilles - France</t>
  </si>
  <si>
    <t>IWGSC Wheat Survey</t>
  </si>
  <si>
    <t>Castanea crenata x henryi</t>
  </si>
  <si>
    <t>Bolivian Institute for Agricultural Technology - Chinoli Experiment Station</t>
  </si>
  <si>
    <t>Map4</t>
  </si>
  <si>
    <t>Castanea crenata x mollissima</t>
  </si>
  <si>
    <t>Bonté H. et Cie, S.A.</t>
  </si>
  <si>
    <t>Melon-GAFL</t>
  </si>
  <si>
    <t>Castanea crenata x pumila</t>
  </si>
  <si>
    <t>Boreal Plant Breeding Ltd</t>
  </si>
  <si>
    <t>Muscares</t>
  </si>
  <si>
    <t>Castanea crenata x sativa</t>
  </si>
  <si>
    <t>Boret-Godineau (bought by Vilmorin)</t>
  </si>
  <si>
    <t>NO 2001 027</t>
  </si>
  <si>
    <t>Castanea crenata x seguinii</t>
  </si>
  <si>
    <t>Botany</t>
  </si>
  <si>
    <t>NoBi2001029</t>
  </si>
  <si>
    <t>Castanea dentata</t>
  </si>
  <si>
    <t>Botany and  Plant Genetics</t>
  </si>
  <si>
    <t>NovelTree</t>
  </si>
  <si>
    <t>Castanea dentata pumila</t>
  </si>
  <si>
    <t>Boulet Luc-Pierre,  Meynes - France</t>
  </si>
  <si>
    <t>NSF</t>
  </si>
  <si>
    <t>Castanea dentata seguinii</t>
  </si>
  <si>
    <t>Boyce Thompson Institute for Plant Research</t>
  </si>
  <si>
    <t>NSF DBI Grant</t>
  </si>
  <si>
    <t>Castanea dentata x henryi</t>
  </si>
  <si>
    <t>Bretagne Plants</t>
  </si>
  <si>
    <t>Okayama University Project</t>
  </si>
  <si>
    <t>Castanea dentata x mollissima</t>
  </si>
  <si>
    <t>Bretagne Plants &amp; Syndicat des Producteur de Plants de Pontivy</t>
  </si>
  <si>
    <t>OsChip</t>
  </si>
  <si>
    <t>Castanea dentata x sativa</t>
  </si>
  <si>
    <t>Bundesversuchswirtschaft Wieselburg</t>
  </si>
  <si>
    <t>OSCRGF</t>
  </si>
  <si>
    <t>Castanea henryi</t>
  </si>
  <si>
    <t>Bureau National Interprofessionnel du Cognac</t>
  </si>
  <si>
    <t>OSCRR1</t>
  </si>
  <si>
    <t>Castanea henryi  x seguinii</t>
  </si>
  <si>
    <t>Buryat Republican State Agricultural Experiment Station</t>
  </si>
  <si>
    <t>OSEST</t>
  </si>
  <si>
    <t>Castanea henryi x mollissima</t>
  </si>
  <si>
    <t>Bvumbwe Agricultural Research Station</t>
  </si>
  <si>
    <t>OsIRD</t>
  </si>
  <si>
    <t>Castanea henryi x pumila</t>
  </si>
  <si>
    <t>Cabel Hall Citrus Ltd.</t>
  </si>
  <si>
    <t>OsMU1</t>
  </si>
  <si>
    <t>Castanea henryi x sativa</t>
  </si>
  <si>
    <t>CACBA Avenue Gaston Phoebus</t>
  </si>
  <si>
    <t>Pea Consensus</t>
  </si>
  <si>
    <t>Castanea mollissima</t>
  </si>
  <si>
    <t>Cadoux (F)</t>
  </si>
  <si>
    <t>Pea_Aphid_EST</t>
  </si>
  <si>
    <t>Castanea mollissima x pumila</t>
  </si>
  <si>
    <t>CAES Genome Facility</t>
  </si>
  <si>
    <t>PeaPql</t>
  </si>
  <si>
    <t>Castanea mollissima x sativa</t>
  </si>
  <si>
    <t>CAILLARD</t>
  </si>
  <si>
    <t>Phyto_EST_INRA</t>
  </si>
  <si>
    <t>Castanea mollissima x seguinii</t>
  </si>
  <si>
    <t>Caillard</t>
  </si>
  <si>
    <t>PlantaComp</t>
  </si>
  <si>
    <t>Castanea P. Mill.</t>
  </si>
  <si>
    <t>California Agricultural Experiment Station, University of California</t>
  </si>
  <si>
    <t>PN40024</t>
  </si>
  <si>
    <t>Castanea pumila</t>
  </si>
  <si>
    <t>California Citrus Exp. Sta.</t>
  </si>
  <si>
    <t>PoplarMap</t>
  </si>
  <si>
    <t>Castanea pumila x sativa</t>
  </si>
  <si>
    <t>California nursery</t>
  </si>
  <si>
    <t>POPSEC</t>
  </si>
  <si>
    <t>Castanea pumila x seguinii</t>
  </si>
  <si>
    <t>California State University</t>
  </si>
  <si>
    <t>private_mRNA</t>
  </si>
  <si>
    <t>Castanea sativa</t>
  </si>
  <si>
    <t>CAMBIER FRERES</t>
  </si>
  <si>
    <t>private_mRNA_WH</t>
  </si>
  <si>
    <t>Castanea sativa x seguinii</t>
  </si>
  <si>
    <t>Cambridge Science Park</t>
  </si>
  <si>
    <t>private_mRNA_ZE</t>
  </si>
  <si>
    <t>Castanea seguinii</t>
  </si>
  <si>
    <t>Canadian Clonal Genebank, Greenhouse and Processing Crops Research Centre, Agriculture and Agri-Food Canada</t>
  </si>
  <si>
    <t>priv_ATH_mRNA</t>
  </si>
  <si>
    <t>Cissus aralioides Planch.</t>
  </si>
  <si>
    <t>Canterbury Agriculture and Science Centre - DSIR - Crop Research Division</t>
  </si>
  <si>
    <t>Priv01</t>
  </si>
  <si>
    <t>Cissus cactiformis Gilg</t>
  </si>
  <si>
    <t>Caussade Semences</t>
  </si>
  <si>
    <t>pub_ATH_mRNA</t>
  </si>
  <si>
    <t>Cissus L.</t>
  </si>
  <si>
    <t>Caussade semences</t>
  </si>
  <si>
    <t>Pub_Frag_EST</t>
  </si>
  <si>
    <t>Cissus quadrangularis L.</t>
  </si>
  <si>
    <t>C.C. Benoist</t>
  </si>
  <si>
    <t>Pub_Frag_mRNA</t>
  </si>
  <si>
    <t>Cissus rotundifolia Blume</t>
  </si>
  <si>
    <t>Cebeco Hande lsraad (Commercial Section)</t>
  </si>
  <si>
    <t>Pub_Hargo_EST</t>
  </si>
  <si>
    <t>Cissus sicyoides L.</t>
  </si>
  <si>
    <t>Cebeco Seed Innovations Ltd</t>
  </si>
  <si>
    <t>Pub_Hpara_EST</t>
  </si>
  <si>
    <t>(Citrange x Citrus paradisi Macf.)</t>
  </si>
  <si>
    <t>CeBiTec</t>
  </si>
  <si>
    <t>Public</t>
  </si>
  <si>
    <t>(Citrange x (Citrus reticulata var. austera ? x Fortunella sp))</t>
  </si>
  <si>
    <t>CEFEL</t>
  </si>
  <si>
    <t>Public EST Hcy1</t>
  </si>
  <si>
    <t>(Citrange x Citrus sinensis (L.) Osb.)</t>
  </si>
  <si>
    <t>Celera AgGen</t>
  </si>
  <si>
    <t>Public mRNA Hcy</t>
  </si>
  <si>
    <t>(Citrange x Eremocitrus glauca (Lindl.) Swing.)</t>
  </si>
  <si>
    <t>Celera Aggen</t>
  </si>
  <si>
    <t>public_Est_Ap</t>
  </si>
  <si>
    <t>(Citrange x Fortunella sp.)</t>
  </si>
  <si>
    <t>Cell Biology</t>
  </si>
  <si>
    <t>public_Est_Vn</t>
  </si>
  <si>
    <t>(Citrange x Poncirus trifoliata (L.) Raf.)</t>
  </si>
  <si>
    <t>Cell Physiology</t>
  </si>
  <si>
    <t>public_mRNA</t>
  </si>
  <si>
    <t>Citreae</t>
  </si>
  <si>
    <t>Cell Technologies</t>
  </si>
  <si>
    <t>public_mRNA_Ap</t>
  </si>
  <si>
    <t>Citrinae</t>
  </si>
  <si>
    <t>Center for Biotechnology</t>
  </si>
  <si>
    <t>public_mRNA_BN</t>
  </si>
  <si>
    <t>Citropsis daweana Swingle &amp; M. Kellerm.</t>
  </si>
  <si>
    <t>Center For Genetic Resource Information</t>
  </si>
  <si>
    <t>public_mRNA_Bot</t>
  </si>
  <si>
    <t>Citropsis Swingle &amp; Kellerm.</t>
  </si>
  <si>
    <t>Center of Forest Research</t>
  </si>
  <si>
    <t>public_mRNA_OS</t>
  </si>
  <si>
    <t>Citrus alata Tan.</t>
  </si>
  <si>
    <t>Central Agricultural Research Institute</t>
  </si>
  <si>
    <t>public_mRNA_Vn</t>
  </si>
  <si>
    <t>Citrus amblycarpa (Hassk.) Ochse</t>
  </si>
  <si>
    <t>Central Res. Lab.,  Life Sci. Res. Cent.</t>
  </si>
  <si>
    <t>public_mRNA_WH</t>
  </si>
  <si>
    <t>Citrus ampullacea Hort. ex Tan.</t>
  </si>
  <si>
    <t>Centre de coopération Internationale en Recherche Agronomique pour le Développement</t>
  </si>
  <si>
    <t>public_mRNA_ZE</t>
  </si>
  <si>
    <t>Citrus anonyma Hort. ex Y. Tan.</t>
  </si>
  <si>
    <t>Centre de Genetique Moleculaire</t>
  </si>
  <si>
    <t>public_PS_mRNA</t>
  </si>
  <si>
    <t>Citrus asahikan Hort. ex Tan.</t>
  </si>
  <si>
    <t>Centre de Montpellier</t>
  </si>
  <si>
    <t>Public_Rose_EST</t>
  </si>
  <si>
    <t>Citrus assamensis Dutta &amp; Bhatt.</t>
  </si>
  <si>
    <t>centre de montpellier</t>
  </si>
  <si>
    <t>public_SB_mRNA</t>
  </si>
  <si>
    <t>Citrus aurantiaca Hort. ex Tan.</t>
  </si>
  <si>
    <t>Centre de Recherche Agronomique de l'Etat, Station d'Amelioration des Plantes</t>
  </si>
  <si>
    <t>pub_MT_EST</t>
  </si>
  <si>
    <t>Citrus aurantifolia (Christm.) Swing</t>
  </si>
  <si>
    <t>Centre de Recherches Agronomiques,  Departement deBiotechnologie</t>
  </si>
  <si>
    <t>pub_MT_mRNA</t>
  </si>
  <si>
    <t>(Citrus aurantifolia (Christm.) Swing. x Fortunella sp.)</t>
  </si>
  <si>
    <t>Centre de Recherches Agronomiques d'Alsace</t>
  </si>
  <si>
    <t>Pub_Rose_mRNA</t>
  </si>
  <si>
    <t>Citrus aurantium L.</t>
  </si>
  <si>
    <t>Centre de recherches sur les cultures abritées et industrielles</t>
  </si>
  <si>
    <t>pub_SB_EST</t>
  </si>
  <si>
    <t>(Citrus aurantium L. x Poncirus trifoliata (L.) Raf.)</t>
  </si>
  <si>
    <t>Centre d'Etudes Techniques Agricoles (CETA), Domaine de M. Genier</t>
  </si>
  <si>
    <t>pub_SUNF_mRNA</t>
  </si>
  <si>
    <t>Citrus aurata Risso</t>
  </si>
  <si>
    <t>Centre for Forest Biology and Department of Biology</t>
  </si>
  <si>
    <t>QTL_LR4_QLS</t>
  </si>
  <si>
    <t>Citrus aurea Hort. ex Tan.</t>
  </si>
  <si>
    <t>Centre for Genetic Resources, the Netherlands</t>
  </si>
  <si>
    <t>QualityLegSeed</t>
  </si>
  <si>
    <t>Citrus balincolong Tan.</t>
  </si>
  <si>
    <t>Centre for Plant Conservation Genetics</t>
  </si>
  <si>
    <t>Resequencing of  S15 mutant</t>
  </si>
  <si>
    <t>Citrus balotina Poit. &amp; Turpin</t>
  </si>
  <si>
    <t>Centre for Plant Conservation Genetics,  Southern CrossUniversity</t>
  </si>
  <si>
    <t>RIL2</t>
  </si>
  <si>
    <t>Citrus benikoji Hort. ex Tan.</t>
  </si>
  <si>
    <t>Centre for Plant Molecular Biology</t>
  </si>
  <si>
    <t>RIL345</t>
  </si>
  <si>
    <t>Citrus bergamia Risso &amp; Poit.</t>
  </si>
  <si>
    <t>Centre National de Contôle et de Certification des Semences et Plants</t>
  </si>
  <si>
    <t>RIL9</t>
  </si>
  <si>
    <t>Citrus boholensis Tan.</t>
  </si>
  <si>
    <t>Centre National de la Recherche Scientifique</t>
  </si>
  <si>
    <t>ROOTEST-SSR</t>
  </si>
  <si>
    <t>Citrus canaliculata Hort. ex Y. Tan</t>
  </si>
  <si>
    <t>Centre Régional de Ressources Génétiques du Nord-Pas-de-Calais</t>
  </si>
  <si>
    <t>Rosa_EST_INRA</t>
  </si>
  <si>
    <t>Citrus celebica Koord.</t>
  </si>
  <si>
    <t>Centre Technique de l'Olivier</t>
  </si>
  <si>
    <t>Rose_Flowering_Genes</t>
  </si>
  <si>
    <t>Citrus chuana Hort. ex Tseng</t>
  </si>
  <si>
    <t>Centro Agronomico Tropical de Investigación y Enseñanza</t>
  </si>
  <si>
    <t>Rp_EST</t>
  </si>
  <si>
    <t>Citrus clementina Hort. ex Tan.</t>
  </si>
  <si>
    <t>Centro de Edafologia y Biologia Aplicada del Segura</t>
  </si>
  <si>
    <t>Sclerotinia_on_Sunflower_2008</t>
  </si>
  <si>
    <t>(Citrus clementina Hort. ex Tan. x Poncirus trifoliata (L.) Raf.)</t>
  </si>
  <si>
    <t>Centro de Edafologia y Biologia Aplicada del Segura - Caballero Jose Egea</t>
  </si>
  <si>
    <t>SCU</t>
  </si>
  <si>
    <t>Citrus combara Raf.</t>
  </si>
  <si>
    <t>Centro de Edafologia y Biologia Aplicada del Segura - Martinez Gomez Pedro</t>
  </si>
  <si>
    <t>Seedlessness</t>
  </si>
  <si>
    <t>Citrus crenatifolia Lush.</t>
  </si>
  <si>
    <t>Centro de Investigacion Palmira Corp. Colombiana Invest. Agropec</t>
  </si>
  <si>
    <t>SNPGrapeMap</t>
  </si>
  <si>
    <t>Citrus daoxianensis S.W. He &amp; G.F. Liu</t>
  </si>
  <si>
    <t>Centro de Investigaciones Agricolas 'Alberto Boerger'</t>
  </si>
  <si>
    <t>SSRGrapeIntMap</t>
  </si>
  <si>
    <t>Citrus davaoensis Tan.</t>
  </si>
  <si>
    <t>Centro de Investigaciones Agrícolas del Pacifico-Norte, INIA</t>
  </si>
  <si>
    <t>TACP1P3</t>
  </si>
  <si>
    <t>Citrus deliciosa Ten.</t>
  </si>
  <si>
    <t>Centro di Studio per il Miglioramento Genetico degli Agrumi</t>
  </si>
  <si>
    <t>TG</t>
  </si>
  <si>
    <t>Citrus depressa Hay.</t>
  </si>
  <si>
    <t>Centro Internacional de Mejoram de Maiz y Trigo - Turkey</t>
  </si>
  <si>
    <t>TomatoDive</t>
  </si>
  <si>
    <t>Citrus duttae Tan.</t>
  </si>
  <si>
    <t>Centro Internacional de Mejoramiento de Maiz y Trigo</t>
  </si>
  <si>
    <t>TRILAT-027</t>
  </si>
  <si>
    <t>Citrus erythrosa Hort. ex Tan.</t>
  </si>
  <si>
    <t>Centro Nacional de Investigaciones Agropecuarias, FONAIAP</t>
  </si>
  <si>
    <t>Triticarte</t>
  </si>
  <si>
    <t>Citrus excelsa Wester</t>
  </si>
  <si>
    <t>Centro Nacional de Pesquisa de Mandioca e Fruticultura</t>
  </si>
  <si>
    <t>Tritipol</t>
  </si>
  <si>
    <t>Citrus flavicarpa Hort. ex Tan.</t>
  </si>
  <si>
    <t>Centro Nacional de Recursos Geneticos e Biotecnologia</t>
  </si>
  <si>
    <t>TRI017</t>
  </si>
  <si>
    <t>Citrus funadoko Hort. ex Y. Tan.</t>
  </si>
  <si>
    <t>Centro regional andino Mendoza Argentina (Centro Regional de Investigaciones Científicas y Tecnológicas)</t>
  </si>
  <si>
    <t>Udine_SSR</t>
  </si>
  <si>
    <t>Citrus genshokan Hort. ex Tan.</t>
  </si>
  <si>
    <t>Centro Regional de Investigacion INIA La Platina</t>
  </si>
  <si>
    <t>UMR5667-PREST03</t>
  </si>
  <si>
    <t>Citrus glaberrima Hort. ex Tan.</t>
  </si>
  <si>
    <t>Cereal Crops Unit</t>
  </si>
  <si>
    <t>unknown</t>
  </si>
  <si>
    <t>Citrus hainanensis Tan.</t>
  </si>
  <si>
    <t>Cereal Institute, National Agricultural Research Foundation</t>
  </si>
  <si>
    <t>USDA CSREES-NRI Grant</t>
  </si>
  <si>
    <t>Citrus halimii Stone</t>
  </si>
  <si>
    <t>Cereal Research Centre,  Agriculture &amp; Agri-Foods Canada</t>
  </si>
  <si>
    <t>VAST</t>
  </si>
  <si>
    <t>Citrus hanaju Siebold ex Shirai</t>
  </si>
  <si>
    <t>Cereal Research Centre,  Agriculture and  Agri-food Canada</t>
  </si>
  <si>
    <t>VITAROMA</t>
  </si>
  <si>
    <t>Citrus haniana Hort. ex Tseng</t>
  </si>
  <si>
    <t>Cereal Research Centre, Agriculture and Agri-Food Canada</t>
  </si>
  <si>
    <t>VMC</t>
  </si>
  <si>
    <t>Citrus hassaku Hort. ex Tan.</t>
  </si>
  <si>
    <t>Cereal Research Institute</t>
  </si>
  <si>
    <t>VO0271V</t>
  </si>
  <si>
    <t>Citrus himekitsu Hort. ex Y. Tan.</t>
  </si>
  <si>
    <t>Cereals Group,  John Innes Centre</t>
  </si>
  <si>
    <t>VTP</t>
  </si>
  <si>
    <t>Citrus hiroshimana Hort. ex Y. Tan.</t>
  </si>
  <si>
    <t>Chair of Genome Research</t>
  </si>
  <si>
    <t>VVBACLib</t>
  </si>
  <si>
    <t>Citrus honghoensis Y. M. Ye et al.</t>
  </si>
  <si>
    <t>Chambre d'Agriculture de Dordogne</t>
  </si>
  <si>
    <t>VVMD</t>
  </si>
  <si>
    <t>Citrus hyalopulpa Tan.</t>
  </si>
  <si>
    <t>Chambre d'Agriculture de la Drôme</t>
  </si>
  <si>
    <t>VVPM</t>
  </si>
  <si>
    <t>Citrus hystrix DC.</t>
  </si>
  <si>
    <t>Chambre d'Agriculture de la Gironde</t>
  </si>
  <si>
    <t>VVS</t>
  </si>
  <si>
    <t>Citrus ichangensis Swing.</t>
  </si>
  <si>
    <t>Chambre d'Agriculture de la Haute-Garonne</t>
  </si>
  <si>
    <t>Wheat_ISBP_Markers</t>
  </si>
  <si>
    <t>(Citrus ichangensis Swing. x Citrus unshiu (Mak.) Marc.)</t>
  </si>
  <si>
    <t>Chambre d'Agriculture de l'Ardèche</t>
  </si>
  <si>
    <t>Wheat_SSR_Markers</t>
  </si>
  <si>
    <t>Citrus indica Tan.</t>
  </si>
  <si>
    <t>Chambre d'Agriculture de l'Aude</t>
  </si>
  <si>
    <t>WH_EST_resist</t>
  </si>
  <si>
    <t>Citrus inflata Hort. ex Tan.</t>
  </si>
  <si>
    <t>Chambre d'Agriculture de l'Hérault</t>
  </si>
  <si>
    <t>WMC</t>
  </si>
  <si>
    <t>Citrus inflato-rugosa Hort. ex Tan.</t>
  </si>
  <si>
    <t>Chambre d'Agriculture de Loire-Atlantique</t>
  </si>
  <si>
    <t>ZM_cornsensus</t>
  </si>
  <si>
    <t>Citrus intermedia Hort. ex Tan.</t>
  </si>
  <si>
    <t>Chambre d'Agriculture de l'Yonne</t>
  </si>
  <si>
    <t>ZMS1P1_DGT</t>
  </si>
  <si>
    <t>Citrus iriomotensis Hort. ex Tan.</t>
  </si>
  <si>
    <t>Chambre d'Agriculture de Saône-et-Loire</t>
  </si>
  <si>
    <t>ZmS1P2</t>
  </si>
  <si>
    <t>Citrus iwaikan Hort. ex Y. Tan.</t>
  </si>
  <si>
    <t>Chambre d'Agriculture de Savoie</t>
  </si>
  <si>
    <t>ZMS1P8</t>
  </si>
  <si>
    <t>Citrus iyo Hort. ex Tan.</t>
  </si>
  <si>
    <t>Chambre d'Agriculture des Bouches-du-Rhône</t>
  </si>
  <si>
    <t>ZmS1P9</t>
  </si>
  <si>
    <t>Citrus jambhiri Lush.</t>
  </si>
  <si>
    <t>Chambre d'Agriculture des Landes</t>
  </si>
  <si>
    <t>ZmS2P1</t>
  </si>
  <si>
    <t>Citrus javanica Blume</t>
  </si>
  <si>
    <t>Chambre d'Agriculture des Pyrénées-Atlantiques</t>
  </si>
  <si>
    <t>ZmS2P2</t>
  </si>
  <si>
    <t>Citrus junos Siebold ex Tan.</t>
  </si>
  <si>
    <t>Chambre d'Agriculture des Pyrénées-Orientales</t>
  </si>
  <si>
    <t>ZmS2P3</t>
  </si>
  <si>
    <t>Citrus karna Raf.</t>
  </si>
  <si>
    <t>Chambre d'Agriculture d'Indre-et-Loire</t>
  </si>
  <si>
    <t>ZMS3P1</t>
  </si>
  <si>
    <t>Citrus keraji Hort. ex Tan.</t>
  </si>
  <si>
    <t>Chambre d'Agriculture du Gard</t>
  </si>
  <si>
    <t>ZMS3P2</t>
  </si>
  <si>
    <t>Citrus kerrii Tan.</t>
  </si>
  <si>
    <t>Chambre d'Agriculture du Gers</t>
  </si>
  <si>
    <t>ZMS3P2-ZmDIGEST</t>
  </si>
  <si>
    <t>Citrus kinokuni Hort. ex Tan.</t>
  </si>
  <si>
    <t>Chambre d'Agriculture du Jura</t>
  </si>
  <si>
    <t>Citrus kotokan Hayata</t>
  </si>
  <si>
    <t>Chambre d'Agriculture du Loir-et-Cher</t>
  </si>
  <si>
    <t>Citrus L.</t>
  </si>
  <si>
    <t>Chambre d'Agriculture du Lot</t>
  </si>
  <si>
    <t>Citrus latifolia Tan.</t>
  </si>
  <si>
    <t>Chambre d'Agriculture du Lot-et-Garonne</t>
  </si>
  <si>
    <t>Citrus latipes (Swing.) Tan.</t>
  </si>
  <si>
    <t>Chambre d'Agriculture du Maine-et-Loire</t>
  </si>
  <si>
    <t>Citrus leiocarpa Hort. ex Tan.</t>
  </si>
  <si>
    <t>Chambre d'Agriculture du Puy-de-Dôme</t>
  </si>
  <si>
    <t>Citrus limetta Risso</t>
  </si>
  <si>
    <t>Chambre d'Agriculture du Tarn</t>
  </si>
  <si>
    <t>Citrus limettioides Tan.</t>
  </si>
  <si>
    <t>Chambre d'Agriculture du Tarn-et-Garonne</t>
  </si>
  <si>
    <t>Citrus limon (L.) Burm.</t>
  </si>
  <si>
    <t>Chambre d'Agriculture du Var</t>
  </si>
  <si>
    <t>(Citrus limon (L.) Burm. x Citrus aurantifolia (Christm.) Swing.)</t>
  </si>
  <si>
    <t>Chambre d'Agriculture du Vaucluse</t>
  </si>
  <si>
    <t>(Citrus limon (L.) Burm. x Citrus reticulata Blanco)</t>
  </si>
  <si>
    <t>Chambre Régionale d'Agriculture d'Auvergne</t>
  </si>
  <si>
    <t>(Citrus limon (L.) Burm. x Citrus sinensis (L.) Osb.)</t>
  </si>
  <si>
    <t>Chaozhou Fruit Research Institute</t>
  </si>
  <si>
    <t>(Citrus limon (L.) Burm. x Fortunella sp.)</t>
  </si>
  <si>
    <t>Charlottetown Research Centre, Agriculture and Agri-Food Canada</t>
  </si>
  <si>
    <t>(Citrus limon (L.) Burm. x Poncirus trifoliata (L.) Raf.)</t>
  </si>
  <si>
    <t>Chiayi Agricultural Experiment Station</t>
  </si>
  <si>
    <t>Citrus limonia Osb.</t>
  </si>
  <si>
    <t>Chinese Academy of Agriculture Sciences</t>
  </si>
  <si>
    <t>Citrus limonimedica Lush.</t>
  </si>
  <si>
    <t>CIAT</t>
  </si>
  <si>
    <t>Citrus longilimon Tan.</t>
  </si>
  <si>
    <t>CIP</t>
  </si>
  <si>
    <t>Citrus longispina Wester</t>
  </si>
  <si>
    <t>CIRAD-FLHOR</t>
  </si>
  <si>
    <t>Citrus lumia Risso &amp; Poit.</t>
  </si>
  <si>
    <t>CIRAD-FLHOR - Guadeloupe</t>
  </si>
  <si>
    <t>Citrus luteo-turgida Hort. ex Tan.</t>
  </si>
  <si>
    <t>CIRAD-FLHOR - Réunion</t>
  </si>
  <si>
    <t>Citrus lycopersicaeformis (Lush.) Hort. ex Tan.</t>
  </si>
  <si>
    <t>CIRAD-FLHOR Martinique</t>
  </si>
  <si>
    <t>Citrus macrolimon Tan.</t>
  </si>
  <si>
    <t>Citrus &amp; Subtropical Fruit Research Institute</t>
  </si>
  <si>
    <t>Citrus macrophylla Wester</t>
  </si>
  <si>
    <t>Citrus &amp; Subtropical Hort. Research Station</t>
  </si>
  <si>
    <t>Citrus macroptera Montr.</t>
  </si>
  <si>
    <t>Citrus Budwood Registration Bureau</t>
  </si>
  <si>
    <t>Citrus maderaspatana Hort. ex Tan.</t>
  </si>
  <si>
    <t>Citrus Clonal Protection Program</t>
  </si>
  <si>
    <t>Citrus madurensis Lour.</t>
  </si>
  <si>
    <t>Citrus Experimental Station</t>
  </si>
  <si>
    <t>Citrus mangshanensis</t>
  </si>
  <si>
    <t>Citrus Research Center</t>
  </si>
  <si>
    <t>Citrus maxima (Burm.) Merr.</t>
  </si>
  <si>
    <t>Citrus Research Institute</t>
  </si>
  <si>
    <t>(Citrus maxima (Burm.) Merr. x Citrus ichangensis Swing.)</t>
  </si>
  <si>
    <t>Citrus Research Institute - Turquie</t>
  </si>
  <si>
    <t>Citrus medica L.</t>
  </si>
  <si>
    <t>CIVAM Région Corse</t>
  </si>
  <si>
    <t>Citrus medioglobosa Hort. ex Tan.</t>
  </si>
  <si>
    <t>Claeys-Luck</t>
  </si>
  <si>
    <t>Citrus megaloxycarpa Lush.</t>
  </si>
  <si>
    <t>Clause</t>
  </si>
  <si>
    <t>Citrus mellarosa Risso</t>
  </si>
  <si>
    <t>Clause semences</t>
  </si>
  <si>
    <t>Citrus meyeri Y. Tan.</t>
  </si>
  <si>
    <t>Clause Vegetable Seeds St Rémy</t>
  </si>
  <si>
    <t>Citrus miaray Wester</t>
  </si>
  <si>
    <t>Clause Vegetable Seeds Valence</t>
  </si>
  <si>
    <t>Citrus micrantha Wester</t>
  </si>
  <si>
    <t>Clemson University Genomics Institute</t>
  </si>
  <si>
    <t>Citrus mitsuharu Hort. ex Y. Tan.</t>
  </si>
  <si>
    <t>CNB</t>
  </si>
  <si>
    <t>Citrus montana Tan.</t>
  </si>
  <si>
    <t>CNB-CSIC</t>
  </si>
  <si>
    <t>Citrus myrtifolia Raf.</t>
  </si>
  <si>
    <t>CNRGV</t>
  </si>
  <si>
    <t>Citrus nana Tan.</t>
  </si>
  <si>
    <t>C.N.R.S.,  Institut des Sciences du Vegetal</t>
  </si>
  <si>
    <t>Citrus natsudaidai Hay.</t>
  </si>
  <si>
    <t>CNRS ALIMENTEC</t>
  </si>
  <si>
    <t>Citrus neo-aurantium Tan.</t>
  </si>
  <si>
    <t>CNRS ERS</t>
  </si>
  <si>
    <t>Citrus nippokoreana Tan.</t>
  </si>
  <si>
    <t>CNRS UMR 5096</t>
  </si>
  <si>
    <t>Citrus nobilis Lour.</t>
  </si>
  <si>
    <t>Coker's Pedigree Seed Co.</t>
  </si>
  <si>
    <t>Citrus oblonga Hort. ex Y. Tan.</t>
  </si>
  <si>
    <t>College of life science</t>
  </si>
  <si>
    <t>Citrus obovoidea Hort. ex Tak.</t>
  </si>
  <si>
    <t>Colorado Agricultural Experiment Station, Colorado State University</t>
  </si>
  <si>
    <t>Citrus obversa Hassk.</t>
  </si>
  <si>
    <t>Comité Interprofessionnel de Sélection de la Vigne de Savoie</t>
  </si>
  <si>
    <t>Citrus odorata Wester ex. Tan.</t>
  </si>
  <si>
    <t>Comité Interprofessionnel des Vins d'Alsace</t>
  </si>
  <si>
    <t>Citrus oleocarpa Hort. ex Tan.</t>
  </si>
  <si>
    <t>Comité Interprofessionnel des Vins de Champagne</t>
  </si>
  <si>
    <t>Citrus omikanto Hort. ex Y. Tan.</t>
  </si>
  <si>
    <t>Commonwealth Scientific and  Industrial Research OrganisationDivision of Plant Industry</t>
  </si>
  <si>
    <t>Citrus otachibana Hort. ex Y. Tan.</t>
  </si>
  <si>
    <t>Commonwealth Scientific and Industrial Research Organisation</t>
  </si>
  <si>
    <t>Citrus oto Hort. ex Y. Tan.</t>
  </si>
  <si>
    <t>Comparative Genetics Unit</t>
  </si>
  <si>
    <t>Citrus ovata Hassk.</t>
  </si>
  <si>
    <t>Complex Carbohydrate Research Center</t>
  </si>
  <si>
    <t>Citrus panuban (Wester) Tan.</t>
  </si>
  <si>
    <t>Consejo Superior de Investigaciones Científicas</t>
  </si>
  <si>
    <t>Citrus papaya Hassk.</t>
  </si>
  <si>
    <t>Conservatoire Botanique National de Bailleul</t>
  </si>
  <si>
    <t>Citrus papillaris Blanco</t>
  </si>
  <si>
    <t>Citrus paradisi Macf.</t>
  </si>
  <si>
    <t>Conservatoire Botanique National Méditerranéen de Porquerolles + INRA Montpellier</t>
  </si>
  <si>
    <t>(Citrus paradisi Macf. x Citrus sinensis (L.) Osb.)</t>
  </si>
  <si>
    <t>Conservatoire du Vignoble Charentais - IREO</t>
  </si>
  <si>
    <t>(Citrus paradisi Macf. x Poncirus trifoliata (L.) Raf.)</t>
  </si>
  <si>
    <t>Conservatoire Régional des Cépages de Midi-Pyrénées</t>
  </si>
  <si>
    <t>Citrus paratangerina Hort. ex Tan.</t>
  </si>
  <si>
    <t>Conservatoire Régional d'Espèces Fruitières Anciennes et de Vignes de Midi-Pyrénées</t>
  </si>
  <si>
    <t>Citrus pennivesiculata (Lush.) Tan.</t>
  </si>
  <si>
    <t>Conservatoire Végétal Régional d'Aquitaine</t>
  </si>
  <si>
    <t>Citrus peretta Risso</t>
  </si>
  <si>
    <t>Coopérative Agricole AGORA</t>
  </si>
  <si>
    <t>Citrus platymamma Hort. ex Tan.</t>
  </si>
  <si>
    <t>Coopérative Agricole Provence Languedoc</t>
  </si>
  <si>
    <t>Citrus ponki (Hayata) Hort. ex Tan.</t>
  </si>
  <si>
    <t>Coopérative de Lennon</t>
  </si>
  <si>
    <t>Citrus pseudo-aurantium Hort. ex Y. Tan.</t>
  </si>
  <si>
    <t>Coopérative Fleuron d'Anjou</t>
  </si>
  <si>
    <t>Citrus pseudograndis Hort. ex Shirai</t>
  </si>
  <si>
    <t>Cornell Agricultural Experiment Station, University of Cornell</t>
  </si>
  <si>
    <t>Citrus pseudogulgul Hort. ex Shirai</t>
  </si>
  <si>
    <t>Corporacion Colombiana de Investigacion Agropecuaria Tibaitata, CORPOICA</t>
  </si>
  <si>
    <t>Citrus pseudolimon Tan.</t>
  </si>
  <si>
    <t>Cowra Experiment Farm</t>
  </si>
  <si>
    <t>Citrus pseudolimonum Wester</t>
  </si>
  <si>
    <t>CRA-Unitá di Ricerca per la Maiscoltura</t>
  </si>
  <si>
    <t>Citrus pseudopapillaris Tan.</t>
  </si>
  <si>
    <t>CRA-Unitá di Ricerca per la Valorizzazione Qualitativa dei Cereali</t>
  </si>
  <si>
    <t>Citrus pseudoparadisi Hort. ex Y. Tan.</t>
  </si>
  <si>
    <t>Criadero Klein S.A.</t>
  </si>
  <si>
    <t>Citrus pseudosunki Hort. ex Tan.</t>
  </si>
  <si>
    <t>C.R.I.D.A.</t>
  </si>
  <si>
    <t>Citrus pyriformis Hassk.</t>
  </si>
  <si>
    <t>Crop &amp; Food Research</t>
  </si>
  <si>
    <t>Citrus reshni Hort. ex Tan.</t>
  </si>
  <si>
    <t>Crop Breeding Institute</t>
  </si>
  <si>
    <t>Citrus reticulata Blanco</t>
  </si>
  <si>
    <t>Crop Development Centre, University of Saskatchewan</t>
  </si>
  <si>
    <t>(Citrus reticulata Blanco x Citrus aurantium L.)</t>
  </si>
  <si>
    <t>Crop Experimental Station Rural Development Administration</t>
  </si>
  <si>
    <t>(Citrus reticulata Blanco x Citrus paradisi Macf.)</t>
  </si>
  <si>
    <t>Crop Genetics</t>
  </si>
  <si>
    <t>(Citrus reticulata Blanco x Citrus sinensis (L.) Osb.)</t>
  </si>
  <si>
    <t>Crop Performance and  Improvement Department</t>
  </si>
  <si>
    <t>(Citrus reticulata Blanco x Fortunella sp.)</t>
  </si>
  <si>
    <t>Crop Production &amp; Pest Control Research Unit</t>
  </si>
  <si>
    <t>(Citrus reticulata Blanco x Poncirus trifoliata (L.) Raf.)</t>
  </si>
  <si>
    <t>Crop Research Institute, Olomouc</t>
  </si>
  <si>
    <t>Citrus rissoi Risso</t>
  </si>
  <si>
    <t>Crop Research Institute Plant Genetic Resources Unit</t>
  </si>
  <si>
    <t>Citrus rokugatsu Hort. ex Y. Tan.</t>
  </si>
  <si>
    <t>Crop Science</t>
  </si>
  <si>
    <t>Citrus rugulosa Hort. ex Tan.</t>
  </si>
  <si>
    <t>Citrus sarbati Tan.</t>
  </si>
  <si>
    <t>CSIRO Plant Industry</t>
  </si>
  <si>
    <t>Citrus semperflorens Lush.</t>
  </si>
  <si>
    <t>CSIRO Production and Processing</t>
  </si>
  <si>
    <t>Citrus shunkokan Hort. ex Tan.</t>
  </si>
  <si>
    <t>CTIFL Centre Technique Interprofessionnel des Fruits et Légumes, Centre de Lanxade</t>
  </si>
  <si>
    <t>Citrus sinensis (L.) Osb.</t>
  </si>
  <si>
    <t>Danko Hodowla Ro'slin sp. z o.o.</t>
  </si>
  <si>
    <t>(Citrus sinensis (L.) Osb. x Poncirus trifoliata (L.) Raf.)</t>
  </si>
  <si>
    <t>Davao Experimental Station</t>
  </si>
  <si>
    <t>Citrus sinograndis Hort. ex Y. Tan.</t>
  </si>
  <si>
    <t>De Groot en Slot BV</t>
  </si>
  <si>
    <t>Citrus southwickii Wester</t>
  </si>
  <si>
    <t>De Regibus Christian,  Saxon - Suisse</t>
  </si>
  <si>
    <t>Citrus sp.</t>
  </si>
  <si>
    <t>De Voetakker BV</t>
  </si>
  <si>
    <t>Citrus sphaerocarpa Tan.</t>
  </si>
  <si>
    <t>DeKalb AgResearch Inc.</t>
  </si>
  <si>
    <t>Citrus suavissima Hort. ex Tan.</t>
  </si>
  <si>
    <t>Delaware Biotechnology Institute</t>
  </si>
  <si>
    <t>Citrus succosa Hort. ex Tan.</t>
  </si>
  <si>
    <t>Delley Samen und Pflanzen AG</t>
  </si>
  <si>
    <t>Citrus sudachi Hort. ex Shirai</t>
  </si>
  <si>
    <t>Denaiffe et Fils</t>
  </si>
  <si>
    <t>Citrus suhuiensis Hort. ex Tan.</t>
  </si>
  <si>
    <t>Dep. of Biological Science</t>
  </si>
  <si>
    <t>Citrus suizabon Tan.</t>
  </si>
  <si>
    <t>Departamento de Citricultura, Estação N. Fruticultura 'Vieira Natividade'</t>
  </si>
  <si>
    <t>Citrus sulcata Hort. ex Tak.</t>
  </si>
  <si>
    <t>Departamento Genetica Evolutiva</t>
  </si>
  <si>
    <t>Citrus sunki Hort. ex Tan.</t>
  </si>
  <si>
    <t>Departement de phytologie, Universite Laval</t>
  </si>
  <si>
    <t>Citrus tachibana (Mak.) Tan.</t>
  </si>
  <si>
    <t>Departement des Sciences biologiques</t>
  </si>
  <si>
    <t>Citrus taiwanica Tan. &amp; Shim.</t>
  </si>
  <si>
    <t>Department of Agricultural Botany</t>
  </si>
  <si>
    <t>Citrus takuma-sudachi Hort. ex Tan.</t>
  </si>
  <si>
    <t>Department of Agriculture</t>
  </si>
  <si>
    <t>Citrus tamurana Hort. ex Tan.</t>
  </si>
  <si>
    <t>Department of Agronomy</t>
  </si>
  <si>
    <t>Citrus tangerina Hort. ex Tan.</t>
  </si>
  <si>
    <t>Department of Agronomy and  Plant Genetics</t>
  </si>
  <si>
    <t>Citrus tankan Hay.</t>
  </si>
  <si>
    <t>Department of Agronomy and  Plant Genetics,  University ofMinnesota</t>
  </si>
  <si>
    <t>Citrus tardiferax Hort. ex Tan.</t>
  </si>
  <si>
    <t>Department of Agronomy and Range Science</t>
  </si>
  <si>
    <t>Citrus tardiva Hort. ex Shirai</t>
  </si>
  <si>
    <t>Department of Biochemistry</t>
  </si>
  <si>
    <t>Citrus tarogayo Hort. ex Y. Tan.</t>
  </si>
  <si>
    <t>Department of Biochemistry and  Biophysics</t>
  </si>
  <si>
    <t>Citrus temple Hort. ex Y. Tan.</t>
  </si>
  <si>
    <t>Department of Biological Sciences</t>
  </si>
  <si>
    <t>(Citrus temple Hort. ex Y. Tan. x Citrus paradisi Macf.)</t>
  </si>
  <si>
    <t>Department of Biological Sciences and  Howard Hughes MedicalInstitute</t>
  </si>
  <si>
    <t>Citrus tengu Hort. ex Tan.</t>
  </si>
  <si>
    <t>Department of Biology</t>
  </si>
  <si>
    <t>Citrus tosa-asahi Hort. ex Y. Tan.</t>
  </si>
  <si>
    <t>Department of Biology,  Faculty of Science</t>
  </si>
  <si>
    <t>Citrus truncata Hort. ex Tan.</t>
  </si>
  <si>
    <t>Department of Biology and Biocenter Oulu</t>
  </si>
  <si>
    <t>Citrus tumida Hort. ex Tan.</t>
  </si>
  <si>
    <t>Department of Biology/Plant Genetics Group</t>
  </si>
  <si>
    <t>Citrus ujukitsu Tan.</t>
  </si>
  <si>
    <t>Department of Biosciences, Plant Physiology</t>
  </si>
  <si>
    <t>Citrus unshiu (Mak.) Mar.</t>
  </si>
  <si>
    <t>Department of Biotechnology</t>
  </si>
  <si>
    <t>(Citrus unshiu (Mak.) Marc. x (F. japonica x F. margarita 'Meiwa'))</t>
  </si>
  <si>
    <t>Department of Biotechnology Graduate School of Engineering</t>
  </si>
  <si>
    <t>Citrus vitiensis Tan.</t>
  </si>
  <si>
    <t>Department of Botany and  Plant Pathology</t>
  </si>
  <si>
    <t>Citrus webberii Wester</t>
  </si>
  <si>
    <t>Department of Botany, Faculty of Science, Chulalongkorn University</t>
  </si>
  <si>
    <t>Citrus westeri Tan.</t>
  </si>
  <si>
    <t>Department of Cell biology</t>
  </si>
  <si>
    <t>Citrus wilsonii Tan.</t>
  </si>
  <si>
    <t>Department of Crop Science,  division of Biotechnology and Genetic Engineering</t>
  </si>
  <si>
    <t>Citrus yamabuki Hort. ex Y. Tan.</t>
  </si>
  <si>
    <t>Department of Crop Science Agricultural University of Norway</t>
  </si>
  <si>
    <t>Citrus yanbaruensis Hort. ex Tan.</t>
  </si>
  <si>
    <t>Department of Cytogenetics</t>
  </si>
  <si>
    <t>Citrus yatsushiro Hort. ex Tan.</t>
  </si>
  <si>
    <t>Department of Ecology &amp; Evolutionary Biology</t>
  </si>
  <si>
    <t>Citrus yuge-hyokan Hort. ex Y. Tan.</t>
  </si>
  <si>
    <t>Department of Ecology and  Evolutionary Biology</t>
  </si>
  <si>
    <t>Citrus yuko Hort. ex Tan.</t>
  </si>
  <si>
    <t>Department of Enthomology,  plant protection Institute</t>
  </si>
  <si>
    <t>Clausena Burm. f.</t>
  </si>
  <si>
    <t>Department of Entomology</t>
  </si>
  <si>
    <t>Clausena excavata Burm. f.</t>
  </si>
  <si>
    <t>Department of Forest Genetics and Plant Physiology</t>
  </si>
  <si>
    <t>Clausena lansium (Lour.) Skeels</t>
  </si>
  <si>
    <t>Department of Forestry</t>
  </si>
  <si>
    <t>Clauseneae</t>
  </si>
  <si>
    <t>Department of Genetics</t>
  </si>
  <si>
    <t>Clauseninae</t>
  </si>
  <si>
    <t>Department of Genetics and  Forestry and  AgriculturalBiotechnology Institute</t>
  </si>
  <si>
    <t>Clematicissus angustissima (F.Muell.) Planch.</t>
  </si>
  <si>
    <t>Department of Genetics and  Genomics - Trisaia ResearchCentre</t>
  </si>
  <si>
    <t>Clematicissus Planch.</t>
  </si>
  <si>
    <t>Department of Genetics and Plant Breeding, University of Agricultural Sciences</t>
  </si>
  <si>
    <t>Cucumis L.</t>
  </si>
  <si>
    <t>Department of Genomics,  evolution and  development</t>
  </si>
  <si>
    <t>Cucumis melo L.</t>
  </si>
  <si>
    <t>Department of Horticultural Sciences, Saga University</t>
  </si>
  <si>
    <t>Cucumis melo ssp. agrestis</t>
  </si>
  <si>
    <t>Department of Horticulture</t>
  </si>
  <si>
    <t>Cucumis melo ssp. agrestis f. Acidulus</t>
  </si>
  <si>
    <t>Department of Plant Biology</t>
  </si>
  <si>
    <t>Cucumis melo ssp. agrestis f. Chinensis</t>
  </si>
  <si>
    <t>Department of Plant Biotechnology</t>
  </si>
  <si>
    <t>Cucumis melo ssp. agrestis f. Conomon</t>
  </si>
  <si>
    <t>Department of Plant Genetics</t>
  </si>
  <si>
    <t>Cucumis melo ssp. agrestis f. Makuwa</t>
  </si>
  <si>
    <t>Department of Plant Molecular Biology</t>
  </si>
  <si>
    <t>Cucumis melo ssp. agrestis f. Momordica</t>
  </si>
  <si>
    <t>Department of Plant Pathology</t>
  </si>
  <si>
    <t>Cucumis melo ssp. agrestis f. Tibish</t>
  </si>
  <si>
    <t>Department of Plant Science</t>
  </si>
  <si>
    <t>Cucumis melo ssp. melo</t>
  </si>
  <si>
    <t>Department of Plant Sciences</t>
  </si>
  <si>
    <t>Cucumis melo ssp. melo f. Ameri</t>
  </si>
  <si>
    <t>Department of Plant Sciences,  School of Life Sciences</t>
  </si>
  <si>
    <t>Cucumis melo ssp. melo f. Cantalupensis</t>
  </si>
  <si>
    <t>Department of Primary Industries</t>
  </si>
  <si>
    <t>Cucumis melo ssp. melo f. Cantalupensis gr. Charentais</t>
  </si>
  <si>
    <t>Department of Scientific and Industrial Research</t>
  </si>
  <si>
    <t>Cucumis melo ssp. melo f. Chandalak</t>
  </si>
  <si>
    <t>Department of Soil&amp;Crops</t>
  </si>
  <si>
    <t>Cucumis melo ssp. melo f. Chate</t>
  </si>
  <si>
    <t>Department of Vegetable Crops,  R.W.Michelmore Lab</t>
  </si>
  <si>
    <t>Cucumis melo ssp. melo f. Dudaim</t>
  </si>
  <si>
    <t>Department of Viticulture and Enology</t>
  </si>
  <si>
    <t>Cucumis melo ssp. melo f. Flexuosus</t>
  </si>
  <si>
    <t>Dept. of Biochemistry &amp; Molecular Biology</t>
  </si>
  <si>
    <t>Cucumis melo ssp. melo f. Inodorus</t>
  </si>
  <si>
    <t>Dept. of Horticulture</t>
  </si>
  <si>
    <t>Cucumis melo ssp. melo f. Inodorus gr. Canari</t>
  </si>
  <si>
    <t>Dept of Molecular Biosciences</t>
  </si>
  <si>
    <t>Cucumis melo ssp. melo f. Inodorus gr. Honeydew</t>
  </si>
  <si>
    <t>Dept. of Plant and  Soil Science,  Montana State University</t>
  </si>
  <si>
    <t>Cucumis melo ssp. melo f. Inodorus gr. Piel de sapo</t>
  </si>
  <si>
    <t>Dept. of Plant Pathology</t>
  </si>
  <si>
    <t>Cucumis melo ssp. melo f. Inodorus gr. Rochet</t>
  </si>
  <si>
    <t>Dept Plant Breeding</t>
  </si>
  <si>
    <t>Cucumis melo ssp. melo f. Inodorus gr. Tendral</t>
  </si>
  <si>
    <t>Desprez</t>
  </si>
  <si>
    <t>Cucumis melo ssp. melo f. Reticulatus</t>
  </si>
  <si>
    <t>Deutsche Saatveredelung Lippstadt - France</t>
  </si>
  <si>
    <t>Cynara L.</t>
  </si>
  <si>
    <t>Deutsche Saatveredelung Lippstadt-Bremen GmbH</t>
  </si>
  <si>
    <t>Dactylis glomerata L.</t>
  </si>
  <si>
    <t>Deutsche Saatzucht-Gesellschaft Salzmuende (G. Riebesel)</t>
  </si>
  <si>
    <t>Dactylis glomerata subsp. castellata Stebbins &amp; Zohary</t>
  </si>
  <si>
    <t>DEVM</t>
  </si>
  <si>
    <t>Dactylis glomerata subsp. glomerata L.</t>
  </si>
  <si>
    <t>Devon Botanic Garden and Field Laboratory, Department of Botany, University of Alberta</t>
  </si>
  <si>
    <t>Dactylis glomerata subsp. hispanica (Roth) Nyman</t>
  </si>
  <si>
    <t>DiaPC</t>
  </si>
  <si>
    <t>Dactylis glomerata subsp. izcoi S.Ortiz &amp; J.Rodríguez_Oubina</t>
  </si>
  <si>
    <t>Dipartimento di Colture Arboree - C.M.V.F.- Università di Bologna (ITA)</t>
  </si>
  <si>
    <t>Dactylis glomerata subsp. lusitanica Stebbins &amp; Zohary</t>
  </si>
  <si>
    <t>Dipartimento di Colture Arboree - C.M.V.F.- Università di Bologna (ITA) - Bassi Daniele</t>
  </si>
  <si>
    <t>Dactylis glomerata subsp. mairei Zohary &amp; Stebbins</t>
  </si>
  <si>
    <t>Dipartimento di Scienze Agrarie e Ambientali</t>
  </si>
  <si>
    <t>Dactylis L.</t>
  </si>
  <si>
    <t>Dipartimento di Scienze Agrarie e Ambientali - Genetica</t>
  </si>
  <si>
    <t>Dioscorea</t>
  </si>
  <si>
    <t>Dipartimento Innovazione, Divisione Biotecnologie e Agricoltura, ENEA</t>
  </si>
  <si>
    <t>Dioscorea alata</t>
  </si>
  <si>
    <t>Direction Départementale de l'Agriculture, Service du Génie Rural des Eaux et des Forêts</t>
  </si>
  <si>
    <t>Dioscorea altissima</t>
  </si>
  <si>
    <t>Direction Scientifique des Productions Végétales, INRA</t>
  </si>
  <si>
    <t>Dioscorea bulbifera</t>
  </si>
  <si>
    <t>Div. of Plant Industry,  CSIRO</t>
  </si>
  <si>
    <t>Dioscorea burkiliana</t>
  </si>
  <si>
    <t>Diversity Arrays Technology P/L - Triticarte P/L</t>
  </si>
  <si>
    <t>Dioscorea cayenensis rotundata</t>
  </si>
  <si>
    <t>Division Agronomique-Génétique et Amélioration des Plantes</t>
  </si>
  <si>
    <t>Dioscorea cordata</t>
  </si>
  <si>
    <t>Division of Applied Bioscience,  Graduate School ofAgriculture</t>
  </si>
  <si>
    <t>Dioscorea esculenta</t>
  </si>
  <si>
    <t>Division of Biological Sciences</t>
  </si>
  <si>
    <t>Dioscorea hurtiflora</t>
  </si>
  <si>
    <t>Division of Biology</t>
  </si>
  <si>
    <t>Dioscorea minutiflora</t>
  </si>
  <si>
    <t>Division of Plant Industry</t>
  </si>
  <si>
    <t>Dioscorea numularia</t>
  </si>
  <si>
    <t>Domaine de Sainte-Marguerite</t>
  </si>
  <si>
    <t>Dioscorea pilosiuscula</t>
  </si>
  <si>
    <t>Domaines Agricoles</t>
  </si>
  <si>
    <t>Dioscorea polygonoïdes</t>
  </si>
  <si>
    <t>Domaines Royaux</t>
  </si>
  <si>
    <t>Dioscorea transversa</t>
  </si>
  <si>
    <t>Domaines Sunset</t>
  </si>
  <si>
    <t>Dioscorea trifida</t>
  </si>
  <si>
    <t>Doneczkij institut agropromyshlennogo proizvodstva NAAN, GP</t>
  </si>
  <si>
    <t>Diuraphis noxia</t>
  </si>
  <si>
    <t>Donneur inconnu à Escolives-Sainte-Camille</t>
  </si>
  <si>
    <t>Equus caballus</t>
  </si>
  <si>
    <t>Donneur inconnu à Remoulins</t>
  </si>
  <si>
    <t>Eremocitrus glauca (Lindl.) Swing.</t>
  </si>
  <si>
    <t>Dr. J. Ackermann &amp; Co Saatzucht Irlbach</t>
  </si>
  <si>
    <t>(Eremocitrus glauca (Lindl.) Swing. x Citrus aurantium L.)</t>
  </si>
  <si>
    <t>Dr. Joachim Messing s lab</t>
  </si>
  <si>
    <t>(Eremocitrus glauca (Lindl.) Swing. x Citrus limon (L.) Burm. ?)</t>
  </si>
  <si>
    <t>D.S.A. Vaucluse (84) - France</t>
  </si>
  <si>
    <t>(Eremocitrus glauca (Lindl.) Swing. x Citrus sinensis(L.) Osb.)</t>
  </si>
  <si>
    <t>DuPont Hybrinova</t>
  </si>
  <si>
    <t>Eremocitrus Swingle</t>
  </si>
  <si>
    <t>East Malling Research</t>
  </si>
  <si>
    <t>Fabaceae</t>
  </si>
  <si>
    <t>Eastern Cereal and  Oilseed Research Centre</t>
  </si>
  <si>
    <t>Festuca arundinacea  subsp. arundinacea var. letourneuxiana St.-Yves. (10x)</t>
  </si>
  <si>
    <t>École Nationale d'Ingénieurs de l'Horticulture et du Paysage de l'Institut National d'Horticulture</t>
  </si>
  <si>
    <t>Festuca arundinacea Schreb.</t>
  </si>
  <si>
    <t>Ecole Nationale Supérieure Agronomique de Montpellier</t>
  </si>
  <si>
    <t>Festuca arundinacea subsp. arundinacea Schreb.</t>
  </si>
  <si>
    <t>Ecole Nationale Supérieure Agronomique de Toulouse</t>
  </si>
  <si>
    <t>Festuca arundinacea subsp. arundinacea var. atlantigena sensu Markgr.Dann. (8x)</t>
  </si>
  <si>
    <t>Ecomusée de la Grande Lande (Marquèze)</t>
  </si>
  <si>
    <t>Festuca arundinacea subsp. arundinacea var. genuina Schreb. (6x)</t>
  </si>
  <si>
    <t>Ecophysiologie des Plantes sous Stress Environnementaux (LEPSE)</t>
  </si>
  <si>
    <t>Festuca arundinacea subsp. arundinacea var. glaucescens Boiss. (4x)</t>
  </si>
  <si>
    <t>Einsenhut Vivaio</t>
  </si>
  <si>
    <t>Festuca filiformis Pourret</t>
  </si>
  <si>
    <t>EMBRAPA Brazil</t>
  </si>
  <si>
    <t>Festuca L.</t>
  </si>
  <si>
    <t>Empresa Brasileira de Pesquisa Agropecuaria</t>
  </si>
  <si>
    <t>Festuca nigrescens Lam.</t>
  </si>
  <si>
    <t>Empresa Citricola Victoria</t>
  </si>
  <si>
    <t>Festuca nigrescens subsp. nigrescens Lam.</t>
  </si>
  <si>
    <t>ENSA - INRA Unité de Formation en Botanique et Pathologie Végétale, INRA-Montpellier</t>
  </si>
  <si>
    <t>Festuca ovina L. (2x)</t>
  </si>
  <si>
    <t>Environmental Biology Group/ Research School of Biological Sciences</t>
  </si>
  <si>
    <t>Festuca ovina L. (4x)</t>
  </si>
  <si>
    <t>Environmental Molecular Biology Laboratory</t>
  </si>
  <si>
    <t>Festuca ovina L. (6x)</t>
  </si>
  <si>
    <t>Environmental Sciences Division</t>
  </si>
  <si>
    <t>Festuca ovina L. (8x)</t>
  </si>
  <si>
    <t>Enza Zaden France</t>
  </si>
  <si>
    <t>Festuca ovina subsp. guestfalica (Reichenb.) K. Richter</t>
  </si>
  <si>
    <t>EPGV</t>
  </si>
  <si>
    <t>Festuca rubra L.</t>
  </si>
  <si>
    <t>EPLEFPA Poitiers-Venours, Etablissement d'enseignement général et technologique agricole</t>
  </si>
  <si>
    <t>Festuca rubra subsp. arenaria (Osbeck) Aresh</t>
  </si>
  <si>
    <t>Equipe Genetique Vigne UMR DiaPC</t>
  </si>
  <si>
    <t>Festuca rubra subsp. fallax (Thuill.) Nyman</t>
  </si>
  <si>
    <t>Equipe Genomique Ble et Mais</t>
  </si>
  <si>
    <t>Festuca rubra subsp. litoralis (G. Meyer) Auquier</t>
  </si>
  <si>
    <t>Equipe Ginomique de la vigne (URGV)</t>
  </si>
  <si>
    <t>Festuca rubra subsp. pruinosa (Hackel) Piper</t>
  </si>
  <si>
    <t>Escola Superior de Agricultura 'Luiz de Quiroz'</t>
  </si>
  <si>
    <t>Festuca rubra subsp. rubra L.</t>
  </si>
  <si>
    <t>Estaçao Experimental de Itajaí</t>
  </si>
  <si>
    <t>Festuca stricta Host.</t>
  </si>
  <si>
    <t>Estaçao Experimental Fitotécnica de Taquari</t>
  </si>
  <si>
    <t>Festuca stricta subsp. trachyphylla (hackel) Patzke</t>
  </si>
  <si>
    <t>Estacao Nacional Melhoramento</t>
  </si>
  <si>
    <t>Festuca trichophylla (Gaudin) K.Richter</t>
  </si>
  <si>
    <t>Estacion Exp. Fabio Baudrit Moreno</t>
  </si>
  <si>
    <t>Festuca trichophylla subsp. trichophylla Hackel</t>
  </si>
  <si>
    <t>Estacion Experimental</t>
  </si>
  <si>
    <t>Fortunella crassifolia Swing.</t>
  </si>
  <si>
    <t>Estacion Experimental Agroindustrial 'Obispo Colombres'</t>
  </si>
  <si>
    <t>Fortunella hindsii (Champ.) Swing.</t>
  </si>
  <si>
    <t>Estacion Experimental Agropecuaria Rafaela</t>
  </si>
  <si>
    <t>Fortunella japonica (Thunb.) Swing.</t>
  </si>
  <si>
    <t>Estacion Experimental 'Aula Dei' - Consejo Superior de Investigaciones Científicas</t>
  </si>
  <si>
    <t>Fortunella margarita (Lour.) Swing.</t>
  </si>
  <si>
    <t>Estación Experimental de la Facultad de Agronomia en Salto</t>
  </si>
  <si>
    <t>Fortunella obovata Hort. ex Tan.</t>
  </si>
  <si>
    <t>Estacion Experimental 'La Estanzuela'</t>
  </si>
  <si>
    <t>Fortunella polyandra (Ridl.) Tan.</t>
  </si>
  <si>
    <t>Estacion Experimental La Platina</t>
  </si>
  <si>
    <t>(Fortunella sp. x Poncirus trifoliata (L.) Raf.)</t>
  </si>
  <si>
    <t>Estacion Experimental Los Diamantes</t>
  </si>
  <si>
    <t>Fortunella Swingle</t>
  </si>
  <si>
    <t>Estacion Experimental Santa Catalina DENAREF, INIAP</t>
  </si>
  <si>
    <t>Fortunella swinglei Tan.</t>
  </si>
  <si>
    <t>Etablissements Leblond</t>
  </si>
  <si>
    <t>Fragaria grandiflora</t>
  </si>
  <si>
    <t>Etablissements Lemaire-Deffontaines</t>
  </si>
  <si>
    <t>Fragaria vesca</t>
  </si>
  <si>
    <t>Eteve Lambertin Marie-Laure, Bouillargues - France</t>
  </si>
  <si>
    <t>Fragaria vesca subsp. vesca</t>
  </si>
  <si>
    <t>Ets A Bataille</t>
  </si>
  <si>
    <t>Fragaria x ananassa</t>
  </si>
  <si>
    <t>Ets George Laurent</t>
  </si>
  <si>
    <t>Gallus gallus</t>
  </si>
  <si>
    <t>Ets Tharreau</t>
  </si>
  <si>
    <t>Glycine</t>
  </si>
  <si>
    <t>Etude du polymorphisme des genomes vegetaux</t>
  </si>
  <si>
    <t>Glycine max</t>
  </si>
  <si>
    <t>Euralis génétique</t>
  </si>
  <si>
    <t>Glycosmis Corrêa</t>
  </si>
  <si>
    <t>EURALIS SEMENCES</t>
  </si>
  <si>
    <t>Glycosmis pentaphylla (Retz.) Corrêa</t>
  </si>
  <si>
    <t>Eversole Associates</t>
  </si>
  <si>
    <t>Gossypium spp.</t>
  </si>
  <si>
    <t>Evolutionary Biology Centre</t>
  </si>
  <si>
    <t>Hebeloma cylindrosporum</t>
  </si>
  <si>
    <t>Experimental Breeding Station Choryn</t>
  </si>
  <si>
    <t>Helianthus annuus</t>
  </si>
  <si>
    <t>Experimental Institute of Cereal Research</t>
  </si>
  <si>
    <t>Helianthus argophyllus</t>
  </si>
  <si>
    <t>F. Levieil</t>
  </si>
  <si>
    <t>Helianthus L.</t>
  </si>
  <si>
    <t>F. Von Lochow-Petkus GmbH</t>
  </si>
  <si>
    <t>Helianthus paradoxus</t>
  </si>
  <si>
    <t>Fabre</t>
  </si>
  <si>
    <t>Hordeum</t>
  </si>
  <si>
    <t>Fac.of Agri.</t>
  </si>
  <si>
    <t>Hordeum agriocrithon Aberg</t>
  </si>
  <si>
    <t>Facoltà di Agraria</t>
  </si>
  <si>
    <t>Hordeum andicola Griseb.</t>
  </si>
  <si>
    <t>Faculdad de Agronomia</t>
  </si>
  <si>
    <t>Hordeum andinum Trin.</t>
  </si>
  <si>
    <t>Facultad de Ciencias Agropecuarias, Universidad de Panamá</t>
  </si>
  <si>
    <t>Hordeum bogdani</t>
  </si>
  <si>
    <t>Faculté d'Agronomie</t>
  </si>
  <si>
    <t>Hordeum bogdanii</t>
  </si>
  <si>
    <t>Faculty of Agriculture - Institute of Field Crops</t>
  </si>
  <si>
    <t>Hordeum brachyantherum Nevski s.l.</t>
  </si>
  <si>
    <t>Faculty of Agriculture,  Laboratory of Plant Breeding</t>
  </si>
  <si>
    <t>Hordeum brachyantherum ssp. brachyantherum Nevski</t>
  </si>
  <si>
    <t>Faculty of Agriculture, University of Manitoba</t>
  </si>
  <si>
    <t>Hordeum brevisubulatum ssp. brevisubulatum</t>
  </si>
  <si>
    <t>Faculty of Bioresources</t>
  </si>
  <si>
    <t>Hordeum brevisubulatum ssp. iranicum</t>
  </si>
  <si>
    <t>Fear CD, Cain DW, Mowrey BD, CA - USA</t>
  </si>
  <si>
    <t>Hordeum brevisubulatum ssp. nevskianum</t>
  </si>
  <si>
    <t>Fédération des Syndicats Bretons</t>
  </si>
  <si>
    <t>Hordeum brevisubulatum ssp. turkestani</t>
  </si>
  <si>
    <t>Fédération des Syndicats Bretons &amp; A. Person</t>
  </si>
  <si>
    <t>Hordeum brevisubulatum ssp. turkestanicum</t>
  </si>
  <si>
    <t>Fédération des Syndicats Bretons &amp; Bretagne Plants</t>
  </si>
  <si>
    <t>Hordeum brevisubulatum ssp. violaceum</t>
  </si>
  <si>
    <t>Fédération des Syndicats Bretons &amp; Coopérative de Pleyber-Christ</t>
  </si>
  <si>
    <t>Hordeum brevisubulatum (Trin.) Link ssp. brevisubulatum s.l.</t>
  </si>
  <si>
    <t>Fédération des Syndicats Bretons &amp; Coopérative des Agriculteurs de Bretagne</t>
  </si>
  <si>
    <t>Hordeum brevisubulatum (Trin.) Link ssp. iranicum Bothmer</t>
  </si>
  <si>
    <t>Fédération des Vins de Savoie</t>
  </si>
  <si>
    <t>Hordeum brevisubulatum (Trin.) Link ssp. nevskianum (Bowden) Tzvel.</t>
  </si>
  <si>
    <t>Fédération des Vins du Puy de Dôme</t>
  </si>
  <si>
    <t>Hordeum brevisubulatum (Trin.) Link ssp. turkestanicum (Nevski) Tzvel.</t>
  </si>
  <si>
    <t>Ferme de moulon</t>
  </si>
  <si>
    <t>Hordeum brevisubulatum (Trin.) Link ssp. violaceum (Boiss. &amp; Hohen.) Tzvel.</t>
  </si>
  <si>
    <t>Ferme d'Etat de Pucheng</t>
  </si>
  <si>
    <t>Hordeum bulbosum L.</t>
  </si>
  <si>
    <t>FERME ECOLE DE BESPLAS</t>
  </si>
  <si>
    <t>Hordeum caespitosum Scribn.</t>
  </si>
  <si>
    <t>Ferme Expérimentale de Grignon</t>
  </si>
  <si>
    <t>Hordeum californicum Covas &amp; Stebbins</t>
  </si>
  <si>
    <t>Firma H. O. Luebeck, Magdeburg</t>
  </si>
  <si>
    <t>Hordeum chilense Roem. &amp; Schult.</t>
  </si>
  <si>
    <t>Fleck Jacqueline / L626</t>
  </si>
  <si>
    <t>Hordeum comosum J. Presl</t>
  </si>
  <si>
    <t>Fleischmann Rudolph Agricultural Research Institute, University of Agricultural Sciences</t>
  </si>
  <si>
    <t>Hordeum compressum</t>
  </si>
  <si>
    <t>Florimond Desprez</t>
  </si>
  <si>
    <t>Hordeum compressum Griseb.</t>
  </si>
  <si>
    <t>Fontaine (bought by Jouffray-Drillaud)</t>
  </si>
  <si>
    <t>Hordeum cordobense Bothmer, N. Jacobsen &amp; Nicora</t>
  </si>
  <si>
    <t>Food Science Institute</t>
  </si>
  <si>
    <t>Hordeum deficiens</t>
  </si>
  <si>
    <t>Forschungsanstalt Agroscope Reckenholz-Tänikon</t>
  </si>
  <si>
    <t>Hordeum deficiens Steud.</t>
  </si>
  <si>
    <t>Fr. Strube Saatzucht KG Soellingen</t>
  </si>
  <si>
    <t>Hordeum depressum (Scribn. &amp; J.G. Sm.) Rydb.</t>
  </si>
  <si>
    <t>Fruit Tree Laboratory</t>
  </si>
  <si>
    <t>Hordeum europaeum</t>
  </si>
  <si>
    <t>Fruit Tree Research Station</t>
  </si>
  <si>
    <t>Hordeum flexuosum Steud.</t>
  </si>
  <si>
    <t>Fruit Trees Research Station, Kuchinotsu Branch</t>
  </si>
  <si>
    <t>Hordeum geniculatum</t>
  </si>
  <si>
    <t>FR2424, Station Biologique</t>
  </si>
  <si>
    <t>Hordeum gussoneanum</t>
  </si>
  <si>
    <t>Fudan University</t>
  </si>
  <si>
    <t>Hordeum gussoneanum Parl.</t>
  </si>
  <si>
    <t>Fungal Genomics Lab</t>
  </si>
  <si>
    <t>Hordeum hexaploidum</t>
  </si>
  <si>
    <t>G. Geertsema-Groningen B.V.</t>
  </si>
  <si>
    <t>Hordeum hexaploidum Covas</t>
  </si>
  <si>
    <t>GA</t>
  </si>
  <si>
    <t>Hordeum hexastichon L.</t>
  </si>
  <si>
    <t>Gautier</t>
  </si>
  <si>
    <t>Hordeum hrasdanicum Gandilyan</t>
  </si>
  <si>
    <t>Hordeum irregulare</t>
  </si>
  <si>
    <t>Genavenir</t>
  </si>
  <si>
    <t>Hordeum ithaburense Boiss.</t>
  </si>
  <si>
    <t>Gene Function and Maize Traits Group</t>
  </si>
  <si>
    <t>Hordeum jubatum</t>
  </si>
  <si>
    <t>Genebank, Leibniz Institute of Plant Genetics and Crop Plant Research</t>
  </si>
  <si>
    <t>Hordeum jubatum breviaristatum</t>
  </si>
  <si>
    <t>Genetic Resources and Mediterranean Medicago Plant Breeding Laboratory, INRA-Montpellier</t>
  </si>
  <si>
    <t>Hordeum jubatum jubatum</t>
  </si>
  <si>
    <t>Genetic Resources Department - Research Institute for Cereals and Industrial Crops</t>
  </si>
  <si>
    <t>Hordeum jubatum ssp. breviaristatum Bowden</t>
  </si>
  <si>
    <t>Genetics</t>
  </si>
  <si>
    <t>Hordeum jubatum ssp. intermedium Bowden</t>
  </si>
  <si>
    <t>Genetics of Environmental Stress Tolerance</t>
  </si>
  <si>
    <t>Hordeum kaufmannii Regel</t>
  </si>
  <si>
    <t>Genetique et Amelioration des Plantes</t>
  </si>
  <si>
    <t>Hordeum L.</t>
  </si>
  <si>
    <t>Genetique et amelioration des plantes</t>
  </si>
  <si>
    <t>Hordeum lechleri (Steud.) Schenck</t>
  </si>
  <si>
    <t>Genetique et ecophysiologie des legumineuses</t>
  </si>
  <si>
    <t>Hordeum leporinum var. simulans Bowden</t>
  </si>
  <si>
    <t>Genetique fonctionnelle des maladies des Epitheliums, U563, CPIP, CHU Purpan</t>
  </si>
  <si>
    <t>Hordeum macilentum Steud.</t>
  </si>
  <si>
    <t>Genetique Moleculaire d'Arabidopsis</t>
  </si>
  <si>
    <t>Hordeum marinum Huds. ssp. gussoneanum (Parl.) Thell.</t>
  </si>
  <si>
    <t>Genome BC Conifer Forest Health</t>
  </si>
  <si>
    <t>Hordeum marinum Huds. ssp. marinum</t>
  </si>
  <si>
    <t>Genome et developpement des plantes</t>
  </si>
  <si>
    <t>Hordeum marinum ssp. gussoneanum</t>
  </si>
  <si>
    <t>GENOME express</t>
  </si>
  <si>
    <t>Hordeum marinum ssp. gussoneanum (Parl.) Thell.</t>
  </si>
  <si>
    <t>Genome Express</t>
  </si>
  <si>
    <t>Hordeum marinum ssp. marinum</t>
  </si>
  <si>
    <t>Genome Science Laboratory</t>
  </si>
  <si>
    <t>Hordeum maritimum</t>
  </si>
  <si>
    <t>Genome Systems,  Inc.,  a wholly owned subsidiary of IncytePharmaceuticals,  Inc.</t>
  </si>
  <si>
    <t>Hordeum maritimum gussonianum</t>
  </si>
  <si>
    <t>Genomics and  Genetics Institute,  GreenGene Biotech Inc.;Division of Bioscience and  Bioinformatics,  MyongJiUniversity</t>
  </si>
  <si>
    <t>Hordeum murinum</t>
  </si>
  <si>
    <t>Genomique</t>
  </si>
  <si>
    <t>Hordeum murinum L. ssp. glaucum (Steud.) Tzvelev</t>
  </si>
  <si>
    <t>Genomique Ble et Mais</t>
  </si>
  <si>
    <t>Hordeum murinum L. ssp. leporinum (Link) Arcang.</t>
  </si>
  <si>
    <t>Genoplante-Info</t>
  </si>
  <si>
    <t>Hordeum murinum L. ssp. murinum</t>
  </si>
  <si>
    <t>GENOSCOPE</t>
  </si>
  <si>
    <t>Hordeum murinum murinum</t>
  </si>
  <si>
    <t>Genoscope</t>
  </si>
  <si>
    <t>Hordeum murinum ssp. glaucum</t>
  </si>
  <si>
    <t>Genoscope - Centre National de Sequencage</t>
  </si>
  <si>
    <t>Hordeum murinum ssp. glaucum (Steud.) Tzvelev</t>
  </si>
  <si>
    <t>Georgia State Agricultural Experiment Station</t>
  </si>
  <si>
    <t>Hordeum murinum ssp. leporinum</t>
  </si>
  <si>
    <t>Germicopa SA</t>
  </si>
  <si>
    <t>Hordeum murinum ssp. murinum</t>
  </si>
  <si>
    <t>Germicopa SAS</t>
  </si>
  <si>
    <t>Hordeum muticum J. Presl</t>
  </si>
  <si>
    <t>GGO</t>
  </si>
  <si>
    <t>Hordeum nevskianum Bowden</t>
  </si>
  <si>
    <t>GIE Ail Dromois</t>
  </si>
  <si>
    <t>Hordeum nodosum</t>
  </si>
  <si>
    <t>GIE Epi de France</t>
  </si>
  <si>
    <t>Hordeum nodosum L.</t>
  </si>
  <si>
    <t>GIE Legland</t>
  </si>
  <si>
    <t>Hordeum parodii Covas</t>
  </si>
  <si>
    <t>Gigot Claude / L512</t>
  </si>
  <si>
    <t>Hordeum patagonicum (Haum.) Covas s.l.</t>
  </si>
  <si>
    <t>Gilbert-Fayol</t>
  </si>
  <si>
    <t>Hordeum persicum</t>
  </si>
  <si>
    <t>Ginitique Diversiti Ecophysiologie des Ciriales</t>
  </si>
  <si>
    <t>Hordeum pratense Huds.</t>
  </si>
  <si>
    <t>Giza Agricultural Research Station</t>
  </si>
  <si>
    <t>Hordeum pubescens Guss.</t>
  </si>
  <si>
    <t>Glen Saint Mary Nursery Co.</t>
  </si>
  <si>
    <t>Hordeum pusillum Nutt.</t>
  </si>
  <si>
    <t>Glenellen Pty Ltd.</t>
  </si>
  <si>
    <t>Hordeum pussilum</t>
  </si>
  <si>
    <t>Gnts VNII Rastenievodstva Im.N.I.Vavilova</t>
  </si>
  <si>
    <t>Hordeum sativum</t>
  </si>
  <si>
    <t>Goggi</t>
  </si>
  <si>
    <t>Hordeum sibiricum Rosh.</t>
  </si>
  <si>
    <t>Grad. Sch. Agric. Life Sci.</t>
  </si>
  <si>
    <t>Hordeum spp</t>
  </si>
  <si>
    <t>Graduate School of Biological Sciences</t>
  </si>
  <si>
    <t>Hordeum strictum Desf.</t>
  </si>
  <si>
    <t>Grand Anse Experimental Centre, Ministry of Agriculture and Marine Resources</t>
  </si>
  <si>
    <t>Hordeum tetraploidum Covas</t>
  </si>
  <si>
    <t>Grand Island Nurseries, Inc.</t>
  </si>
  <si>
    <t>Hordeum tetrastichum</t>
  </si>
  <si>
    <t>Greenhouse for Trop. Crops, Inst. Prod/Nutr. Wordls Crops, Un. Kassel</t>
  </si>
  <si>
    <t>Hordeum vulgare</t>
  </si>
  <si>
    <t>Grocep</t>
  </si>
  <si>
    <t>Hordeum vulgare convar. distichon (L.) Alefeld</t>
  </si>
  <si>
    <t>Group 305</t>
  </si>
  <si>
    <t>Hordeum vulgare L.</t>
  </si>
  <si>
    <t>Groupe d'Etude et de Contrôle des Variétés et des Semences, Cavaillon</t>
  </si>
  <si>
    <t>Hordeum vulgare L. ssp. distichon (L.) Koernicke</t>
  </si>
  <si>
    <t>Groupement Agricole Essonnois</t>
  </si>
  <si>
    <t>Hordeum vulgare L. ssp. spontaneum (K. Koch) A. &amp; Gr.</t>
  </si>
  <si>
    <t>Groupement Interprofessionnel des Fleurs et Plantes A Parfun</t>
  </si>
  <si>
    <t>Hordeum vulgare L. ssp. vulgare</t>
  </si>
  <si>
    <t>Gruntzig Maria, Fuchs Egon Halle/Saale - Allemagne</t>
  </si>
  <si>
    <t>Hordeum vulgare spontaneum</t>
  </si>
  <si>
    <t>GTZ, German Fruit Tree Project</t>
  </si>
  <si>
    <t>Hordeum vulgare ssp. distichon var. spontaneum Kornicke</t>
  </si>
  <si>
    <t>Guangxi Citrus Research Institute</t>
  </si>
  <si>
    <t>Hordeum vulgare var. distichon</t>
  </si>
  <si>
    <t>Gyumri Breeding Station</t>
  </si>
  <si>
    <t>Hordeum vulgare vulgare</t>
  </si>
  <si>
    <t>H Blas JM Malmonté</t>
  </si>
  <si>
    <t>Juglans L.</t>
  </si>
  <si>
    <t>H. Demesmay</t>
  </si>
  <si>
    <t>Lactuca L.</t>
  </si>
  <si>
    <t>H. L. Hall &amp; Sons, Ltd.</t>
  </si>
  <si>
    <t>Lactuca sativa f. Laitue à couper</t>
  </si>
  <si>
    <t>Hankkija Plant Breeding Institute</t>
  </si>
  <si>
    <t>Lactuca sativa f. Laitue à couper gr. Feuille de chêne</t>
  </si>
  <si>
    <t>Harpool Seed Inc.</t>
  </si>
  <si>
    <t>Lactuca sativa f. Laitue à couper gr. Laitue multi-feuilles</t>
  </si>
  <si>
    <t>Head of Genomic Information</t>
  </si>
  <si>
    <t>Lactuca sativa f. Laitue à couper gr. Lollo</t>
  </si>
  <si>
    <t>Hebei Germplasm Resources Genebank Cereal &amp; Oil Crops Research Institute</t>
  </si>
  <si>
    <t>Lactuca sativa f. Laitue pommée</t>
  </si>
  <si>
    <t>Heine Peragis Getreidezucht GmbH</t>
  </si>
  <si>
    <t>Lactuca sativa f. Laitue pommée gr. Batavia</t>
  </si>
  <si>
    <t>Hirla Henri, Toulouges - France</t>
  </si>
  <si>
    <t>Lactuca sativa f. Laitue pommée gr. Batavia sgr. Batavia européenne</t>
  </si>
  <si>
    <t>Hodowla Roslin Polniczych 'Nasiona Kobierzyc'</t>
  </si>
  <si>
    <t>Lactuca sativa f. Laitue pommée gr. Batavia sgr. Iceberg</t>
  </si>
  <si>
    <t>Hodowla Roslin Pustkow</t>
  </si>
  <si>
    <t>Lactuca sativa f. Laitue pommée gr. Laitue beurre</t>
  </si>
  <si>
    <t>Hodowla Roslin Strzelce Sp. z o.o. Grupa IHAR</t>
  </si>
  <si>
    <t>Lactuca sativa f. Laitue pommée gr. Romaine/grasse</t>
  </si>
  <si>
    <t>Hort Research</t>
  </si>
  <si>
    <t>Lactuca sativa f. Laitue pommée gr. Romaine/grasse sgr. Grasse</t>
  </si>
  <si>
    <t>Horticultural Research &amp; Advisory Station, Dept. of Agriculture</t>
  </si>
  <si>
    <t>Lactuca sativa f. Laitue pommée gr. Romaine/grasse sgr. Romaine</t>
  </si>
  <si>
    <t>Horticultural Research Section Agricultural Research Corporation</t>
  </si>
  <si>
    <t>Lactuca sativa f. Laitue tige</t>
  </si>
  <si>
    <t>Horticultural Research Station</t>
  </si>
  <si>
    <t>Lactuca sativa L.</t>
  </si>
  <si>
    <t>Horticultural Sciences Department,  Plant Molecular and Cellular Biology Program</t>
  </si>
  <si>
    <t>Lepidium L.</t>
  </si>
  <si>
    <t>Horticulture Department</t>
  </si>
  <si>
    <t>Lepidium sativum L.</t>
  </si>
  <si>
    <t>HortResearch, Havelock North Research Centre - Malone M. Havelock North and  Davidson J. Tuamarina Blenheim - New Zealand</t>
  </si>
  <si>
    <t>(Limequat x Fortunella hindsii(Champ.) Swing.)</t>
  </si>
  <si>
    <t>HortResearch, Mt. Albert Research Centre</t>
  </si>
  <si>
    <t>Linum usitatissinum</t>
  </si>
  <si>
    <t>HybriTech Seed</t>
  </si>
  <si>
    <t>Lolium L.</t>
  </si>
  <si>
    <t>HYBRO Saatzucht GmbH &amp; Co. KG c/o Saaten-Union GmbH</t>
  </si>
  <si>
    <t>Lolium multiflorum Lam.</t>
  </si>
  <si>
    <t>IBP</t>
  </si>
  <si>
    <t>Lolium perenne</t>
  </si>
  <si>
    <t>IBVB</t>
  </si>
  <si>
    <t>Lolium perenne L.</t>
  </si>
  <si>
    <t>ICARDA</t>
  </si>
  <si>
    <t>Lolium xhybridum Hausskn.</t>
  </si>
  <si>
    <t>ICRISAT</t>
  </si>
  <si>
    <t>Lotus alpinus</t>
  </si>
  <si>
    <t>Idaho Agricultural Experiment Station, University of Idaho</t>
  </si>
  <si>
    <t>Lupinus L.</t>
  </si>
  <si>
    <t>Illinois Agricultural Experiment Station, University of Illinois</t>
  </si>
  <si>
    <t>Malus domestica</t>
  </si>
  <si>
    <t>Indian Agricultural Research Institute</t>
  </si>
  <si>
    <t>Malus P. Mill.</t>
  </si>
  <si>
    <t>Indian Institute of Horticultural Research</t>
  </si>
  <si>
    <t>Manihot esculenta</t>
  </si>
  <si>
    <t>Indiana Agricultural Experiment Station, Purdue University</t>
  </si>
  <si>
    <t>Medicago aculeata</t>
  </si>
  <si>
    <t>Indo-American Hybrid Seeds</t>
  </si>
  <si>
    <t>Medicago aculeata aculeata</t>
  </si>
  <si>
    <t>Medicago aculeata inermis</t>
  </si>
  <si>
    <t>INRA - Mauguio</t>
  </si>
  <si>
    <t>Medicago arabica (L.) Huds.</t>
  </si>
  <si>
    <t>INRA - Tours</t>
  </si>
  <si>
    <t>Medicago arborea L.</t>
  </si>
  <si>
    <t>INRA - UMR BIOGECO</t>
  </si>
  <si>
    <t>Medicago asiatica</t>
  </si>
  <si>
    <t>INRA, Cirad/Amis</t>
  </si>
  <si>
    <t>Medicago blancheana Boiss.</t>
  </si>
  <si>
    <t>INRA de Crouel</t>
  </si>
  <si>
    <t>Medicago bonarotiana</t>
  </si>
  <si>
    <t>INRA, Domaine de Vassal (T. Lacombe) + IFV Institut Français de la Vigne et du Vin (L. Audeguin)</t>
  </si>
  <si>
    <t>Medicago cancellata Bieb.</t>
  </si>
  <si>
    <t>INRA GAFL Avignon + SICA Centrex</t>
  </si>
  <si>
    <t>Medicago carstiensis Jacq.</t>
  </si>
  <si>
    <t>INRA Guadeloupe</t>
  </si>
  <si>
    <t>Medicago constricta</t>
  </si>
  <si>
    <t>INRA Montpellier</t>
  </si>
  <si>
    <t>Medicago coronata</t>
  </si>
  <si>
    <t>INRA Rennes</t>
  </si>
  <si>
    <t>Medicago cretacea</t>
  </si>
  <si>
    <t>INRA Versailles</t>
  </si>
  <si>
    <t>Medicago daghestanica</t>
  </si>
  <si>
    <t>INRA-MycSA, UPR-1264</t>
  </si>
  <si>
    <t>Medicago disciformis</t>
  </si>
  <si>
    <t>INRAT, Tunisie + UR Génétique et Amélioration des Fruits et Légumes, INRA-Avignon</t>
  </si>
  <si>
    <t>Medicago dzhawakhetica</t>
  </si>
  <si>
    <t>Insect Biocontrol Lab</t>
  </si>
  <si>
    <t>Medicago eusativa</t>
  </si>
  <si>
    <t>INSIBIO</t>
  </si>
  <si>
    <t>Medicago glutinosa Bieb.</t>
  </si>
  <si>
    <t>Inst. Biologia Molecular y Celular de Plantas</t>
  </si>
  <si>
    <t>Medicago granadensis Willd.</t>
  </si>
  <si>
    <t>Institut Amélioration Plantes Cultivées Berlin</t>
  </si>
  <si>
    <t>Medicago heyniana</t>
  </si>
  <si>
    <t>Institut de Biologie Moleculair des Plantes du CNRS (IBMP)</t>
  </si>
  <si>
    <t>Medicago hybrida (Pourr.) Trautv.</t>
  </si>
  <si>
    <t>Institut de Biologie Moleculaire des Plantes</t>
  </si>
  <si>
    <t>Medicago intertexta ciliaris</t>
  </si>
  <si>
    <t>Institut de biologie moleculaire des plantes</t>
  </si>
  <si>
    <t>Medicago intertexta intertexta</t>
  </si>
  <si>
    <t>Institut de biotechnologie des plantes</t>
  </si>
  <si>
    <t>Medicago intertexta (L.) Mill.</t>
  </si>
  <si>
    <t>Institut de Recherche pour le Développement</t>
  </si>
  <si>
    <t>Medicago L.</t>
  </si>
  <si>
    <t>Institut de Recherches Agronomique</t>
  </si>
  <si>
    <t>Medicago laciniata (L.) Mill.</t>
  </si>
  <si>
    <t>Institut de Recherches Agronomiques et Forestières</t>
  </si>
  <si>
    <t>Medicago lanigera</t>
  </si>
  <si>
    <t>Institut de Recherches Agronomiques Tropicales et des cultures vivrières</t>
  </si>
  <si>
    <t>Medicago littoralis</t>
  </si>
  <si>
    <t>Institut de Recherches de Beibei</t>
  </si>
  <si>
    <t>Medicago lupulina L.</t>
  </si>
  <si>
    <t>Institut des forêts-Département Fruits et Agrumes</t>
  </si>
  <si>
    <t>Medicago marina L.</t>
  </si>
  <si>
    <t>Institut des Sciences du Vegetal (ISV)</t>
  </si>
  <si>
    <t>Medicago minima brevispina</t>
  </si>
  <si>
    <t>Institut des Sciences Vegetales</t>
  </si>
  <si>
    <t>Medicago minima (L.) L. ex Bartal.</t>
  </si>
  <si>
    <t>Institut for bioteknologi</t>
  </si>
  <si>
    <t>Medicago minima minima</t>
  </si>
  <si>
    <t>Institut Français de la Vigne et du Vin</t>
  </si>
  <si>
    <t>Medicago monantha (C.A. Mey.) Trautv.</t>
  </si>
  <si>
    <t>Institut Francais de Recherches Fruitières</t>
  </si>
  <si>
    <t>Medicago monspeliaca (L.) Trautv.</t>
  </si>
  <si>
    <t>Institut Francais de Recherches Fruitières - Martinique</t>
  </si>
  <si>
    <t>Medicago murex lesinsii</t>
  </si>
  <si>
    <t>Institut Francais de Recherches Fruitières - Réunion</t>
  </si>
  <si>
    <t>Medicago murex sphaerocarpos</t>
  </si>
  <si>
    <t>Institut fuer Entwicklungsbiologie und Molekularbiologie derPflanzen</t>
  </si>
  <si>
    <t>Medicago murex Willd.</t>
  </si>
  <si>
    <t>Institut für Biologie und Biotechnologie der Pflanzen (IBBP)</t>
  </si>
  <si>
    <t>Medicago muricoleptis</t>
  </si>
  <si>
    <t>Institut fur Pflanzengenetik und Kulturpflanzenforschung</t>
  </si>
  <si>
    <t>Medicago noeana Boiss.</t>
  </si>
  <si>
    <t>Institut für Pflanzengenetik und Kulturpflanzenforschung</t>
  </si>
  <si>
    <t>Medicago orbicularis biancae</t>
  </si>
  <si>
    <t>Medicago orbicularis (L.) Bartal.</t>
  </si>
  <si>
    <t>Institut National Agronomique Paris-Grignon</t>
  </si>
  <si>
    <t>Medicago orbicularis marginata</t>
  </si>
  <si>
    <t>Institut National de la Recherche Agronomique</t>
  </si>
  <si>
    <t>Medicago orthoceras</t>
  </si>
  <si>
    <t>Institut National de la Recherche Agronomique - Centre de Clermont-Ferrand</t>
  </si>
  <si>
    <t>Medicago papillosa Boiss.</t>
  </si>
  <si>
    <t>Institut National de la Recherche Agronomique - Centre de Montpellier</t>
  </si>
  <si>
    <t>Medicago pironae</t>
  </si>
  <si>
    <t>Institut National de la Recherche Agronomique d'Algerie</t>
  </si>
  <si>
    <t>Medicago platycarpa</t>
  </si>
  <si>
    <t>Institut National de la Recherche Agronomique de Tunisie</t>
  </si>
  <si>
    <t>Medicago polychroa Grossh.</t>
  </si>
  <si>
    <t>Institut National de la Recherche Agronomique du Maroc</t>
  </si>
  <si>
    <t>Medicago polymorpha brevispina</t>
  </si>
  <si>
    <t>Institut of Corn</t>
  </si>
  <si>
    <t>Medicago polymorpha L.</t>
  </si>
  <si>
    <t>Institut of Crop Germplasm Resources, Chinese Academy of Agricultural Sciences</t>
  </si>
  <si>
    <t>Medicago polymorpha polymorpha</t>
  </si>
  <si>
    <t>Institut of Subtropical Plants</t>
  </si>
  <si>
    <t>Medicago polymorpha vulgaris</t>
  </si>
  <si>
    <t>Institut ZA Povrtarstvo</t>
  </si>
  <si>
    <t>Medicago praecox DC.</t>
  </si>
  <si>
    <t>Institute Crop and Food Research Ltd. East Coast Technology Centre</t>
  </si>
  <si>
    <t>Medicago prostrata Jacq.</t>
  </si>
  <si>
    <t>Institute for Agrobotany</t>
  </si>
  <si>
    <t>Medicago quasifalcata</t>
  </si>
  <si>
    <t>Institute for Breeding and Production of Field Crops</t>
  </si>
  <si>
    <t>Medicago radiata</t>
  </si>
  <si>
    <t>Institute for Field and Vegetable Crops Novi Sad</t>
  </si>
  <si>
    <t>Medicago rhodopea Velen.</t>
  </si>
  <si>
    <t>Institute for Genome Research and Systems Biology / CeBiTec</t>
  </si>
  <si>
    <t>Medicago rigidula agrestis</t>
  </si>
  <si>
    <t>Institute for Grapevine Breeding</t>
  </si>
  <si>
    <t>Medicago rigidula cinerascens</t>
  </si>
  <si>
    <t>Institute for Plant Genetic Resources 'K. Malkov'</t>
  </si>
  <si>
    <t>Medicago rigidula (L.) All.</t>
  </si>
  <si>
    <t>Institute for Tropical ans Subtropical Crops</t>
  </si>
  <si>
    <t>Medicago rigidula rigidula</t>
  </si>
  <si>
    <t>Institute of Agriculture of the NAAS</t>
  </si>
  <si>
    <t>Medicago rigidula submitis</t>
  </si>
  <si>
    <t>Institute of Arable Crop Research</t>
  </si>
  <si>
    <t>Medicago rigiduloides</t>
  </si>
  <si>
    <t>Institute of Botany</t>
  </si>
  <si>
    <t>Medicago rotata Boiss.</t>
  </si>
  <si>
    <t>Institute of Citrus Research Chinese Academy of Agric. Sciences</t>
  </si>
  <si>
    <t>Medicago rugosa Desr.</t>
  </si>
  <si>
    <t>Institute of Crop Breeding and Cultivation, Chinese Academy of Agricultural Sciences</t>
  </si>
  <si>
    <t>Medicago rupestris</t>
  </si>
  <si>
    <t>Institute of Crop Research, Jilin Academy of Agricultural Sciences</t>
  </si>
  <si>
    <t>Medicago ruthenica (L.) Trautv.</t>
  </si>
  <si>
    <t>Institute of Crop Science, Federal Research Center for Agricult.(FAL)</t>
  </si>
  <si>
    <t>Medicago sativa caelurea</t>
  </si>
  <si>
    <t>Institute of Experimental Botany</t>
  </si>
  <si>
    <t>Medicago sativa falcata (L.) Arcang.</t>
  </si>
  <si>
    <t>Institute of Field Crops and Viticulture</t>
  </si>
  <si>
    <t>Medicago sativa gaetula</t>
  </si>
  <si>
    <t>Institute of forest genetics</t>
  </si>
  <si>
    <t>Medicago sativa glomerata (Balb.) Rouy</t>
  </si>
  <si>
    <t>Institute of Genetics,  Fudan University</t>
  </si>
  <si>
    <t>Medicago sativa L.</t>
  </si>
  <si>
    <t>Institute of Husbandry and Breeding of the National Academy of Sciences of Belarus</t>
  </si>
  <si>
    <t>Medicago sativa type mielga L.</t>
  </si>
  <si>
    <t>Institute of Mol. &amp; Cell. Bioscience,  Department of CellularFunction</t>
  </si>
  <si>
    <t>Medicago sauvagei</t>
  </si>
  <si>
    <t>Institute of Plant Breeding and Agricultural Research 'Nazareno Strampelli'</t>
  </si>
  <si>
    <t>Medicago saxatilis</t>
  </si>
  <si>
    <t>Institute of Plant Breeding, College of Agriculture, University of the Philippines, Los Baños College</t>
  </si>
  <si>
    <t>Medicago scutellata (L.) Mill.</t>
  </si>
  <si>
    <t>Institute of Plant Production n.a. V.Y. Yurjev of UAAS</t>
  </si>
  <si>
    <t>Medicago secundiflora</t>
  </si>
  <si>
    <t>Institute of Pomology, Jiangxi Academy of Agricultural Sciences</t>
  </si>
  <si>
    <t>Medicago shepardii Post ex Boiss.</t>
  </si>
  <si>
    <t>Institute of Wheat and Sunflower Dobroudja</t>
  </si>
  <si>
    <t>Medicago soleirolii Duby</t>
  </si>
  <si>
    <t>Institute Plant Biotechnology</t>
  </si>
  <si>
    <t>Medicago suffruticosa leiocarpa (Benth.) Urb</t>
  </si>
  <si>
    <t>InstitutionX</t>
  </si>
  <si>
    <t>Medicago suffruticosa Ramond ex DC.</t>
  </si>
  <si>
    <t>Instituto Agronomico de Campinas</t>
  </si>
  <si>
    <t>Medicago suffruticosa suffruticosa</t>
  </si>
  <si>
    <t>Instituto Agronomico de Parana</t>
  </si>
  <si>
    <t>Medicago tenoreana</t>
  </si>
  <si>
    <t>Instituto Canario de Investigaciones Agrarias</t>
  </si>
  <si>
    <t>Medicago tornata</t>
  </si>
  <si>
    <t>Instituto Colombiano Agropecuario</t>
  </si>
  <si>
    <t>Medicago tornata rugolosa</t>
  </si>
  <si>
    <t>Instituto de Biologia y Biotecnologia Vegetal</t>
  </si>
  <si>
    <t>Medicago tornata spinulosa</t>
  </si>
  <si>
    <t>Instituto de Biotecnologia,  CICVyA-CNIA</t>
  </si>
  <si>
    <t>Medicago tornata tornata</t>
  </si>
  <si>
    <t>Instituto de Investigacao Agronomica</t>
  </si>
  <si>
    <t>Medicago truncatula</t>
  </si>
  <si>
    <t>Instituto de Investigaciones de Citricos y otros Frutales</t>
  </si>
  <si>
    <t>Medicago truncatula longispina</t>
  </si>
  <si>
    <t>Instituto de Investigaciones Fundamentales en Agr. Tropical</t>
  </si>
  <si>
    <t>Medicago truncatula tricycla</t>
  </si>
  <si>
    <t>Instituto de Protecçao da Produçao Agro-Alimentar</t>
  </si>
  <si>
    <t>Medicago truncatula truncatula</t>
  </si>
  <si>
    <t>Instituto Fitogenetico 'Santa Catalina'</t>
  </si>
  <si>
    <t>Medicago turbinata (L.) All.</t>
  </si>
  <si>
    <t>Instituto Nacional de Ciencas Agr.</t>
  </si>
  <si>
    <t>Medicago varia Martyn</t>
  </si>
  <si>
    <t>Instituto Nacional de Investigação Agronomica</t>
  </si>
  <si>
    <t>Microcitrus australasica (F. Muell.) Swingle</t>
  </si>
  <si>
    <t>Instituto Nacional de Investigacion Agropecuaria</t>
  </si>
  <si>
    <t>(Microcitrus australasica (F. Muell.) Swingle x (Fortunella sp. x Citrus mitis))</t>
  </si>
  <si>
    <t>Instituto nacional de Investigaciones Agricolas Celaya Mexique</t>
  </si>
  <si>
    <t>(Microcitrus australasica (F. Muell.) Swingle x Microcitrus australis (Planch.) Swing.)</t>
  </si>
  <si>
    <t>Instituto Nacional de Investigaciones Forestales, Agrícolas y Pecuarias</t>
  </si>
  <si>
    <t>Microcitrus australis (A. Cunn. ex Mudie) Swingle</t>
  </si>
  <si>
    <t>Instituto Nacional de Tecnología Agropecuaria</t>
  </si>
  <si>
    <t>Microcitrus Swingle</t>
  </si>
  <si>
    <t>Instituto Nacional de Tecnología Agropecuaria Estacion Experimental Marcos Juárez</t>
  </si>
  <si>
    <t>Monodelphis domestica</t>
  </si>
  <si>
    <t>Instituto Nacional de Tecnología Agropecuaria Estacion Experimental Pergamino</t>
  </si>
  <si>
    <t>Murraya J. Koenig ex L.</t>
  </si>
  <si>
    <t>Instituto Valenciano de Investigaciones Agrarias</t>
  </si>
  <si>
    <t>Murraya paniculata (L.) Jack</t>
  </si>
  <si>
    <t>INTA</t>
  </si>
  <si>
    <t>Mus musculus</t>
  </si>
  <si>
    <t>INTA Estacion Experimental</t>
  </si>
  <si>
    <t>Muscadinia munsoniana Small</t>
  </si>
  <si>
    <t>Interactions Arbres/Microorganismes</t>
  </si>
  <si>
    <t>Muscadinia popenoei Fennell</t>
  </si>
  <si>
    <t>International Centre for Agricultural Research in Dry Areas</t>
  </si>
  <si>
    <t>Muscadinia rotundifolia cv. Carlos</t>
  </si>
  <si>
    <t>International Institute of Tropical Agriculture</t>
  </si>
  <si>
    <t>Muscadinia rotundifolia cv. Dulcet</t>
  </si>
  <si>
    <t>IPK</t>
  </si>
  <si>
    <t>Muscadinia rotundifolia cv. Fry</t>
  </si>
  <si>
    <t>IPMSV</t>
  </si>
  <si>
    <t>Muscadinia rotundifolia cv. Regale</t>
  </si>
  <si>
    <t>IRD</t>
  </si>
  <si>
    <t>Muscadinia rotundifolia cv. Trayshed</t>
  </si>
  <si>
    <t>IRISA</t>
  </si>
  <si>
    <t>Muscadinia rotundifolia cv. Yuga x Carlos</t>
  </si>
  <si>
    <t>IRRI</t>
  </si>
  <si>
    <t>Muscadinia rotundifolia Mchx.</t>
  </si>
  <si>
    <t>Istituto di Agronomia e Coltivazioni - Universita di Bologna</t>
  </si>
  <si>
    <t>Muscadinia Small</t>
  </si>
  <si>
    <t>Istituto di Genetica Vegetale, Consiglio Nazionale delle Richerche</t>
  </si>
  <si>
    <t>Myzus persicae</t>
  </si>
  <si>
    <t>Istituto di Scienze Biochimiche</t>
  </si>
  <si>
    <t>Olea europaea L.</t>
  </si>
  <si>
    <t>Istituto Sperimentale per lAgrumicoltura</t>
  </si>
  <si>
    <t>Onobrychis Hill.</t>
  </si>
  <si>
    <t>ISV-CNRS</t>
  </si>
  <si>
    <t>Onobrychis viciifolia Scop.</t>
  </si>
  <si>
    <t>J. Berthélémé</t>
  </si>
  <si>
    <t>Oryza barthii</t>
  </si>
  <si>
    <t>Jardin Botanico, Wilson Popenoe de Lancetilla</t>
  </si>
  <si>
    <t>Oryza glaberrima</t>
  </si>
  <si>
    <t>Jardin botanique de Bordeaux</t>
  </si>
  <si>
    <t>Oryza longistaminata</t>
  </si>
  <si>
    <t>Jiangsu Academy of Agricultural Sciences</t>
  </si>
  <si>
    <t>Oryza nivara</t>
  </si>
  <si>
    <t>JKI Julius Kühn-Institut</t>
  </si>
  <si>
    <t>Oryza rufipogon</t>
  </si>
  <si>
    <t>John Innes CentreNorwich Research Park</t>
  </si>
  <si>
    <t>Oryza sativa</t>
  </si>
  <si>
    <t>Jorion</t>
  </si>
  <si>
    <t>Oryzias latipes</t>
  </si>
  <si>
    <t>Jose Buck S.A.</t>
  </si>
  <si>
    <t>Pan troglodytes</t>
  </si>
  <si>
    <t>Joseph Nickerson Research Centre</t>
  </si>
  <si>
    <t>Parthenocissus henryana Graebn. ex Diels</t>
  </si>
  <si>
    <t>Jourdan Pierre,  Tain - France</t>
  </si>
  <si>
    <t>Parthenocissus Planch.</t>
  </si>
  <si>
    <t>Julius Kühn-Institut</t>
  </si>
  <si>
    <t>Parthenocissus quinquefolia (L.) Planch.</t>
  </si>
  <si>
    <t>Kaerntner Saatbaugenossenschaft/Carinthian Agricultural Company</t>
  </si>
  <si>
    <t>Parthenocissus tricuspidata Planch.</t>
  </si>
  <si>
    <t>Kagoshima University, Faculty of Agriculture, Laboratory of Horticultural Science</t>
  </si>
  <si>
    <t>Parthenocissus voineriana</t>
  </si>
  <si>
    <t>Kansas Agricultural Experiment Station, Kansas State University</t>
  </si>
  <si>
    <t>Phaseolus vulgaris</t>
  </si>
  <si>
    <t>Kansas State University</t>
  </si>
  <si>
    <t>Phleum L.</t>
  </si>
  <si>
    <t>Karaganda State Agricultural Experiment Station</t>
  </si>
  <si>
    <t>Phleum pratense L.</t>
  </si>
  <si>
    <t>Kazakh Research Institute of Agriculture</t>
  </si>
  <si>
    <t>Phytophthora parasitica</t>
  </si>
  <si>
    <t>Key Lab. of Crop Germplasm &amp; Biotechnology</t>
  </si>
  <si>
    <t>Picea abies</t>
  </si>
  <si>
    <t>Key Laboratory of Crop Germplasm &amp; Biotechnology</t>
  </si>
  <si>
    <t>Pinus pinaster</t>
  </si>
  <si>
    <t>Key Laboratory of Ministry of Education for PlantDevelopmental Biology</t>
  </si>
  <si>
    <t>Pinus sylvestris</t>
  </si>
  <si>
    <t>Key Laboratory Tree Genetic Engineering of Nanjing Forestry</t>
  </si>
  <si>
    <t>Pisum fulvum</t>
  </si>
  <si>
    <t>Kihara Institute for Biological Research,  Yokohama CityUniversity</t>
  </si>
  <si>
    <t>Pisum L.</t>
  </si>
  <si>
    <t>Kihara Institute for Biological Research, Yokohama City University</t>
  </si>
  <si>
    <t>Pisum sativum L.</t>
  </si>
  <si>
    <t>Kleinwanzlebener Saatzucht AG</t>
  </si>
  <si>
    <t>Pisum sativum subsp. abyssinicum</t>
  </si>
  <si>
    <t>Krasnyy Kut breeding station</t>
  </si>
  <si>
    <t>Pisum sativum subsp. elatius</t>
  </si>
  <si>
    <t>Kumho Life &amp; Environmental Science Laboratory (KLESL)</t>
  </si>
  <si>
    <t>Pisum sativum subsp. sativum</t>
  </si>
  <si>
    <t>KWS France</t>
  </si>
  <si>
    <t>Pisum sativum var. arvense</t>
  </si>
  <si>
    <t>KWS UK Ltd</t>
  </si>
  <si>
    <t>Pisum sativum var. choresmicum</t>
  </si>
  <si>
    <t>La. Agr. Exp. Sta.</t>
  </si>
  <si>
    <t>Pisum sativum var. pumilio</t>
  </si>
  <si>
    <t>Lab. Biol. Developpement des Plantes</t>
  </si>
  <si>
    <t>Pisum sativum var. tibetanicum</t>
  </si>
  <si>
    <t>Lab. Biotech. et Amelior. Plantes - Pole de Biotechnologie Vegetale</t>
  </si>
  <si>
    <t>Poncirus polyandra S. Q. Ding et al.</t>
  </si>
  <si>
    <t>Lab de Biochimie</t>
  </si>
  <si>
    <t>Poncirus Raf.</t>
  </si>
  <si>
    <t>Lab of Biotechnology</t>
  </si>
  <si>
    <t>Poncirus trifoliata (L.) Raf.</t>
  </si>
  <si>
    <t>Lab of Molecular Biology</t>
  </si>
  <si>
    <t>Populus alba</t>
  </si>
  <si>
    <t>Lab. of Plant Development Physiology and  Molecular Biology</t>
  </si>
  <si>
    <t>Populus alba x populus tremula var. glandulosa</t>
  </si>
  <si>
    <t>Lab of Plant Molecular Physiology</t>
  </si>
  <si>
    <t>Populus deltoides</t>
  </si>
  <si>
    <t>Laboratoire BAP</t>
  </si>
  <si>
    <t>Populus deltoides x Populus nigra</t>
  </si>
  <si>
    <t>Laboratoire de Biologie du Developpement des Plantes</t>
  </si>
  <si>
    <t>Populus deltoides x populus trichocarpa</t>
  </si>
  <si>
    <t>Laboratoire de Biologie du developpement des plantes</t>
  </si>
  <si>
    <t>Populus euphratica</t>
  </si>
  <si>
    <t>Laboratoire de Biologie Moleculaire</t>
  </si>
  <si>
    <t>Populus fremontii</t>
  </si>
  <si>
    <t>Laboratoire de Biotechnologie et Amelioration des Plantes</t>
  </si>
  <si>
    <t>Populus fremontii x populus angustifolia</t>
  </si>
  <si>
    <t>Laboratoire de Biotechnologie et d'amélioration des plantes</t>
  </si>
  <si>
    <t>Populus nigra</t>
  </si>
  <si>
    <t>Laboratoire de Génétique et Amélioration des Plantes, INRA-Lille</t>
  </si>
  <si>
    <t>Populus tomentiglandulosa</t>
  </si>
  <si>
    <t>Laboratoire de Genetique Moleculaire</t>
  </si>
  <si>
    <t>Populus tremula</t>
  </si>
  <si>
    <t>Laboratoire de Genomique et Bioinformatique</t>
  </si>
  <si>
    <t>Populus tremula x populus alba</t>
  </si>
  <si>
    <t>Laboratoire de Génomique et Bioinformatique</t>
  </si>
  <si>
    <t>Populus tremula x populus tremuloides</t>
  </si>
  <si>
    <t>Laboratoire de Mondonville</t>
  </si>
  <si>
    <t>Populus tremuloides</t>
  </si>
  <si>
    <t>Laboratoire de Nutrition Azotee des Plantes</t>
  </si>
  <si>
    <t>Populus trichocarpa</t>
  </si>
  <si>
    <t>Laboratoire de Pathologie Vegetale</t>
  </si>
  <si>
    <t>Populus trichocarpa x populus deltoides</t>
  </si>
  <si>
    <t>Laboratoire de Physiologie et Biologie MoleculairesVegetales,  URA CNRS 565</t>
  </si>
  <si>
    <t>Populus trichocarpa x Populus nigra</t>
  </si>
  <si>
    <t>Laboratoire de Phytoparasitologie</t>
  </si>
  <si>
    <t>Populus x canadensis</t>
  </si>
  <si>
    <t>Laboratoire de Phytopathologie Moleculaire ; SainsburyLaboratory</t>
  </si>
  <si>
    <t>Prunus armeniaca L.</t>
  </si>
  <si>
    <t>Laboratoire de Phytopathologie Moleculaire (LPPM)</t>
  </si>
  <si>
    <t>Prunus avium L.</t>
  </si>
  <si>
    <t>Laboratoire d'Organogenese Moleculaire Vegetale</t>
  </si>
  <si>
    <t>Prunus cerasus L.</t>
  </si>
  <si>
    <t>Laboratoire genome et developpement des plantes LGDP</t>
  </si>
  <si>
    <t>Prunus domestica L.</t>
  </si>
  <si>
    <t>Laboratoire Ginome et Diveloppement des Plantes</t>
  </si>
  <si>
    <t>Prunus dulcis (P. Mill.) D.A. Webber</t>
  </si>
  <si>
    <t>Laboratorio di Genetica Molecolare</t>
  </si>
  <si>
    <t>Prunus insititia L.</t>
  </si>
  <si>
    <t>Laboratory for Genomics and  Bioinformatics</t>
  </si>
  <si>
    <t>Prunus L.</t>
  </si>
  <si>
    <t>Laboratory of Biochemistry,  Department of Molecular Geneticsand</t>
  </si>
  <si>
    <t>Prunus semperflorens Ehrh.</t>
  </si>
  <si>
    <t>Laboratory of Functional Genetics</t>
  </si>
  <si>
    <t>Prunus x gondouinii (Poit. &amp; Turpin.) Schneid.</t>
  </si>
  <si>
    <t>Laboratory of Molecular Biology</t>
  </si>
  <si>
    <t>Pterocissus mirabilis Urb. &amp; Ekman</t>
  </si>
  <si>
    <t>Laboratory of Plant Biotechnology</t>
  </si>
  <si>
    <t>Pterocissus Urb. &amp; Ekman</t>
  </si>
  <si>
    <t>Laboratory of Plant Molecular Biology</t>
  </si>
  <si>
    <t>Pyrus L.</t>
  </si>
  <si>
    <t>Laboratory of Plant Molecular Breeding</t>
  </si>
  <si>
    <t>Quercus petraea</t>
  </si>
  <si>
    <t>Laboratory of Tropical Crop Improvement, Katholieke Universiteit Leuven</t>
  </si>
  <si>
    <t>Quercus robur</t>
  </si>
  <si>
    <t>Lacombe Research Centre Agriculture and Agri-Food Canada</t>
  </si>
  <si>
    <t>Rhopalosiphum padi</t>
  </si>
  <si>
    <t>Lafite, Ferme des Anglais</t>
  </si>
  <si>
    <t>Rosa chinensis</t>
  </si>
  <si>
    <t>Landbrugets Kornforaedling Sejet</t>
  </si>
  <si>
    <t>Rosa hybrida</t>
  </si>
  <si>
    <t>Landwirtschaftliche Lehranstalten Triesdorf</t>
  </si>
  <si>
    <t>Rosa wichuraiana</t>
  </si>
  <si>
    <t>Landwirtschaftsbetrieb Neuhof Rohrau, Pflanzenzucht</t>
  </si>
  <si>
    <t>Rutaceae</t>
  </si>
  <si>
    <t>Layne David - Summerland BC - Canada</t>
  </si>
  <si>
    <t>Saccharum officinarum</t>
  </si>
  <si>
    <t>LCB</t>
  </si>
  <si>
    <t>Saccharum spontaneum</t>
  </si>
  <si>
    <t>Lehrstuhl fuer Genetik</t>
  </si>
  <si>
    <t>Sclerotinia sclerotorium</t>
  </si>
  <si>
    <t>Leshan Citrus Association</t>
  </si>
  <si>
    <t>Secale cereale</t>
  </si>
  <si>
    <t>Lethbridge Research Station, Agriculture Canada</t>
  </si>
  <si>
    <t>Severinia buxifolia (Poir.) Ten.</t>
  </si>
  <si>
    <t>Letianxi Special Produce Station</t>
  </si>
  <si>
    <t>Severinia Ten. ex Endl.</t>
  </si>
  <si>
    <t>LG Molekulargenetik</t>
  </si>
  <si>
    <t>Solanum alandiae Cardenas</t>
  </si>
  <si>
    <t>Limagrain</t>
  </si>
  <si>
    <t>Solanum albicans Ochoa</t>
  </si>
  <si>
    <t>Limagrain Europe Riom</t>
  </si>
  <si>
    <t>Solanum andreanum Baker</t>
  </si>
  <si>
    <t>Limagrain Genetics</t>
  </si>
  <si>
    <t>Solanum avilesii Hawkes &amp; Hjert.</t>
  </si>
  <si>
    <t>Limagrain Iberica</t>
  </si>
  <si>
    <t>Solanum berthaultii Hawkes</t>
  </si>
  <si>
    <t>Limagrain UK Ltd</t>
  </si>
  <si>
    <t>Solanum brachistotrichum Rydb.</t>
  </si>
  <si>
    <t>Limagrain Verneuil Holding</t>
  </si>
  <si>
    <t>Solanum brevidens Phil.</t>
  </si>
  <si>
    <t>Limagrain-Nickerson GmbH</t>
  </si>
  <si>
    <t>Solanum bulbocastanum Dunal</t>
  </si>
  <si>
    <t>Lincoln University</t>
  </si>
  <si>
    <t>Solanum cardiophyllum Lindl.</t>
  </si>
  <si>
    <t>LIPM,  CNRS/INRA</t>
  </si>
  <si>
    <t>Solanum chacoense Bitter</t>
  </si>
  <si>
    <t>Lita Annenberg Hazen Genome Sequencing Center</t>
  </si>
  <si>
    <t>Solanum cheesmaniae</t>
  </si>
  <si>
    <t>Lithuanian Institute of Agriculture</t>
  </si>
  <si>
    <t>Solanum chmielewskii</t>
  </si>
  <si>
    <t>London Horticultural Society</t>
  </si>
  <si>
    <t>Solanum comersonii Poir.</t>
  </si>
  <si>
    <t>Louisiana State University USA</t>
  </si>
  <si>
    <t>Solanum demissum Lindl.</t>
  </si>
  <si>
    <t>Luigi Samoggia</t>
  </si>
  <si>
    <t>Solanum etuberosum Lindl.</t>
  </si>
  <si>
    <t>Luk'janenko Krasnodar Agricultural Research Institute</t>
  </si>
  <si>
    <t>Solanum fendleri A. Gray</t>
  </si>
  <si>
    <t>M. Alain Marcel</t>
  </si>
  <si>
    <t>Solanum gourlayi Hawkes</t>
  </si>
  <si>
    <t>M. Anderson Fred, CA - USA</t>
  </si>
  <si>
    <t>Solanum habrochaites</t>
  </si>
  <si>
    <t>M. Ballot</t>
  </si>
  <si>
    <t>Solanum hougasii Correll</t>
  </si>
  <si>
    <t>M. Bordes, Rivesaltes Pyrénées Orientales - France</t>
  </si>
  <si>
    <t>Solanum kurtzianum Bitter &amp; Wittm.</t>
  </si>
  <si>
    <t>M. Bouchot</t>
  </si>
  <si>
    <t>Solanum L.</t>
  </si>
  <si>
    <t>M. Boyat</t>
  </si>
  <si>
    <t>Solanum lycopersicum</t>
  </si>
  <si>
    <t>M. Briot</t>
  </si>
  <si>
    <t>Solanum lycopersicum var. cerasiforme</t>
  </si>
  <si>
    <t>M. Brun</t>
  </si>
  <si>
    <t>Solanum oplocense Hawkes</t>
  </si>
  <si>
    <t>M. Canino, Spain</t>
  </si>
  <si>
    <t>Solanum pennellii</t>
  </si>
  <si>
    <t>M. Carraut</t>
  </si>
  <si>
    <t>Solanum phureja Juz. &amp; Bukasov</t>
  </si>
  <si>
    <t>M. Chazotier</t>
  </si>
  <si>
    <t>Solanum pimpinellifolium</t>
  </si>
  <si>
    <t>M. Chorozé, pépiniériste</t>
  </si>
  <si>
    <t>Solanum polyadenium Greenm.</t>
  </si>
  <si>
    <t>M. Clanet</t>
  </si>
  <si>
    <t>Solanum polytrichon Rydb.</t>
  </si>
  <si>
    <t>M. Coste, Pyrénées Orientales - France</t>
  </si>
  <si>
    <t>Solanum schenckii Bitter</t>
  </si>
  <si>
    <t>M. Cunty</t>
  </si>
  <si>
    <t>Solanum sparsipilum Juz. &amp; Bukasov</t>
  </si>
  <si>
    <t>M. Duquesne</t>
  </si>
  <si>
    <t>Solanum spegazzinii Bitter</t>
  </si>
  <si>
    <t>M. Escudier, Aramon, Gard - France</t>
  </si>
  <si>
    <t>Solanum stenotonum Juz. &amp; Bukasov</t>
  </si>
  <si>
    <t>M. Flandin, pépiniériste</t>
  </si>
  <si>
    <t>Solanum stoloniferum Schltdl. &amp; Bouché</t>
  </si>
  <si>
    <t>M. Gidouin</t>
  </si>
  <si>
    <t>Solanum sucrense Hawkes</t>
  </si>
  <si>
    <t>M. Goepfert</t>
  </si>
  <si>
    <t>Solanum tarijense Hawkes</t>
  </si>
  <si>
    <t>M. Grassely</t>
  </si>
  <si>
    <t>Solanum trifidum Correll</t>
  </si>
  <si>
    <t>M. Guillaume</t>
  </si>
  <si>
    <t>Solanum tuberosum andigenum Juz. &amp; Bukasov</t>
  </si>
  <si>
    <t>M. Jaboulay</t>
  </si>
  <si>
    <t>Solanum tuberosum L.</t>
  </si>
  <si>
    <t>M. Kupper, arboriculteur</t>
  </si>
  <si>
    <t>Solanum tuberosum tuberosum L.</t>
  </si>
  <si>
    <t>M. Laboulfié</t>
  </si>
  <si>
    <t>Solanum vernei Bitter &amp; Wittm.</t>
  </si>
  <si>
    <t>M. Lerouzic</t>
  </si>
  <si>
    <t>Sorghum bicolor</t>
  </si>
  <si>
    <t>M. Luizet, Ecully, Rhone - France</t>
  </si>
  <si>
    <t>(Tangelo x Citrus paradisi Macf.)</t>
  </si>
  <si>
    <t>M. Malauzat, rue Château Trompette</t>
  </si>
  <si>
    <t>(Tangor x Citrus temple Hort. ex Y. Tan.)</t>
  </si>
  <si>
    <t>M. Maray-Meuilley</t>
  </si>
  <si>
    <t>Tetrastigma K.Schum.</t>
  </si>
  <si>
    <t>M. Merrand, St Etienne de Valoux, Ardeche - France</t>
  </si>
  <si>
    <t>Tetrastigma lanceolarium Planch.</t>
  </si>
  <si>
    <t>M. Moll</t>
  </si>
  <si>
    <t>Tetrastigma voinearium Pierre ex Gagnep.</t>
  </si>
  <si>
    <t>M. Murat</t>
  </si>
  <si>
    <t>Theobroma cacao</t>
  </si>
  <si>
    <t>M. Pejouan, Toulouges, Pyrénées Orientales  - France</t>
  </si>
  <si>
    <t>Thinopyrum ponticum (Podp.) Barkworth &amp; D.R. Dewey</t>
  </si>
  <si>
    <t>M. Pérès</t>
  </si>
  <si>
    <t>Toxoptera citricida</t>
  </si>
  <si>
    <t>M. Pierre Renoux</t>
  </si>
  <si>
    <t>Trifolium L.</t>
  </si>
  <si>
    <t>M. Poncet</t>
  </si>
  <si>
    <t>Trifolium pratense L.</t>
  </si>
  <si>
    <t>M. Popon</t>
  </si>
  <si>
    <t>Trifolium repens L.</t>
  </si>
  <si>
    <t>M. Ribelaygue, Pyrénées Orientales - France</t>
  </si>
  <si>
    <t>Trifolium resupinatum L.</t>
  </si>
  <si>
    <t>M. Riou Pierre, Francia</t>
  </si>
  <si>
    <t>Trifolium subterraneum</t>
  </si>
  <si>
    <t>M. Rohn</t>
  </si>
  <si>
    <t>Trifolium subterraneum brachicalycinum</t>
  </si>
  <si>
    <t>M. Roth</t>
  </si>
  <si>
    <t>Trifolium subterraneum subterraneum</t>
  </si>
  <si>
    <t>M. Roudier, Larnage - France</t>
  </si>
  <si>
    <t>Trifolium subterraneum yanninicum</t>
  </si>
  <si>
    <t>M. Rouget, Sernhac - France</t>
  </si>
  <si>
    <t>Triticeae</t>
  </si>
  <si>
    <t>M. Royère à 'Le Bicout'</t>
  </si>
  <si>
    <t>Triticum</t>
  </si>
  <si>
    <t>M. Saint-Germain</t>
  </si>
  <si>
    <t>Triticum aaronshii</t>
  </si>
  <si>
    <t>M. Schmidt</t>
  </si>
  <si>
    <t>Triticum aaronshii aaronshii</t>
  </si>
  <si>
    <t>M. Sigalas Antoine, Bordes-Hautes</t>
  </si>
  <si>
    <t>Triticum abyssinicum</t>
  </si>
  <si>
    <t>M. Soupa</t>
  </si>
  <si>
    <t>Triticum aegilopoides (Link) Bal.</t>
  </si>
  <si>
    <t>M. Stentzel</t>
  </si>
  <si>
    <t>M. Thomas</t>
  </si>
  <si>
    <t>Triticum aestivum aestivum</t>
  </si>
  <si>
    <t>M. Tisseyre, St Hyppolite Pyrénées Orientales - France</t>
  </si>
  <si>
    <t>Triticum aestivum compactum</t>
  </si>
  <si>
    <t>M. Wouters - Argentine</t>
  </si>
  <si>
    <t>Triticum aestivum fongicidum</t>
  </si>
  <si>
    <t>M. Zimandl</t>
  </si>
  <si>
    <t>Triticum aestivum group aestivum Bowden</t>
  </si>
  <si>
    <t>Maillard Arsène et Laurence, Elne - France</t>
  </si>
  <si>
    <t>Triticum aestivum group macha</t>
  </si>
  <si>
    <t>Maïsadour semences</t>
  </si>
  <si>
    <t>Triticum aestivum hisbis</t>
  </si>
  <si>
    <t>Maison Fernand Le Peuple</t>
  </si>
  <si>
    <t>Triticum aestivum L.</t>
  </si>
  <si>
    <t>Maize Group of National Key Labortory of Crop GeneticImprovement</t>
  </si>
  <si>
    <t>Triticum aestivum L. em. Thell.</t>
  </si>
  <si>
    <t>Maize Research Institute 'Zemin Polje'</t>
  </si>
  <si>
    <t>Triticum aestivum L. em. Thell. group aestivum</t>
  </si>
  <si>
    <t>Malang Research Institute for Food Crops, BALITAN</t>
  </si>
  <si>
    <t>Triticum aestivum L. em. Thell. group compactum (Host) Thell.</t>
  </si>
  <si>
    <t>Maliani Genetica di Maliani Cesare</t>
  </si>
  <si>
    <t>Triticum aestivum L. em. Thell. group spelta (L.) Thell.</t>
  </si>
  <si>
    <t>MAP</t>
  </si>
  <si>
    <t>Triticum aestivum L. em. Thell. group sphaerococcum (Perc.) Mac Key</t>
  </si>
  <si>
    <t>Marc CREPIN</t>
  </si>
  <si>
    <t>Triticum aestivum L. em. Thell. group vavilovii (Jakubz.) A. Love, stat. &amp; comb. nov</t>
  </si>
  <si>
    <t>Maryland Agricultural Experiment Station, University of Maryland</t>
  </si>
  <si>
    <t>Triticum aestivum L. em. Thell. subsp. compactum (Host.) MK.</t>
  </si>
  <si>
    <t>McNair Seed Company</t>
  </si>
  <si>
    <t>Triticum aestivum L. em. Thell. subsp. spelta (L.) Thell.</t>
  </si>
  <si>
    <t>Merckling</t>
  </si>
  <si>
    <t>Triticum aestivum L. em. Thell. subsp. sphaerococcum (Perc.) MK.</t>
  </si>
  <si>
    <t>Michigan Agricultural Experiment Station, Michigan State University</t>
  </si>
  <si>
    <t>Triticum aestivum L. em. Thell. subsp. vavilovi (Tuman.) Sears</t>
  </si>
  <si>
    <t>Microbiology and  Cell Biology</t>
  </si>
  <si>
    <t>Triticum aestivum L. group macha Bowden</t>
  </si>
  <si>
    <t>Microbiology and  Plant Phisiology</t>
  </si>
  <si>
    <t>Triticum aestivum L. ssp. hadropyrum (Flaksb.) Tzvelev</t>
  </si>
  <si>
    <t>Miln Masters Group Ltd</t>
  </si>
  <si>
    <t>Triticum aestivum L. ssp. macha (Dekapr. &amp; Menabde) Mac Key</t>
  </si>
  <si>
    <t>Minnesota Agricultural Experiment Station, University of Minnesota</t>
  </si>
  <si>
    <t>Triticum aestivum macha</t>
  </si>
  <si>
    <t>Minstry of Agriculture</t>
  </si>
  <si>
    <t>Triticum aestivum oasiculum</t>
  </si>
  <si>
    <t>Missouri Agricultural Experiment Station, University of Missouri</t>
  </si>
  <si>
    <t>Triticum aestivum petropavlovskyi</t>
  </si>
  <si>
    <t>Molecular and  Developmental Genetics</t>
  </si>
  <si>
    <t>Triticum aestivum spelta</t>
  </si>
  <si>
    <t>Molecular and Cell Biology</t>
  </si>
  <si>
    <t>Triticum aestivum sphaerococcum</t>
  </si>
  <si>
    <t>Molecular Biology</t>
  </si>
  <si>
    <t>Triticum aestivum ssp. aestivum</t>
  </si>
  <si>
    <t>Molecular Genetics</t>
  </si>
  <si>
    <t>Triticum aestivum ssp. hadropyrum</t>
  </si>
  <si>
    <t>Molecular Host plant resistance lab-Dr. C. Mike Smith</t>
  </si>
  <si>
    <t>Triticum aestivum var. compactum</t>
  </si>
  <si>
    <t>Molecular Plant Genetics</t>
  </si>
  <si>
    <t>Triticum aestivum var. compactum Bowden</t>
  </si>
  <si>
    <t>Triticum aestivum var. spelta</t>
  </si>
  <si>
    <t>Mons</t>
  </si>
  <si>
    <t>Triticum aestivum var. spelta Bowden</t>
  </si>
  <si>
    <t>Monsanto Company</t>
  </si>
  <si>
    <t>Triticum aestivum var. sphaerococcum</t>
  </si>
  <si>
    <t>Monsanto (Nîmes)</t>
  </si>
  <si>
    <t>Triticum aestivum var. sphaerococcum Bowden</t>
  </si>
  <si>
    <t>Monsanto semences</t>
  </si>
  <si>
    <t>Triticum aestivum var. vavilovii Bowden</t>
  </si>
  <si>
    <t>Monsanto (St Andiol)</t>
  </si>
  <si>
    <t>Triticum aestivum vavilovi</t>
  </si>
  <si>
    <t>Montana Agricultural Experiment Station, Montana State University</t>
  </si>
  <si>
    <t>Triticum amyleum</t>
  </si>
  <si>
    <t>Montanari Domenico, Faenza - Italy</t>
  </si>
  <si>
    <t>Triticum araraticum</t>
  </si>
  <si>
    <t>Monteux Caillet René, Mouries - France</t>
  </si>
  <si>
    <t>Triticum araraticum Jakubz.</t>
  </si>
  <si>
    <t>Montpellier SupAgro</t>
  </si>
  <si>
    <t>Triticum armeniacum (Jakubz.) A. Loeve &amp; D. Loeve</t>
  </si>
  <si>
    <t>Morphogenesis Research Group</t>
  </si>
  <si>
    <t>Triticum asiaticum Kudr.</t>
  </si>
  <si>
    <t>Morstar a.s., Breeding Station</t>
  </si>
  <si>
    <t>Triticum baeoticum</t>
  </si>
  <si>
    <t>Mr. Mazéas</t>
  </si>
  <si>
    <t>Triticum boeoticum ssp. boeoticum</t>
  </si>
  <si>
    <t>MSU-DOE Plant Research Laboratory</t>
  </si>
  <si>
    <t>Triticum boeoticum ssp. thaoudar</t>
  </si>
  <si>
    <t>MUCL Culture Collection</t>
  </si>
  <si>
    <t>Triticum cereale Schrank</t>
  </si>
  <si>
    <t>Murdoch University</t>
  </si>
  <si>
    <t>Triticum columnare</t>
  </si>
  <si>
    <t>Muséum d'histoire naturelle de Grenoble</t>
  </si>
  <si>
    <t>Triticum comosum</t>
  </si>
  <si>
    <t>Museum National d'Histoire Naturelle de Paris</t>
  </si>
  <si>
    <t>Triticum compositum</t>
  </si>
  <si>
    <t>Mutation breeding</t>
  </si>
  <si>
    <t>Triticum compositum L.</t>
  </si>
  <si>
    <t>NARO Hokkaido Agricultural Research Center</t>
  </si>
  <si>
    <t>Triticum crassum</t>
  </si>
  <si>
    <t>NARO Tohoku Agricultural Research Center</t>
  </si>
  <si>
    <t>Triticum cylindricum</t>
  </si>
  <si>
    <t>NASC</t>
  </si>
  <si>
    <t>Triticum dichasians</t>
  </si>
  <si>
    <t>National Biological Institute</t>
  </si>
  <si>
    <t>Triticum dicoccoides (Korn. ex Aschers. &amp; Graebn.) Aarons</t>
  </si>
  <si>
    <t>National Bureau of Plant Genetic Resources</t>
  </si>
  <si>
    <t>Triticum dicoccoides (Korn. ex Aschers. et Graebn.) Schweinf.</t>
  </si>
  <si>
    <t>National Center for Agricultural research and Technology Transfer</t>
  </si>
  <si>
    <t>Triticum dicoccoides Korn. ex Schweinf.</t>
  </si>
  <si>
    <t>National Center for Gene Research</t>
  </si>
  <si>
    <t>Triticum dicoccoides Korn. in litt. in Schweinf.</t>
  </si>
  <si>
    <t>National Citrus Research Programme</t>
  </si>
  <si>
    <t>Triticum dicoccoides race orientale Percival</t>
  </si>
  <si>
    <t>National Clonal Germplasm Repository - Orlando, USDA-ARS</t>
  </si>
  <si>
    <t>Triticum dicoccoides var. nudiglumis</t>
  </si>
  <si>
    <t>National Crop Experiment Station Seodundong</t>
  </si>
  <si>
    <t>Triticum dicoccoides var. nudiglumis Nabalek</t>
  </si>
  <si>
    <t>National Genebank of Kenya, Crop Plant Genetic Resources Centre - Muguga</t>
  </si>
  <si>
    <t>Triticum dicoccoides var. pyramidale Percival</t>
  </si>
  <si>
    <t>National Horticultural Research Institute</t>
  </si>
  <si>
    <t>Triticum dicoccoides var. timopheevii Zhuk.</t>
  </si>
  <si>
    <t>National Institute of Agrobiological Resources</t>
  </si>
  <si>
    <t>Triticum dicoccon</t>
  </si>
  <si>
    <t>National Institute of Agrobiological Sciences</t>
  </si>
  <si>
    <t>Triticum dicoccon Schrank</t>
  </si>
  <si>
    <t>National Institute of Agro-Environmental Sciences</t>
  </si>
  <si>
    <t>Triticum dicoccon (Schrank) A. Love, comb. nov.</t>
  </si>
  <si>
    <t>National Institute of Fruit Tree Science</t>
  </si>
  <si>
    <t>Triticum dicoccum Schrank</t>
  </si>
  <si>
    <t>National Key Laboratory of Crop Genetic Improvement</t>
  </si>
  <si>
    <t>Triticum dimococcum</t>
  </si>
  <si>
    <t>National Plant Breeding Research Station</t>
  </si>
  <si>
    <t>Triticum durum (Desf.) A. Love, comb. nov.</t>
  </si>
  <si>
    <t>National Plant Genetic Resources Centre</t>
  </si>
  <si>
    <t>Triticum farrum Bayle-Bar.</t>
  </si>
  <si>
    <t>National Plant Germplasm Quarantine Laboratory, USDA-ARS</t>
  </si>
  <si>
    <t>Triticum fungicidum</t>
  </si>
  <si>
    <t>National Research Centre for Citrus</t>
  </si>
  <si>
    <t>Triticum fungicidum subsp. nigrum</t>
  </si>
  <si>
    <t>National Research Centre on Plant Biotechnology</t>
  </si>
  <si>
    <t>Triticum georgicum</t>
  </si>
  <si>
    <t>National White Clover Impr. Prog. Agricultural Research &amp; Adv. Stat.</t>
  </si>
  <si>
    <t>Triticum hybernum L.</t>
  </si>
  <si>
    <t>Natural Resource Sciences and Landscape Architecture</t>
  </si>
  <si>
    <t>Triticum ibericum Menabde</t>
  </si>
  <si>
    <t>Nebraska Agricultural Experiment Station, University of Nebraska</t>
  </si>
  <si>
    <t>Triticum jakubzineri</t>
  </si>
  <si>
    <t>NEIKER-Tecnalia</t>
  </si>
  <si>
    <t>Triticum junceum L.</t>
  </si>
  <si>
    <t>New Mexico State University USA</t>
  </si>
  <si>
    <t>Triticum juvenale</t>
  </si>
  <si>
    <t>New South Wales Agriculture</t>
  </si>
  <si>
    <t>Triticum juvenale Thell.</t>
  </si>
  <si>
    <t>New York State Agricultural Experiment Station, Cornell University</t>
  </si>
  <si>
    <t>Triticum karamyschevii Nevski</t>
  </si>
  <si>
    <t>New Zealand Institute for Crop and Food Research, Ltd.</t>
  </si>
  <si>
    <t>Triticum kiharae</t>
  </si>
  <si>
    <t>Newhall Land and Water Compagny</t>
  </si>
  <si>
    <t>Triticum kotschyi</t>
  </si>
  <si>
    <t>N.I. Vavilov All-Russian Scientific Research Institute of Plant Industry</t>
  </si>
  <si>
    <t>Triticum L.</t>
  </si>
  <si>
    <t>N.I. Vavilov Research Instituteof Plant Industry</t>
  </si>
  <si>
    <t>Triticum macrochaetum</t>
  </si>
  <si>
    <t>Nickerson</t>
  </si>
  <si>
    <t>Triticum monococcum</t>
  </si>
  <si>
    <t>Nimblegen Systems Inc</t>
  </si>
  <si>
    <t>Triticum monococcum boeoticum</t>
  </si>
  <si>
    <t>nite de Genetique et d'Amelioration des Fruits et Legumes</t>
  </si>
  <si>
    <t>Triticum monococcum L. subsp. boeoticum (Boiss.) MK.</t>
  </si>
  <si>
    <t>Njala University College</t>
  </si>
  <si>
    <t>Triticum monococcum monococcum</t>
  </si>
  <si>
    <t>Noiton Dominique, Hamilton - New Zealand</t>
  </si>
  <si>
    <t>Triticum monococcum ssp. boeoticum</t>
  </si>
  <si>
    <t>Nordic Genetic Resource Center</t>
  </si>
  <si>
    <t>Triticum monococcum urartu</t>
  </si>
  <si>
    <t>Nordostbayerischer Saatbauverband</t>
  </si>
  <si>
    <t>Triticum muticum</t>
  </si>
  <si>
    <t>North American Plant Breeders, Inc.</t>
  </si>
  <si>
    <t>Triticum neglectum</t>
  </si>
  <si>
    <t>North Carolina Agricultural Experiment Station, North Carolina State University</t>
  </si>
  <si>
    <t>Triticum orientale</t>
  </si>
  <si>
    <t>North Dakota Agricultural Experiment Station, North Dakota State University</t>
  </si>
  <si>
    <t>Triticum orientale Percival</t>
  </si>
  <si>
    <t>Northrup King &amp; Co.</t>
  </si>
  <si>
    <t>Triticum ovatum</t>
  </si>
  <si>
    <t>Northwest A&amp;F University</t>
  </si>
  <si>
    <t>Triticum palaeocolchicum Menabde</t>
  </si>
  <si>
    <t>Norwegian University for Life Sciences</t>
  </si>
  <si>
    <t>Triticum peregrinum</t>
  </si>
  <si>
    <t>Novodonskaya - Donetsk State Agricultural Experiment Station</t>
  </si>
  <si>
    <t>Triticum peregrinum Hackel</t>
  </si>
  <si>
    <t>Nunhems Spain (El Ejido)</t>
  </si>
  <si>
    <t>Triticum persicum</t>
  </si>
  <si>
    <t>Nunhems Spain (La Palma)</t>
  </si>
  <si>
    <t>Triticum persicum (Percival) Vavilov ex Zhukovsky</t>
  </si>
  <si>
    <t>Nutrition azote des plantes</t>
  </si>
  <si>
    <t>Triticum persicum Vav.</t>
  </si>
  <si>
    <t>N.V. Clovis Matton Plant Breeding Station, Kerkhove</t>
  </si>
  <si>
    <t>Triticum pyramidale Perc.</t>
  </si>
  <si>
    <t>N.V. Clovis Matton Plant Breeding Station, Tiegem</t>
  </si>
  <si>
    <t>Triticum rectum</t>
  </si>
  <si>
    <t>Occitane des Semences</t>
  </si>
  <si>
    <t>Triticum repens L.</t>
  </si>
  <si>
    <t>Odesa State Regional Agricultural Experimental Station</t>
  </si>
  <si>
    <t>Triticum sativum Lam.</t>
  </si>
  <si>
    <t>Ohio Agricultural Reasearch and Development Center, Ohio State University</t>
  </si>
  <si>
    <t>Triticum searsii</t>
  </si>
  <si>
    <t>Oklahoma Agricultural Experiment Station, Division of Agricultural Sciences &amp; Natural Resources</t>
  </si>
  <si>
    <t>Triticum secale Link</t>
  </si>
  <si>
    <t>Ontario Agricultural College, University of Guelph</t>
  </si>
  <si>
    <t>Triticum spelta</t>
  </si>
  <si>
    <t>Oregon Agricultural Experimental Sation, Oregon State University</t>
  </si>
  <si>
    <t>Triticum speltiforme</t>
  </si>
  <si>
    <t>Organisation Bretonne de Sélection</t>
  </si>
  <si>
    <t>Triticum speltoides</t>
  </si>
  <si>
    <t>Orsem S.A.</t>
  </si>
  <si>
    <t>Triticum speltoides (Tausch) Gre. ex Richter var. aucheri</t>
  </si>
  <si>
    <t>Osmab Tosum Gene Bank - Ankara University</t>
  </si>
  <si>
    <t>Triticum speltoides (Tausch) Gre. ex Richter var. ligustica</t>
  </si>
  <si>
    <t>Pajbjergfonden</t>
  </si>
  <si>
    <t>Triticum speltoides (Tausch) Gren. ex Richter var. aucheri</t>
  </si>
  <si>
    <t>Palais Carnolés</t>
  </si>
  <si>
    <t>Triticum speltoides (Tausch) Gren. ex Richter var. ligustica</t>
  </si>
  <si>
    <t>Parc Naturel Régional du Haut-Languedoc</t>
  </si>
  <si>
    <t>Triticum sphaerococcum Perc.</t>
  </si>
  <si>
    <t>Parc Naturel Régional du Luberon</t>
  </si>
  <si>
    <t>Triticum syriacum</t>
  </si>
  <si>
    <t>Parc Naturel Régional du Queyras</t>
  </si>
  <si>
    <t>Triticum syriacum Bowden</t>
  </si>
  <si>
    <t>PARTNERCHIP</t>
  </si>
  <si>
    <t>Triticum tauschii</t>
  </si>
  <si>
    <t>Peltier Graines (don't exist anymore)</t>
  </si>
  <si>
    <t>Triticum thaoudar</t>
  </si>
  <si>
    <t>Pennsylvania Agricultural Experiment Station, Pennsylvania State University</t>
  </si>
  <si>
    <t>Triticum timococcum</t>
  </si>
  <si>
    <t>Pépinière A. Pays</t>
  </si>
  <si>
    <t>Triticum timonovum</t>
  </si>
  <si>
    <t>Pépinière Burlat</t>
  </si>
  <si>
    <t>Triticum timopheevii</t>
  </si>
  <si>
    <t>Pépinière Cadoux</t>
  </si>
  <si>
    <t>Triticum timopheevii araraticum</t>
  </si>
  <si>
    <t>Pépinière Delbard</t>
  </si>
  <si>
    <t>Triticum timopheevii armeniacum</t>
  </si>
  <si>
    <t>Pépinière Dieudonné</t>
  </si>
  <si>
    <t>Triticum timopheevii L. var. zhukovskyi</t>
  </si>
  <si>
    <t>Pépinière Domingo Orero</t>
  </si>
  <si>
    <t>Triticum timopheevii ssp. araraticum</t>
  </si>
  <si>
    <t>Triticum timopheevii ssp. armeniacum</t>
  </si>
  <si>
    <t>Pépinière ESAT LEnvol</t>
  </si>
  <si>
    <t>Triticum timopheevii ssp. armeniacum (Jakubz.) van Slageren</t>
  </si>
  <si>
    <t>Pépinière Escande Benoit, Saint Vite - France</t>
  </si>
  <si>
    <t>Triticum timopheevii ssp. timopheevii</t>
  </si>
  <si>
    <t>Pépinière Fabre, Villeneuve s/Lot - France</t>
  </si>
  <si>
    <t>Triticum timopheevii timopheevii</t>
  </si>
  <si>
    <t>Pépinière Jouve-Racamond</t>
  </si>
  <si>
    <t>Triticum timopheevii var. zhukovskyi</t>
  </si>
  <si>
    <t>Pépinière Lambertin</t>
  </si>
  <si>
    <t>Triticum timopheevii Zhuk.</t>
  </si>
  <si>
    <t>Pépinière Lambertin - Nîmes - France</t>
  </si>
  <si>
    <t>Triticum timopheevii (Zhuk.) Zhuk.</t>
  </si>
  <si>
    <t>Pépinière Leroy</t>
  </si>
  <si>
    <t>Triticum timopheevii (Zhuk.) Zhuk. var. timopheevii</t>
  </si>
  <si>
    <t>Pépinière Martre</t>
  </si>
  <si>
    <t>Triticum timopheevii (Zhuk.) Zhuk. var. zhukovskii (Men. &amp; Er.) Morris &amp; Sears</t>
  </si>
  <si>
    <t>Pépinière Moreau</t>
  </si>
  <si>
    <t>Triticum timopheevii (Zhuk.) Zhuk. var. zhukovskii (Men. &amp; Er.) Morris &amp; Sears comb. nov.</t>
  </si>
  <si>
    <t>Pépinière Pinguet-Guindon</t>
  </si>
  <si>
    <t>Triticum timopheevii zhukovskyi</t>
  </si>
  <si>
    <t>Pépinière Taliani,  Garons - France</t>
  </si>
  <si>
    <t>Triticum triaristatum</t>
  </si>
  <si>
    <t>Pépinière Thuilleaux</t>
  </si>
  <si>
    <t>Triticum tripsacoides</t>
  </si>
  <si>
    <t>Pépinière Valla Georges SCEA, Valence - France</t>
  </si>
  <si>
    <t>Triticum turgidum</t>
  </si>
  <si>
    <t>Pépinière Veauvy</t>
  </si>
  <si>
    <t>Triticum turgidum aethiopicum</t>
  </si>
  <si>
    <t>Pépinières Bachelet-Charvot</t>
  </si>
  <si>
    <t>Triticum turgidum carthlicum</t>
  </si>
  <si>
    <t>Pépinières Baltet</t>
  </si>
  <si>
    <t>Triticum turgidum dicoccoïdes</t>
  </si>
  <si>
    <t>Pépinières Croux</t>
  </si>
  <si>
    <t>Triticum turgidum dicoccum</t>
  </si>
  <si>
    <t>Pépinières de La Tronche</t>
  </si>
  <si>
    <t>Triticum turgidum durum</t>
  </si>
  <si>
    <t>Pépinières Fabre</t>
  </si>
  <si>
    <t>Triticum turgidum group aethiopicum</t>
  </si>
  <si>
    <t>Pépinières Garbaye et Gravier</t>
  </si>
  <si>
    <t>Triticum turgidum group palaeocolchicum</t>
  </si>
  <si>
    <t>Pépinières L. Pin</t>
  </si>
  <si>
    <t>Triticum turgidum group turgidum</t>
  </si>
  <si>
    <t>Pépinières Lafitte</t>
  </si>
  <si>
    <t>Triticum turgidum ispahanicum</t>
  </si>
  <si>
    <t>Pépinières Levavasseur</t>
  </si>
  <si>
    <t>Triticum turgidum L. em. Bowden var. timopheevii (Zhuk.) Bowden f. timopheevii Bowden</t>
  </si>
  <si>
    <t>Pépinières Nomblot</t>
  </si>
  <si>
    <t>Triticum turgidum L. em. Bowden var. timopheevii (Zhuk.) Bowden f. zhukovskyi (Mem. &amp; Er.) Bowden</t>
  </si>
  <si>
    <t>Triticum turgidum L. em. Bowden var. tumanianii (Jakubz.) Bowden</t>
  </si>
  <si>
    <t>Pépinières Rolland Crosse</t>
  </si>
  <si>
    <t>Triticum turgidum L. em. Thell.</t>
  </si>
  <si>
    <t>Pépinières Simon</t>
  </si>
  <si>
    <t>Triticum turgidum L. group aethiopicum Bowden</t>
  </si>
  <si>
    <t>Petal Genomics</t>
  </si>
  <si>
    <t>Triticum turgidum L. group dicoccon (Schrank) Thell.</t>
  </si>
  <si>
    <t>Peter Henderson &amp; Co</t>
  </si>
  <si>
    <t>Triticum turgidum L. group durum (Desf.) Husnot</t>
  </si>
  <si>
    <t>Petoseed</t>
  </si>
  <si>
    <t>Triticum turgidum L. group palaeocolchicum Bowden</t>
  </si>
  <si>
    <t>Pflanzenzucht Dr. h.c. Carsten Inh. Erhardt Eger KG</t>
  </si>
  <si>
    <t>Triticum turgidum L. group polonicum Bowden</t>
  </si>
  <si>
    <t>Phu Guy Fruit Research Centre</t>
  </si>
  <si>
    <t>Triticum turgidum L. group turgidum Bowden</t>
  </si>
  <si>
    <t>Phu Ho Fruit Crops Research Centre</t>
  </si>
  <si>
    <t>Triticum turgidum L. (Nevski) group carthlicum Bowden</t>
  </si>
  <si>
    <t>Phytopathologie und Pflanzenschutz</t>
  </si>
  <si>
    <t>Triticum turgidum L. ssp. dicoccoides (Korn. ex Schweinf.) A. Love, comb. nov.</t>
  </si>
  <si>
    <t>Piast Hodowla Roslin Lagiewniki Sp. z o.o.</t>
  </si>
  <si>
    <t>Triticum turgidum L. ssp. dicoccoides (Korn.) Thell.</t>
  </si>
  <si>
    <t>Pioneer génétique</t>
  </si>
  <si>
    <t>Triticum turgidum L. ssp. palaeocolchicum (A. Love &amp; D. Love) A. Love, comb. nov.</t>
  </si>
  <si>
    <t>Pioneer Seed Co. Ltd.</t>
  </si>
  <si>
    <t>Triticum turgidum L. ssp. timopheevii (Zhuk.) A. Love &amp; D. Love</t>
  </si>
  <si>
    <t>Plant Biochemistry and  Molecular Biology Group,  Division ofBiochemical Sciences</t>
  </si>
  <si>
    <t>Triticum turgidum L. ssp. turanicum (Jakubz.) A. Love &amp; D. Love</t>
  </si>
  <si>
    <t>Plant Biology Division</t>
  </si>
  <si>
    <t>Triticum turgidum L. ssp. turanicum (Jakubz.) A. Love, comb. nov.</t>
  </si>
  <si>
    <t>Plant Biotech Research Center</t>
  </si>
  <si>
    <t>Triticum turgidum L. ssp. turgidum (L.) A. Love, comb. nov.</t>
  </si>
  <si>
    <t>Plant Biotechnology Institute,  National Research Council ofCanada</t>
  </si>
  <si>
    <t>Triticum turgidum (L.) Thell.</t>
  </si>
  <si>
    <t>Plant Biotechnology Institute,  National Research CouncilCanada</t>
  </si>
  <si>
    <t>Triticum turgidum (L.) Thell. subsp. carthlicum (Nevski) MK.</t>
  </si>
  <si>
    <t>Plant Biotechnology Key Laboratory</t>
  </si>
  <si>
    <t>Triticum turgidum (L.) Thell. subsp. dicoccoides (Korn.) Thell.</t>
  </si>
  <si>
    <t>Plant Breeding and Acclimatization Institute at Radzikow</t>
  </si>
  <si>
    <t>Triticum turgidum L. Thell. subsp. dicoccon (Schrank) Thell.</t>
  </si>
  <si>
    <t>Plant Breeding and Genetics Institute</t>
  </si>
  <si>
    <t>Triticum turgidum (L.) Thell. subsp. paleocolchicum Men.</t>
  </si>
  <si>
    <t>Plant Breeding Institute,  University of Sydney</t>
  </si>
  <si>
    <t>Triticum turgidum (L.) Thell. subsp. turgidum convar aethiopicum Jakubz.</t>
  </si>
  <si>
    <t>Plant Breeding International</t>
  </si>
  <si>
    <t>Triticum turgidum L. Thell. subsp. turgidum convar durum (Desf.) MK.</t>
  </si>
  <si>
    <t>Plant Breeding Station Laski</t>
  </si>
  <si>
    <t>Triticum turgidum L. Thell. subsp. turgidum convar polonicum (L.) MK.</t>
  </si>
  <si>
    <t>plant cellular biology laboratory/ Dr. STEINMETZ</t>
  </si>
  <si>
    <t>Triticum turgidum (L.) Thell. subsp. turgidum convar turanicum (Jakubz.) MK.</t>
  </si>
  <si>
    <t>Plant culture institute - Tammisto</t>
  </si>
  <si>
    <t>Triticum turgidum L. var. carthlicum (Nevski) A. Love &amp; D. Love</t>
  </si>
  <si>
    <t>Plant Development Biology</t>
  </si>
  <si>
    <t>Triticum turgidum L. var. dicoccoides (Korn. in litt. in Schweinf.) Bowden</t>
  </si>
  <si>
    <t>Plant Development Molecular Biology Lab</t>
  </si>
  <si>
    <t>Triticum turgidum L. var. polonicum (L.) A. Love &amp; D. Love</t>
  </si>
  <si>
    <t>Plant development molecular biology lab</t>
  </si>
  <si>
    <t>Triticum turgidum L. var. timopheevii</t>
  </si>
  <si>
    <t>Plant Developmental Genetics</t>
  </si>
  <si>
    <t>Triticum turgidum L. var. tumanianii</t>
  </si>
  <si>
    <t>Plant Functional Genomics Research Group</t>
  </si>
  <si>
    <t>Triticum turgidum paleocolchicum</t>
  </si>
  <si>
    <t>Plant Gene Expression Center</t>
  </si>
  <si>
    <t>Triticum turgidum polonicum</t>
  </si>
  <si>
    <t>Plant Gene Resources of Canada Central Exper. Farm, Agri. Canada</t>
  </si>
  <si>
    <t>Triticum turgidum ssp. carthlicum</t>
  </si>
  <si>
    <t>Plant Gene Resources of Canada, Saskatoon Research Centre, Agriculture and Agri-Food Canada</t>
  </si>
  <si>
    <t>Triticum turgidum ssp. dicoccoides</t>
  </si>
  <si>
    <t>Plant Genetic Resources Department</t>
  </si>
  <si>
    <t>Triticum turgidum ssp. dicoccon</t>
  </si>
  <si>
    <t>Plant Genetic Resources Unit</t>
  </si>
  <si>
    <t>Triticum turgidum ssp. durum</t>
  </si>
  <si>
    <t>Plant Genetics</t>
  </si>
  <si>
    <t>Triticum turgidum ssp. palaeocolchicum A. Love &amp; D. Love</t>
  </si>
  <si>
    <t>Plant Genetics and  Breeding</t>
  </si>
  <si>
    <t>Triticum turgidum ssp. paleocolchicum</t>
  </si>
  <si>
    <t>Plant Genome Center Co.,  Ltd</t>
  </si>
  <si>
    <t>Triticum turgidum ssp. polonicum</t>
  </si>
  <si>
    <t>Plant Genome Mapping Laboratory</t>
  </si>
  <si>
    <t>Triticum turgidum ssp. turanicum</t>
  </si>
  <si>
    <t>Plant Genomics Lab.,  Department of Crop,  Soil and Environmental Sciences</t>
  </si>
  <si>
    <t>Triticum turgidum ssp. turgidum</t>
  </si>
  <si>
    <t>Plant Molecular and Cellular Biology Program</t>
  </si>
  <si>
    <t>Triticum turgidum subsp. carthlicum x Secale strictum subsp.</t>
  </si>
  <si>
    <t>Plant Molecular Biology</t>
  </si>
  <si>
    <t>Triticum turgidum turanicum</t>
  </si>
  <si>
    <t>Plant Molecular Genetic Laboratory</t>
  </si>
  <si>
    <t>Triticum turgidum turgidum</t>
  </si>
  <si>
    <t>Plant Molecular Genetics</t>
  </si>
  <si>
    <t>Triticum turgidum var. carthlicum</t>
  </si>
  <si>
    <t>Plant Molecular Genetics Laboratory</t>
  </si>
  <si>
    <t>Triticum turgidum var. dicoccon</t>
  </si>
  <si>
    <t>Plant Molecular Physiology and  Functional Genomics</t>
  </si>
  <si>
    <t>Triticum turgidum var. dicoccon Bowden</t>
  </si>
  <si>
    <t>Plant Natural Products</t>
  </si>
  <si>
    <t>Triticum turgidum var. durum</t>
  </si>
  <si>
    <t>Plant Nematode Genetics Group</t>
  </si>
  <si>
    <t>Triticum turgidum var. durum Bowden</t>
  </si>
  <si>
    <t>Plant Pathology</t>
  </si>
  <si>
    <t>Triticum turgidum var. polonicum</t>
  </si>
  <si>
    <t>Plant Pathology Department</t>
  </si>
  <si>
    <t>Triticum umbellulatum</t>
  </si>
  <si>
    <t>Plant Protection Division I.C.I.</t>
  </si>
  <si>
    <t>Triticum uniaristatum</t>
  </si>
  <si>
    <t>Plant Research Institute</t>
  </si>
  <si>
    <t>Triticum urartu</t>
  </si>
  <si>
    <t>Plant Research International</t>
  </si>
  <si>
    <t>Triticum urartu Thumanian ex Gandilyan</t>
  </si>
  <si>
    <t>Plant Sciences</t>
  </si>
  <si>
    <t>Triticum vaillantianum</t>
  </si>
  <si>
    <t>PLANT SELECT, Ltd.</t>
  </si>
  <si>
    <t>Triticum vavilovii Jakubz.</t>
  </si>
  <si>
    <t>Plant Systems Biology</t>
  </si>
  <si>
    <t>Triticum vulgare ssp. hadropyrum Flaksb.</t>
  </si>
  <si>
    <t>plantechno srl</t>
  </si>
  <si>
    <t>Triticum vulgare ssp. irano-asiaticum Flaksb.</t>
  </si>
  <si>
    <t>Plantes legumineuses, DGAP</t>
  </si>
  <si>
    <t>Triticum vulgare var. dicoccon (Schrank) Korn</t>
  </si>
  <si>
    <t>PlantTec Biotechnologie</t>
  </si>
  <si>
    <t>Triticum vulgare Villars</t>
  </si>
  <si>
    <t>Plate-Forme de cytogÃ©nÃ©tique MolÃ©culaire</t>
  </si>
  <si>
    <t>Triticum zhukovskyi Menabde &amp; Ericzjan</t>
  </si>
  <si>
    <t>Plew Horticultural Experimental Station</t>
  </si>
  <si>
    <t>Vicia faba L.</t>
  </si>
  <si>
    <t>PMDV - Equipe Analyse fonctionnelle du genome de Botrytis cinerea</t>
  </si>
  <si>
    <t>Vicia faba subsp. equina</t>
  </si>
  <si>
    <t>Pole de biotechnologie vegetales UMR5546</t>
  </si>
  <si>
    <t>Vicia faba subsp. major</t>
  </si>
  <si>
    <t>Povolzhskii NII Selektsii i Semenovodstva Im. P.N. Konstantinova Ran</t>
  </si>
  <si>
    <t>Vicia faba subsp. minor</t>
  </si>
  <si>
    <t>Practical Scientific Institute of Plant Growing 'SELECTIA'</t>
  </si>
  <si>
    <t>Vicia faba subsp. paucijuga</t>
  </si>
  <si>
    <t>Probsdorfer Plant Breeding</t>
  </si>
  <si>
    <t>Vicia L.</t>
  </si>
  <si>
    <t>Programa de Recursos Genéticos Nicaragüenses  (REGEN)</t>
  </si>
  <si>
    <t>Vicia sativa L.</t>
  </si>
  <si>
    <t>Projet Arborea, Centre d'Etude de la Foret</t>
  </si>
  <si>
    <t>Vitaceae</t>
  </si>
  <si>
    <t>Propriété Saint Jean</t>
  </si>
  <si>
    <t>Vitis</t>
  </si>
  <si>
    <t>PROSEA Headquarters, Wageningen Agricultural University</t>
  </si>
  <si>
    <t>Vitis aestivalis Mchx.</t>
  </si>
  <si>
    <t>proteomique</t>
  </si>
  <si>
    <t>Vitis affinis Gagnep. ex Osmaston</t>
  </si>
  <si>
    <t>PSB Produccion Vegetal, Murcia - Spain</t>
  </si>
  <si>
    <t>Vitis amurensis Ruprecht</t>
  </si>
  <si>
    <t>Punjab Agricultural University</t>
  </si>
  <si>
    <t>Vitis apliniana Collett &amp; Hemsl.</t>
  </si>
  <si>
    <t>Queensland Wheat Research Institut Department of Primary Industries</t>
  </si>
  <si>
    <t>Vitis arizonica Engelm.</t>
  </si>
  <si>
    <t>RAGT</t>
  </si>
  <si>
    <t>Vitis armata Diels &amp; Gilg</t>
  </si>
  <si>
    <t>R.A.G.T. 2N</t>
  </si>
  <si>
    <t>Vitis aubertiana Gage</t>
  </si>
  <si>
    <t>Rapillard Charly, Conthey - Suisse</t>
  </si>
  <si>
    <t>Vitis austrokoreana Hatus.</t>
  </si>
  <si>
    <t>RDP (UMR5667 INRA/CNRS/ENSL/UCBL)</t>
  </si>
  <si>
    <t>Vitis baileyana Munson</t>
  </si>
  <si>
    <t>Redblush Nursery</t>
  </si>
  <si>
    <t>Vitis balansaeana Planch.</t>
  </si>
  <si>
    <t>Regional Fruit Research Station, PAU</t>
  </si>
  <si>
    <t>Vitis berlandieri Planch.</t>
  </si>
  <si>
    <t>Regional Station Shillong, NBPGR</t>
  </si>
  <si>
    <t>Vitis betulifolia Diels &amp; Gilg</t>
  </si>
  <si>
    <t>Reproduction et Developpement des Plantes</t>
  </si>
  <si>
    <t>Vitis bicolor Le Conte</t>
  </si>
  <si>
    <t>Research and Development Division</t>
  </si>
  <si>
    <t>Vitis blancoii Munson</t>
  </si>
  <si>
    <t>Research Branch Agriculture Canada</t>
  </si>
  <si>
    <t>Vitis bourgeana Planch.</t>
  </si>
  <si>
    <t>Research Institute for Bioresources</t>
  </si>
  <si>
    <t>Vitis bourquina Munson</t>
  </si>
  <si>
    <t>Research Institute for Cereals and Technical Plants Fundulea</t>
  </si>
  <si>
    <t>Vitis bryoniifolia Bunge</t>
  </si>
  <si>
    <t>Research Institute for Olive and Citrus Trees</t>
  </si>
  <si>
    <t>Vitis burmanica Collett &amp; Hemsl.</t>
  </si>
  <si>
    <t>Research Institute of Agricultural for South-East Region</t>
  </si>
  <si>
    <t>Vitis californica Bentham</t>
  </si>
  <si>
    <t>Research Institute of Crop Production</t>
  </si>
  <si>
    <t>Vitis candicans Engelm.</t>
  </si>
  <si>
    <t>Research Institute of Village Services</t>
  </si>
  <si>
    <t>Vitis caribaea D.C.</t>
  </si>
  <si>
    <t>Resistance des Plantes aux Bioagresseurs (RPB)</t>
  </si>
  <si>
    <t>Vitis champinii Planch.</t>
  </si>
  <si>
    <t>Resources Botany Research Center</t>
  </si>
  <si>
    <t>Vitis choii Hatus.</t>
  </si>
  <si>
    <t>Revol Jean-Pierre, Larnage - France</t>
  </si>
  <si>
    <t>Vitis chrysobotrys H.Lév. &amp; Vaniot</t>
  </si>
  <si>
    <t>RhoBio</t>
  </si>
  <si>
    <t>Vitis chunganensis Hu</t>
  </si>
  <si>
    <t>Rice Research Institute</t>
  </si>
  <si>
    <t>Vitis chungii F.P.Metcalf</t>
  </si>
  <si>
    <t>RICP Praha-Ruzyne Agricultural Research Station</t>
  </si>
  <si>
    <t>Vitis cinerea Engelm.</t>
  </si>
  <si>
    <t>Rijk Zwaan</t>
  </si>
  <si>
    <t>Vitis coignetiae cv. Ishikari</t>
  </si>
  <si>
    <t>Ringot</t>
  </si>
  <si>
    <t>Vitis coignetiae Pulliat</t>
  </si>
  <si>
    <t>Roberts WL, Grandview Washington - USA</t>
  </si>
  <si>
    <t>Vitis cordifolia cv. n°9 Couderc</t>
  </si>
  <si>
    <t>Roseworthy Agricultural College</t>
  </si>
  <si>
    <t>Vitis cordifolia Mchx.</t>
  </si>
  <si>
    <t>Royal Palm Nurseries</t>
  </si>
  <si>
    <t>Vitis coriacea Shuttl.</t>
  </si>
  <si>
    <t>Rubidoux laboratory</t>
  </si>
  <si>
    <t>Vitis davidii Romanet du Caillaud</t>
  </si>
  <si>
    <t>Rustica Prograin Genetique</t>
  </si>
  <si>
    <t>Vitis del rioi Galet</t>
  </si>
  <si>
    <t>Rutgers University - NJ - USA</t>
  </si>
  <si>
    <t>Vitis doaniana Munson</t>
  </si>
  <si>
    <t>Rutgers University - NJ - USA - M. Vinson P</t>
  </si>
  <si>
    <t>Vitis embergeri Galet</t>
  </si>
  <si>
    <t>Saatbau Linz / Oberoesterreichische Landessaatbaugenossenschaft</t>
  </si>
  <si>
    <t>Vitis ficifolioides Wang</t>
  </si>
  <si>
    <t>Saaten-Union France s.a.r.l - Saaten-Union Recherche s.a.s</t>
  </si>
  <si>
    <t>Vitis flexuosa Thunb.</t>
  </si>
  <si>
    <t>Saatzucht Bauer GmbH &amp; Co KG</t>
  </si>
  <si>
    <t>Vitis gigas Fennell</t>
  </si>
  <si>
    <t>Saatzucht Donau GesmbH. &amp; CoKG</t>
  </si>
  <si>
    <t>Vitis girdiana Munson</t>
  </si>
  <si>
    <t>Saatzucht Engelen Büchling Ohg</t>
  </si>
  <si>
    <t>Vitis glabrescens Fritsch</t>
  </si>
  <si>
    <t>Saatzucht Hans Schweiger &amp; Co. Ohg</t>
  </si>
  <si>
    <t>Vitis hancockii Hance</t>
  </si>
  <si>
    <t>Saatzucht Josef Breun GdbR</t>
  </si>
  <si>
    <t>Vitis helleri Small</t>
  </si>
  <si>
    <t>Saatzucht Piatti</t>
  </si>
  <si>
    <t>Vitis hexamera Gagnep.</t>
  </si>
  <si>
    <t>Saatzucht Streng GmbH &amp; Co. KG</t>
  </si>
  <si>
    <t>Vitis hissarica Vassilcz.</t>
  </si>
  <si>
    <t>Saatzuchtgesellschaft Nordsaat GmbH</t>
  </si>
  <si>
    <t>Vitis illex Bailey</t>
  </si>
  <si>
    <t>Saatzuchtwirtschaft Johann Firlbeck KG</t>
  </si>
  <si>
    <t>Vitis kelemgensis Momiyama</t>
  </si>
  <si>
    <t>Saatzuchtwirtschaft Lang-Doerfler</t>
  </si>
  <si>
    <t>Vitis kiusiama Momiyama</t>
  </si>
  <si>
    <t>Saatzuchtwirtschaft Otto Breustedt GmbH</t>
  </si>
  <si>
    <t>Vitis L.</t>
  </si>
  <si>
    <t>Sakata Seed France</t>
  </si>
  <si>
    <t>Vitis labrusca cv. Cambridge</t>
  </si>
  <si>
    <t>Samarskij Niish Im.N.M. Tulajkova</t>
  </si>
  <si>
    <t>Vitis labrusca cv. Caroline</t>
  </si>
  <si>
    <t>SantÃ© de la Vigne et QualitÃ© du Vin</t>
  </si>
  <si>
    <t>Vitis labrusca cv. Caywood</t>
  </si>
  <si>
    <t>Santé de la Vigne et Qualité du Vin</t>
  </si>
  <si>
    <t>Vitis labrusca cv. Concord</t>
  </si>
  <si>
    <t>S.A.S. Florimond Desprez</t>
  </si>
  <si>
    <t>Vitis labrusca cv. Creveling</t>
  </si>
  <si>
    <t>Satten-Ring Pfeuffer - Von Ruemker oHG</t>
  </si>
  <si>
    <t>Vitis labrusca cv. Early Victor</t>
  </si>
  <si>
    <t>SBAT El Ariana, Tunisie</t>
  </si>
  <si>
    <t>Vitis labrusca cv. Isabelle</t>
  </si>
  <si>
    <t>SCA - Agricultural Research Station Turda-Cluj</t>
  </si>
  <si>
    <t>Vitis labrusca cv. Israella</t>
  </si>
  <si>
    <t>SCA Adrien Momont et fils, S.A.</t>
  </si>
  <si>
    <t>Vitis labrusca cv. Ive's seedling</t>
  </si>
  <si>
    <t>Schnable Laboratory</t>
  </si>
  <si>
    <t>Vitis labrusca cv. Miles</t>
  </si>
  <si>
    <t>Schnable laboratory</t>
  </si>
  <si>
    <t>Vitis labrusca cv. Muncy</t>
  </si>
  <si>
    <t>School of Biological Sciences</t>
  </si>
  <si>
    <t>Vitis labrusca cv. North America</t>
  </si>
  <si>
    <t>Science de l'Horticulture, Rabat, Maroc</t>
  </si>
  <si>
    <t>Vitis labrusca cv. North Carolina</t>
  </si>
  <si>
    <t>Scott Research Farm</t>
  </si>
  <si>
    <t>Vitis labrusca cv. Pierce = California Concord</t>
  </si>
  <si>
    <t>SDR Fruit LLC, Boulder- CO - USA</t>
  </si>
  <si>
    <t>Vitis labrusca cv. Rentz</t>
  </si>
  <si>
    <t>Seagaga Research Station</t>
  </si>
  <si>
    <t>Vitis labrusca cv. Scarlett</t>
  </si>
  <si>
    <t>Seager Wheeler</t>
  </si>
  <si>
    <t>Vitis labrusca L.</t>
  </si>
  <si>
    <t>Secobra Saatzucht GmbH</t>
  </si>
  <si>
    <t>Vitis lanata Roxburgh</t>
  </si>
  <si>
    <t>Seed and Plant Improvement Institute</t>
  </si>
  <si>
    <t>Vitis lanceolata Roxb.</t>
  </si>
  <si>
    <t>Selekt Research and Breeding Institute</t>
  </si>
  <si>
    <t>Vitis leucocarpa Hayata</t>
  </si>
  <si>
    <t>SELGEN, Breeding Station Chlumec</t>
  </si>
  <si>
    <t>Vitis lincecumii Buckley</t>
  </si>
  <si>
    <t>SELGEN, Breeding Station Stupice</t>
  </si>
  <si>
    <t>Vitis longii Prince</t>
  </si>
  <si>
    <t>SELGEN, Breeding Station Uhretice</t>
  </si>
  <si>
    <t>Vitis monticola Buckley</t>
  </si>
  <si>
    <t>Semences Cargill, Centre de Recherches Céréales à Pailles et Colza</t>
  </si>
  <si>
    <t>Vitis novisinensis Vassilcz.</t>
  </si>
  <si>
    <t>Semences de Provence</t>
  </si>
  <si>
    <t>Vitis pedicellata M.A.Lawson</t>
  </si>
  <si>
    <t>Semiarid Prairie Agricultural Research Centre, Agriculture and Agri-Food Canada</t>
  </si>
  <si>
    <t>Vitis pentagona Diels &amp; Gilg</t>
  </si>
  <si>
    <t>Semillas Falco</t>
  </si>
  <si>
    <t>Vitis piasezkii cv. pagnuccii</t>
  </si>
  <si>
    <t>Seminis</t>
  </si>
  <si>
    <t>Vitis piasezkii Maximowicz</t>
  </si>
  <si>
    <t>Seoul National University</t>
  </si>
  <si>
    <t>Vitis piloso-nerva F.P.Metcalf</t>
  </si>
  <si>
    <t>SERASEM</t>
  </si>
  <si>
    <t>Vitis potanini Maxim.</t>
  </si>
  <si>
    <t>Servien Norbert et Pierre-Gilles - Granges lès Beaumont - France</t>
  </si>
  <si>
    <t>Vitis pseudoreticulata W.T.Wang</t>
  </si>
  <si>
    <t>Settore Biotecnologie e Agricoltura, Dipartimento Innovazione, ENEA</t>
  </si>
  <si>
    <t>Vitis punctata Raf.</t>
  </si>
  <si>
    <t>Seva Flora SRO, Valtice - République Tchèque</t>
  </si>
  <si>
    <t>Vitis reticulata Pamp.</t>
  </si>
  <si>
    <t>Shanghai Institute of Plant Physiology and  Ecology</t>
  </si>
  <si>
    <t>Vitis retordii Romanet du Caill. ex Planch.</t>
  </si>
  <si>
    <t>Shanxi Academy of Agricultural Sciences</t>
  </si>
  <si>
    <t>Vitis riparia cv. Riparia Gloire de Montpellier</t>
  </si>
  <si>
    <t>Shulaev's Lab</t>
  </si>
  <si>
    <t>Vitis riparia cv. Riparia grand glabre</t>
  </si>
  <si>
    <t>Siberian Research Institute of Agriculture</t>
  </si>
  <si>
    <t>Vitis riparia Mchx.</t>
  </si>
  <si>
    <t>SICA Centrex, Torreilles, France</t>
  </si>
  <si>
    <t>Vitis romanetii Romanet du Caillaud</t>
  </si>
  <si>
    <t>Sica La Tapy</t>
  </si>
  <si>
    <t>Vitis rubra cv. palmata</t>
  </si>
  <si>
    <t>Sica SE.CO.CE. Semences Dromigny et Hamel</t>
  </si>
  <si>
    <t>Vitis rubra Mchx.</t>
  </si>
  <si>
    <t>Sicarex Beaujolais</t>
  </si>
  <si>
    <t>Vitis rufotomentosa Small</t>
  </si>
  <si>
    <t>Sicarex du Sud-Ouest</t>
  </si>
  <si>
    <t>Vitis rupestris cv. Rupestris du Lot</t>
  </si>
  <si>
    <t>Signaling and  Plant Metabolism</t>
  </si>
  <si>
    <t>Vitis rupestris Sheele</t>
  </si>
  <si>
    <t>Signaux et messages cellulaires chez les vegetaux</t>
  </si>
  <si>
    <t>Vitis schumanniana Kuntze</t>
  </si>
  <si>
    <t>SIS - Societa Italiana Sementi</t>
  </si>
  <si>
    <t>Vitis seguinii H.Lév.</t>
  </si>
  <si>
    <t>Sladkovicovo Plant Breeding Station</t>
  </si>
  <si>
    <t>Vitis serroniana Glaz.</t>
  </si>
  <si>
    <t>Small Grains Research Centre, Agricultural Research Institute 'Serbia'</t>
  </si>
  <si>
    <t>Vitis shiragai Makino</t>
  </si>
  <si>
    <t>Societa Produttori Sementi</t>
  </si>
  <si>
    <t>Vitis silvestrii Pamp.</t>
  </si>
  <si>
    <t>Société de Viticulture du Jura</t>
  </si>
  <si>
    <t>Vitis simpsonii Munson</t>
  </si>
  <si>
    <t>Société Pomologique du Berry</t>
  </si>
  <si>
    <t>Vitis thunbergii Siebold &amp; Zucc.</t>
  </si>
  <si>
    <t>Société pour l'Encouragement de l'Orge de Brasserie</t>
  </si>
  <si>
    <t>Vitis treleasei Munson</t>
  </si>
  <si>
    <t>SOGROUP</t>
  </si>
  <si>
    <t>Vitis tsoii Merr.</t>
  </si>
  <si>
    <t>Solanum</t>
  </si>
  <si>
    <t>Vitis vicaryana Kurz</t>
  </si>
  <si>
    <t>Solanum Tourneur</t>
  </si>
  <si>
    <t>Vitis vinifera L.</t>
  </si>
  <si>
    <t>Solary Plant Breeding Station</t>
  </si>
  <si>
    <t>Vitis vinifera subsp sylvestris cv. Lambrusque métisse</t>
  </si>
  <si>
    <t>Sorghum genetics and  molecular biology lab</t>
  </si>
  <si>
    <t>Vitis vinifera subsp sylvestris cv. Lambrusque vraie</t>
  </si>
  <si>
    <t>South Dakota Agricultural Experiment Station, South Dakota State University</t>
  </si>
  <si>
    <t>Vitis vinifera subsp sylvestris L.</t>
  </si>
  <si>
    <t>Southwick Steve, El Macero, CA - USA</t>
  </si>
  <si>
    <t>Vitis vinifera subsp vinifera cv. A Kalatchel</t>
  </si>
  <si>
    <t>Special Research Centre,  Basic and  Applied Plant MolecularBiology</t>
  </si>
  <si>
    <t>Vitis vinifera subsp vinifera cv. A 406 SRLH</t>
  </si>
  <si>
    <t>SRA  INRA-CIRAD</t>
  </si>
  <si>
    <t>Vitis vinifera subsp vinifera cv. Abbuoto</t>
  </si>
  <si>
    <t>Star Fruit</t>
  </si>
  <si>
    <t>Vitis vinifera subsp vinifera cv. Abdjouch</t>
  </si>
  <si>
    <t>State Key Lab of Genetics</t>
  </si>
  <si>
    <t>Vitis vinifera subsp vinifera cv. Abondance</t>
  </si>
  <si>
    <t>State Lab of Plant Physiology and  Biochemistry</t>
  </si>
  <si>
    <t>Vitis vinifera subsp vinifera cv. Abondant</t>
  </si>
  <si>
    <t>State Lab of plant physiology and  biochemistry</t>
  </si>
  <si>
    <t>Vitis vinifera subsp vinifera cv. Abouhou</t>
  </si>
  <si>
    <t>Station Agrumicole de Lipa</t>
  </si>
  <si>
    <t>Vitis vinifera subsp vinifera cv. Abouriou</t>
  </si>
  <si>
    <t>Station Agrumicole de Nan</t>
  </si>
  <si>
    <t>Vitis vinifera subsp vinifera cv. Achlamiche</t>
  </si>
  <si>
    <t>Station Centrale de la Recherche sur les Agrumes, Institut National de la Recherche Agronomique du Maroc</t>
  </si>
  <si>
    <t>Vitis vinifera subsp vinifera cv. Adissi</t>
  </si>
  <si>
    <t>Station d'amelioration des arbres forestiers</t>
  </si>
  <si>
    <t>Vitis vinifera subsp vinifera cv. Admirable de Courtiller</t>
  </si>
  <si>
    <t>Station d'amelioration des plantes</t>
  </si>
  <si>
    <t>Vitis vinifera subsp vinifera cv. Aetoniki</t>
  </si>
  <si>
    <t>Station d'arboriculture de Poros - Trizinias (Grèce)</t>
  </si>
  <si>
    <t>Vitis vinifera subsp vinifera cv. Aetonychi kokkino</t>
  </si>
  <si>
    <t>Station de Betanimena</t>
  </si>
  <si>
    <t>Vitis vinifera subsp vinifera cv. Aetonychi mavro</t>
  </si>
  <si>
    <t>Station de cultures fruitières de Foulaya</t>
  </si>
  <si>
    <t>Vitis vinifera subsp vinifera cv. Aetonyki</t>
  </si>
  <si>
    <t>Station de Génétique et Amélioration des Plantes, INRA-Versailles</t>
  </si>
  <si>
    <t>Vitis vinifera subsp vinifera cv. Afarta pobres</t>
  </si>
  <si>
    <t>Station de Genetique et d'Amelioration des Plantes</t>
  </si>
  <si>
    <t>Vitis vinifera subsp vinifera cv. Affenthaler</t>
  </si>
  <si>
    <t>Station de Genetique et d'Amelioration des plantes</t>
  </si>
  <si>
    <t>Vitis vinifera subsp vinifera cv. Ag isioum</t>
  </si>
  <si>
    <t>Station de Génétique et d'Amélioration des Plantes, INRA-Dijon</t>
  </si>
  <si>
    <t>Vitis vinifera subsp vinifera cv. Ag Kiourdach</t>
  </si>
  <si>
    <t>Station de Genetique et dÕAmelioration des Plantes</t>
  </si>
  <si>
    <t>Vitis vinifera subsp vinifera cv. Agadaï</t>
  </si>
  <si>
    <t>Station de Genetique et dUAmelioration des Plantes</t>
  </si>
  <si>
    <t>Vitis vinifera subsp vinifera cv. Agapanthe</t>
  </si>
  <si>
    <t>Station de Genetique Vegetale</t>
  </si>
  <si>
    <t>Vitis vinifera subsp vinifera cv. Aghianniotico</t>
  </si>
  <si>
    <t>Station de Genetique Vegetale du Moulon</t>
  </si>
  <si>
    <t>Vitis vinifera subsp vinifera cv. Aghiorgitiko</t>
  </si>
  <si>
    <t>Station de Pathologie Vegetale</t>
  </si>
  <si>
    <t>Vitis vinifera subsp vinifera cv. Aglianico</t>
  </si>
  <si>
    <t>Station de Pathologie Végétale, INRA-Avignon</t>
  </si>
  <si>
    <t>Vitis vinifera subsp vinifera cv. Agostenga noir</t>
  </si>
  <si>
    <t>Station de recherche Agroscope Changins-Wädenswil</t>
  </si>
  <si>
    <t>Vitis vinifera subsp vinifera cv. Agourane</t>
  </si>
  <si>
    <t>Station de recherche Agroscope Changins-WÃ¤denswil</t>
  </si>
  <si>
    <t>Vitis vinifera subsp vinifera cv. Agrio mavro</t>
  </si>
  <si>
    <t>Station de Recherche du Comité Nord</t>
  </si>
  <si>
    <t>Vitis vinifera subsp vinifera cv. Aguyar</t>
  </si>
  <si>
    <t>Station de Recherche du Comité Nord &amp; GIPT</t>
  </si>
  <si>
    <t>Vitis vinifera subsp vinifera cv. Ahmar</t>
  </si>
  <si>
    <t>Station de Recherchedu Comité Nord &amp; GNIPTIT</t>
  </si>
  <si>
    <t>Vitis vinifera subsp vinifera cv. Ahmed</t>
  </si>
  <si>
    <t>Station Expérimentale Agronomique de Boufarik</t>
  </si>
  <si>
    <t>Vitis vinifera subsp vinifera cv. Ahmeh sal apyrène</t>
  </si>
  <si>
    <t>Station expérimentale de Oeiras Portugal</t>
  </si>
  <si>
    <t>Vitis vinifera subsp vinifera cv. Ahmeh Sal 9</t>
  </si>
  <si>
    <t>Station Régionale Horticole de Sefrou</t>
  </si>
  <si>
    <t>Vitis vinifera subsp vinifera cv. Ahmeur bou Ahmeur</t>
  </si>
  <si>
    <t>Statistique &amp; Genome</t>
  </si>
  <si>
    <t>Vitis vinifera subsp vinifera cv. Ahumat</t>
  </si>
  <si>
    <t>Statistique &amp; Génome</t>
  </si>
  <si>
    <t>Vitis vinifera subsp vinifera cv. Aïbatly</t>
  </si>
  <si>
    <t>Statiunea de Cercetare Dezvoltare Agricola Albota</t>
  </si>
  <si>
    <t>Vitis vinifera subsp vinifera cv. Aïda = Pirovano 233</t>
  </si>
  <si>
    <t>Ste Coopérative Agricole du Nord-Est de la Brie</t>
  </si>
  <si>
    <t>Vitis vinifera subsp vinifera cv. Aïdani mavro</t>
  </si>
  <si>
    <t>Stellenbosch University</t>
  </si>
  <si>
    <t>Vitis vinifera subsp vinifera cv. Aïn Begra</t>
  </si>
  <si>
    <t>Structure et Metabolisme des Plantes</t>
  </si>
  <si>
    <t>Vitis vinifera subsp vinifera cv. Aïn el Bouma</t>
  </si>
  <si>
    <t>Subtropical Horticultural Research Unit, National Germplasm Repository - Miami, USDA</t>
  </si>
  <si>
    <t>Vitis vinifera subsp vinifera cv. Aïn Kelba</t>
  </si>
  <si>
    <t>Suceava Genebank</t>
  </si>
  <si>
    <t>Vitis vinifera subsp vinifera cv. Airen</t>
  </si>
  <si>
    <t>Summerfield Nursery Co.</t>
  </si>
  <si>
    <t>Vitis vinifera subsp vinifera cv. Ak chekerek</t>
  </si>
  <si>
    <t>Sun World International - Bakersfield, CA - USA</t>
  </si>
  <si>
    <t>Vitis vinifera subsp vinifera cv. Ak ouzioum tagapskii</t>
  </si>
  <si>
    <t>Sunshine Nurseries</t>
  </si>
  <si>
    <t>Vitis vinifera subsp vinifera cv. Akiki</t>
  </si>
  <si>
    <t>Svalof Weibull AB Cereal Breeding Department</t>
  </si>
  <si>
    <t>Vitis vinifera subsp vinifera cv. Aklyk jaune</t>
  </si>
  <si>
    <t>SW Seed Hadmersleben GmbH</t>
  </si>
  <si>
    <t>Vitis vinifera subsp vinifera cv. Akominato</t>
  </si>
  <si>
    <t>Swedish University of Agricultural Sciences - Department of Plant Breeding Research</t>
  </si>
  <si>
    <t>Vitis vinifera subsp vinifera cv. Alabar noir</t>
  </si>
  <si>
    <t>Swiss Institute of Bioinformatics</t>
  </si>
  <si>
    <t>Vitis vinifera subsp vinifera cv. Alanttermö</t>
  </si>
  <si>
    <t>Syndicat de Producteurs de Marron de Charentes</t>
  </si>
  <si>
    <t>Vitis vinifera subsp vinifera cv. Alb rominesc</t>
  </si>
  <si>
    <t>Syndicat Général des Vignerons Réunis des Côtes-du-Rhône</t>
  </si>
  <si>
    <t>Vitis vinifera subsp vinifera cv. Alba aganin isioum</t>
  </si>
  <si>
    <t>Syngenta</t>
  </si>
  <si>
    <t>Vitis vinifera subsp vinifera cv. Alba imputotato</t>
  </si>
  <si>
    <t>Syngenta Seeds Ltd</t>
  </si>
  <si>
    <t>Vitis vinifera subsp vinifera cv. Alba magna = Pirovano 283</t>
  </si>
  <si>
    <t>Syngenta Seeds S.A.</t>
  </si>
  <si>
    <t>Vitis vinifera subsp vinifera cv. Albalonga = Würzburg B 51-2-1</t>
  </si>
  <si>
    <t>Syngenta Seeds S.A.S.</t>
  </si>
  <si>
    <t>Vitis vinifera subsp vinifera cv. Albana</t>
  </si>
  <si>
    <t>Takii recherche France</t>
  </si>
  <si>
    <t>Vitis vinifera subsp vinifera cv. Albanello</t>
  </si>
  <si>
    <t>Technisem</t>
  </si>
  <si>
    <t>Vitis vinifera subsp vinifera cv. Albaranzeuli bianco</t>
  </si>
  <si>
    <t>Technology Department</t>
  </si>
  <si>
    <t>Vitis vinifera subsp vinifera cv. Albarola</t>
  </si>
  <si>
    <t>Terr'Loire</t>
  </si>
  <si>
    <t>Vitis vinifera subsp vinifera cv. Albert Dientz</t>
  </si>
  <si>
    <t>Texas Agricultural Experiment Station, Texas A &amp; M University</t>
  </si>
  <si>
    <t>Vitis vinifera subsp vinifera cv. Albillo</t>
  </si>
  <si>
    <t>TEZIER S.A.</t>
  </si>
  <si>
    <t>Vitis vinifera subsp vinifera cv. Albino de Sousa</t>
  </si>
  <si>
    <t>The Agricultural Research Council - Grain Crops Institute</t>
  </si>
  <si>
    <t>Vitis vinifera subsp vinifera cv. Albourlah</t>
  </si>
  <si>
    <t>The Arabidopsis Information Resource</t>
  </si>
  <si>
    <t>Vitis vinifera subsp vinifera cv. Aléatico</t>
  </si>
  <si>
    <t>The Biotechnology Center</t>
  </si>
  <si>
    <t>Vitis vinifera subsp vinifera cv. Aledo</t>
  </si>
  <si>
    <t>The Citrus Nursery</t>
  </si>
  <si>
    <t>Vitis vinifera subsp vinifera cv. Alenky</t>
  </si>
  <si>
    <t>The First Laboratory for Plant Gene Research</t>
  </si>
  <si>
    <t>Vitis vinifera subsp vinifera cv. Alepou</t>
  </si>
  <si>
    <t>The Genome Analysis Centre</t>
  </si>
  <si>
    <t>Vitis vinifera subsp vinifera cv. Alexandroouli</t>
  </si>
  <si>
    <t>The Key Laboratory of Gene Engineering of Ministry ofEducation</t>
  </si>
  <si>
    <t>Vitis vinifera subsp vinifera cv. Alfrocheiro preto</t>
  </si>
  <si>
    <t>The Molecular Breeding Lab of Wheat Research Center - Henan Academy of Agricultural Sciences</t>
  </si>
  <si>
    <t>Vitis vinifera subsp vinifera cv. Algara</t>
  </si>
  <si>
    <t>The Rockefeller Foundation</t>
  </si>
  <si>
    <t>Vitis vinifera subsp vinifera cv. Alia boka</t>
  </si>
  <si>
    <t>The V.M. Remeslo Myronivka Institute for Wheat</t>
  </si>
  <si>
    <t>Vitis vinifera subsp vinifera cv. Alicante anglais blanc</t>
  </si>
  <si>
    <t>Tintori Nursery</t>
  </si>
  <si>
    <t>Vitis vinifera subsp vinifera cv. Alicante Bouschet érigé</t>
  </si>
  <si>
    <t>Top Semence</t>
  </si>
  <si>
    <t>Vitis vinifera subsp vinifera cv. Alicante Bouschet extra fertile</t>
  </si>
  <si>
    <t>Torbert Rocheford</t>
  </si>
  <si>
    <t>Vitis vinifera subsp vinifera cv. Alicante Bouschet n°1</t>
  </si>
  <si>
    <t>Toumelin (don't exist anymore)</t>
  </si>
  <si>
    <t>Vitis vinifera subsp vinifera cv. Alicante Bouschet n°2</t>
  </si>
  <si>
    <t>Tourneur Grandes Cultures Obtentions</t>
  </si>
  <si>
    <t>Vitis vinifera subsp vinifera cv. Alicante Bouschet n°7</t>
  </si>
  <si>
    <t>Trait and  Technology Development,  Agronomic Traits</t>
  </si>
  <si>
    <t>Vitis vinifera subsp vinifera cv. Alicante Bouschet n°8</t>
  </si>
  <si>
    <t>Trait and  Technology Development,  Food and  Feed Research</t>
  </si>
  <si>
    <t>Vitis vinifera subsp vinifera cv. Alicante Bouschet précoce (ou n°5)</t>
  </si>
  <si>
    <t>Transition Zone Agricultural Research Institute</t>
  </si>
  <si>
    <t>Vitis vinifera subsp vinifera cv. Alicante Bouschet tardif (ou n°6)</t>
  </si>
  <si>
    <t>TRANSPORT DES ASSIMILATS</t>
  </si>
  <si>
    <t>Vitis vinifera subsp vinifera cv. Alicante Bouschet x Piquepoul gris</t>
  </si>
  <si>
    <t>Trégor Sélection</t>
  </si>
  <si>
    <t>Vitis vinifera subsp vinifera cv. Alicante Bouschet x Piquepoul n°12</t>
  </si>
  <si>
    <t>Tribhuvan University</t>
  </si>
  <si>
    <t>Vitis vinifera subsp vinifera cv. Alicante Henri Bouschet</t>
  </si>
  <si>
    <t>Tropical Agricultural Research Station, Clonal Repository USDA/ARS</t>
  </si>
  <si>
    <t>Vitis vinifera subsp vinifera cv. Alicante rosa</t>
  </si>
  <si>
    <t>Tropical Crops Experimental Station</t>
  </si>
  <si>
    <t>Vitis vinifera subsp vinifera cv. Aligoté</t>
  </si>
  <si>
    <t>Truffaut</t>
  </si>
  <si>
    <t>Vitis vinifera subsp vinifera cv. Alii tierskii</t>
  </si>
  <si>
    <t>Tsukuba Life Science Center</t>
  </si>
  <si>
    <t>Vitis vinifera subsp vinifera cv. Alimchak</t>
  </si>
  <si>
    <t>T&amp;TD,  Agronomic Traits,  Yield Stability</t>
  </si>
  <si>
    <t>Vitis vinifera subsp vinifera cv. Almafre</t>
  </si>
  <si>
    <t>Tulun State Plant Breeding Station</t>
  </si>
  <si>
    <t>Vitis vinifera subsp vinifera cv. Alnwick seedling</t>
  </si>
  <si>
    <t>Turkmen Academy of Agricultural Sciences</t>
  </si>
  <si>
    <t>Vitis vinifera subsp vinifera cv. Alphonse Lavallée</t>
  </si>
  <si>
    <t>Twyford Plant Laborences (NPBGR), North Carolina State University</t>
  </si>
  <si>
    <t>Vitis vinifera subsp vinifera cv. Altesse</t>
  </si>
  <si>
    <t>Tystofte-Forsoggstation</t>
  </si>
  <si>
    <t>Vitis vinifera subsp vinifera cv. Alva</t>
  </si>
  <si>
    <t>UAGPF</t>
  </si>
  <si>
    <t>Vitis vinifera subsp vinifera cv. Alval = INRA 1552-24</t>
  </si>
  <si>
    <t>UCOPAC - Verneuil - Recherches</t>
  </si>
  <si>
    <t>Vitis vinifera subsp vinifera cv. Alvarelhao</t>
  </si>
  <si>
    <t>UE arboricole, INRA-Toulenne et INRA-Bourran</t>
  </si>
  <si>
    <t>Vitis vinifera subsp vinifera cv. Alvarinho</t>
  </si>
  <si>
    <t>UE Diascope, INRA-Montpellier</t>
  </si>
  <si>
    <t>Vitis vinifera subsp vinifera cv. Alvina = INRA 2121-61</t>
  </si>
  <si>
    <t>UE Maïs, INRA-Saint-Martin-de-Hinx</t>
  </si>
  <si>
    <t>Vitis vinifera subsp vinifera cv. Alwan</t>
  </si>
  <si>
    <t>Vitis vinifera subsp vinifera cv. Amaral</t>
  </si>
  <si>
    <t>UIPMSV</t>
  </si>
  <si>
    <t>Vitis vinifera subsp vinifera cv. Amaral branco</t>
  </si>
  <si>
    <t>ULICE</t>
  </si>
  <si>
    <t>Vitis vinifera subsp vinifera cv. Ambary</t>
  </si>
  <si>
    <t>Umea Plant Science Center</t>
  </si>
  <si>
    <t>Vitis vinifera subsp vinifera cv. Amellal</t>
  </si>
  <si>
    <t>Umea Plant Science Center, Department of Plant Physiology</t>
  </si>
  <si>
    <t>Vitis vinifera subsp vinifera cv. Amessasse</t>
  </si>
  <si>
    <t>UMR AGAP Amélioration Génétique et Adaptation des Plantes méditerranéennes et Tropicales</t>
  </si>
  <si>
    <t>Vitis vinifera subsp vinifera cv. Amfioni</t>
  </si>
  <si>
    <t>UMR Amélioration des Plantes et Biotechnologies Végétales, INRA-Rennes</t>
  </si>
  <si>
    <t>Vitis vinifera subsp vinifera cv. Amigne</t>
  </si>
  <si>
    <t>Vitis vinifera subsp vinifera cv. Amokrane</t>
  </si>
  <si>
    <t>UMR APBV</t>
  </si>
  <si>
    <t>Vitis vinifera subsp vinifera cv. Ampelakiotico galano</t>
  </si>
  <si>
    <t>UMR ASP 1095</t>
  </si>
  <si>
    <t>Vitis vinifera subsp vinifera cv. Ancellota</t>
  </si>
  <si>
    <t>UMR ASP 1095 (Amelioration et Sante des Plantes)</t>
  </si>
  <si>
    <t>Vitis vinifera subsp vinifera cv. Ancorat</t>
  </si>
  <si>
    <t>UMR BiO3P</t>
  </si>
  <si>
    <t>Vitis vinifera subsp vinifera cv. Aneb ben Koreli</t>
  </si>
  <si>
    <t>UMR CNRS/INRA 215</t>
  </si>
  <si>
    <t>Vitis vinifera subsp vinifera cv. Aneb bou Bezzoul</t>
  </si>
  <si>
    <t>UMR DAP 1098</t>
  </si>
  <si>
    <t>Vitis vinifera subsp vinifera cv. Aneb el Amar</t>
  </si>
  <si>
    <t>UMR de Genetique vegetale</t>
  </si>
  <si>
    <t>Vitis vinifera subsp vinifera cv. Angelo Longo = Pirovano 101</t>
  </si>
  <si>
    <t>UMR de Genetique Vegetale du Moulon</t>
  </si>
  <si>
    <t>Vitis vinifera subsp vinifera cv. Angelo Pirovano = Pirovano 2</t>
  </si>
  <si>
    <t>UMR de Ginitique Vigitale</t>
  </si>
  <si>
    <t>Vitis vinifera subsp vinifera cv. Angiola</t>
  </si>
  <si>
    <t>Vitis vinifera subsp vinifera cv. Angulato</t>
  </si>
  <si>
    <t>UMR DiaPC</t>
  </si>
  <si>
    <t>Vitis vinifera subsp vinifera cv. Annamaria</t>
  </si>
  <si>
    <t>UMR Diversité et Adaptation des Plantes Cultivées, INRA-Montpellier</t>
  </si>
  <si>
    <t>Vitis vinifera subsp vinifera cv. Antão vaz</t>
  </si>
  <si>
    <t>UMR Diversite et Genomes des Plantes Cultivees</t>
  </si>
  <si>
    <t>Vitis vinifera subsp vinifera cv. Aouillat</t>
  </si>
  <si>
    <t>Vitis vinifera subsp vinifera cv. Appley Towers</t>
  </si>
  <si>
    <t>Vitis vinifera subsp vinifera cv. Aprofeher</t>
  </si>
  <si>
    <t>Vitis vinifera subsp vinifera cv. Aptiche aga</t>
  </si>
  <si>
    <t>UMR Génétique et Horticulture GenHort, INRA-Angers</t>
  </si>
  <si>
    <t>Vitis vinifera subsp vinifera cv. Apyrène de Roussé</t>
  </si>
  <si>
    <t>UMR Génétique Végétale, INRA-Moulon</t>
  </si>
  <si>
    <t>Vitis vinifera subsp vinifera cv. Aragatzi</t>
  </si>
  <si>
    <t>UMR Génomique Végétale, INRA-Evry</t>
  </si>
  <si>
    <t>Vitis vinifera subsp vinifera cv. Araklinos</t>
  </si>
  <si>
    <t>UMR IaM - 1136</t>
  </si>
  <si>
    <t>Vitis vinifera subsp vinifera cv. Aramon</t>
  </si>
  <si>
    <t>UMR INRA 1088 Plante-Microbe-Environment</t>
  </si>
  <si>
    <t>Vitis vinifera subsp vinifera cv. Aramon blanc</t>
  </si>
  <si>
    <t>UMR INRA 1088/CNRS 5184/U. Bourgogne PME,  Inra</t>
  </si>
  <si>
    <t>Vitis vinifera subsp vinifera cv. Aramon blanc de la Calmette</t>
  </si>
  <si>
    <t>UMR INRA 1165 - CNRS 8114 - UEVE</t>
  </si>
  <si>
    <t>Vitis vinifera subsp vinifera cv. Aramon Bouschet n°1</t>
  </si>
  <si>
    <t>UMR INRA 1165 CNRS 8114 - UEVE</t>
  </si>
  <si>
    <t>Vitis vinifera subsp vinifera cv. Aramon Bouschet n°3</t>
  </si>
  <si>
    <t>UMR INRA-Agrocampus</t>
  </si>
  <si>
    <t>Vitis vinifera subsp vinifera cv. Aramon Bouschet n°5</t>
  </si>
  <si>
    <t>UMR INRA-ENSAR</t>
  </si>
  <si>
    <t>Vitis vinifera subsp vinifera cv. Aramon gris</t>
  </si>
  <si>
    <t>UMR INRA-INSA BF2I</t>
  </si>
  <si>
    <t>Vitis vinifera subsp vinifera cv. Aramon teinturier Bouschet</t>
  </si>
  <si>
    <t>UMR INRA-UBP Amilioration &amp; Santi des Plantes</t>
  </si>
  <si>
    <t>Vitis vinifera subsp vinifera cv. Aranel = INRA 1816-106</t>
  </si>
  <si>
    <t>UMR INRA-UHP 1137</t>
  </si>
  <si>
    <t>Vitis vinifera subsp vinifera cv. Aranyka sarga</t>
  </si>
  <si>
    <t>UMR Institut de Génétique, Environnement et Protection des Plantes, INRA-Rennes</t>
  </si>
  <si>
    <t>Vitis vinifera subsp vinifera cv. Ararati</t>
  </si>
  <si>
    <t>Vitis vinifera subsp vinifera cv. Araxeni tchernii</t>
  </si>
  <si>
    <t>UMR Institut de Génétique, Environnement et Protection des Plantes, INRA-Rennes, Site de Plougoulm</t>
  </si>
  <si>
    <t>Vitis vinifera subsp vinifera cv. Arbane</t>
  </si>
  <si>
    <t>UMR Peuplement Végétaux et Bioagresseurs en Milieu Tropical, CIRAD-Réunion</t>
  </si>
  <si>
    <t>Vitis vinifera subsp vinifera cv. Arbia</t>
  </si>
  <si>
    <t>Vitis vinifera subsp vinifera cv. Arbois rose</t>
  </si>
  <si>
    <t>UMR SPO</t>
  </si>
  <si>
    <t>Vitis vinifera subsp vinifera cv. Ardona = INRA 605-8</t>
  </si>
  <si>
    <t>UMR Stress Abiotiques et Différenciation des Végétaux Cultivés</t>
  </si>
  <si>
    <t>Vitis vinifera subsp vinifera cv. Ardonnet</t>
  </si>
  <si>
    <t>UMR UMR INRA 1165 - CNRS 8114 - UEVE</t>
  </si>
  <si>
    <t>Vitis vinifera subsp vinifera cv. Ardounet noir</t>
  </si>
  <si>
    <t>UMR UP-IRD-CNRS 5096</t>
  </si>
  <si>
    <t>Vitis vinifera subsp vinifera cv. Areni tchernii</t>
  </si>
  <si>
    <t>UMR USTL-INRA 1281 - Stress abiotique et difirenciation des vigitaux cultivis (SADV)</t>
  </si>
  <si>
    <t>Vitis vinifera subsp vinifera cv. Argant</t>
  </si>
  <si>
    <t>UMR 1095 INRA-UBP Amélioration &amp; Santé des Plantes</t>
  </si>
  <si>
    <t>Vitis vinifera subsp vinifera cv. Arinarnoa</t>
  </si>
  <si>
    <t>UMR 1095 INRA/UBP GDEC</t>
  </si>
  <si>
    <t>Vitis vinifera subsp vinifera cv. Ariño</t>
  </si>
  <si>
    <t>UMR 1095 INRA-UBP Génétique, Diversité et Ecophysiologie des Céréales</t>
  </si>
  <si>
    <t>Vitis vinifera subsp vinifera cv. Arinto de Bucelas</t>
  </si>
  <si>
    <t>UMR 1095 INRA-UBP Ginitique, Diversiti et Ecophysiologie des Ciriales</t>
  </si>
  <si>
    <t>Vitis vinifera subsp vinifera cv. Arinto du Dâo</t>
  </si>
  <si>
    <t>UMR 1096 / PIA</t>
  </si>
  <si>
    <t>Vitis vinifera subsp vinifera cv. Arizul</t>
  </si>
  <si>
    <t>UMR 1096 /PIA</t>
  </si>
  <si>
    <t>Vitis vinifera subsp vinifera cv. Armas</t>
  </si>
  <si>
    <t>UMR 1097 Vigne</t>
  </si>
  <si>
    <t>Vitis vinifera subsp vinifera cv. Armenia</t>
  </si>
  <si>
    <t>UMR 1136</t>
  </si>
  <si>
    <t>Vitis vinifera subsp vinifera cv. Arna guirna</t>
  </si>
  <si>
    <t>UMR 118 INRA-AgroCampus Rennes</t>
  </si>
  <si>
    <t>Vitis vinifera subsp vinifera cv. Arneis</t>
  </si>
  <si>
    <t>UMR 12 87 EGFV</t>
  </si>
  <si>
    <t>Vitis vinifera subsp vinifera cv. Aromatica = Pirovano 393</t>
  </si>
  <si>
    <t>UMR 320 Genetique Vegetale</t>
  </si>
  <si>
    <t>Vitis vinifera subsp vinifera cv. Aromriesling</t>
  </si>
  <si>
    <t>UMR 5004 laboratoire de physiologie et biologie moleculaire des plantes</t>
  </si>
  <si>
    <t>Vitis vinifera subsp vinifera cv. Arpad = Evêque Prohaszka</t>
  </si>
  <si>
    <t>UMR 5546 Pole de biotechnologies vegetales</t>
  </si>
  <si>
    <t>Vitis vinifera subsp vinifera cv. Arriloba</t>
  </si>
  <si>
    <t>UMR 619 - Equipe Biologie de la Vigne</t>
  </si>
  <si>
    <t>Vitis vinifera subsp vinifera cv. Arrouya</t>
  </si>
  <si>
    <t>UMR 8618 - Laboratoire Structure et Metabolisme des Plantes</t>
  </si>
  <si>
    <t>Vitis vinifera subsp vinifera cv. Arrufiac</t>
  </si>
  <si>
    <t>UMR-DAP</t>
  </si>
  <si>
    <t>Vitis vinifera subsp vinifera cv. Arturo Marescalchi = Pirovano 318</t>
  </si>
  <si>
    <t>UMR05 CNRS/INRA</t>
  </si>
  <si>
    <t>Vitis vinifera subsp vinifera cv. Arvesiniadu</t>
  </si>
  <si>
    <t>UMR1097 Vigne</t>
  </si>
  <si>
    <t>Vitis vinifera subsp vinifera cv. Arvignon</t>
  </si>
  <si>
    <t>UMR118 Amelioration des plantes</t>
  </si>
  <si>
    <t>Vitis vinifera subsp vinifera cv. Arvine</t>
  </si>
  <si>
    <t>UMR518 AgroParisTech/INRA</t>
  </si>
  <si>
    <t>Vitis vinifera subsp vinifera cv. Ascott Citronelle</t>
  </si>
  <si>
    <t>UMR759 Ecophysiologie des plantes sous stress environnementaux</t>
  </si>
  <si>
    <t>Vitis vinifera subsp vinifera cv. Askari</t>
  </si>
  <si>
    <t>UMR8576 CNRS/UST Lille</t>
  </si>
  <si>
    <t>Vitis vinifera subsp vinifera cv. Askeri</t>
  </si>
  <si>
    <t>UNCAC Cooperative Agricole Cereales</t>
  </si>
  <si>
    <t>Vitis vinifera subsp vinifera cv. Askudi</t>
  </si>
  <si>
    <t>UNCAC La Brosse Montceaux</t>
  </si>
  <si>
    <t>Vitis vinifera subsp vinifera cv. Asma</t>
  </si>
  <si>
    <t>Unicopa Clause</t>
  </si>
  <si>
    <t>Vitis vinifera subsp vinifera cv. Asmi assouad</t>
  </si>
  <si>
    <t>Unidad de Recursos Geneticos Universidad Autonoma de Chapingo</t>
  </si>
  <si>
    <t>Vitis vinifera subsp vinifera cv. Asmi blanc</t>
  </si>
  <si>
    <t>Union des Producteurs de Plaimont</t>
  </si>
  <si>
    <t>Vitis vinifera subsp vinifera cv. Aspiran Bouschet</t>
  </si>
  <si>
    <t>Unisigma Gie de Recherche et de Selection</t>
  </si>
  <si>
    <t>Vitis vinifera subsp vinifera cv. Aspiran rouge foncé</t>
  </si>
  <si>
    <t>Unit of Forest improvement, Genetics and Physiology</t>
  </si>
  <si>
    <t>Vitis vinifera subsp vinifera cv. Asprinio</t>
  </si>
  <si>
    <t>UnitÃ© AmÃ©lioration, GÃ©nÃ©tique et Physiologie ForestiÃ?res</t>
  </si>
  <si>
    <t>Vitis vinifera subsp vinifera cv. Asprouda de Santorini</t>
  </si>
  <si>
    <t>UnitC) de Nutrition AzotC)e des Plantes</t>
  </si>
  <si>
    <t>Vitis vinifera subsp vinifera cv. Asprouda Zakinthou</t>
  </si>
  <si>
    <t>Unite Centrale de la Miniere, GEVES</t>
  </si>
  <si>
    <t>Vitis vinifera subsp vinifera cv. Assali al arous</t>
  </si>
  <si>
    <t>Unite d'amelioration des plantes</t>
  </si>
  <si>
    <t>Vitis vinifera subsp vinifera cv. Assario roxo</t>
  </si>
  <si>
    <t>Unite de Biochime et Biologie Moleculaire des Cereales</t>
  </si>
  <si>
    <t>Vitis vinifera subsp vinifera cv. Assario Tinto</t>
  </si>
  <si>
    <t>Unite de Biochimie et Biologie Moleculaire des Cereales</t>
  </si>
  <si>
    <t>Vitis vinifera subsp vinifera cv. Assario (1)</t>
  </si>
  <si>
    <t>Unite de Genetique dt d amelioration des plantes fourrageres</t>
  </si>
  <si>
    <t>Vitis vinifera subsp vinifera cv. Assario (2)</t>
  </si>
  <si>
    <t>Unite de Genetique et d'Amelioration des Fruits et Legumes</t>
  </si>
  <si>
    <t>Vitis vinifera subsp vinifera cv. Asseli</t>
  </si>
  <si>
    <t>Unite de Genetique et d'Amelioration des Plantes Fourrageres (UGAPF)</t>
  </si>
  <si>
    <t>Vitis vinifera subsp vinifera cv. Asserghin</t>
  </si>
  <si>
    <t>Unite de Recherche des Produits de la Vigne</t>
  </si>
  <si>
    <t>Vitis vinifera subsp vinifera cv. Assouad Abou khislé</t>
  </si>
  <si>
    <t>Unite de Recherche en Genetique et Amelioration des plantes</t>
  </si>
  <si>
    <t>Vitis vinifera subsp vinifera cv. Assouad afranji</t>
  </si>
  <si>
    <t>Unite de Recherche en Genomique vegetale</t>
  </si>
  <si>
    <t>Vitis vinifera subsp vinifera cv. Assouad anouni</t>
  </si>
  <si>
    <t>Unite de Recherche Genomique-Info</t>
  </si>
  <si>
    <t>Vitis vinifera subsp vinifera cv. Assouad karech</t>
  </si>
  <si>
    <t>Unite de recherche sur les legumineuses (URLEG)</t>
  </si>
  <si>
    <t>Vitis vinifera subsp vinifera cv. Assoued kere</t>
  </si>
  <si>
    <t>Unite de Recherches en Sante Vegetale</t>
  </si>
  <si>
    <t>Vitis vinifera subsp vinifera cv. Assoued zeme</t>
  </si>
  <si>
    <t>Unite de recherches Interactions Plantes Microorganismes et Sante Vegetale</t>
  </si>
  <si>
    <t>Vitis vinifera subsp vinifera cv. Assul kara</t>
  </si>
  <si>
    <t>Unité Expérimentale du Domaine de Pech Rouge, INRA-Montpellier - UMR-SPO</t>
  </si>
  <si>
    <t>Vitis vinifera subsp vinifera cv. Assyrtico</t>
  </si>
  <si>
    <t>Vitis vinifera subsp vinifera cv. Athiri</t>
  </si>
  <si>
    <t>Unite experimentale du Magneraud, GEVES</t>
  </si>
  <si>
    <t>Vitis vinifera subsp vinifera cv. Athiri lefko</t>
  </si>
  <si>
    <t>Vitis vinifera subsp vinifera cv. Atomic</t>
  </si>
  <si>
    <t>Unite Genetique et amelioration des plantes</t>
  </si>
  <si>
    <t>Vitis vinifera subsp vinifera cv. Atomic apyrène</t>
  </si>
  <si>
    <t>Unite Interactions Plantes-Microorganismes et Sante Vegetale</t>
  </si>
  <si>
    <t>Vitis vinifera subsp vinifera cv. Attiki</t>
  </si>
  <si>
    <t>Unité mixte de recherche Génétique et ecophysiologie des légumineuses (UMRLEG)</t>
  </si>
  <si>
    <t>Vitis vinifera subsp vinifera cv. Attila</t>
  </si>
  <si>
    <t>Unité mixte de recherche Génétique et écophysiologie des légumineuses (UMRLEG)</t>
  </si>
  <si>
    <t>Vitis vinifera subsp vinifera cv. Attilio Ragioneri = Pirovano 150</t>
  </si>
  <si>
    <t>Unité mixte de recherche Physiologie Moléculaire des Semences (UMR PMS)</t>
  </si>
  <si>
    <t>Vitis vinifera subsp vinifera cv. Aubin</t>
  </si>
  <si>
    <t>United State Department of Agriculture by Agricultural Research Service, Washington - USA - Fogle H.</t>
  </si>
  <si>
    <t>Vitis vinifera subsp vinifera cv. Aubin vert</t>
  </si>
  <si>
    <t>United States Department of Agriculture Georgie USA</t>
  </si>
  <si>
    <t>Vitis vinifera subsp vinifera cv. Aubun</t>
  </si>
  <si>
    <t>Univ. Calif. Citrus Exp. Sta.</t>
  </si>
  <si>
    <t>Vitis vinifera subsp vinifera cv. Audibert</t>
  </si>
  <si>
    <t>Universidad de la Republica Oriental del Uruguay</t>
  </si>
  <si>
    <t>Vitis vinifera subsp vinifera cv. Augster blau</t>
  </si>
  <si>
    <t>Universidad Nacional Autonoma de Honduras</t>
  </si>
  <si>
    <t>Vitis vinifera subsp vinifera cv. Augster weisser</t>
  </si>
  <si>
    <t>Universidad Nacional Hermilio Abad del Cusco, Centro K'Ayra</t>
  </si>
  <si>
    <t>Vitis vinifera subsp vinifera cv. Aurata = Pirovano 110</t>
  </si>
  <si>
    <t>Universidade Federal do Rio Grande do Rio Grande</t>
  </si>
  <si>
    <t>Vitis vinifera subsp vinifera cv. Aurora = Pirovano 100</t>
  </si>
  <si>
    <t>Universita di Catania</t>
  </si>
  <si>
    <t>Vitis vinifera subsp vinifera cv. Autumn black</t>
  </si>
  <si>
    <t>Universitaet Hohenheim</t>
  </si>
  <si>
    <t>Vitis vinifera subsp vinifera cv. Autumn seedless</t>
  </si>
  <si>
    <t>Universite Grenoble Biologie moleculaire et vegetale</t>
  </si>
  <si>
    <t>Vitis vinifera subsp vinifera cv. Auxerrois</t>
  </si>
  <si>
    <t>University California USA</t>
  </si>
  <si>
    <t>Vitis vinifera subsp vinifera cv. Avana</t>
  </si>
  <si>
    <t>University Florida USA</t>
  </si>
  <si>
    <t>Vitis vinifera subsp vinifera cv. Avarengo</t>
  </si>
  <si>
    <t>University of Arizona</t>
  </si>
  <si>
    <t>Vitis vinifera subsp vinifera cv. Avassirkhva</t>
  </si>
  <si>
    <t>University of California</t>
  </si>
  <si>
    <t>Vitis vinifera subsp vinifera cv. Avesso</t>
  </si>
  <si>
    <t>University of Illinois,  Urbana-Champaign</t>
  </si>
  <si>
    <t>Vitis vinifera subsp vinifera cv. Avgoulato</t>
  </si>
  <si>
    <t>University of Pretoria</t>
  </si>
  <si>
    <t>Vitis vinifera subsp vinifera cv. Azal branco</t>
  </si>
  <si>
    <t>University of Puerto Rico</t>
  </si>
  <si>
    <t>Vitis vinifera subsp vinifera cv. Azal tinto</t>
  </si>
  <si>
    <t>University of Saskatchewan</t>
  </si>
  <si>
    <t>Vitis vinifera subsp vinifera cv. Azizi el Jaïa</t>
  </si>
  <si>
    <t>University of Sydney Plant Breeding Institute</t>
  </si>
  <si>
    <t>Vitis vinifera subsp vinifera cv. Azougah</t>
  </si>
  <si>
    <t>University of Udayana</t>
  </si>
  <si>
    <t>Vitis vinifera subsp vinifera cv. B 3-1</t>
  </si>
  <si>
    <t>University of Wuhan, Hubei</t>
  </si>
  <si>
    <t>Vitis vinifera subsp vinifera cv. B 5-6</t>
  </si>
  <si>
    <t>UNKNOWN</t>
  </si>
  <si>
    <t>Vitis vinifera subsp vinifera cv. Babeasca gris</t>
  </si>
  <si>
    <t>Vitis vinifera subsp vinifera cv. Babeasca neagra</t>
  </si>
  <si>
    <t>UPS Pole de Biotechnologie Vegetale</t>
  </si>
  <si>
    <t>Vitis vinifera subsp vinifera cv. Babic</t>
  </si>
  <si>
    <t>Vitis vinifera subsp vinifera cv. Bacchus = Geilweilerhof 33-29-133</t>
  </si>
  <si>
    <t>UR EFV</t>
  </si>
  <si>
    <t>Vitis vinifera subsp vinifera cv. Bacchus Bidault</t>
  </si>
  <si>
    <t>Vitis vinifera subsp vinifera cv. Bachet</t>
  </si>
  <si>
    <t>UR GAFL</t>
  </si>
  <si>
    <t>Vitis vinifera subsp vinifera cv. Badacsonyi Somzölö</t>
  </si>
  <si>
    <t>Vitis vinifera subsp vinifera cv. Baga</t>
  </si>
  <si>
    <t>Vitis vinifera subsp vinifera cv. Baïan Schirei</t>
  </si>
  <si>
    <t>Vitis vinifera subsp vinifera cv. Bakarka</t>
  </si>
  <si>
    <t>URGV</t>
  </si>
  <si>
    <t>Vitis vinifera subsp vinifera cv. Bakator kek</t>
  </si>
  <si>
    <t>URGV,  CNRS / INRA</t>
  </si>
  <si>
    <t>Vitis vinifera subsp vinifera cv. Bakator piros</t>
  </si>
  <si>
    <t>URGV - Plant Genomics Research Unit</t>
  </si>
  <si>
    <t>Vitis vinifera subsp vinifera cv. Bakator tüdöszinu</t>
  </si>
  <si>
    <t>Vitis vinifera subsp vinifera cv. Bakouri</t>
  </si>
  <si>
    <t>URP3F</t>
  </si>
  <si>
    <t>Vitis vinifera subsp vinifera cv. Balafant</t>
  </si>
  <si>
    <t>UR121 RIZ</t>
  </si>
  <si>
    <t>Vitis vinifera subsp vinifera cv. Balaton kincse</t>
  </si>
  <si>
    <t>UR254 Genetique et amelioration des plantes</t>
  </si>
  <si>
    <t>Vitis vinifera subsp vinifera cv. Balbut bijeli</t>
  </si>
  <si>
    <t>U.S. Date and Citrus Station</t>
  </si>
  <si>
    <t>Vitis vinifera subsp vinifera cv. Balint</t>
  </si>
  <si>
    <t>US Department of Agriculture,  Agriculture Research Service, Pacific West Area,  Western Regional Research Center</t>
  </si>
  <si>
    <t>Vitis vinifera subsp vinifera cv. Balouti</t>
  </si>
  <si>
    <t>US Department of Agriculture,  Agriculture Research Service, Plant Science and  Entomology Unit</t>
  </si>
  <si>
    <t>Vitis vinifera subsp vinifera cv. Balouzme</t>
  </si>
  <si>
    <t>U.S. Horticultural Field Station</t>
  </si>
  <si>
    <t>Vitis vinifera subsp vinifera cv. Balsamina nera</t>
  </si>
  <si>
    <t>U.S Horticultural Research</t>
  </si>
  <si>
    <t>Vitis vinifera subsp vinifera cv. Balsamino blanc</t>
  </si>
  <si>
    <t>US. Horticultural Research Lab,  Ft. Pierce,  FL</t>
  </si>
  <si>
    <t>Vitis vinifera subsp vinifera cv. Balzac blanc</t>
  </si>
  <si>
    <t>US Horticultural Research Laboratory</t>
  </si>
  <si>
    <t>Vitis vinifera subsp vinifera cv. Banati Rizling</t>
  </si>
  <si>
    <t>US Horticulture Research Laboratory, USDA/ARS</t>
  </si>
  <si>
    <t>Vitis vinifera subsp vinifera cv. Baratcsuha kek</t>
  </si>
  <si>
    <t>USDA, ARS Agricultural Research Service</t>
  </si>
  <si>
    <t>Vitis vinifera subsp vinifera cv. Baratcsuha szürke</t>
  </si>
  <si>
    <t>USDA, ARS, National Small Grains Collection</t>
  </si>
  <si>
    <t>Vitis vinifera subsp vinifera cv. Barbableu = Pirovano 81</t>
  </si>
  <si>
    <t>USDA, ARS, Plant Genetic Resources Unit, Cornell University, New York State Agricultural Experiment Station</t>
  </si>
  <si>
    <t>Vitis vinifera subsp vinifera cv. Barbaroux</t>
  </si>
  <si>
    <t>USDA, ARS, Washington State University, Irrigation Agricultural Research and Extension Center</t>
  </si>
  <si>
    <t>Vitis vinifera subsp vinifera cv. Barbera</t>
  </si>
  <si>
    <t>USDA, ARS, Western Regional Plant Introduction Station, Washington State University</t>
  </si>
  <si>
    <t>Vitis vinifera subsp vinifera cv. Barbera bianca</t>
  </si>
  <si>
    <t>USDA ARS WRRC</t>
  </si>
  <si>
    <t>Vitis vinifera subsp vinifera cv. Barcello</t>
  </si>
  <si>
    <t>USDA Beltsville Agricultural research Centre</t>
  </si>
  <si>
    <t>Vitis vinifera subsp vinifera cv. Barducis</t>
  </si>
  <si>
    <t>USDA/ARS Children's Nutrition Research Center</t>
  </si>
  <si>
    <t>Vitis vinifera subsp vinifera cv. Baresana</t>
  </si>
  <si>
    <t>USDA-ARS-JWDSRC</t>
  </si>
  <si>
    <t>Vitis vinifera subsp vinifera cv. Barlinka</t>
  </si>
  <si>
    <t>U.S.Department of Agriculture</t>
  </si>
  <si>
    <t>Vitis vinifera subsp vinifera cv. Barone dell Aterno = Pirovano 184</t>
  </si>
  <si>
    <t>U.S.Department of Agriculture - Agricultural Research Service</t>
  </si>
  <si>
    <t>Vitis vinifera subsp vinifera cv. Baroque</t>
  </si>
  <si>
    <t>Ustimovskaya Experimental Station for Plant Cultivation</t>
  </si>
  <si>
    <t>Vitis vinifera subsp vinifera cv. Baroque rose</t>
  </si>
  <si>
    <t>Utah Agricultural Experiment Station, Utah State University</t>
  </si>
  <si>
    <t>Vitis vinifera subsp vinifera cv. Barraquou</t>
  </si>
  <si>
    <t>Van borren, Tchécoslovaquie</t>
  </si>
  <si>
    <t>Vitis vinifera subsp vinifera cv. Barsaglina</t>
  </si>
  <si>
    <t>Van der Have GmbH</t>
  </si>
  <si>
    <t>Vitis vinifera subsp vinifera cv. Baserri</t>
  </si>
  <si>
    <t>Veg Saatzucht Hadmersleben</t>
  </si>
  <si>
    <t>Vitis vinifera subsp vinifera cv. Basicata</t>
  </si>
  <si>
    <t>Vegetable breeding station PEKIN</t>
  </si>
  <si>
    <t>Vitis vinifera subsp vinifera cv. Basicata faux</t>
  </si>
  <si>
    <t>Verger expérimental de l'Yonne (89) - France</t>
  </si>
  <si>
    <t>Vitis vinifera subsp vinifera cv. Basile Logothetis = Pirovano 77</t>
  </si>
  <si>
    <t>Villa Thuret</t>
  </si>
  <si>
    <t>Vitis vinifera subsp vinifera cv. Basilicumtraube</t>
  </si>
  <si>
    <t>Ville de Menton</t>
  </si>
  <si>
    <t>Vitis vinifera subsp vinifera cv. Bastardinho</t>
  </si>
  <si>
    <t>Vilmorin</t>
  </si>
  <si>
    <t>Vitis vinifera subsp vinifera cv. Bastardo Magaratchskii</t>
  </si>
  <si>
    <t>Vilmorin S.A.</t>
  </si>
  <si>
    <t>Vitis vinifera subsp vinifera cv. Batiki</t>
  </si>
  <si>
    <t>Vilmorin-Andrieux</t>
  </si>
  <si>
    <t>Vitis vinifera subsp vinifera cv. Batoca blanc</t>
  </si>
  <si>
    <t>Virginia Agricultural Experiment Station, Virginia Tech</t>
  </si>
  <si>
    <t>Vitis vinifera subsp vinifera cv. Battraube</t>
  </si>
  <si>
    <t>Vnii Sorgo I Drugih Zernovyh Kul'tur</t>
  </si>
  <si>
    <t>Vitis vinifera subsp vinifera cv. Batuta neagra</t>
  </si>
  <si>
    <t>Volcani Research Center</t>
  </si>
  <si>
    <t>Vitis vinifera subsp vinifera cv. Baude</t>
  </si>
  <si>
    <t>Waite Agricultural Research Institute University of Adelaide</t>
  </si>
  <si>
    <t>Vitis vinifera subsp vinifera cv. Baxtiori</t>
  </si>
  <si>
    <t>Wakayama Fruit Tree Experiment Station</t>
  </si>
  <si>
    <t>Vitis vinifera subsp vinifera cv. Bayad</t>
  </si>
  <si>
    <t>Washington State University Research Foundation - Pullman, WA - USA - Toyama TK</t>
  </si>
  <si>
    <t>Vitis vinifera subsp vinifera cv. Bayadi</t>
  </si>
  <si>
    <t>Washington State University Research Foundation, Pullman, WA - USA + Cot International, Generac - France</t>
  </si>
  <si>
    <t>Vitis vinifera subsp vinifera cv. Bayadi de Syrie</t>
  </si>
  <si>
    <t>Weizman Institute of Science</t>
  </si>
  <si>
    <t>Vitis vinifera subsp vinifera cv. Bayadi du Liban</t>
  </si>
  <si>
    <t>Western Australian Department of Agriculture</t>
  </si>
  <si>
    <t>Vitis vinifera subsp vinifera cv. BB 575-49 SRLH</t>
  </si>
  <si>
    <t>Wet-lowlands Islands Research Programme, Keravat</t>
  </si>
  <si>
    <t>Vitis vinifera subsp vinifera cv. Beala debela</t>
  </si>
  <si>
    <t>Wheat National Research Center</t>
  </si>
  <si>
    <t>Vitis vinifera subsp vinifera cv. Beaunoir</t>
  </si>
  <si>
    <t>Wheat Research Institute Ilam Research Centre</t>
  </si>
  <si>
    <t>Vitis vinifera subsp vinifera cv. Beauty seedless</t>
  </si>
  <si>
    <t>Wiersum Plant Breeding Station</t>
  </si>
  <si>
    <t>Vitis vinifera subsp vinifera cv. Béclan</t>
  </si>
  <si>
    <t>William James Farrer - Breeder</t>
  </si>
  <si>
    <t>Vitis vinifera subsp vinifera cv. Beid el Hamman</t>
  </si>
  <si>
    <t>Willits &amp; Newcomb Nurseries Co. Inc</t>
  </si>
  <si>
    <t>Vitis vinifera subsp vinifera cv. Beitamouni</t>
  </si>
  <si>
    <t>Winnipeg Research Station Agriculture Canada</t>
  </si>
  <si>
    <t>Vitis vinifera subsp vinifera cv. Belair</t>
  </si>
  <si>
    <t>Wisconsin Agricultural Experiment Station, University of Wisconsin</t>
  </si>
  <si>
    <t>Vitis vinifera subsp vinifera cv. Beldi x Ugni blanc</t>
  </si>
  <si>
    <t>World Seeds Inc.</t>
  </si>
  <si>
    <t>Vitis vinifera subsp vinifera cv. Beldi x Ugni blanc 36 L 4</t>
  </si>
  <si>
    <t>Yossef Ben-dor, Perot Oemashtalot Ltd. - Hama'ala - Israel</t>
  </si>
  <si>
    <t>Vitis vinifera subsp vinifera cv. Belle de Cegled</t>
  </si>
  <si>
    <t>Zaiger Floid, Modesto - CA - USA</t>
  </si>
  <si>
    <t>Vitis vinifera subsp vinifera cv. Bellevue</t>
  </si>
  <si>
    <t>Zelder B.V.</t>
  </si>
  <si>
    <t>Vitis vinifera subsp vinifera cv. Bellino</t>
  </si>
  <si>
    <t>Zeneca Seeds UK Limited - Plant Breeding and Research Centre</t>
  </si>
  <si>
    <t>Vitis vinifera subsp vinifera cv. Bellone</t>
  </si>
  <si>
    <t>Zeneca Wheat Improvement Centre,  Norwich Research Park</t>
  </si>
  <si>
    <t>Vitis vinifera subsp vinifera cv. Belz el Ansa</t>
  </si>
  <si>
    <t>Zhejiang University</t>
  </si>
  <si>
    <t>Vitis vinifera subsp vinifera cv. Bem tabornok = Général Bem</t>
  </si>
  <si>
    <t>Zjednocz. Hodowli Roslin i Nasiennictwa</t>
  </si>
  <si>
    <t>Vitis vinifera subsp vinifera cv. Ben Suilah</t>
  </si>
  <si>
    <t>ZMBP - Center for Molecular Biology of Plants</t>
  </si>
  <si>
    <t>Vitis vinifera subsp vinifera cv. Beneti noir</t>
  </si>
  <si>
    <t>Vitis vinifera subsp vinifera cv. Benicarlo</t>
  </si>
  <si>
    <t>Vitis vinifera subsp vinifera cv. Beogradska rana</t>
  </si>
  <si>
    <t>Vitis vinifera subsp vinifera cv. Béquignol</t>
  </si>
  <si>
    <t>Vitis vinifera subsp vinifera cv. Béquignol blanc</t>
  </si>
  <si>
    <t>Vitis vinifera subsp vinifera cv. Béquignol gris</t>
  </si>
  <si>
    <t>Vitis vinifera subsp vinifera cv. Beran</t>
  </si>
  <si>
    <t>Vitis vinifera subsp vinifera cv. Berbecel</t>
  </si>
  <si>
    <t>Vitis vinifera subsp vinifera cv. Berdomenel</t>
  </si>
  <si>
    <t>Vitis vinifera subsp vinifera cv. Beregi rozsas</t>
  </si>
  <si>
    <t>Vitis vinifera subsp vinifera cv. Beregi rozsas faux</t>
  </si>
  <si>
    <t>Vitis vinifera subsp vinifera cv. Bermestia bianca</t>
  </si>
  <si>
    <t>Vitis vinifera subsp vinifera cv. Bervedino</t>
  </si>
  <si>
    <t>Vitis vinifera subsp vinifera cv. Besgano nero</t>
  </si>
  <si>
    <t>Vitis vinifera subsp vinifera cv. Best's 22</t>
  </si>
  <si>
    <t>Vitis vinifera subsp vinifera cv. Bettlertraube</t>
  </si>
  <si>
    <t>Vitis vinifera subsp vinifera cv. Beylerce</t>
  </si>
  <si>
    <t>Vitis vinifera subsp vinifera cv. Bezoul el Aouda</t>
  </si>
  <si>
    <t>Vitis vinifera subsp vinifera cv. Bezoul el Kedima</t>
  </si>
  <si>
    <t>Vitis vinifera subsp vinifera cv. Bezoul el Kelba</t>
  </si>
  <si>
    <t>Vitis vinifera subsp vinifera cv. Bezoul el Khadem</t>
  </si>
  <si>
    <t>Vitis vinifera subsp vinifera cv. Bia blanc</t>
  </si>
  <si>
    <t>Vitis vinifera subsp vinifera cv. Biancame</t>
  </si>
  <si>
    <t>Vitis vinifera subsp vinifera cv. Biancazza</t>
  </si>
  <si>
    <t>Vitis vinifera subsp vinifera cv. Bianchetta genovese</t>
  </si>
  <si>
    <t>Vitis vinifera subsp vinifera cv. Bianchetta trevigiana</t>
  </si>
  <si>
    <t>Vitis vinifera subsp vinifera cv. Bianco d'Alessano</t>
  </si>
  <si>
    <t>Vitis vinifera subsp vinifera cv. Biancolella</t>
  </si>
  <si>
    <t>Vitis vinifera subsp vinifera cv. Biancone</t>
  </si>
  <si>
    <t>Vitis vinifera subsp vinifera cv. Biancu Gentile</t>
  </si>
  <si>
    <t>Vitis vinifera subsp vinifera cv. Bicane</t>
  </si>
  <si>
    <t>Vitis vinifera subsp vinifera cv. Bichtii</t>
  </si>
  <si>
    <t>Vitis vinifera subsp vinifera cv. Biczo balint emleke</t>
  </si>
  <si>
    <t>Vitis vinifera subsp vinifera cv. Biczö egon</t>
  </si>
  <si>
    <t>Vitis vinifera subsp vinifera cv. Bidaneh ghelmez</t>
  </si>
  <si>
    <t>Vitis vinifera subsp vinifera cv. Bien donné</t>
  </si>
  <si>
    <t>Vitis vinifera subsp vinifera cv. Big Perlon</t>
  </si>
  <si>
    <t>Vitis vinifera subsp vinifera cv. Bigasse</t>
  </si>
  <si>
    <t>Vitis vinifera subsp vinifera cv. Binisalem</t>
  </si>
  <si>
    <t>Vitis vinifera subsp vinifera cv. Black Alicante</t>
  </si>
  <si>
    <t>Vitis vinifera subsp vinifera cv. Black monukka</t>
  </si>
  <si>
    <t>Vitis vinifera subsp vinifera cv. Black Morocco</t>
  </si>
  <si>
    <t>Vitis vinifera subsp vinifera cv. Black Pearl Corrin</t>
  </si>
  <si>
    <t>Vitis vinifera subsp vinifera cv. Black Prince</t>
  </si>
  <si>
    <t>Vitis vinifera subsp vinifera cv. Black Rose = H 3-47</t>
  </si>
  <si>
    <t>Vitis vinifera subsp vinifera cv. Blanc Auba</t>
  </si>
  <si>
    <t>Vitis vinifera subsp vinifera cv. Blanc Cardon</t>
  </si>
  <si>
    <t>Vitis vinifera subsp vinifera cv. Blanc d'ambre</t>
  </si>
  <si>
    <t>Vitis vinifera subsp vinifera cv. Blanc Dame</t>
  </si>
  <si>
    <t>Vitis vinifera subsp vinifera cv. Blanc d'Automne</t>
  </si>
  <si>
    <t>Vitis vinifera subsp vinifera cv. Blanc de Creüe</t>
  </si>
  <si>
    <t>Vitis vinifera subsp vinifera cv. Blanc de Dellys</t>
  </si>
  <si>
    <t>Vitis vinifera subsp vinifera cv. Blanc de Dellys x Rhodites</t>
  </si>
  <si>
    <t>Vitis vinifera subsp vinifera cv. Blanc de Morgex</t>
  </si>
  <si>
    <t>Vitis vinifera subsp vinifera cv. Blanc de Rhafsaï</t>
  </si>
  <si>
    <t>Vitis vinifera subsp vinifera cv. Blanc Marquis</t>
  </si>
  <si>
    <t>Vitis vinifera subsp vinifera cv. Blanc Neyroud</t>
  </si>
  <si>
    <t>Vitis vinifera subsp vinifera cv. Blanc vert</t>
  </si>
  <si>
    <t>Vitis vinifera subsp vinifera cv. Blanca Gordal</t>
  </si>
  <si>
    <t>Vitis vinifera subsp vinifera cv. Blanca Superior para parral</t>
  </si>
  <si>
    <t>Vitis vinifera subsp vinifera cv. Blanca temprana Almeria</t>
  </si>
  <si>
    <t>Vitis vinifera subsp vinifera cv. Blancard</t>
  </si>
  <si>
    <t>Vitis vinifera subsp vinifera cv. Blanchier</t>
  </si>
  <si>
    <t>Vitis vinifera subsp vinifera cv. Blancorna</t>
  </si>
  <si>
    <t>Vitis vinifera subsp vinifera cv. Blank blauer</t>
  </si>
  <si>
    <t>Vitis vinifera subsp vinifera cv. Blanqueiron</t>
  </si>
  <si>
    <t>Vitis vinifera subsp vinifera cv. Blatina crna</t>
  </si>
  <si>
    <t>Vitis vinifera subsp vinifera cv. Blauburger</t>
  </si>
  <si>
    <t>Vitis vinifera subsp vinifera cv. Blauer Muskateller</t>
  </si>
  <si>
    <t>Vitis vinifera subsp vinifera cv. Blush seedless</t>
  </si>
  <si>
    <t>Vitis vinifera subsp vinifera cv. Boal cachudo</t>
  </si>
  <si>
    <t>Vitis vinifera subsp vinifera cv. Boal de Alicante Moscatel</t>
  </si>
  <si>
    <t>Vitis vinifera subsp vinifera cv. Boal de Madère</t>
  </si>
  <si>
    <t>Vitis vinifera subsp vinifera cv. Boal de Natura</t>
  </si>
  <si>
    <t>Vitis vinifera subsp vinifera cv. Boal molle</t>
  </si>
  <si>
    <t>Vitis vinifera subsp vinifera cv. Boal rosado</t>
  </si>
  <si>
    <t>Vitis vinifera subsp vinifera cv. Bobal</t>
  </si>
  <si>
    <t>Vitis vinifera subsp vinifera cv. Bocalilla</t>
  </si>
  <si>
    <t>Vitis vinifera subsp vinifera cv. Bogaz kere</t>
  </si>
  <si>
    <t>Vitis vinifera subsp vinifera cv. Bogdanusa</t>
  </si>
  <si>
    <t>Vitis vinifera subsp vinifera cv. Bogdanyi dinka</t>
  </si>
  <si>
    <t>Vitis vinifera subsp vinifera cv. Bogni 17 B</t>
  </si>
  <si>
    <t>Vitis vinifera subsp vinifera cv. Bogni 8</t>
  </si>
  <si>
    <t>Vitis vinifera subsp vinifera cv. Bombino bianco</t>
  </si>
  <si>
    <t>Vitis vinifera subsp vinifera cv. Bombino nero</t>
  </si>
  <si>
    <t>Vitis vinifera subsp vinifera cv. Bon blanc de Frangy</t>
  </si>
  <si>
    <t>Vitis vinifera subsp vinifera cv. Bonamico</t>
  </si>
  <si>
    <t>Vitis vinifera subsp vinifera cv. Bonarda piemontese</t>
  </si>
  <si>
    <t>Vitis vinifera subsp vinifera cv. Bonheur</t>
  </si>
  <si>
    <t>Vitis vinifera subsp vinifera cv. Bonne Vituaigne</t>
  </si>
  <si>
    <t>Vitis vinifera subsp vinifera cv. Bonnet de retord</t>
  </si>
  <si>
    <t>Vitis vinifera subsp vinifera cv. Bonnita</t>
  </si>
  <si>
    <t>Vitis vinifera subsp vinifera cv. Borba blanca</t>
  </si>
  <si>
    <t>Vitis vinifera subsp vinifera cv. Boriska</t>
  </si>
  <si>
    <t>Vitis vinifera subsp vinifera cv. Borraçal</t>
  </si>
  <si>
    <t>Vitis vinifera subsp vinifera cv. Borrado das moscas</t>
  </si>
  <si>
    <t>Vitis vinifera subsp vinifera cv. Bosco</t>
  </si>
  <si>
    <t>Vitis vinifera subsp vinifera cv. Boskokwi</t>
  </si>
  <si>
    <t>Vitis vinifera subsp vinifera cv. Botun</t>
  </si>
  <si>
    <t>Vitis vinifera subsp vinifera cv. Bou Khanzir blanc</t>
  </si>
  <si>
    <t>Vitis vinifera subsp vinifera cv. Bou Khanzir noir</t>
  </si>
  <si>
    <t>Vitis vinifera subsp vinifera cv. Bou Qsob faux</t>
  </si>
  <si>
    <t>Vitis vinifera subsp vinifera cv. Bou Rouguia</t>
  </si>
  <si>
    <t>Vitis vinifera subsp vinifera cv. Bouaki nor</t>
  </si>
  <si>
    <t>Vitis vinifera subsp vinifera cv. Bouaki tach</t>
  </si>
  <si>
    <t>Vitis vinifera subsp vinifera cv. Bouchalès</t>
  </si>
  <si>
    <t>Vitis vinifera subsp vinifera cv. Bouchereau</t>
  </si>
  <si>
    <t>Vitis vinifera subsp vinifera cv. Bouchouka</t>
  </si>
  <si>
    <t>Vitis vinifera subsp vinifera cv. Boudechouri tcherny</t>
  </si>
  <si>
    <t>Vitis vinifera subsp vinifera cv. Bouillan</t>
  </si>
  <si>
    <t>Vitis vinifera subsp vinifera cv. Bouillenc noir</t>
  </si>
  <si>
    <t>Vitis vinifera subsp vinifera cv. Bouillet</t>
  </si>
  <si>
    <t>Vitis vinifera subsp vinifera cv. Boulanoui</t>
  </si>
  <si>
    <t>Vitis vinifera subsp vinifera cv. Bouquet riesling</t>
  </si>
  <si>
    <t>Vitis vinifera subsp vinifera cv. Bouquet Sylvaner</t>
  </si>
  <si>
    <t>Vitis vinifera subsp vinifera cv. Bouquettraube</t>
  </si>
  <si>
    <t>Vitis vinifera subsp vinifera cv. Bourboulenc</t>
  </si>
  <si>
    <t>Vitis vinifera subsp vinifera cv. Bourdier 2-04-58</t>
  </si>
  <si>
    <t>Vitis vinifera subsp vinifera cv. Bourrisquou</t>
  </si>
  <si>
    <t>Vitis vinifera subsp vinifera cv. Bouteillan noir</t>
  </si>
  <si>
    <t>Vitis vinifera subsp vinifera cv. Bouvierrebe</t>
  </si>
  <si>
    <t>Vitis vinifera subsp vinifera cv. Bouzouga</t>
  </si>
  <si>
    <t>Vitis vinifera subsp vinifera cv. Bovale grande = Bovale di Spagna</t>
  </si>
  <si>
    <t>Vitis vinifera subsp vinifera cv. Bracciola nera</t>
  </si>
  <si>
    <t>Vitis vinifera subsp vinifera cv. Brachet</t>
  </si>
  <si>
    <t>Vitis vinifera subsp vinifera cv. Brachet 2</t>
  </si>
  <si>
    <t>Vitis vinifera subsp vinifera cv. Brachetto</t>
  </si>
  <si>
    <t>Vitis vinifera subsp vinifera cv. Braghina</t>
  </si>
  <si>
    <t>Vitis vinifera subsp vinifera cv. Bratkovina</t>
  </si>
  <si>
    <t>Vitis vinifera subsp vinifera cv. Bronnerstraube</t>
  </si>
  <si>
    <t>Vitis vinifera subsp vinifera cv. Broumest</t>
  </si>
  <si>
    <t>Vitis vinifera subsp vinifera cv. Brun argenté</t>
  </si>
  <si>
    <t>Vitis vinifera subsp vinifera cv. Brun Fourca</t>
  </si>
  <si>
    <t>Vitis vinifera subsp vinifera cv. Bruni 1 Sélection clonale</t>
  </si>
  <si>
    <t>Vitis vinifera subsp vinifera cv. Bruni 100</t>
  </si>
  <si>
    <t>Vitis vinifera subsp vinifera cv. Bruni 102</t>
  </si>
  <si>
    <t>Vitis vinifera subsp vinifera cv. Bruni 116</t>
  </si>
  <si>
    <t>Vitis vinifera subsp vinifera cv. Bruni 12</t>
  </si>
  <si>
    <t>Vitis vinifera subsp vinifera cv. Bruni 125</t>
  </si>
  <si>
    <t>Vitis vinifera subsp vinifera cv. Bruni 14</t>
  </si>
  <si>
    <t>Vitis vinifera subsp vinifera cv. Bruni 147</t>
  </si>
  <si>
    <t>Vitis vinifera subsp vinifera cv. Bruni 15</t>
  </si>
  <si>
    <t>Vitis vinifera subsp vinifera cv. Bruni 154</t>
  </si>
  <si>
    <t>Vitis vinifera subsp vinifera cv. Bruni 18 (hybride)</t>
  </si>
  <si>
    <t>Vitis vinifera subsp vinifera cv. Bruni 317</t>
  </si>
  <si>
    <t>Vitis vinifera subsp vinifera cv. Bruni 33</t>
  </si>
  <si>
    <t>Vitis vinifera subsp vinifera cv. Bruni 36</t>
  </si>
  <si>
    <t>Vitis vinifera subsp vinifera cv. Bruni 360</t>
  </si>
  <si>
    <t>Vitis vinifera subsp vinifera cv. Bruni 381</t>
  </si>
  <si>
    <t>Vitis vinifera subsp vinifera cv. Bruni 4</t>
  </si>
  <si>
    <t>Vitis vinifera subsp vinifera cv. Bruni 41</t>
  </si>
  <si>
    <t>Vitis vinifera subsp vinifera cv. Bruni 415</t>
  </si>
  <si>
    <t>Vitis vinifera subsp vinifera cv. Bruni 429</t>
  </si>
  <si>
    <t>Vitis vinifera subsp vinifera cv. Bruni 45</t>
  </si>
  <si>
    <t>Vitis vinifera subsp vinifera cv. Bruni 54</t>
  </si>
  <si>
    <t>Vitis vinifera subsp vinifera cv. Bruni 65</t>
  </si>
  <si>
    <t>Vitis vinifera subsp vinifera cv. Bruni 74</t>
  </si>
  <si>
    <t>Vitis vinifera subsp vinifera cv. Bruni 75</t>
  </si>
  <si>
    <t>Vitis vinifera subsp vinifera cv. Bruni 90</t>
  </si>
  <si>
    <t>Vitis vinifera subsp vinifera cv. Brunq noir</t>
  </si>
  <si>
    <t>Vitis vinifera subsp vinifera cv. Brustiano</t>
  </si>
  <si>
    <t>Vitis vinifera subsp vinifera cv. Brustiano faux</t>
  </si>
  <si>
    <t>Vitis vinifera subsp vinifera cv. Buckland sweet water</t>
  </si>
  <si>
    <t>Vitis vinifera subsp vinifera cv. Budai Szagos</t>
  </si>
  <si>
    <t>Vitis vinifera subsp vinifera cv. Budai zöld</t>
  </si>
  <si>
    <t>Vitis vinifera subsp vinifera cv. Burgrave de Hongrie</t>
  </si>
  <si>
    <t>Vitis vinifera subsp vinifera cv. Cabasma alba</t>
  </si>
  <si>
    <t>Vitis vinifera subsp vinifera cv. Cabernet franc</t>
  </si>
  <si>
    <t>Vitis vinifera subsp vinifera cv. Cabernet Lion</t>
  </si>
  <si>
    <t>Vitis vinifera subsp vinifera cv. Cabernet-Malbec n°1</t>
  </si>
  <si>
    <t>Vitis vinifera subsp vinifera cv. Cabernet-Malbec n°2</t>
  </si>
  <si>
    <t>Vitis vinifera subsp vinifera cv. Cabernet-Malbec n°4</t>
  </si>
  <si>
    <t>Vitis vinifera subsp vinifera cv. Cabernet-Sauvignon</t>
  </si>
  <si>
    <t>Vitis vinifera subsp vinifera cv. Cacaboué</t>
  </si>
  <si>
    <t>Vitis vinifera subsp vinifera cv. Caddiu</t>
  </si>
  <si>
    <t>Vitis vinifera subsp vinifera cv. Cainho branco</t>
  </si>
  <si>
    <t>Vitis vinifera subsp vinifera cv. Caiño longo</t>
  </si>
  <si>
    <t>Vitis vinifera subsp vinifera cv. Calabre</t>
  </si>
  <si>
    <t>Vitis vinifera subsp vinifera cv. Calabrese</t>
  </si>
  <si>
    <t>Vitis vinifera subsp vinifera cv. Caladoc = INRA 1510-104</t>
  </si>
  <si>
    <t>Vitis vinifera subsp vinifera cv. Calitor</t>
  </si>
  <si>
    <t>Vitis vinifera subsp vinifera cv. Calitor blanc</t>
  </si>
  <si>
    <t>Vitis vinifera subsp vinifera cv. Calitor gris</t>
  </si>
  <si>
    <t>Vitis vinifera subsp vinifera cv. Callet</t>
  </si>
  <si>
    <t>Vitis vinifera subsp vinifera cv. Calmeria = C11-31-5</t>
  </si>
  <si>
    <t>Vitis vinifera subsp vinifera cv. Caloria</t>
  </si>
  <si>
    <t>Vitis vinifera subsp vinifera cv. Calzin</t>
  </si>
  <si>
    <t>Vitis vinifera subsp vinifera cv. Camaralet de Lasseube</t>
  </si>
  <si>
    <t>Vitis vinifera subsp vinifera cv. Camaraou blanc</t>
  </si>
  <si>
    <t>Vitis vinifera subsp vinifera cv. Camaraou noir</t>
  </si>
  <si>
    <t>Vitis vinifera subsp vinifera cv. Canaiolo</t>
  </si>
  <si>
    <t>Vitis vinifera subsp vinifera cv. Canari</t>
  </si>
  <si>
    <t>Vitis vinifera subsp vinifera cv. Canina nera</t>
  </si>
  <si>
    <t>Vitis vinifera subsp vinifera cv. Canner seedless</t>
  </si>
  <si>
    <t>Vitis vinifera subsp vinifera cv. Cannon Hall</t>
  </si>
  <si>
    <t>Vitis vinifera subsp vinifera cv. Cannon Hall faux</t>
  </si>
  <si>
    <t>Vitis vinifera subsp vinifera cv. Cañocazo</t>
  </si>
  <si>
    <t>Vitis vinifera subsp vinifera cv. Cañorroyo</t>
  </si>
  <si>
    <t>Vitis vinifera subsp vinifera cv. Cape currant</t>
  </si>
  <si>
    <t>Vitis vinifera subsp vinifera cv. Caralicante</t>
  </si>
  <si>
    <t>Vitis vinifera subsp vinifera cv. Carcaces</t>
  </si>
  <si>
    <t>Vitis vinifera subsp vinifera cv. Carcajolo</t>
  </si>
  <si>
    <t>Vitis vinifera subsp vinifera cv. Carcajolo blanc</t>
  </si>
  <si>
    <t>Vitis vinifera subsp vinifera cv. Cardinal = G 10-30</t>
  </si>
  <si>
    <t>Vitis vinifera subsp vinifera cv. Carignan</t>
  </si>
  <si>
    <t>Vitis vinifera subsp vinifera cv. Carignan blanc</t>
  </si>
  <si>
    <t>Vitis vinifera subsp vinifera cv. Carignan Bouschet</t>
  </si>
  <si>
    <t>Vitis vinifera subsp vinifera cv. Carignan gris</t>
  </si>
  <si>
    <t>Vitis vinifera subsp vinifera cv. Carla = INRA 1650-10</t>
  </si>
  <si>
    <t>Vitis vinifera subsp vinifera cv. Carmenère</t>
  </si>
  <si>
    <t>Vitis vinifera subsp vinifera cv. Carminoir</t>
  </si>
  <si>
    <t>Vitis vinifera subsp vinifera cv. Carnelian</t>
  </si>
  <si>
    <t>Vitis vinifera subsp vinifera cv. Carrega somera</t>
  </si>
  <si>
    <t>Vitis vinifera subsp vinifera cv. Carricante</t>
  </si>
  <si>
    <t>Vitis vinifera subsp vinifera cv. Cartuja blanca</t>
  </si>
  <si>
    <t>Vitis vinifera subsp vinifera cv. Castellano morado</t>
  </si>
  <si>
    <t>Vitis vinifera subsp vinifera cv. Castets</t>
  </si>
  <si>
    <t>Vitis vinifera subsp vinifera cv. Castiglione</t>
  </si>
  <si>
    <t>Vitis vinifera subsp vinifera cv. Catalanesca</t>
  </si>
  <si>
    <t>Vitis vinifera subsp vinifera cv. Catanese nero</t>
  </si>
  <si>
    <t>Vitis vinifera subsp vinifera cv. Catarratto bianco comune</t>
  </si>
  <si>
    <t>Vitis vinifera subsp vinifera cv. Catarratto bianco lucido</t>
  </si>
  <si>
    <t>Vitis vinifera subsp vinifera cv. Catarratto nero</t>
  </si>
  <si>
    <t>Vitis vinifera subsp vinifera cv. Centennial seedless</t>
  </si>
  <si>
    <t>Vitis vinifera subsp vinifera cv. Centorotolli</t>
  </si>
  <si>
    <t>Vitis vinifera subsp vinifera cv. Cep rouge</t>
  </si>
  <si>
    <t>Vitis vinifera subsp vinifera cv. Cercial du Dão</t>
  </si>
  <si>
    <t>Vitis vinifera subsp vinifera cv. Cereza</t>
  </si>
  <si>
    <t>Vitis vinifera subsp vinifera cv. Cesanese comune</t>
  </si>
  <si>
    <t>Vitis vinifera subsp vinifera cv. César</t>
  </si>
  <si>
    <t>Vitis vinifera subsp vinifera cv. Chaani biely</t>
  </si>
  <si>
    <t>Vitis vinifera subsp vinifera cv. Chaani tchernii</t>
  </si>
  <si>
    <t>Vitis vinifera subsp vinifera cv. Chahnani</t>
  </si>
  <si>
    <t>Vitis vinifera subsp vinifera cv. Chaillaud</t>
  </si>
  <si>
    <t>Vitis vinifera subsp vinifera cv. Chakar angour de Tachkent</t>
  </si>
  <si>
    <t>Vitis vinifera subsp vinifera cv. Chalosse noire</t>
  </si>
  <si>
    <t>Vitis vinifera subsp vinifera cv. Chalosse noire = Négret castrais</t>
  </si>
  <si>
    <t>Vitis vinifera subsp vinifera cv. Chami</t>
  </si>
  <si>
    <t>Vitis vinifera subsp vinifera cv. Chany gris</t>
  </si>
  <si>
    <t>Vitis vinifera subsp vinifera cv. Chaouch blanc</t>
  </si>
  <si>
    <t>Vitis vinifera subsp vinifera cv. Chaouch rose</t>
  </si>
  <si>
    <t>Vitis vinifera subsp vinifera cv. Chaptal</t>
  </si>
  <si>
    <t>Vitis vinifera subsp vinifera cv. Chardonnay</t>
  </si>
  <si>
    <t>Vitis vinifera subsp vinifera cv. Chardonnay musqué</t>
  </si>
  <si>
    <t>Vitis vinifera subsp vinifera cv. Chardonnay rose</t>
  </si>
  <si>
    <t>Vitis vinifera subsp vinifera cv. Charmont</t>
  </si>
  <si>
    <t>Vitis vinifera subsp vinifera cv. Chasan = INRA 1527-78</t>
  </si>
  <si>
    <t>Vitis vinifera subsp vinifera cv. Chasselas</t>
  </si>
  <si>
    <t>Vitis vinifera subsp vinifera cv. Chasselas apyrène</t>
  </si>
  <si>
    <t>Vitis vinifera subsp vinifera cv. Chasselas des Bouches du Rhône</t>
  </si>
  <si>
    <t>Vitis vinifera subsp vinifera cv. Chasselas Duhamel</t>
  </si>
  <si>
    <t>Vitis vinifera subsp vinifera cv. Chasselas Impérial Oberlin</t>
  </si>
  <si>
    <t>Vitis vinifera subsp vinifera cv. Chasselas lacinifolié</t>
  </si>
  <si>
    <t>Vitis vinifera subsp vinifera cv. Chasselas Michel Tompa</t>
  </si>
  <si>
    <t>Vitis vinifera subsp vinifera cv. Chasselas musqué</t>
  </si>
  <si>
    <t>Vitis vinifera subsp vinifera cv. Chasselas noir</t>
  </si>
  <si>
    <t>Vitis vinifera subsp vinifera cv. Chasselas rose</t>
  </si>
  <si>
    <t>Vitis vinifera subsp vinifera cv. Chasselas rose royal</t>
  </si>
  <si>
    <t>Vitis vinifera subsp vinifera cv. Chasselas rouge</t>
  </si>
  <si>
    <t>Vitis vinifera subsp vinifera cv. Chasselas tétraploïde</t>
  </si>
  <si>
    <t>Vitis vinifera subsp vinifera cv. Chasselas violet</t>
  </si>
  <si>
    <t>Vitis vinifera subsp vinifera cv. Chatus</t>
  </si>
  <si>
    <t>Vitis vinifera subsp vinifera cv. Chenanson = INRA 1509-149</t>
  </si>
  <si>
    <t>Vitis vinifera subsp vinifera cv. Chenin</t>
  </si>
  <si>
    <t>Vitis vinifera subsp vinifera cv. Chichaud</t>
  </si>
  <si>
    <t>Vitis vinifera subsp vinifera cv. Chikki</t>
  </si>
  <si>
    <t>Vitis vinifera subsp vinifera cv. Chirai</t>
  </si>
  <si>
    <t>Vitis vinifera subsp vinifera cv. Chiroka Melnichka = Melnik</t>
  </si>
  <si>
    <t>Vitis vinifera subsp vinifera cv. Chirvan chakhi</t>
  </si>
  <si>
    <t>Vitis vinifera subsp vinifera cv. Chouchillon</t>
  </si>
  <si>
    <t>Vitis vinifera subsp vinifera cv. Christmas rose</t>
  </si>
  <si>
    <t>Vitis vinifera subsp vinifera cv. Chtour angour</t>
  </si>
  <si>
    <t>Vitis vinifera subsp vinifera cv. Ciclopica = Pirovano 60</t>
  </si>
  <si>
    <t>Vitis vinifera subsp vinifera cv. Ciganyszölö</t>
  </si>
  <si>
    <t>Vitis vinifera subsp vinifera cv. Ciliegiolo</t>
  </si>
  <si>
    <t>Vitis vinifera subsp vinifera cv. Cinsaut</t>
  </si>
  <si>
    <t>Vitis vinifera subsp vinifera cv. Cinsaut Bouschet</t>
  </si>
  <si>
    <t>Vitis vinifera subsp vinifera cv. Cioinic</t>
  </si>
  <si>
    <t>Vitis vinifera subsp vinifera cv. Circé</t>
  </si>
  <si>
    <t>Vitis vinifera subsp vinifera cv. Citana</t>
  </si>
  <si>
    <t>Vitis vinifera subsp vinifera cv. Citronelle</t>
  </si>
  <si>
    <t>Vitis vinifera subsp vinifera cv. Citronelle x Aramon</t>
  </si>
  <si>
    <t>Vitis vinifera subsp vinifera cv. Clairette</t>
  </si>
  <si>
    <t>Vitis vinifera subsp vinifera cv. Clairette Mazel</t>
  </si>
  <si>
    <t>Vitis vinifera subsp vinifera cv. Clairette rose</t>
  </si>
  <si>
    <t>Vitis vinifera subsp vinifera cv. Clairette x Beldi 36 L 2</t>
  </si>
  <si>
    <t>Vitis vinifera subsp vinifera cv. Clarin = INRA 573-11</t>
  </si>
  <si>
    <t>Vitis vinifera subsp vinifera cv. Claverie</t>
  </si>
  <si>
    <t>Vitis vinifera subsp vinifera cv. Claverie coulard</t>
  </si>
  <si>
    <t>Vitis vinifera subsp vinifera cv. Clotilde Prosperi = Prosperi 190</t>
  </si>
  <si>
    <t>Vitis vinifera subsp vinifera cv. Coada vulpii</t>
  </si>
  <si>
    <t>Vitis vinifera subsp vinifera cv. Coarna alba</t>
  </si>
  <si>
    <t>Vitis vinifera subsp vinifera cv. Coarna neagra</t>
  </si>
  <si>
    <t>Vitis vinifera subsp vinifera cv. Coarna rosie</t>
  </si>
  <si>
    <t>Vitis vinifera subsp vinifera cv. Cococciola</t>
  </si>
  <si>
    <t>Vitis vinifera subsp vinifera cv. Coda di volpe bianca</t>
  </si>
  <si>
    <t>Vitis vinifera subsp vinifera cv. Codega</t>
  </si>
  <si>
    <t>Vitis vinifera subsp vinifera cv. Codivarta</t>
  </si>
  <si>
    <t>Vitis vinifera subsp vinifera cv. Colman blanc</t>
  </si>
  <si>
    <t>Vitis vinifera subsp vinifera cv. Colombana nera</t>
  </si>
  <si>
    <t>Vitis vinifera subsp vinifera cv. Colombard</t>
  </si>
  <si>
    <t>Vitis vinifera subsp vinifera cv. Colombaud = Bouteillan blanc</t>
  </si>
  <si>
    <t>Vitis vinifera subsp vinifera cv. Colorino</t>
  </si>
  <si>
    <t>Vitis vinifera subsp vinifera cv. Completer</t>
  </si>
  <si>
    <t>Vitis vinifera subsp vinifera cv. Conca d'ora = Paulsen 152</t>
  </si>
  <si>
    <t>Vitis vinifera subsp vinifera cv. Conegliano 120</t>
  </si>
  <si>
    <t>Vitis vinifera subsp vinifera cv. Conegliano 199</t>
  </si>
  <si>
    <t>Vitis vinifera subsp vinifera cv. Conegliano 213</t>
  </si>
  <si>
    <t>Vitis vinifera subsp vinifera cv. Conegliano 218</t>
  </si>
  <si>
    <t>Vitis vinifera subsp vinifera cv. Constantinescu-Negreanu 2/13/8 (Victoria)</t>
  </si>
  <si>
    <t>Vitis vinifera subsp vinifera cv. Conte rosso = Pirovano 73</t>
  </si>
  <si>
    <t>Vitis vinifera subsp vinifera cv. Corbeau</t>
  </si>
  <si>
    <t>Vitis vinifera subsp vinifera cv. Corbina vicentina</t>
  </si>
  <si>
    <t>Vitis vinifera subsp vinifera cv. Corfiatis</t>
  </si>
  <si>
    <t>Vitis vinifera subsp vinifera cv. Corinthe blanc</t>
  </si>
  <si>
    <t>Vitis vinifera subsp vinifera cv. Corinthe noir</t>
  </si>
  <si>
    <t>Vitis vinifera subsp vinifera cv. Corinto bianco</t>
  </si>
  <si>
    <t>Vitis vinifera subsp vinifera cv. Corneille</t>
  </si>
  <si>
    <t>Vitis vinifera subsp vinifera cv. Cornet</t>
  </si>
  <si>
    <t>Vitis vinifera subsp vinifera cv. Cornichon violet</t>
  </si>
  <si>
    <t>Vitis vinifera subsp vinifera cv. Cornichon violet = Rosa menna di vacca</t>
  </si>
  <si>
    <t>Vitis vinifera subsp vinifera cv. Cornifesto</t>
  </si>
  <si>
    <t>Vitis vinifera subsp vinifera cv. Corniola bianca di Milazzo</t>
  </si>
  <si>
    <t>Vitis vinifera subsp vinifera cv. Corniola nera</t>
  </si>
  <si>
    <t>Vitis vinifera subsp vinifera cv. Corrin Seedless</t>
  </si>
  <si>
    <t>Vitis vinifera subsp vinifera cv. Cortese</t>
  </si>
  <si>
    <t>Vitis vinifera subsp vinifera cv. Corvina veronese</t>
  </si>
  <si>
    <t>Vitis vinifera subsp vinifera cv. Cot</t>
  </si>
  <si>
    <t>Vitis vinifera subsp vinifera cv. Cot de Chéragas</t>
  </si>
  <si>
    <t>Vitis vinifera subsp vinifera cv. Counoise</t>
  </si>
  <si>
    <t>Vitis vinifera subsp vinifera cv. Courbès</t>
  </si>
  <si>
    <t>Vitis vinifera subsp vinifera cv. Courbu</t>
  </si>
  <si>
    <t>Vitis vinifera subsp vinifera cv. Courbu noir</t>
  </si>
  <si>
    <t>Vitis vinifera subsp vinifera cv. Courtoisie</t>
  </si>
  <si>
    <t>Vitis vinifera subsp vinifera cv. Coutinho 6</t>
  </si>
  <si>
    <t>Vitis vinifera subsp vinifera cv. Crassostaphyllo</t>
  </si>
  <si>
    <t>Vitis vinifera subsp vinifera cv. Crimposie</t>
  </si>
  <si>
    <t>Vitis vinifera subsp vinifera cv. Crimson seedless</t>
  </si>
  <si>
    <t>Vitis vinifera subsp vinifera cv. Criolla chica 2</t>
  </si>
  <si>
    <t>Vitis vinifera subsp vinifera cv. Criolla mediana 2</t>
  </si>
  <si>
    <t>Vitis vinifera subsp vinifera cv. Criolla San Juanina</t>
  </si>
  <si>
    <t>Vitis vinifera subsp vinifera cv. Crista couleur d'ambre</t>
  </si>
  <si>
    <t>Vitis vinifera subsp vinifera cv. Croatina</t>
  </si>
  <si>
    <t>Vitis vinifera subsp vinifera cv. Croetto</t>
  </si>
  <si>
    <t>Vitis vinifera subsp vinifera cv. Crouchen</t>
  </si>
  <si>
    <t>Vitis vinifera subsp vinifera cv. Cruciulita</t>
  </si>
  <si>
    <t>Vitis vinifera subsp vinifera cv. Crujidera</t>
  </si>
  <si>
    <t>Vitis vinifera subsp vinifera cv. Crujillon</t>
  </si>
  <si>
    <t>Vitis vinifera subsp vinifera cv. Crvena slaubanic</t>
  </si>
  <si>
    <t>Vitis vinifera subsp vinifera cv. Crystal (Afrique du Sud)</t>
  </si>
  <si>
    <t>Vitis vinifera subsp vinifera cv. Crystal (Etats-Unis)</t>
  </si>
  <si>
    <t>Vitis vinifera subsp vinifera cv. Csoka szöllö</t>
  </si>
  <si>
    <t>Vitis vinifera subsp vinifera cv. Csomorika</t>
  </si>
  <si>
    <t>Vitis vinifera subsp vinifera cv. Cualtaccio</t>
  </si>
  <si>
    <t>Vitis vinifera subsp vinifera cv. Curisti</t>
  </si>
  <si>
    <t>Vitis vinifera subsp vinifera cv. Cyperntraube</t>
  </si>
  <si>
    <t>Vitis vinifera subsp vinifera cv. Dabouki</t>
  </si>
  <si>
    <t>Vitis vinifera subsp vinifera cv. Dalmasso III-33</t>
  </si>
  <si>
    <t>Vitis vinifera subsp vinifera cv. Dalmasso IX-1</t>
  </si>
  <si>
    <t>Vitis vinifera subsp vinifera cv. Dalmasso VIII-5</t>
  </si>
  <si>
    <t>Vitis vinifera subsp vinifera cv. Dalmasso VII-9</t>
  </si>
  <si>
    <t>Vitis vinifera subsp vinifera cv. Dalmasso VI-17</t>
  </si>
  <si>
    <t>Vitis vinifera subsp vinifera cv. Dalmasso VI-24</t>
  </si>
  <si>
    <t>Vitis vinifera subsp vinifera cv. Dalmasso VI-6</t>
  </si>
  <si>
    <t>Vitis vinifera subsp vinifera cv. Dalmasso XI-20</t>
  </si>
  <si>
    <t>Vitis vinifera subsp vinifera cv. Dalmasso XI-8</t>
  </si>
  <si>
    <t>Vitis vinifera subsp vinifera cv. Dalmasso XVIII-1</t>
  </si>
  <si>
    <t>Vitis vinifera subsp vinifera cv. Damas rouge</t>
  </si>
  <si>
    <t>Vitis vinifera subsp vinifera cv. Dameret</t>
  </si>
  <si>
    <t>Vitis vinifera subsp vinifera cv. Dameron</t>
  </si>
  <si>
    <t>Vitis vinifera subsp vinifera cv. Danam = INRA 1551-6</t>
  </si>
  <si>
    <t>Vitis vinifera subsp vinifera cv. Danlas = INRA 1548-20</t>
  </si>
  <si>
    <t>Vitis vinifera subsp vinifera cv. Danugue</t>
  </si>
  <si>
    <t>Vitis vinifera subsp vinifera cv. Danuta = INRA 1992-3</t>
  </si>
  <si>
    <t>Vitis vinifera subsp vinifera cv. Daphni</t>
  </si>
  <si>
    <t>Vitis vinifera subsp vinifera cv. Daranyi Ignac</t>
  </si>
  <si>
    <t>Vitis vinifera subsp vinifera cv. Darkaïa</t>
  </si>
  <si>
    <t>Vitis vinifera subsp vinifera cv. Dastatchine</t>
  </si>
  <si>
    <t>Vitis vinifera subsp vinifera cv. Datal = INRA 753-54</t>
  </si>
  <si>
    <t>Vitis vinifera subsp vinifera cv. Dattier de Beyrouth</t>
  </si>
  <si>
    <t>Vitis vinifera subsp vinifera cv. Dattier noir</t>
  </si>
  <si>
    <t>Vitis vinifera subsp vinifera cv. Dauphine</t>
  </si>
  <si>
    <t>Vitis vinifera subsp vinifera cv. David = Pirovano 109</t>
  </si>
  <si>
    <t>Vitis vinifera subsp vinifera cv. Dawn seedless</t>
  </si>
  <si>
    <t>Vitis vinifera subsp vinifera cv. De Hengril</t>
  </si>
  <si>
    <t>Vitis vinifera subsp vinifera cv. Debina</t>
  </si>
  <si>
    <t>Vitis vinifera subsp vinifera cv. Dedo de dama</t>
  </si>
  <si>
    <t>Vitis vinifera subsp vinifera cv. Delhro = JA148-59 SRLH</t>
  </si>
  <si>
    <t>Vitis vinifera subsp vinifera cv. Delight</t>
  </si>
  <si>
    <t>Vitis vinifera subsp vinifera cv. Delizia di Vaprio = Pirovano 46 a</t>
  </si>
  <si>
    <t>Vitis vinifera subsp vinifera cv. Delizia gialla = Pirovano 266</t>
  </si>
  <si>
    <t>Vitis vinifera subsp vinifera cv. Demir kara</t>
  </si>
  <si>
    <t>Vitis vinifera subsp vinifera cv. Derani</t>
  </si>
  <si>
    <t>Vitis vinifera subsp vinifera cv. Dermatas</t>
  </si>
  <si>
    <t>Vitis vinifera subsp vinifera cv. Diagalves</t>
  </si>
  <si>
    <t>Vitis vinifera subsp vinifera cv. Diamante nero = Pirovano 87</t>
  </si>
  <si>
    <t>Vitis vinifera subsp vinifera cv. Diamanttraube</t>
  </si>
  <si>
    <t>Vitis vinifera subsp vinifera cv. Diana</t>
  </si>
  <si>
    <t>Vitis vinifera subsp vinifera cv. Dimiat</t>
  </si>
  <si>
    <t>Vitis vinifera subsp vinifera cv. Diminitis</t>
  </si>
  <si>
    <t>Vitis vinifera subsp vinifera cv. Dimrit</t>
  </si>
  <si>
    <t>Vitis vinifera subsp vinifera cv. Dinka feher</t>
  </si>
  <si>
    <t>Vitis vinifera subsp vinifera cv. Dinka vörös</t>
  </si>
  <si>
    <t>Vitis vinifera subsp vinifera cv. Dinka zöld</t>
  </si>
  <si>
    <t>Vitis vinifera subsp vinifera cv. Diolinoir</t>
  </si>
  <si>
    <t>Vitis vinifera subsp vinifera cv. Directeur Tisserand</t>
  </si>
  <si>
    <t>Vitis vinifera subsp vinifera cv. Divromo</t>
  </si>
  <si>
    <t>Vitis vinifera subsp vinifera cv. Djandjal kara</t>
  </si>
  <si>
    <t>Vitis vinifera subsp vinifera cv. Djoura ousum</t>
  </si>
  <si>
    <t>Vitis vinifera subsp vinifera cv. Dlinnokhvosty</t>
  </si>
  <si>
    <t>Vitis vinifera subsp vinifera cv. Dobricic</t>
  </si>
  <si>
    <t>Vitis vinifera subsp vinifera cv. Doçal grande</t>
  </si>
  <si>
    <t>Vitis vinifera subsp vinifera cv. Dokay</t>
  </si>
  <si>
    <t>Vitis vinifera subsp vinifera cv. Dolcetto</t>
  </si>
  <si>
    <t>Vitis vinifera subsp vinifera cv. Dolosata</t>
  </si>
  <si>
    <t>Vitis vinifera subsp vinifera cv. Dominga</t>
  </si>
  <si>
    <t>Vitis vinifera subsp vinifera cv. Domvrena aspri</t>
  </si>
  <si>
    <t>Vitis vinifera subsp vinifera cv. Domvrena mavri</t>
  </si>
  <si>
    <t>Vitis vinifera subsp vinifera cv. Don Bueno</t>
  </si>
  <si>
    <t>Vitis vinifera subsp vinifera cv. Don Mariano</t>
  </si>
  <si>
    <t>Vitis vinifera subsp vinifera cv. Dona branca</t>
  </si>
  <si>
    <t>Vitis vinifera subsp vinifera cv. Dona Maria = Leao Ferreira da Almeida 31-54-41</t>
  </si>
  <si>
    <t>Vitis vinifera subsp vinifera cv. Dongine</t>
  </si>
  <si>
    <t>Vitis vinifera subsp vinifera cv. Donzelinho</t>
  </si>
  <si>
    <t>Vitis vinifera subsp vinifera cv. Donzelinho do Castelo</t>
  </si>
  <si>
    <t>Vitis vinifera subsp vinifera cv. Doradilla</t>
  </si>
  <si>
    <t>Vitis vinifera subsp vinifera cv. Doral</t>
  </si>
  <si>
    <t>Vitis vinifera subsp vinifera cv. Dorona di Venezia</t>
  </si>
  <si>
    <t>Vitis vinifera subsp vinifera cv. Douradinha</t>
  </si>
  <si>
    <t>Vitis vinifera subsp vinifera cv. Doux d'Henry</t>
  </si>
  <si>
    <t>Vitis vinifera subsp vinifera cv. Dronkane</t>
  </si>
  <si>
    <t>Vitis vinifera subsp vinifera cv. Duc d'Anjou</t>
  </si>
  <si>
    <t>Vitis vinifera subsp vinifera cv. Duc de Magenta</t>
  </si>
  <si>
    <t>Vitis vinifera subsp vinifera cv. Duchess of Buccleugh</t>
  </si>
  <si>
    <t>Vitis vinifera subsp vinifera cv. Duras</t>
  </si>
  <si>
    <t>Vitis vinifera subsp vinifera cv. Durella</t>
  </si>
  <si>
    <t>Vitis vinifera subsp vinifera cv. Dureza</t>
  </si>
  <si>
    <t>Vitis vinifera subsp vinifera cv. Durif</t>
  </si>
  <si>
    <t>Vitis vinifera subsp vinifera cv. Early Cardinal</t>
  </si>
  <si>
    <t>Vitis vinifera subsp vinifera cv. Early Muscat</t>
  </si>
  <si>
    <t>Vitis vinifera subsp vinifera cv. Ederena</t>
  </si>
  <si>
    <t>Vitis vinifera subsp vinifera cv. Egiodola</t>
  </si>
  <si>
    <t>Vitis vinifera subsp vinifera cv. Ehrenfelser = Gm 9-93</t>
  </si>
  <si>
    <t>Vitis vinifera subsp vinifera cv. Einuni</t>
  </si>
  <si>
    <t>Vitis vinifera subsp vinifera cv. Ekigaïna</t>
  </si>
  <si>
    <t>Vitis vinifera subsp vinifera cv. Ekim kara</t>
  </si>
  <si>
    <t>Vitis vinifera subsp vinifera cv. El Biod</t>
  </si>
  <si>
    <t>Vitis vinifera subsp vinifera cv. El Farryali</t>
  </si>
  <si>
    <t>Vitis vinifera subsp vinifera cv. El Gouz</t>
  </si>
  <si>
    <t>Vitis vinifera subsp vinifera cv. Elbling</t>
  </si>
  <si>
    <t>Vitis vinifera subsp vinifera cv. Elbling blau</t>
  </si>
  <si>
    <t>Vitis vinifera subsp vinifera cv. Elbling rose</t>
  </si>
  <si>
    <t>Vitis vinifera subsp vinifera cv. Elbling rot</t>
  </si>
  <si>
    <t>Vitis vinifera subsp vinifera cv. Elizabeth Krasnay</t>
  </si>
  <si>
    <t>Vitis vinifera subsp vinifera cv. Emerald Riesling</t>
  </si>
  <si>
    <t>Vitis vinifera subsp vinifera cv. Emerald seedless</t>
  </si>
  <si>
    <t>Vitis vinifera subsp vinifera cv. Emilia = Dalmasso VI-3</t>
  </si>
  <si>
    <t>Vitis vinifera subsp vinifera cv. Emperor</t>
  </si>
  <si>
    <t>Vitis vinifera subsp vinifera cv. Emperor seedless</t>
  </si>
  <si>
    <t>Vitis vinifera subsp vinifera cv. Empibotte</t>
  </si>
  <si>
    <t>Vitis vinifera subsp vinifera cv. En Kövidinkam</t>
  </si>
  <si>
    <t>Vitis vinifera subsp vinifera cv. Encruzado</t>
  </si>
  <si>
    <t>Vitis vinifera subsp vinifera cv. Enfariné</t>
  </si>
  <si>
    <t>Vitis vinifera subsp vinifera cv. Enfariné gris</t>
  </si>
  <si>
    <t>Vitis vinifera subsp vinifera cv. Epero de Gall</t>
  </si>
  <si>
    <t>Vitis vinifera subsp vinifera cv. Epinou</t>
  </si>
  <si>
    <t>Vitis vinifera subsp vinifera cv. Erbaluce</t>
  </si>
  <si>
    <t>Vitis vinifera subsp vinifera cv. Erdeifeher</t>
  </si>
  <si>
    <t>Vitis vinifera subsp vinifera cv. Espadeiro branco</t>
  </si>
  <si>
    <t>Vitis vinifera subsp vinifera cv. Espadeiro tinto</t>
  </si>
  <si>
    <t>Vitis vinifera subsp vinifera cv. Estaca saoumo</t>
  </si>
  <si>
    <t>Vitis vinifera subsp vinifera cv. Etraire de la Dui</t>
  </si>
  <si>
    <t>Vitis vinifera subsp vinifera cv. Exalta</t>
  </si>
  <si>
    <t>Vitis vinifera subsp vinifera cv. Exbrayat</t>
  </si>
  <si>
    <t>Vitis vinifera subsp vinifera cv. Exotic</t>
  </si>
  <si>
    <t>Vitis vinifera subsp vinifera cv. Ezereves Magyarorszag Emleke</t>
  </si>
  <si>
    <t>Vitis vinifera subsp vinifera cv. Ezerjo</t>
  </si>
  <si>
    <t>Vitis vinifera subsp vinifera cv. F. Lantini = Pirovano 263</t>
  </si>
  <si>
    <t>Vitis vinifera subsp vinifera cv. F 10-79</t>
  </si>
  <si>
    <t>Vitis vinifera subsp vinifera cv. Faberrebe = Alzey 10375</t>
  </si>
  <si>
    <t>Vitis vinifera subsp vinifera cv. Faddy zsiga dinka</t>
  </si>
  <si>
    <t>Vitis vinifera subsp vinifera cv. Fakhri</t>
  </si>
  <si>
    <t>Vitis vinifera subsp vinifera cv. Falanghina</t>
  </si>
  <si>
    <t>Vitis vinifera subsp vinifera cv. Fantasy seedless</t>
  </si>
  <si>
    <t>Vitis vinifera subsp vinifera cv. Farana noir</t>
  </si>
  <si>
    <t>Vitis vinifera subsp vinifera cv. Farbfränkisch</t>
  </si>
  <si>
    <t>Vitis vinifera subsp vinifera cv. Fatima</t>
  </si>
  <si>
    <t>Vitis vinifera subsp vinifera cv. Fatma</t>
  </si>
  <si>
    <t>Vitis vinifera subsp vinifera cv. Faux Courbu noir</t>
  </si>
  <si>
    <t>Vitis vinifera subsp vinifera cv. Faux Mauzac blanc</t>
  </si>
  <si>
    <t>Vitis vinifera subsp vinifera cv. Fayoumi</t>
  </si>
  <si>
    <t>Vitis vinifera subsp vinifera cv. Feher Kövidinka</t>
  </si>
  <si>
    <t>Vitis vinifera subsp vinifera cv. Feinriesling</t>
  </si>
  <si>
    <t>Vitis vinifera subsp vinifera cv. Fer</t>
  </si>
  <si>
    <t>Vitis vinifera subsp vinifera cv. Ferlé de Pegões = Leao Ferreira da Almeida 17-48-1</t>
  </si>
  <si>
    <t>Vitis vinifera subsp vinifera cv. Ferlé 76 = Leao Ferreira da Almeida 34-49-76</t>
  </si>
  <si>
    <t>Vitis vinifera subsp vinifera cv. Fernand rose</t>
  </si>
  <si>
    <t>Vitis vinifera subsp vinifera cv. Fernao Pires</t>
  </si>
  <si>
    <t>Vitis vinifera subsp vinifera cv. Ferral</t>
  </si>
  <si>
    <t>Vitis vinifera subsp vinifera cv. Ferral tamara</t>
  </si>
  <si>
    <t>Vitis vinifera subsp vinifera cv. Feteasca neagra</t>
  </si>
  <si>
    <t>Vitis vinifera subsp vinifera cv. Feteasca regala</t>
  </si>
  <si>
    <t>Vitis vinifera subsp vinifera cv. Feunate</t>
  </si>
  <si>
    <t>Vitis vinifera subsp vinifera cv. Fiano</t>
  </si>
  <si>
    <t>Vitis vinifera subsp vinifera cv. Fiesta</t>
  </si>
  <si>
    <t>Vitis vinifera subsp vinifera cv. Findling = Kimmig KP 1</t>
  </si>
  <si>
    <t>Vitis vinifera subsp vinifera cv. Fintendo</t>
  </si>
  <si>
    <t>Vitis vinifera subsp vinifera cv. Firnriesling</t>
  </si>
  <si>
    <t>Vitis vinifera subsp vinifera cv. Fitzrebe</t>
  </si>
  <si>
    <t>Vitis vinifera subsp vinifera cv. Flame seedless</t>
  </si>
  <si>
    <t>Vitis vinifera subsp vinifera cv. Flaming rose</t>
  </si>
  <si>
    <t>Vitis vinifera subsp vinifera cv. Fleur de Kecskemet</t>
  </si>
  <si>
    <t>Vitis vinifera subsp vinifera cv. Flora</t>
  </si>
  <si>
    <t>Vitis vinifera subsp vinifera cv. Focca</t>
  </si>
  <si>
    <t>Vitis vinifera subsp vinifera cv. Fogarina</t>
  </si>
  <si>
    <t>Vitis vinifera subsp vinifera cv. Foglia tonda</t>
  </si>
  <si>
    <t>Vitis vinifera subsp vinifera cv. Fogoneu</t>
  </si>
  <si>
    <t>Vitis vinifera subsp vinifera cv. Folignan</t>
  </si>
  <si>
    <t>Vitis vinifera subsp vinifera cv. Folle blanche</t>
  </si>
  <si>
    <t>Vitis vinifera subsp vinifera cv. Folle blanche du Minervois</t>
  </si>
  <si>
    <t>Vitis vinifera subsp vinifera cv. Fondo de Orza</t>
  </si>
  <si>
    <t>Vitis vinifera subsp vinifera cv. Forastera</t>
  </si>
  <si>
    <t>Vitis vinifera subsp vinifera cv. Forastera (Iles Canaries)</t>
  </si>
  <si>
    <t>Vitis vinifera subsp vinifera cv. Forcalla</t>
  </si>
  <si>
    <t>Vitis vinifera subsp vinifera cv. Forcellina</t>
  </si>
  <si>
    <t>Vitis vinifera subsp vinifera cv. Formosa = Pirovano 245</t>
  </si>
  <si>
    <t>Vitis vinifera subsp vinifera cv. Fortana</t>
  </si>
  <si>
    <t>Vitis vinifera subsp vinifera cv. Foster's white seedling</t>
  </si>
  <si>
    <t>Vitis vinifera subsp vinifera cv. Fotcha</t>
  </si>
  <si>
    <t>Vitis vinifera subsp vinifera cv. Franc noir de la Haute-Saône</t>
  </si>
  <si>
    <t>Vitis vinifera subsp vinifera cv. Francavidda</t>
  </si>
  <si>
    <t>Vitis vinifera subsp vinifera cv. François Ier</t>
  </si>
  <si>
    <t>Vitis vinifera subsp vinifera cv. François noir</t>
  </si>
  <si>
    <t>Vitis vinifera subsp vinifera cv. Francuse</t>
  </si>
  <si>
    <t>Vitis vinifera subsp vinifera cv. Frankamon</t>
  </si>
  <si>
    <t>Vitis vinifera subsp vinifera cv. Frankenthal</t>
  </si>
  <si>
    <t>Vitis vinifera subsp vinifera cv. Frankenthal rose foncé</t>
  </si>
  <si>
    <t>Vitis vinifera subsp vinifera cv. Frankenthal rouge foncé</t>
  </si>
  <si>
    <t>Vitis vinifera subsp vinifera cv. Frappato di Vittoria</t>
  </si>
  <si>
    <t>Vitis vinifera subsp vinifera cv. Fredericton</t>
  </si>
  <si>
    <t>Vitis vinifera subsp vinifera cv. Freisa</t>
  </si>
  <si>
    <t>Vitis vinifera subsp vinifera cv. Freisamer</t>
  </si>
  <si>
    <t>Vitis vinifera subsp vinifera cv. Frühgipfler I</t>
  </si>
  <si>
    <t>Vitis vinifera subsp vinifera cv. Frühmuscat Oberlin</t>
  </si>
  <si>
    <t>Vitis vinifera subsp vinifera cv. Frühriesling</t>
  </si>
  <si>
    <t>Vitis vinifera subsp vinifera cv. Fruttuosa = Pirovano 27</t>
  </si>
  <si>
    <t>Vitis vinifera subsp vinifera cv. Fuella nera</t>
  </si>
  <si>
    <t>Vitis vinifera subsp vinifera cv. Fulgens = Pirovano 347</t>
  </si>
  <si>
    <t>Vitis vinifera subsp vinifera cv. Fumin</t>
  </si>
  <si>
    <t>Vitis vinifera subsp vinifera cv. Furjmony feher</t>
  </si>
  <si>
    <t>Vitis vinifera subsp vinifera cv. Furmint</t>
  </si>
  <si>
    <t>Vitis vinifera subsp vinifera cv. Furmint piros</t>
  </si>
  <si>
    <t>Vitis vinifera subsp vinifera cv. Furmint valtözö</t>
  </si>
  <si>
    <t>Vitis vinifera subsp vinifera cv. Fürstentraube</t>
  </si>
  <si>
    <t>Vitis vinifera subsp vinifera cv. Fusca = Pirovano 142</t>
  </si>
  <si>
    <t>Vitis vinifera subsp vinifera cv. G. Molon = Pirovano 102</t>
  </si>
  <si>
    <t>Vitis vinifera subsp vinifera cv. G 367-49 SRLH</t>
  </si>
  <si>
    <t>Vitis vinifera subsp vinifera cv. Gaglioppo</t>
  </si>
  <si>
    <t>Vitis vinifera subsp vinifera cv. Gaïdouria</t>
  </si>
  <si>
    <t>Vitis vinifera subsp vinifera cv. Galbena de Odobesti</t>
  </si>
  <si>
    <t>Vitis vinifera subsp vinifera cv. Galbena uriasa</t>
  </si>
  <si>
    <t>Vitis vinifera subsp vinifera cv. Galbena verde</t>
  </si>
  <si>
    <t>Vitis vinifera subsp vinifera cv. Galego de Montemor</t>
  </si>
  <si>
    <t>Vitis vinifera subsp vinifera cv. Galego dourado</t>
  </si>
  <si>
    <t>Vitis vinifera subsp vinifera cv. Galotta</t>
  </si>
  <si>
    <t>Vitis vinifera subsp vinifera cv. Galvani = Pirovano 86</t>
  </si>
  <si>
    <t>Vitis vinifera subsp vinifera cv. Gamarelha branca</t>
  </si>
  <si>
    <t>Vitis vinifera subsp vinifera cv. Gamaret</t>
  </si>
  <si>
    <t>Vitis vinifera subsp vinifera cv. Gamay</t>
  </si>
  <si>
    <t>Vitis vinifera subsp vinifera cv. Gamay à fleurs doubles</t>
  </si>
  <si>
    <t>Vitis vinifera subsp vinifera cv. Gamay blanc Gloriod</t>
  </si>
  <si>
    <t>Vitis vinifera subsp vinifera cv. Gamay Castille</t>
  </si>
  <si>
    <t>Vitis vinifera subsp vinifera cv. Gamay Castille mutation blanche</t>
  </si>
  <si>
    <t>Vitis vinifera subsp vinifera cv. Gamay de Bouze</t>
  </si>
  <si>
    <t>Vitis vinifera subsp vinifera cv. Gamay de Chaudenay</t>
  </si>
  <si>
    <t>Vitis vinifera subsp vinifera cv. Gamay Fréaux</t>
  </si>
  <si>
    <t>Vitis vinifera subsp vinifera cv. Gamay gris</t>
  </si>
  <si>
    <t>Vitis vinifera subsp vinifera cv. Gamay mourot</t>
  </si>
  <si>
    <t>Vitis vinifera subsp vinifera cv. Gamay précoce noir</t>
  </si>
  <si>
    <t>Vitis vinifera subsp vinifera cv. Gamza de Varna</t>
  </si>
  <si>
    <t>Vitis vinifera subsp vinifera cv. Ganson = INRA 1509-73</t>
  </si>
  <si>
    <t>Vitis vinifera subsp vinifera cv. Gantziandan</t>
  </si>
  <si>
    <t>Vitis vinifera subsp vinifera cv. Garandmak</t>
  </si>
  <si>
    <t>Vitis vinifera subsp vinifera cv. Garganega</t>
  </si>
  <si>
    <t>Vitis vinifera subsp vinifera cv. Garrido fino</t>
  </si>
  <si>
    <t>Vitis vinifera subsp vinifera cv. Garrido macho</t>
  </si>
  <si>
    <t>Vitis vinifera subsp vinifera cv. Gascon</t>
  </si>
  <si>
    <t>Vitis vinifera subsp vinifera cv. Gateta</t>
  </si>
  <si>
    <t>Vitis vinifera subsp vinifera cv. Gegic</t>
  </si>
  <si>
    <t>Vitis vinifera subsp vinifera cv. Gelbholzer blau</t>
  </si>
  <si>
    <t>Vitis vinifera subsp vinifera cv. Gemre</t>
  </si>
  <si>
    <t>Vitis vinifera subsp vinifera cv. Général de la Marmora</t>
  </si>
  <si>
    <t>Vitis vinifera subsp vinifera cv. Général de la Marmora faux</t>
  </si>
  <si>
    <t>Vitis vinifera subsp vinifera cv. Genk Uzum</t>
  </si>
  <si>
    <t>Vitis vinifera subsp vinifera cv. Genouillet</t>
  </si>
  <si>
    <t>Vitis vinifera subsp vinifera cv. Genovèse</t>
  </si>
  <si>
    <t>Vitis vinifera subsp vinifera cv. Gewürztraminer</t>
  </si>
  <si>
    <t>Vitis vinifera subsp vinifera cv. Gheméra</t>
  </si>
  <si>
    <t>Vitis vinifera subsp vinifera cv. Ghiouroukiko</t>
  </si>
  <si>
    <t>Vitis vinifera subsp vinifera cv. Gholadon</t>
  </si>
  <si>
    <t>Vitis vinifera subsp vinifera cv. Gibert</t>
  </si>
  <si>
    <t>Vitis vinifera subsp vinifera cv. Gibi</t>
  </si>
  <si>
    <t>Vitis vinifera subsp vinifera cv. Gierniolat</t>
  </si>
  <si>
    <t>Vitis vinifera subsp vinifera cv. Gildé</t>
  </si>
  <si>
    <t>Vitis vinifera subsp vinifera cv. Giro</t>
  </si>
  <si>
    <t>Vitis vinifera subsp vinifera cv. Giro (Iles Baléares)</t>
  </si>
  <si>
    <t>Vitis vinifera subsp vinifera cv. Glacière</t>
  </si>
  <si>
    <t>Vitis vinifera subsp vinifera cv. Gloria Hungariae</t>
  </si>
  <si>
    <t>Vitis vinifera subsp vinifera cv. Glycostaphyllo</t>
  </si>
  <si>
    <t>Vitis vinifera subsp vinifera cv. Goher</t>
  </si>
  <si>
    <t>Vitis vinifera subsp vinifera cv. Goher Piros</t>
  </si>
  <si>
    <t>Vitis vinifera subsp vinifera cv. Goher valtözö</t>
  </si>
  <si>
    <t>Vitis vinifera subsp vinifera cv. Gold</t>
  </si>
  <si>
    <t>Vitis vinifera subsp vinifera cv. Golden champion = Mill Hill Hamburg</t>
  </si>
  <si>
    <t>Vitis vinifera subsp vinifera cv. Golden Queen</t>
  </si>
  <si>
    <t>Vitis vinifera subsp vinifera cv. Goldriesling B</t>
  </si>
  <si>
    <t>Vitis vinifera subsp vinifera cv. Gora Chirine</t>
  </si>
  <si>
    <t>Vitis vinifera subsp vinifera cv. Gora Chirine rose</t>
  </si>
  <si>
    <t>Vitis vinifera subsp vinifera cv. Gordan</t>
  </si>
  <si>
    <t>Vitis vinifera subsp vinifera cv. Gordin</t>
  </si>
  <si>
    <t>Vitis vinifera subsp vinifera cv. Gordin gurguiat</t>
  </si>
  <si>
    <t>Vitis vinifera subsp vinifera cv. Gorgollosa</t>
  </si>
  <si>
    <t>Vitis vinifera subsp vinifera cv. Goron</t>
  </si>
  <si>
    <t>Vitis vinifera subsp vinifera cv. Gouais blanc</t>
  </si>
  <si>
    <t>Vitis vinifera subsp vinifera cv. Gouget</t>
  </si>
  <si>
    <t>Vitis vinifera subsp vinifera cv. Gounaïa</t>
  </si>
  <si>
    <t>Vitis vinifera subsp vinifera cv. Goustoulidi</t>
  </si>
  <si>
    <t>Vitis vinifera subsp vinifera cv. Goyura</t>
  </si>
  <si>
    <t>Vitis vinifera subsp vinifera cv. Gradiska</t>
  </si>
  <si>
    <t>Vitis vinifera subsp vinifera cv. Graisse</t>
  </si>
  <si>
    <t>Vitis vinifera subsp vinifera cv. Gramon = INRA 1740-774</t>
  </si>
  <si>
    <t>Vitis vinifera subsp vinifera cv. Grand Noir de la Calmette</t>
  </si>
  <si>
    <t>Vitis vinifera subsp vinifera cv. Granoir</t>
  </si>
  <si>
    <t>Vitis vinifera subsp vinifera cv. Grappenoux</t>
  </si>
  <si>
    <t>Vitis vinifera subsp vinifera cv. Grasa de Cotnari</t>
  </si>
  <si>
    <t>Vitis vinifera subsp vinifera cv. Grassen</t>
  </si>
  <si>
    <t>Vitis vinifera subsp vinifera cv. Grec blanc</t>
  </si>
  <si>
    <t>Vitis vinifera subsp vinifera cv. Grec rouge</t>
  </si>
  <si>
    <t>Vitis vinifera subsp vinifera cv. Grecanico</t>
  </si>
  <si>
    <t>Vitis vinifera subsp vinifera cv. Grechetto</t>
  </si>
  <si>
    <t>Vitis vinifera subsp vinifera cv. Greco bianco</t>
  </si>
  <si>
    <t>Vitis vinifera subsp vinifera cv. Greco bianco di tufo</t>
  </si>
  <si>
    <t>Vitis vinifera subsp vinifera cv. Greco nero</t>
  </si>
  <si>
    <t>Vitis vinifera subsp vinifera cv. Grenache</t>
  </si>
  <si>
    <t>Vitis vinifera subsp vinifera cv. Grenache blanc</t>
  </si>
  <si>
    <t>Vitis vinifera subsp vinifera cv. Grenache gris</t>
  </si>
  <si>
    <t>Vitis vinifera subsp vinifera cv. Grenache noir femelle</t>
  </si>
  <si>
    <t>Vitis vinifera subsp vinifera cv. Grignolino</t>
  </si>
  <si>
    <t>Vitis vinifera subsp vinifera cv. Grillo</t>
  </si>
  <si>
    <t>Vitis vinifera subsp vinifera cv. Gringet</t>
  </si>
  <si>
    <t>Vitis vinifera subsp vinifera cv. Grk</t>
  </si>
  <si>
    <t>Vitis vinifera subsp vinifera cv. Grolleau</t>
  </si>
  <si>
    <t>Vitis vinifera subsp vinifera cv. Grolleau blanc</t>
  </si>
  <si>
    <t>Vitis vinifera subsp vinifera cv. Grolleau gris</t>
  </si>
  <si>
    <t>Vitis vinifera subsp vinifera cv. Gropello di San Stefano</t>
  </si>
  <si>
    <t>Vitis vinifera subsp vinifera cv. Gropello gentile</t>
  </si>
  <si>
    <t>Vitis vinifera subsp vinifera cv. Gros Bec</t>
  </si>
  <si>
    <t>Vitis vinifera subsp vinifera cv. Gros Blanc</t>
  </si>
  <si>
    <t>Vitis vinifera subsp vinifera cv. Gros Bourgogne</t>
  </si>
  <si>
    <t>Vitis vinifera subsp vinifera cv. Gros Bouschet</t>
  </si>
  <si>
    <t>Vitis vinifera subsp vinifera cv. Gros Cabernet</t>
  </si>
  <si>
    <t>Vitis vinifera subsp vinifera cv. Gros Colman</t>
  </si>
  <si>
    <t>Vitis vinifera subsp vinifera cv. Gros Manseng</t>
  </si>
  <si>
    <t>Vitis vinifera subsp vinifera cv. Gros Manseng de Lucq</t>
  </si>
  <si>
    <t>Vitis vinifera subsp vinifera cv. Gros Manseng Meunier</t>
  </si>
  <si>
    <t>Vitis vinifera subsp vinifera cv. Gros Mansois</t>
  </si>
  <si>
    <t>Vitis vinifera subsp vinifera cv. Gros Maroc</t>
  </si>
  <si>
    <t>Vitis vinifera subsp vinifera cv. Gros noir des Beni Abès</t>
  </si>
  <si>
    <t>Vitis vinifera subsp vinifera cv. Gros Péjac</t>
  </si>
  <si>
    <t>Vitis vinifera subsp vinifera cv. Gros Verdot</t>
  </si>
  <si>
    <t>Vitis vinifera subsp vinifera cv. Gros Vert</t>
  </si>
  <si>
    <t>Vitis vinifera subsp vinifera cv. Gros Vert noir</t>
  </si>
  <si>
    <t>Vitis vinifera subsp vinifera cv. Grosse Jacquère</t>
  </si>
  <si>
    <t>Vitis vinifera subsp vinifera cv. Grosse Roussette</t>
  </si>
  <si>
    <t>Vitis vinifera subsp vinifera cv. Guadurea</t>
  </si>
  <si>
    <t>Vitis vinifera subsp vinifera cv. Gualarido</t>
  </si>
  <si>
    <t>Vitis vinifera subsp vinifera cv. Guarnaccia</t>
  </si>
  <si>
    <t>Vitis vinifera subsp vinifera cv. Gueuche blanc</t>
  </si>
  <si>
    <t>Vitis vinifera subsp vinifera cv. Gueuche noir</t>
  </si>
  <si>
    <t>Vitis vinifera subsp vinifera cv. Guignard de Saintours</t>
  </si>
  <si>
    <t>Vitis vinifera subsp vinifera cv. Guillany Imre</t>
  </si>
  <si>
    <t>Vitis vinifera subsp vinifera cv. Guillemot</t>
  </si>
  <si>
    <t>Vitis vinifera subsp vinifera cv. Guiouliabi dagestanskii</t>
  </si>
  <si>
    <t>Vitis vinifera subsp vinifera cv. Gustavne Szauter</t>
  </si>
  <si>
    <t>Vitis vinifera subsp vinifera cv. Gyöngy feher</t>
  </si>
  <si>
    <t>Vitis vinifera subsp vinifera cv. Gyöngy szölö</t>
  </si>
  <si>
    <t>Vitis vinifera subsp vinifera cv. Hadari</t>
  </si>
  <si>
    <t>Vitis vinifera subsp vinifera cv. Hagi ali negru</t>
  </si>
  <si>
    <t>Vitis vinifera subsp vinifera cv. Halholyag</t>
  </si>
  <si>
    <t>Vitis vinifera subsp vinifera cv. Hammami</t>
  </si>
  <si>
    <t>Vitis vinifera subsp vinifera cv. Hamvas</t>
  </si>
  <si>
    <t>Vitis vinifera subsp vinifera cv. Hängling blau</t>
  </si>
  <si>
    <t>Vitis vinifera subsp vinifera cv. Hansen rot</t>
  </si>
  <si>
    <t>Vitis vinifera subsp vinifera cv. Harslevelu</t>
  </si>
  <si>
    <t>Vitis vinifera subsp vinifera cv. Hasan dede</t>
  </si>
  <si>
    <t>Vitis vinifera subsp vinifera cv. Hebron blanc</t>
  </si>
  <si>
    <t>Vitis vinifera subsp vinifera cv. Hegedüs Sandor</t>
  </si>
  <si>
    <t>Vitis vinifera subsp vinifera cv. Hegoa</t>
  </si>
  <si>
    <t>Vitis vinifera subsp vinifera cv. Helfensteiner = We S 5332</t>
  </si>
  <si>
    <t>Vitis vinifera subsp vinifera cv. Henab</t>
  </si>
  <si>
    <t>Vitis vinifera subsp vinifera cv. Henab turki faux</t>
  </si>
  <si>
    <t>Vitis vinifera subsp vinifera cv. Heptakilo</t>
  </si>
  <si>
    <t>Vitis vinifera subsp vinifera cv. Heroldrebe = We S 130</t>
  </si>
  <si>
    <t>Vitis vinifera subsp vinifera cv. Heunisch blanc</t>
  </si>
  <si>
    <t>Vitis vinifera subsp vinifera cv. Heunisch noir</t>
  </si>
  <si>
    <t>Vitis vinifera subsp vinifera cv. Heunisch rose</t>
  </si>
  <si>
    <t>Vitis vinifera subsp vinifera cv. Hibou blanc</t>
  </si>
  <si>
    <t>Vitis vinifera subsp vinifera cv. Hibou noir</t>
  </si>
  <si>
    <t>Vitis vinifera subsp vinifera cv. Himoniatiko</t>
  </si>
  <si>
    <t>Vitis vinifera subsp vinifera cv. Honigler</t>
  </si>
  <si>
    <t>Vitis vinifera subsp vinifera cv. Horoz karasi</t>
  </si>
  <si>
    <t>Vitis vinifera subsp vinifera cv. Hosszunyelu</t>
  </si>
  <si>
    <t>Vitis vinifera subsp vinifera cv. Humagne blanche</t>
  </si>
  <si>
    <t>Vitis vinifera subsp vinifera cv. Humagne rouge</t>
  </si>
  <si>
    <t>Vitis vinifera subsp vinifera cv. Hunisa</t>
  </si>
  <si>
    <t>Vitis vinifera subsp vinifera cv. Hunyadi = Horty Miklosné</t>
  </si>
  <si>
    <t>Vitis vinifera subsp vinifera cv. Husseini (Afghanistan)</t>
  </si>
  <si>
    <t>Vitis vinifera subsp vinifera cv. Husseini (Etats-Unis)</t>
  </si>
  <si>
    <t>Vitis vinifera subsp vinifera cv. Huxelrebe = Alzey 3962</t>
  </si>
  <si>
    <t>Vitis vinifera subsp vinifera cv. Icod de los Vinos</t>
  </si>
  <si>
    <t>Vitis vinifera subsp vinifera cv. Ida</t>
  </si>
  <si>
    <t>Vitis vinifera subsp vinifera cv. Igherziz</t>
  </si>
  <si>
    <t>Vitis vinifera subsp vinifera cv. Ignea = Pirovano 185</t>
  </si>
  <si>
    <t>Vitis vinifera subsp vinifera cv. ¿illade du 1er Août</t>
  </si>
  <si>
    <t>Vitis vinifera subsp vinifera cv. Imperatriz</t>
  </si>
  <si>
    <t>Vitis vinifera subsp vinifera cv. Impero = Pirovano 264</t>
  </si>
  <si>
    <t>Vitis vinifera subsp vinifera cv. Impigno</t>
  </si>
  <si>
    <t>Vitis vinifera subsp vinifera cv. Inab el Mir</t>
  </si>
  <si>
    <t>Vitis vinifera subsp vinifera cv. Inconnu blanc</t>
  </si>
  <si>
    <t>Vitis vinifera subsp vinifera cv. Inconnu blanc de Jongieux</t>
  </si>
  <si>
    <t>Vitis vinifera subsp vinifera cv. Inconnu noir</t>
  </si>
  <si>
    <t>Vitis vinifera subsp vinifera cv. Ingram's Hardy Prolific</t>
  </si>
  <si>
    <t>Vitis vinifera subsp vinifera cv. Inzolia</t>
  </si>
  <si>
    <t>Vitis vinifera subsp vinifera cv. Irki</t>
  </si>
  <si>
    <t>Vitis vinifera subsp vinifera cv. Irsay Oliver</t>
  </si>
  <si>
    <t>Vitis vinifera subsp vinifera cv. Isa = INRA 2012-55</t>
  </si>
  <si>
    <t>Vitis vinifera subsp vinifera cv. Ispisari</t>
  </si>
  <si>
    <t>Vitis vinifera subsp vinifera cv. Italia = Pirovano 65</t>
  </si>
  <si>
    <t>Vitis vinifera subsp vinifera cv. Italia rubi</t>
  </si>
  <si>
    <t>Vitis vinifera subsp vinifera cv. Itchkimar biely</t>
  </si>
  <si>
    <t>Vitis vinifera subsp vinifera cv. Ithaki</t>
  </si>
  <si>
    <t>Vitis vinifera subsp vinifera cv. Itshkimar</t>
  </si>
  <si>
    <t>Vitis vinifera subsp vinifera cv. Ivan</t>
  </si>
  <si>
    <t>Vitis vinifera subsp vinifera cv. Izsaki sarfeher</t>
  </si>
  <si>
    <t>Vitis vinifera subsp vinifera cv. Jacquère</t>
  </si>
  <si>
    <t>Vitis vinifera subsp vinifera cv. Jacquère noire faux</t>
  </si>
  <si>
    <t>Vitis vinifera subsp vinifera cv. Jaen</t>
  </si>
  <si>
    <t>Vitis vinifera subsp vinifera cv. Jaen negro</t>
  </si>
  <si>
    <t>Vitis vinifera subsp vinifera cv. Jaen noir</t>
  </si>
  <si>
    <t>Vitis vinifera subsp vinifera cv. Jahafi</t>
  </si>
  <si>
    <t>Vitis vinifera subsp vinifera cv. Jampal</t>
  </si>
  <si>
    <t>Vitis vinifera subsp vinifera cv. Jaoumet</t>
  </si>
  <si>
    <t>Vitis vinifera subsp vinifera cv. Jardovany</t>
  </si>
  <si>
    <t>Vitis vinifera subsp vinifera cv. Jardovany fekete</t>
  </si>
  <si>
    <t>Vitis vinifera subsp vinifera cv. Jaumin</t>
  </si>
  <si>
    <t>Vitis vinifera subsp vinifera cv. Javor gross</t>
  </si>
  <si>
    <t>Vitis vinifera subsp vinifera cv. Jean Bernath</t>
  </si>
  <si>
    <t>Vitis vinifera subsp vinifera cv. Jean Macé</t>
  </si>
  <si>
    <t>Vitis vinifera subsp vinifera cv. Jeludovii</t>
  </si>
  <si>
    <t>Vitis vinifera subsp vinifera cv. Jerez fina</t>
  </si>
  <si>
    <t>Vitis vinifera subsp vinifera cv. Jérusalem bleu</t>
  </si>
  <si>
    <t>Vitis vinifera subsp vinifera cv. Jijona</t>
  </si>
  <si>
    <t>Vitis vinifera subsp vinifera cv. Jo rizling</t>
  </si>
  <si>
    <t>Vitis vinifera subsp vinifera cv. Joamenco</t>
  </si>
  <si>
    <t>Vitis vinifera subsp vinifera cv. João Domingos</t>
  </si>
  <si>
    <t>Vitis vinifera subsp vinifera cv. Joubertin</t>
  </si>
  <si>
    <t>Vitis vinifera subsp vinifera cv. Joumalak biely</t>
  </si>
  <si>
    <t>Vitis vinifera subsp vinifera cv. Jubilé (Bulgarie)</t>
  </si>
  <si>
    <t>Vitis vinifera subsp vinifera cv. Juhfark</t>
  </si>
  <si>
    <t>Vitis vinifera subsp vinifera cv. Julius Caesar</t>
  </si>
  <si>
    <t>Vitis vinifera subsp vinifera cv. July Muscat</t>
  </si>
  <si>
    <t>Vitis vinifera subsp vinifera cv. Jurançon blanc</t>
  </si>
  <si>
    <t>Vitis vinifera subsp vinifera cv. Jurançon noir</t>
  </si>
  <si>
    <t>Vitis vinifera subsp vinifera cv. Kabyle noir</t>
  </si>
  <si>
    <t>Vitis vinifera subsp vinifera cv. Kadarka</t>
  </si>
  <si>
    <t>Vitis vinifera subsp vinifera cv. Kadarka Szürke</t>
  </si>
  <si>
    <t>Vitis vinifera subsp vinifera cv. Kadarka Török</t>
  </si>
  <si>
    <t>Vitis vinifera subsp vinifera cv. Kadarun</t>
  </si>
  <si>
    <t>Vitis vinifera subsp vinifera cv. Kaisermuskat</t>
  </si>
  <si>
    <t>Vitis vinifera subsp vinifera cv. Kakkete</t>
  </si>
  <si>
    <t>Vitis vinifera subsp vinifera cv. Kakourdess blanc</t>
  </si>
  <si>
    <t>Vitis vinifera subsp vinifera cv. Kalecik siyahi</t>
  </si>
  <si>
    <t>Vitis vinifera subsp vinifera cv. Kalili</t>
  </si>
  <si>
    <t>Vitis vinifera subsp vinifera cv. Kalina</t>
  </si>
  <si>
    <t>Vitis vinifera subsp vinifera cv. Kandahar</t>
  </si>
  <si>
    <t>Vitis vinifera subsp vinifera cv. Kandari</t>
  </si>
  <si>
    <t>Vitis vinifera subsp vinifera cv. Kanigl grün</t>
  </si>
  <si>
    <t>Vitis vinifera subsp vinifera cv. Kanzler = Alzey 3983</t>
  </si>
  <si>
    <t>Vitis vinifera subsp vinifera cv. Kaouchansky</t>
  </si>
  <si>
    <t>Vitis vinifera subsp vinifera cv. Kara kaltak</t>
  </si>
  <si>
    <t>Vitis vinifera subsp vinifera cv. Kara ouzume Aschkhabadsky</t>
  </si>
  <si>
    <t>Vitis vinifera subsp vinifera cv. Kara Palvan</t>
  </si>
  <si>
    <t>Vitis vinifera subsp vinifera cv. Kara papigi</t>
  </si>
  <si>
    <t>Vitis vinifera subsp vinifera cv. Karabraimis</t>
  </si>
  <si>
    <t>Vitis vinifera subsp vinifera cv. Karasakiz</t>
  </si>
  <si>
    <t>Vitis vinifera subsp vinifera cv. Karitsiotis</t>
  </si>
  <si>
    <t>Vitis vinifera subsp vinifera cv. Karmir Kakhani</t>
  </si>
  <si>
    <t>Vitis vinifera subsp vinifera cv. Karolowska</t>
  </si>
  <si>
    <t>Vitis vinifera subsp vinifera cv. Karroo belle</t>
  </si>
  <si>
    <t>Vitis vinifera subsp vinifera cv. Karydato</t>
  </si>
  <si>
    <t>Vitis vinifera subsp vinifera cv. Karystino</t>
  </si>
  <si>
    <t>Vitis vinifera subsp vinifera cv. Kasoufi de la Bekaa</t>
  </si>
  <si>
    <t>Vitis vinifera subsp vinifera cv. Kasoufi enta</t>
  </si>
  <si>
    <t>Vitis vinifera subsp vinifera cv. Kassoufi</t>
  </si>
  <si>
    <t>Vitis vinifera subsp vinifera cv. Kata</t>
  </si>
  <si>
    <t>Vitis vinifera subsp vinifera cv. Katsacoulias</t>
  </si>
  <si>
    <t>Vitis vinifera subsp vinifera cv. Katta kourgan</t>
  </si>
  <si>
    <t>Vitis vinifera subsp vinifera cv. Kauka blau</t>
  </si>
  <si>
    <t>Vitis vinifera subsp vinifera cv. Kaytagi rose</t>
  </si>
  <si>
    <t>Vitis vinifera subsp vinifera cv. Kechmisch aly violet</t>
  </si>
  <si>
    <t>Vitis vinifera subsp vinifera cv. Kecskecsecsu kek</t>
  </si>
  <si>
    <t>Vitis vinifera subsp vinifera cv. Kecskecsecsu roszas piros</t>
  </si>
  <si>
    <t>Vitis vinifera subsp vinifera cv. Kecskemet kincse</t>
  </si>
  <si>
    <t>Vitis vinifera subsp vinifera cv. Kecskemet Szepe</t>
  </si>
  <si>
    <t>Vitis vinifera subsp vinifera cv. Kecskemeti izes</t>
  </si>
  <si>
    <t>Vitis vinifera subsp vinifera cv. Kecskemeti rizling</t>
  </si>
  <si>
    <t>Vitis vinifera subsp vinifera cv. Kefessia</t>
  </si>
  <si>
    <t>Vitis vinifera subsp vinifera cv. Kekhlibar</t>
  </si>
  <si>
    <t>Vitis vinifera subsp vinifera cv. Keknyelü</t>
  </si>
  <si>
    <t>Vitis vinifera subsp vinifera cv. Kerner = We S 25-30</t>
  </si>
  <si>
    <t>Vitis vinifera subsp vinifera cv. Keropodia</t>
  </si>
  <si>
    <t>Vitis vinifera subsp vinifera cv. Khalili Piskakes</t>
  </si>
  <si>
    <t>Vitis vinifera subsp vinifera cv. Khalili tcherni</t>
  </si>
  <si>
    <t>Vitis vinifera subsp vinifera cv. Khalt</t>
  </si>
  <si>
    <t>Vitis vinifera subsp vinifera cv. Khatmi</t>
  </si>
  <si>
    <t>Vitis vinifera subsp vinifera cv. Khikhvi</t>
  </si>
  <si>
    <t>Vitis vinifera subsp vinifera cv. Khindogny</t>
  </si>
  <si>
    <t>Vitis vinifera subsp vinifera cv. Khoussaïné blanc</t>
  </si>
  <si>
    <t>Vitis vinifera subsp vinifera cv. Kibraiski</t>
  </si>
  <si>
    <t>Vitis vinifera subsp vinifera cv. Kichmich chichraou</t>
  </si>
  <si>
    <t>Vitis vinifera subsp vinifera cv. Kichmich rond</t>
  </si>
  <si>
    <t>Vitis vinifera subsp vinifera cv. Kincsem</t>
  </si>
  <si>
    <t>Vitis vinifera subsp vinifera cv. Kizil</t>
  </si>
  <si>
    <t>Vitis vinifera subsp vinifera cv. Kizil sapak</t>
  </si>
  <si>
    <t>Vitis vinifera subsp vinifera cv. Knipperlé</t>
  </si>
  <si>
    <t>Vitis vinifera subsp vinifera cv. Kocsis Irma</t>
  </si>
  <si>
    <t>Vitis vinifera subsp vinifera cv. Kocsis Pal szilvanija</t>
  </si>
  <si>
    <t>Vitis vinifera subsp vinifera cv. Kocsis Sandor</t>
  </si>
  <si>
    <t>Vitis vinifera subsp vinifera cv. Kokkinellia</t>
  </si>
  <si>
    <t>Vitis vinifera subsp vinifera cv. Kokkinostaphylo</t>
  </si>
  <si>
    <t>Vitis vinifera subsp vinifera cv. Kokour bely</t>
  </si>
  <si>
    <t>Vitis vinifera subsp vinifera cv. Kolliniatico</t>
  </si>
  <si>
    <t>Vitis vinifera subsp vinifera cv. Kölner blau</t>
  </si>
  <si>
    <t>Vitis vinifera subsp vinifera cv. Kolokythas avgoulatos</t>
  </si>
  <si>
    <t>Vitis vinifera subsp vinifera cv. Kolontar</t>
  </si>
  <si>
    <t>Vitis vinifera subsp vinifera cv. Königstraube</t>
  </si>
  <si>
    <t>Vitis vinifera subsp vinifera cv. Kontocladi</t>
  </si>
  <si>
    <t>Vitis vinifera subsp vinifera cv. Korai Olasz</t>
  </si>
  <si>
    <t>Vitis vinifera subsp vinifera cv. Korithi à gros grains</t>
  </si>
  <si>
    <t>Vitis vinifera subsp vinifera cv. Korithi aspro</t>
  </si>
  <si>
    <t>Vitis vinifera subsp vinifera cv. Korithi mavro</t>
  </si>
  <si>
    <t>Vitis vinifera subsp vinifera cv. Koritsanos rouge</t>
  </si>
  <si>
    <t>Vitis vinifera subsp vinifera cv. Koshu noir faux</t>
  </si>
  <si>
    <t>Vitis vinifera subsp vinifera cv. Kossorotovsky</t>
  </si>
  <si>
    <t>Vitis vinifera subsp vinifera cv. Kotselina</t>
  </si>
  <si>
    <t>Vitis vinifera subsp vinifera cv. Kotsiphali</t>
  </si>
  <si>
    <t>Vitis vinifera subsp vinifera cv. Koudsi</t>
  </si>
  <si>
    <t>Vitis vinifera subsp vinifera cv. Kouldjinsky</t>
  </si>
  <si>
    <t>Vitis vinifera subsp vinifera cv. Koumari</t>
  </si>
  <si>
    <t>Vitis vinifera subsp vinifera cv. Kouroupitsa</t>
  </si>
  <si>
    <t>Vitis vinifera subsp vinifera cv. Koussan</t>
  </si>
  <si>
    <t>Vitis vinifera subsp vinifera cv. Kovacsi feher</t>
  </si>
  <si>
    <t>Vitis vinifera subsp vinifera cv. Kovalevka</t>
  </si>
  <si>
    <t>Vitis vinifera subsp vinifera cv. Kövidinka</t>
  </si>
  <si>
    <t>Vitis vinifera subsp vinifera cv. Koytsoumbeli aspro</t>
  </si>
  <si>
    <t>Vitis vinifera subsp vinifera cv. Koz ouzioum</t>
  </si>
  <si>
    <t>Vitis vinifera subsp vinifera cv. Kozanitis</t>
  </si>
  <si>
    <t>Vitis vinifera subsp vinifera cv. Kozma</t>
  </si>
  <si>
    <t>Vitis vinifera subsp vinifera cv. Kracher gelber</t>
  </si>
  <si>
    <t>Vitis vinifera subsp vinifera cv. Krakhouna</t>
  </si>
  <si>
    <t>Vitis vinifera subsp vinifera cv. Krasnostop zolotowskii</t>
  </si>
  <si>
    <t>Vitis vinifera subsp vinifera cv. Kravi tzitzi</t>
  </si>
  <si>
    <t>Vitis vinifera subsp vinifera cv. Krestovsky</t>
  </si>
  <si>
    <t>Vitis vinifera subsp vinifera cv. Kroustalli</t>
  </si>
  <si>
    <t>Vitis vinifera subsp vinifera cv. Kujundzusa</t>
  </si>
  <si>
    <t>Vitis vinifera subsp vinifera cv. Kurtelaska</t>
  </si>
  <si>
    <t>Vitis vinifera subsp vinifera cv. Kypreiko</t>
  </si>
  <si>
    <t>Vitis vinifera subsp vinifera cv. La Guitte</t>
  </si>
  <si>
    <t>Vitis vinifera subsp vinifera cv. La Rochelle</t>
  </si>
  <si>
    <t>Vitis vinifera subsp vinifera cv. Laadari</t>
  </si>
  <si>
    <t>Vitis vinifera subsp vinifera cv. Labrusco</t>
  </si>
  <si>
    <t>Vitis vinifera subsp vinifera cv. Lacrima di Maria</t>
  </si>
  <si>
    <t>Vitis vinifera subsp vinifera cv. Lacryma Christi</t>
  </si>
  <si>
    <t>Vitis vinifera subsp vinifera cv. Ladikino</t>
  </si>
  <si>
    <t>Vitis vinifera subsp vinifera cv. Lady Downe's seedling</t>
  </si>
  <si>
    <t>Vitis vinifera subsp vinifera cv. Lady Hastings</t>
  </si>
  <si>
    <t>Vitis vinifera subsp vinifera cv. Lafayette</t>
  </si>
  <si>
    <t>Vitis vinifera subsp vinifera cv. Lagauzère A</t>
  </si>
  <si>
    <t>Vitis vinifera subsp vinifera cv. Lagauzère B</t>
  </si>
  <si>
    <t>Vitis vinifera subsp vinifera cv. Lagauzère C</t>
  </si>
  <si>
    <t>Vitis vinifera subsp vinifera cv. Lagauzère E</t>
  </si>
  <si>
    <t>Vitis vinifera subsp vinifera cv. Lagauzère 19</t>
  </si>
  <si>
    <t>Vitis vinifera subsp vinifera cv. Lagauzère 20</t>
  </si>
  <si>
    <t>Vitis vinifera subsp vinifera cv. Lagauzère 21</t>
  </si>
  <si>
    <t>Vitis vinifera subsp vinifera cv. Lagorthi</t>
  </si>
  <si>
    <t>Vitis vinifera subsp vinifera cv. Lagrein</t>
  </si>
  <si>
    <t>Vitis vinifera subsp vinifera cv. Lahntraube</t>
  </si>
  <si>
    <t>Vitis vinifera subsp vinifera cv. Lahntraube (Institut Oberlin)</t>
  </si>
  <si>
    <t>Vitis vinifera subsp vinifera cv. Lallée</t>
  </si>
  <si>
    <t>Vitis vinifera subsp vinifera cv. Lambrusco à foglia frastigliata</t>
  </si>
  <si>
    <t>Vitis vinifera subsp vinifera cv. Lambrusco di Sorbara</t>
  </si>
  <si>
    <t>Vitis vinifera subsp vinifera cv. Lambrusco grasparossa</t>
  </si>
  <si>
    <t>Vitis vinifera subsp vinifera cv. Lambrusco Maestri</t>
  </si>
  <si>
    <t>Vitis vinifera subsp vinifera cv. Lambrusco Marani</t>
  </si>
  <si>
    <t>Vitis vinifera subsp vinifera cv. Lambrusco Monterico</t>
  </si>
  <si>
    <t>Vitis vinifera subsp vinifera cv. Lambrusco oliva</t>
  </si>
  <si>
    <t>Vitis vinifera subsp vinifera cv. Lambrusco salamino</t>
  </si>
  <si>
    <t>Vitis vinifera subsp vinifera cv. Lambrusco Viadanese</t>
  </si>
  <si>
    <t>Vitis vinifera subsp vinifera cv. Lambruscone</t>
  </si>
  <si>
    <t>Vitis vinifera subsp vinifera cv. Lambrusque A</t>
  </si>
  <si>
    <t>Vitis vinifera subsp vinifera cv. lambrusque C</t>
  </si>
  <si>
    <t>Vitis vinifera subsp vinifera cv. Lambrusque D</t>
  </si>
  <si>
    <t>Vitis vinifera subsp vinifera cv. Lambrusque E</t>
  </si>
  <si>
    <t>Vitis vinifera subsp vinifera cv. Lambrusque F</t>
  </si>
  <si>
    <t>Vitis vinifera subsp vinifera cv. Lambrusque I</t>
  </si>
  <si>
    <t>Vitis vinifera subsp vinifera cv. Lambrusque J</t>
  </si>
  <si>
    <t>Vitis vinifera subsp vinifera cv. Lambrusque spontanée coloniale</t>
  </si>
  <si>
    <t>Vitis vinifera subsp vinifera cv. Lambrusque subspontanée</t>
  </si>
  <si>
    <t>Vitis vinifera subsp vinifera cv. Lamparfahr de Vany</t>
  </si>
  <si>
    <t>Vitis vinifera subsp vinifera cv. Landroter</t>
  </si>
  <si>
    <t>Vitis vinifera subsp vinifera cv. Lanjaron claro</t>
  </si>
  <si>
    <t>Vitis vinifera subsp vinifera cv. Larião</t>
  </si>
  <si>
    <t>Vitis vinifera subsp vinifera cv. Lasina</t>
  </si>
  <si>
    <t>Vitis vinifera subsp vinifera cv. Laska</t>
  </si>
  <si>
    <t>Vitis vinifera subsp vinifera cv. Latina = Pirovano 711</t>
  </si>
  <si>
    <t>Vitis vinifera subsp vinifera cv. Lattuario nero</t>
  </si>
  <si>
    <t>Vitis vinifera subsp vinifera cv. Lauzet</t>
  </si>
  <si>
    <t>Vitis vinifera subsp vinifera cv. Leanyka</t>
  </si>
  <si>
    <t>Vitis vinifera subsp vinifera cv. Leao Ferreira da Almeida 10-48-24</t>
  </si>
  <si>
    <t>Vitis vinifera subsp vinifera cv. Leao Ferreira da Almeida 29-54-30</t>
  </si>
  <si>
    <t>Vitis vinifera subsp vinifera cv. Leao Ferreira da Almeida 29-54-7</t>
  </si>
  <si>
    <t>Vitis vinifera subsp vinifera cv. Leao Ferreira da Almeida 34-49-48</t>
  </si>
  <si>
    <t>Vitis vinifera subsp vinifera cv. Leao Ferreira da Almeida 34-49-50</t>
  </si>
  <si>
    <t>Vitis vinifera subsp vinifera cv. Leao Ferreira da Almeida 37-50-8</t>
  </si>
  <si>
    <t>Vitis vinifera subsp vinifera cv. Leao Ferreira da Almeida 4-49-44</t>
  </si>
  <si>
    <t>Vitis vinifera subsp vinifera cv. Leao Ferreira da Almeida 7-49-35</t>
  </si>
  <si>
    <t>Vitis vinifera subsp vinifera cv. Lefcas</t>
  </si>
  <si>
    <t>Vitis vinifera subsp vinifera cv. Len de l'El</t>
  </si>
  <si>
    <t>Vitis vinifera subsp vinifera cv. L'Enfant trouvé</t>
  </si>
  <si>
    <t>Vitis vinifera subsp vinifera cv. Léopold III</t>
  </si>
  <si>
    <t>Vitis vinifera subsp vinifera cv. Lercat</t>
  </si>
  <si>
    <t>Vitis vinifera subsp vinifera cv. Lesz meg hazam</t>
  </si>
  <si>
    <t>Vitis vinifera subsp vinifera cv. Lialmigui</t>
  </si>
  <si>
    <t>Vitis vinifera subsp vinifera cv. Liatico</t>
  </si>
  <si>
    <t>Vitis vinifera subsp vinifera cv. Lignage</t>
  </si>
  <si>
    <t>Vitis vinifera subsp vinifera cv. Lignan</t>
  </si>
  <si>
    <t>Vitis vinifera subsp vinifera cv. Liliorila</t>
  </si>
  <si>
    <t>Vitis vinifera subsp vinifera cv. Limberger</t>
  </si>
  <si>
    <t>Vitis vinifera subsp vinifera cv. Limniona</t>
  </si>
  <si>
    <t>Vitis vinifera subsp vinifera cv. Linné</t>
  </si>
  <si>
    <t>Vitis vinifera subsp vinifera cv. Listan</t>
  </si>
  <si>
    <t>Vitis vinifera subsp vinifera cv. Lisztes feher feketefaju</t>
  </si>
  <si>
    <t>Vitis vinifera subsp vinifera cv. Lisztes piros</t>
  </si>
  <si>
    <t>Vitis vinifera subsp vinifera cv. Littorio = Pirovano 90</t>
  </si>
  <si>
    <t>Vitis vinifera subsp vinifera cv. Lival = INRA 696-11</t>
  </si>
  <si>
    <t>Vitis vinifera subsp vinifera cv. Lkeny noir</t>
  </si>
  <si>
    <t>Vitis vinifera subsp vinifera cv. Lledoner pelut</t>
  </si>
  <si>
    <t>Vitis vinifera subsp vinifera cv. Lombardia = Pirovano 353</t>
  </si>
  <si>
    <t>Vitis vinifera subsp vinifera cv. Louali</t>
  </si>
  <si>
    <t>Vitis vinifera subsp vinifera cv. Loureiro</t>
  </si>
  <si>
    <t>Vitis vinifera subsp vinifera cv. Lucien Baltet</t>
  </si>
  <si>
    <t>Vitis vinifera subsp vinifera cv. Luigi Razza = Pirovano 365</t>
  </si>
  <si>
    <t>Vitis vinifera subsp vinifera cv. Luisa blanca</t>
  </si>
  <si>
    <t>Vitis vinifera subsp vinifera cv. Lumassina</t>
  </si>
  <si>
    <t>Vitis vinifera subsp vinifera cv. Luparello</t>
  </si>
  <si>
    <t>Vitis vinifera subsp vinifera cv. Lutea = Pirovano 167</t>
  </si>
  <si>
    <t>Vitis vinifera subsp vinifera cv. Maabouri</t>
  </si>
  <si>
    <t>Vitis vinifera subsp vinifera cv. Maça</t>
  </si>
  <si>
    <t>Vitis vinifera subsp vinifera cv. Macabeu</t>
  </si>
  <si>
    <t>Vitis vinifera subsp vinifera cv. Maceratino</t>
  </si>
  <si>
    <t>Vitis vinifera subsp vinifera cv. Mackensen</t>
  </si>
  <si>
    <t>Vitis vinifera subsp vinifera cv. Madeleine angevine</t>
  </si>
  <si>
    <t>Vitis vinifera subsp vinifera cv. Madeleine angevine Oberlin</t>
  </si>
  <si>
    <t>Vitis vinifera subsp vinifera cv. Madeleine Céline</t>
  </si>
  <si>
    <t>Vitis vinifera subsp vinifera cv. Madeleine de Clermont</t>
  </si>
  <si>
    <t>Vitis vinifera subsp vinifera cv. Madeleine royale</t>
  </si>
  <si>
    <t>Vitis vinifera subsp vinifera cv. Madeleine Salomon</t>
  </si>
  <si>
    <t>Vitis vinifera subsp vinifera cv. Madeleine Sämling 18</t>
  </si>
  <si>
    <t>Vitis vinifera subsp vinifera cv. Madeleine Sämling 22</t>
  </si>
  <si>
    <t>Vitis vinifera subsp vinifera cv. Madina = INRA 2004-9</t>
  </si>
  <si>
    <t>Vitis vinifera subsp vinifera cv. Magliocco</t>
  </si>
  <si>
    <t>Vitis vinifera subsp vinifera cv. Magyartraube</t>
  </si>
  <si>
    <t>Vitis vinifera subsp vinifera cv. Maingonat 50 L 2</t>
  </si>
  <si>
    <t>Vitis vinifera subsp vinifera cv. Maingonnat 11 L 13</t>
  </si>
  <si>
    <t>Vitis vinifera subsp vinifera cv. Maingonnat 12 L 11</t>
  </si>
  <si>
    <t>Vitis vinifera subsp vinifera cv. Maingonnat 14 L 23</t>
  </si>
  <si>
    <t>Vitis vinifera subsp vinifera cv. Maingonnat 16 L 4</t>
  </si>
  <si>
    <t>Vitis vinifera subsp vinifera cv. Maingonnat 17 L 24</t>
  </si>
  <si>
    <t>Vitis vinifera subsp vinifera cv. Maingonnat 19 L 25</t>
  </si>
  <si>
    <t>Vitis vinifera subsp vinifera cv. Maingonnat 20 L 12</t>
  </si>
  <si>
    <t>Vitis vinifera subsp vinifera cv. Maingonnat 20 L 22</t>
  </si>
  <si>
    <t>Vitis vinifera subsp vinifera cv. Maingonnat 25 L 5</t>
  </si>
  <si>
    <t>Vitis vinifera subsp vinifera cv. Maingonnat 27 L1</t>
  </si>
  <si>
    <t>Vitis vinifera subsp vinifera cv. Maingonnat 3 L 1</t>
  </si>
  <si>
    <t>Vitis vinifera subsp vinifera cv. Maingonnat 3 L 22</t>
  </si>
  <si>
    <t>Vitis vinifera subsp vinifera cv. Maingonnat 30 L 22</t>
  </si>
  <si>
    <t>Vitis vinifera subsp vinifera cv. Maingonnat 31 L 10</t>
  </si>
  <si>
    <t>Vitis vinifera subsp vinifera cv. Maingonnat 31 L 11</t>
  </si>
  <si>
    <t>Vitis vinifera subsp vinifera cv. Maingonnat 34 L 5</t>
  </si>
  <si>
    <t>Vitis vinifera subsp vinifera cv. Maingonnat 4 L 22</t>
  </si>
  <si>
    <t>Vitis vinifera subsp vinifera cv. Maingonnat 42 L 10</t>
  </si>
  <si>
    <t>Vitis vinifera subsp vinifera cv. Maingonnat 48 L 2</t>
  </si>
  <si>
    <t>Vitis vinifera subsp vinifera cv. Maingonnat 48 L 4</t>
  </si>
  <si>
    <t>Vitis vinifera subsp vinifera cv. Maingonnat 50 L 4</t>
  </si>
  <si>
    <t>Vitis vinifera subsp vinifera cv. Maingonnat 7 L 1</t>
  </si>
  <si>
    <t>Vitis vinifera subsp vinifera cv. Maingonnat 9 L 24</t>
  </si>
  <si>
    <t>Vitis vinifera subsp vinifera cv. Malaga II</t>
  </si>
  <si>
    <t>Vitis vinifera subsp vinifera cv. Malaga noir</t>
  </si>
  <si>
    <t>Vitis vinifera subsp vinifera cv. Maloukato</t>
  </si>
  <si>
    <t>Vitis vinifera subsp vinifera cv. Malpé (1)</t>
  </si>
  <si>
    <t>Vitis vinifera subsp vinifera cv. Malpé (2)</t>
  </si>
  <si>
    <t>Vitis vinifera subsp vinifera cv. Malvar</t>
  </si>
  <si>
    <t>Vitis vinifera subsp vinifera cv. Malvarisco</t>
  </si>
  <si>
    <t>Vitis vinifera subsp vinifera cv. Malvasia</t>
  </si>
  <si>
    <t>Vitis vinifera subsp vinifera cv. Malvasia del Chianti</t>
  </si>
  <si>
    <t>Vitis vinifera subsp vinifera cv. Malvasia del Lazio</t>
  </si>
  <si>
    <t>Vitis vinifera subsp vinifera cv. Malvasia di Candia</t>
  </si>
  <si>
    <t>Vitis vinifera subsp vinifera cv. Malvasia di Candia aromatica</t>
  </si>
  <si>
    <t>Vitis vinifera subsp vinifera cv. Malvasia di Casorzo</t>
  </si>
  <si>
    <t>Vitis vinifera subsp vinifera cv. Malvasia di Sardegna</t>
  </si>
  <si>
    <t>Vitis vinifera subsp vinifera cv. Malvasia di Schierano</t>
  </si>
  <si>
    <t>Vitis vinifera subsp vinifera cv. Malvasia fina</t>
  </si>
  <si>
    <t>Vitis vinifera subsp vinifera cv. Malvasia istriana</t>
  </si>
  <si>
    <t>Vitis vinifera subsp vinifera cv. Malvasia Moscatel Fonte grande</t>
  </si>
  <si>
    <t>Vitis vinifera subsp vinifera cv. Malvasia nera di Brindisi</t>
  </si>
  <si>
    <t>Vitis vinifera subsp vinifera cv. Malvasia nera di Lecce</t>
  </si>
  <si>
    <t>Vitis vinifera subsp vinifera cv. Malvasia rei</t>
  </si>
  <si>
    <t>Vitis vinifera subsp vinifera cv. Malvina</t>
  </si>
  <si>
    <t>Vitis vinifera subsp vinifera cv. Malvoisie de Sitges fausse</t>
  </si>
  <si>
    <t>Vitis vinifera subsp vinifera cv. Mamelon</t>
  </si>
  <si>
    <t>Vitis vinifera subsp vinifera cv. Mammolo</t>
  </si>
  <si>
    <t>Vitis vinifera subsp vinifera cv. Mancens</t>
  </si>
  <si>
    <t>Vitis vinifera subsp vinifera cv. Mancin</t>
  </si>
  <si>
    <t>Vitis vinifera subsp vinifera cv. Mandrègue</t>
  </si>
  <si>
    <t>Vitis vinifera subsp vinifera cv. Manseng noir</t>
  </si>
  <si>
    <t>Vitis vinifera subsp vinifera cv. Manseng vert</t>
  </si>
  <si>
    <t>Vitis vinifera subsp vinifera cv. Mansonnet</t>
  </si>
  <si>
    <t>Vitis vinifera subsp vinifera cv. Manteudo</t>
  </si>
  <si>
    <t>Vitis vinifera subsp vinifera cv. Mantheudo</t>
  </si>
  <si>
    <t>Vitis vinifera subsp vinifera cv. Mantilaria</t>
  </si>
  <si>
    <t>Vitis vinifera subsp vinifera cv. Mantuo de Pilas</t>
  </si>
  <si>
    <t>Vitis vinifera subsp vinifera cv. Manzoni 1-50</t>
  </si>
  <si>
    <t>Vitis vinifera subsp vinifera cv. Manzoni 2-15</t>
  </si>
  <si>
    <t>Vitis vinifera subsp vinifera cv. Manzoni 3-26</t>
  </si>
  <si>
    <t>Vitis vinifera subsp vinifera cv. Maratheftico</t>
  </si>
  <si>
    <t>Vitis vinifera subsp vinifera cv. Marawi</t>
  </si>
  <si>
    <t>Vitis vinifera subsp vinifera cv. Maréchal Bosquet</t>
  </si>
  <si>
    <t>Vitis vinifera subsp vinifera cv. Maréchal Gallieni</t>
  </si>
  <si>
    <t>Vitis vinifera subsp vinifera cv. Marengo = Pirovano 205</t>
  </si>
  <si>
    <t>Vitis vinifera subsp vinifera cv. Maria Pirovano = Pirovano 165</t>
  </si>
  <si>
    <t>Vitis vinifera subsp vinifera cv. Marienriesling</t>
  </si>
  <si>
    <t>Vitis vinifera subsp vinifera cv. Mariensteiner = Würzburg B 51-7-3</t>
  </si>
  <si>
    <t>Vitis vinifera subsp vinifera cv. Mario Mariani = Pirovano 276</t>
  </si>
  <si>
    <t>Vitis vinifera subsp vinifera cv. Marocain gris</t>
  </si>
  <si>
    <t>Vitis vinifera subsp vinifera cv. Marocain noir</t>
  </si>
  <si>
    <t>Vitis vinifera subsp vinifera cv. Maroo seedless</t>
  </si>
  <si>
    <t>Vitis vinifera subsp vinifera cv. Marouhé</t>
  </si>
  <si>
    <t>Vitis vinifera subsp vinifera cv. Marsanne</t>
  </si>
  <si>
    <t>Vitis vinifera subsp vinifera cv. Marsanne de Pays</t>
  </si>
  <si>
    <t>Vitis vinifera subsp vinifera cv. Marselan = INRA 1810-68</t>
  </si>
  <si>
    <t>Vitis vinifera subsp vinifera cv. Marsigliana nera</t>
  </si>
  <si>
    <t>Vitis vinifera subsp vinifera cv. Martien</t>
  </si>
  <si>
    <t>Vitis vinifera subsp vinifera cv. Marzemino</t>
  </si>
  <si>
    <t>Vitis vinifera subsp vinifera cv. Massecamp</t>
  </si>
  <si>
    <t>Vitis vinifera subsp vinifera cv. Mateu</t>
  </si>
  <si>
    <t>Vitis vinifera subsp vinifera cv. Mathiasz Janos Diadala muskotaly</t>
  </si>
  <si>
    <t>Vitis vinifera subsp vinifera cv. Mathiasz Janos Emleke</t>
  </si>
  <si>
    <t>Vitis vinifera subsp vinifera cv. Mathiasz Janosne</t>
  </si>
  <si>
    <t>Vitis vinifera subsp vinifera cv. Mathiasz Muskotaly = Revai tranonor</t>
  </si>
  <si>
    <t>Vitis vinifera subsp vinifera cv. Mathiasz 215 faux</t>
  </si>
  <si>
    <t>Vitis vinifera subsp vinifera cv. Maticha</t>
  </si>
  <si>
    <t>Vitis vinifera subsp vinifera cv. Matilde</t>
  </si>
  <si>
    <t>Vitis vinifera subsp vinifera cv. Matrassa</t>
  </si>
  <si>
    <t>Vitis vinifera subsp vinifera cv. Maturana</t>
  </si>
  <si>
    <t>Vitis vinifera subsp vinifera cv. Mauvaise Roussette</t>
  </si>
  <si>
    <t>Vitis vinifera subsp vinifera cv. Mauzac</t>
  </si>
  <si>
    <t>Vitis vinifera subsp vinifera cv. Mauzac noir</t>
  </si>
  <si>
    <t>Vitis vinifera subsp vinifera cv. Mauzac rose</t>
  </si>
  <si>
    <t>Vitis vinifera subsp vinifera cv. Mavro Kymis</t>
  </si>
  <si>
    <t>Vitis vinifera subsp vinifera cv. Mavrodaphni</t>
  </si>
  <si>
    <t>Vitis vinifera subsp vinifera cv. Mavrostypho</t>
  </si>
  <si>
    <t>Vitis vinifera subsp vinifera cv. Mavrotragano</t>
  </si>
  <si>
    <t>Vitis vinifera subsp vinifera cv. Mavroudi</t>
  </si>
  <si>
    <t>Vitis vinifera subsp vinifera cv. Mavrud</t>
  </si>
  <si>
    <t>Vitis vinifera subsp vinifera cv. Mavrud Varnenski</t>
  </si>
  <si>
    <t>Vitis vinifera subsp vinifera cv. Mayorquin</t>
  </si>
  <si>
    <t>Vitis vinifera subsp vinifera cv. Mazzari</t>
  </si>
  <si>
    <t>Vitis vinifera subsp vinifera cv. Mècle de Bourgoin</t>
  </si>
  <si>
    <t>Vitis vinifera subsp vinifera cv. Médoc noir</t>
  </si>
  <si>
    <t>Vitis vinifera subsp vinifera cv. Mehdik</t>
  </si>
  <si>
    <t>Vitis vinifera subsp vinifera cv. Mehlweiss</t>
  </si>
  <si>
    <t>Vitis vinifera subsp vinifera cv. Melbento</t>
  </si>
  <si>
    <t>Vitis vinifera subsp vinifera cv. Melon</t>
  </si>
  <si>
    <t>Vitis vinifera subsp vinifera cv. Melon noir</t>
  </si>
  <si>
    <t>Vitis vinifera subsp vinifera cv. Mencia</t>
  </si>
  <si>
    <t>Vitis vinifera subsp vinifera cv. Mendel = Pirovano 532</t>
  </si>
  <si>
    <t>Vitis vinifera subsp vinifera cv. Mérille</t>
  </si>
  <si>
    <t>Vitis vinifera subsp vinifera cv. Merlot</t>
  </si>
  <si>
    <t>Vitis vinifera subsp vinifera cv. Merlot blanc</t>
  </si>
  <si>
    <t>Vitis vinifera subsp vinifera cv. Merlot gris</t>
  </si>
  <si>
    <t>Vitis vinifera subsp vinifera cv. Merseguera</t>
  </si>
  <si>
    <t>Vitis vinifera subsp vinifera cv. Meslier noir</t>
  </si>
  <si>
    <t>Vitis vinifera subsp vinifera cv. Meslier Saint-François</t>
  </si>
  <si>
    <t>Vitis vinifera subsp vinifera cv. Métis Clerc</t>
  </si>
  <si>
    <t>Vitis vinifera subsp vinifera cv. Meunier</t>
  </si>
  <si>
    <t>Vitis vinifera subsp vinifera cv. Meunier Court Maillé</t>
  </si>
  <si>
    <t>Vitis vinifera subsp vinifera cv. Meunier tête de nègre</t>
  </si>
  <si>
    <t>Vitis vinifera subsp vinifera cv. Mezesfeher</t>
  </si>
  <si>
    <t>Vitis vinifera subsp vinifera cv. Mezesfekete</t>
  </si>
  <si>
    <t>Vitis vinifera subsp vinifera cv. Mezi</t>
  </si>
  <si>
    <t>Vitis vinifera subsp vinifera cv. Mgaloblichvili</t>
  </si>
  <si>
    <t>Vitis vinifera subsp vinifera cv. Michele Palieri = Palieri 5</t>
  </si>
  <si>
    <t>Vitis vinifera subsp vinifera cv. Miguel de Arco</t>
  </si>
  <si>
    <t>Vitis vinifera subsp vinifera cv. Mikveh 17</t>
  </si>
  <si>
    <t>Vitis vinifera subsp vinifera cv. Milgranet</t>
  </si>
  <si>
    <t>Vitis vinifera subsp vinifera cv. Milton</t>
  </si>
  <si>
    <t>Vitis vinifera subsp vinifera cv. Minnella bianca</t>
  </si>
  <si>
    <t>Vitis vinifera subsp vinifera cv. Mireille = Mi 108 C</t>
  </si>
  <si>
    <t>Vitis vinifera subsp vinifera cv. Mirifica = Pirovano 432</t>
  </si>
  <si>
    <t>Vitis vinifera subsp vinifera cv. Mirni</t>
  </si>
  <si>
    <t>Vitis vinifera subsp vinifera cv. Misguli kara</t>
  </si>
  <si>
    <t>Vitis vinifera subsp vinifera cv. Mishung</t>
  </si>
  <si>
    <t>Vitis vinifera subsp vinifera cv. Misket tcherven</t>
  </si>
  <si>
    <t>Vitis vinifera subsp vinifera cv. Misket vratchansky</t>
  </si>
  <si>
    <t>Vitis vinifera subsp vinifera cv. Mission</t>
  </si>
  <si>
    <t>Vitis vinifera subsp vinifera cv. Mistress Hall</t>
  </si>
  <si>
    <t>Vitis vinifera subsp vinifera cv. Mohzel</t>
  </si>
  <si>
    <t>Vitis vinifera subsp vinifera cv. Moldovanka</t>
  </si>
  <si>
    <t>Vitis vinifera subsp vinifera cv. Molette</t>
  </si>
  <si>
    <t>Vitis vinifera subsp vinifera cv. Molinara</t>
  </si>
  <si>
    <t>Vitis vinifera subsp vinifera cv. Molinera gorda</t>
  </si>
  <si>
    <t>Vitis vinifera subsp vinifera cv. Mollar</t>
  </si>
  <si>
    <t>Vitis vinifera subsp vinifera cv. Mollard</t>
  </si>
  <si>
    <t>Vitis vinifera subsp vinifera cv. Monaca</t>
  </si>
  <si>
    <t>Vitis vinifera subsp vinifera cv. Monbadon</t>
  </si>
  <si>
    <t>Vitis vinifera subsp vinifera cv. Mondeuse</t>
  </si>
  <si>
    <t>Vitis vinifera subsp vinifera cv. Mondeuse blanche</t>
  </si>
  <si>
    <t>Vitis vinifera subsp vinifera cv. Mondeuse du Piémont</t>
  </si>
  <si>
    <t>Vitis vinifera subsp vinifera cv. Mondeuse grise</t>
  </si>
  <si>
    <t>Vitis vinifera subsp vinifera cv. Monemvassia</t>
  </si>
  <si>
    <t>Vitis vinifera subsp vinifera cv. Monerac = INRA 1740-1142</t>
  </si>
  <si>
    <t>Vitis vinifera subsp vinifera cv. Monica</t>
  </si>
  <si>
    <t>Vitis vinifera subsp vinifera cv. Monique</t>
  </si>
  <si>
    <t>Vitis vinifera subsp vinifera cv. Monte d'oro = Pirovano 240</t>
  </si>
  <si>
    <t>Vitis vinifera subsp vinifera cv. Montepulciano</t>
  </si>
  <si>
    <t>Vitis vinifera subsp vinifera cv. Montils</t>
  </si>
  <si>
    <t>Vitis vinifera subsp vinifera cv. Montonico bianco</t>
  </si>
  <si>
    <t>Vitis vinifera subsp vinifera cv. Montu</t>
  </si>
  <si>
    <t>Vitis vinifera subsp vinifera cv. Montuonico</t>
  </si>
  <si>
    <t>Vitis vinifera subsp vinifera cv. Morenillo</t>
  </si>
  <si>
    <t>Vitis vinifera subsp vinifera cv. Moreto</t>
  </si>
  <si>
    <t>Vitis vinifera subsp vinifera cv. Moriot Muskat = Geilweilerhof I-28-30</t>
  </si>
  <si>
    <t>Vitis vinifera subsp vinifera cv. Morisca</t>
  </si>
  <si>
    <t>Vitis vinifera subsp vinifera cv. Morlin gris</t>
  </si>
  <si>
    <t>Vitis vinifera subsp vinifera cv. Mornen</t>
  </si>
  <si>
    <t>Vitis vinifera subsp vinifera cv. Morrastel</t>
  </si>
  <si>
    <t>Vitis vinifera subsp vinifera cv. Morrastel Bouschet à gros grains</t>
  </si>
  <si>
    <t>Vitis vinifera subsp vinifera cv. Moscatel de Camarate</t>
  </si>
  <si>
    <t>Vitis vinifera subsp vinifera cv. Moscatel de San Ildefonso</t>
  </si>
  <si>
    <t>Vitis vinifera subsp vinifera cv. Moscatel Dr Soares Franco</t>
  </si>
  <si>
    <t>Vitis vinifera subsp vinifera cv. Moscatel rosa = Leao Ferreira da Almeida 37-51-15</t>
  </si>
  <si>
    <t>Vitis vinifera subsp vinifera cv. Moscatel rosado</t>
  </si>
  <si>
    <t>Vitis vinifera subsp vinifera cv. Moscato Cerletti</t>
  </si>
  <si>
    <t>Vitis vinifera subsp vinifera cv. Moscato d'Adda</t>
  </si>
  <si>
    <t>Vitis vinifera subsp vinifera cv. Moscato giallo</t>
  </si>
  <si>
    <t>Vitis vinifera subsp vinifera cv. Moscato Tiammor = Pirovano 672</t>
  </si>
  <si>
    <t>Vitis vinifera subsp vinifera cv. Moschardina</t>
  </si>
  <si>
    <t>Vitis vinifera subsp vinifera cv. Moschopatata</t>
  </si>
  <si>
    <t>Vitis vinifera subsp vinifera cv. Mouchketny</t>
  </si>
  <si>
    <t>Vitis vinifera subsp vinifera cv. Moudjouretouli</t>
  </si>
  <si>
    <t>Vitis vinifera subsp vinifera cv. Mourisco branco</t>
  </si>
  <si>
    <t>Vitis vinifera subsp vinifera cv. Mourisco de Semente</t>
  </si>
  <si>
    <t>Vitis vinifera subsp vinifera cv. Mourisco du Minho</t>
  </si>
  <si>
    <t>Vitis vinifera subsp vinifera cv. Mourisco nacional</t>
  </si>
  <si>
    <t>Vitis vinifera subsp vinifera cv. Mourisco tinto</t>
  </si>
  <si>
    <t>Vitis vinifera subsp vinifera cv. Mourtaou</t>
  </si>
  <si>
    <t>Vitis vinifera subsp vinifera cv. Mourtès</t>
  </si>
  <si>
    <t>Vitis vinifera subsp vinifera cv. Mourvaison</t>
  </si>
  <si>
    <t>Vitis vinifera subsp vinifera cv. Mourvèdre</t>
  </si>
  <si>
    <t>Vitis vinifera subsp vinifera cv. Mourvèdre gris</t>
  </si>
  <si>
    <t>Vitis vinifera subsp vinifera cv. Mouscha</t>
  </si>
  <si>
    <t>Vitis vinifera subsp vinifera cv. Mouyssaguès</t>
  </si>
  <si>
    <t>Vitis vinifera subsp vinifera cv. Mskhali</t>
  </si>
  <si>
    <t>Vitis vinifera subsp vinifera cv. Mtzvané</t>
  </si>
  <si>
    <t>Vitis vinifera subsp vinifera cv. Mulata = Leao Ferreira da Almeida 11-48-49</t>
  </si>
  <si>
    <t>Vitis vinifera subsp vinifera cv. Müller-Thurgau</t>
  </si>
  <si>
    <t>Vitis vinifera subsp vinifera cv. Munkatsy Jozsef Muskotaly</t>
  </si>
  <si>
    <t>Vitis vinifera subsp vinifera cv. Muresconu = Morescono</t>
  </si>
  <si>
    <t>Vitis vinifera subsp vinifera cv. Mureto</t>
  </si>
  <si>
    <t>Vitis vinifera subsp vinifera cv. Murrâo</t>
  </si>
  <si>
    <t>Vitis vinifera subsp vinifera cv. Muscadelle</t>
  </si>
  <si>
    <t>Vitis vinifera subsp vinifera cv. Muscardin</t>
  </si>
  <si>
    <t>Vitis vinifera subsp vinifera cv. Muscat à petits grains blancs</t>
  </si>
  <si>
    <t>Vitis vinifera subsp vinifera cv. Muscat à petits grains roses</t>
  </si>
  <si>
    <t>Vitis vinifera subsp vinifera cv. Muscat à petits grains rouges</t>
  </si>
  <si>
    <t>Vitis vinifera subsp vinifera cv. Muscat bifère</t>
  </si>
  <si>
    <t>Vitis vinifera subsp vinifera cv. Muscat Bouschet</t>
  </si>
  <si>
    <t>Vitis vinifera subsp vinifera cv. Muscat cendré</t>
  </si>
  <si>
    <t>Vitis vinifera subsp vinifera cv. Muscat d'Alexandrie</t>
  </si>
  <si>
    <t>Vitis vinifera subsp vinifera cv. Muscat d'Alexandrie rouge</t>
  </si>
  <si>
    <t>Vitis vinifera subsp vinifera cv. Muscat de Hambourg</t>
  </si>
  <si>
    <t>Vitis vinifera subsp vinifera cv. Muscat de Pantelleria</t>
  </si>
  <si>
    <t>Vitis vinifera subsp vinifera cv. Muscat de Roussé</t>
  </si>
  <si>
    <t>Vitis vinifera subsp vinifera cv. Muscat de Sarbelle</t>
  </si>
  <si>
    <t>Vitis vinifera subsp vinifera cv. Muscat de Saumur</t>
  </si>
  <si>
    <t>Vitis vinifera subsp vinifera cv. Muscat de Terracina</t>
  </si>
  <si>
    <t>Vitis vinifera subsp vinifera cv. Muscat d'Eisenstadt</t>
  </si>
  <si>
    <t>Vitis vinifera subsp vinifera cv. Muscat d'Istamboul</t>
  </si>
  <si>
    <t>Vitis vinifera subsp vinifera cv. Muscat d'Ouzbekistan</t>
  </si>
  <si>
    <t>Vitis vinifera subsp vinifera cv. Muscat fleur d'oranger</t>
  </si>
  <si>
    <t>Vitis vinifera subsp vinifera cv. Muscat fleur d'oranger faux</t>
  </si>
  <si>
    <t>Vitis vinifera subsp vinifera cv. Muscat gris de la Calmette</t>
  </si>
  <si>
    <t>Vitis vinifera subsp vinifera cv. Muscat Laserelle</t>
  </si>
  <si>
    <t>Vitis vinifera subsp vinifera cv. Muscat Lierval</t>
  </si>
  <si>
    <t>Vitis vinifera subsp vinifera cv. Muscat Madresfield Court</t>
  </si>
  <si>
    <t>Vitis vinifera subsp vinifera cv. Muscat Mikveh</t>
  </si>
  <si>
    <t>Vitis vinifera subsp vinifera cv. Muscat Oberlin</t>
  </si>
  <si>
    <t>Vitis vinifera subsp vinifera cv. Muscat Ottonel</t>
  </si>
  <si>
    <t>Vitis vinifera subsp vinifera cv. Muscat Paulsen = Paulsen 122</t>
  </si>
  <si>
    <t>Vitis vinifera subsp vinifera cv. Muscat Pince's black</t>
  </si>
  <si>
    <t>Vitis vinifera subsp vinifera cv. Muscat rouge de Madère</t>
  </si>
  <si>
    <t>Vitis vinifera subsp vinifera cv. Muscat Saint-Laurent</t>
  </si>
  <si>
    <t>Vitis vinifera subsp vinifera cv. Muscat Salomon</t>
  </si>
  <si>
    <t>Vitis vinifera subsp vinifera cv. Muscat Vira</t>
  </si>
  <si>
    <t>Vitis vinifera subsp vinifera cv. Muscat Vörösmarty</t>
  </si>
  <si>
    <t>Vitis vinifera subsp vinifera cv. Muskat blume</t>
  </si>
  <si>
    <t>Vitis vinifera subsp vinifera cv. Muskat bouquet</t>
  </si>
  <si>
    <t>Vitis vinifera subsp vinifera cv. Müsküle</t>
  </si>
  <si>
    <t>Vitis vinifera subsp vinifera cv. Mustos feher</t>
  </si>
  <si>
    <t>Vitis vinifera subsp vinifera cv. Nagyfüger</t>
  </si>
  <si>
    <t>Vitis vinifera subsp vinifera cv. Naosé</t>
  </si>
  <si>
    <t>Vitis vinifera subsp vinifera cv. Narince</t>
  </si>
  <si>
    <t>Vitis vinifera subsp vinifera cv. Narma</t>
  </si>
  <si>
    <t>Vitis vinifera subsp vinifera cv. Nasco</t>
  </si>
  <si>
    <t>Vitis vinifera subsp vinifera cv. Nave</t>
  </si>
  <si>
    <t>Vitis vinifera subsp vinifera cv. Nebbiolo</t>
  </si>
  <si>
    <t>Vitis vinifera subsp vinifera cv. Nedelcsev magvatlana</t>
  </si>
  <si>
    <t>Vitis vinifera subsp vinifera cv. Nedeltchev VI-4</t>
  </si>
  <si>
    <t>Vitis vinifera subsp vinifera cv. Nedeltchev V-6</t>
  </si>
  <si>
    <t>Vitis vinifera subsp vinifera cv. Negra corriente</t>
  </si>
  <si>
    <t>Vitis vinifera subsp vinifera cv. Negra mole</t>
  </si>
  <si>
    <t>Vitis vinifera subsp vinifera cv. Negra rayada</t>
  </si>
  <si>
    <t>Vitis vinifera subsp vinifera cv. Negral</t>
  </si>
  <si>
    <t>Vitis vinifera subsp vinifera cv. Negrara trentina</t>
  </si>
  <si>
    <t>Vitis vinifera subsp vinifera cv. Negrara veronese</t>
  </si>
  <si>
    <t>Vitis vinifera subsp vinifera cv. Négret de Banhars</t>
  </si>
  <si>
    <t>Vitis vinifera subsp vinifera cv. Négret de la Canourgue</t>
  </si>
  <si>
    <t>Vitis vinifera subsp vinifera cv. Négret pointu</t>
  </si>
  <si>
    <t>Vitis vinifera subsp vinifera cv. Négrette</t>
  </si>
  <si>
    <t>Vitis vinifera subsp vinifera cv. Negretto</t>
  </si>
  <si>
    <t>Vitis vinifera subsp vinifera cv. Negro amaro</t>
  </si>
  <si>
    <t>Vitis vinifera subsp vinifera cv. Negro mouro</t>
  </si>
  <si>
    <t>Vitis vinifera subsp vinifera cv. Negronza</t>
  </si>
  <si>
    <t>Vitis vinifera subsp vinifera cv. Negru de Causani</t>
  </si>
  <si>
    <t>Vitis vinifera subsp vinifera cv. Negru mare</t>
  </si>
  <si>
    <t>Vitis vinifera subsp vinifera cv. Negru moale</t>
  </si>
  <si>
    <t>Vitis vinifera subsp vinifera cv. Negru virtos</t>
  </si>
  <si>
    <t>Vitis vinifera subsp vinifera cv. Nehelescol</t>
  </si>
  <si>
    <t>Vitis vinifera subsp vinifera cv. Nemorin</t>
  </si>
  <si>
    <t>Vitis vinifera subsp vinifera cv. Nerello cappucio</t>
  </si>
  <si>
    <t>Vitis vinifera subsp vinifera cv. Nerello mascalese</t>
  </si>
  <si>
    <t>Vitis vinifera subsp vinifera cv. Neretta cuneese</t>
  </si>
  <si>
    <t>Vitis vinifera subsp vinifera cv. Neretto di Bairo</t>
  </si>
  <si>
    <t>Vitis vinifera subsp vinifera cv. Neretto grosso monregalese</t>
  </si>
  <si>
    <t>Vitis vinifera subsp vinifera cv. Nerona</t>
  </si>
  <si>
    <t>Vitis vinifera subsp vinifera cv. Netter</t>
  </si>
  <si>
    <t>Vitis vinifera subsp vinifera cv. Neuburger</t>
  </si>
  <si>
    <t>Vitis vinifera subsp vinifera cv. Neuburger (Roumanie)</t>
  </si>
  <si>
    <t>Vitis vinifera subsp vinifera cv. Nieddera</t>
  </si>
  <si>
    <t>Vitis vinifera subsp vinifera cv. Nieddu mannu gris</t>
  </si>
  <si>
    <t>Vitis vinifera subsp vinifera cv. Nielluccio</t>
  </si>
  <si>
    <t>Vitis vinifera subsp vinifera cv. Niger = Pirovano 486</t>
  </si>
  <si>
    <t>Vitis vinifera subsp vinifera cv. Nimrang</t>
  </si>
  <si>
    <t>Vitis vinifera subsp vinifera cv. Nimrang rouge</t>
  </si>
  <si>
    <t>Vitis vinifera subsp vinifera cv. Nincusa</t>
  </si>
  <si>
    <t>Vitis vinifera subsp vinifera cv. Niou-Sin</t>
  </si>
  <si>
    <t>Vitis vinifera subsp vinifera cv. Nobling = 128-40 Fribourg</t>
  </si>
  <si>
    <t>Vitis vinifera subsp vinifera cv. Nocera</t>
  </si>
  <si>
    <t>Vitis vinifera subsp vinifera cv. Noé</t>
  </si>
  <si>
    <t>Vitis vinifera subsp vinifera cv. Nogier 58-1</t>
  </si>
  <si>
    <t>Vitis vinifera subsp vinifera cv. Noir Fleurien</t>
  </si>
  <si>
    <t>Vitis vinifera subsp vinifera cv. Noir Glady</t>
  </si>
  <si>
    <t>Vitis vinifera subsp vinifera cv. Noir hâtif de Marseille</t>
  </si>
  <si>
    <t>Vitis vinifera subsp vinifera cv. Nosiola</t>
  </si>
  <si>
    <t>Vitis vinifera subsp vinifera cv. Noual</t>
  </si>
  <si>
    <t>Vitis vinifera subsp vinifera cv. Noulisok</t>
  </si>
  <si>
    <t>Vitis vinifera subsp vinifera cv. Novraste</t>
  </si>
  <si>
    <t>Vitis vinifera subsp vinifera cv. Nuno gomes</t>
  </si>
  <si>
    <t>Vitis vinifera subsp vinifera cv. Nuragus</t>
  </si>
  <si>
    <t>Vitis vinifera subsp vinifera cv. Obak bieli</t>
  </si>
  <si>
    <t>Vitis vinifera subsp vinifera cv. Obeidi</t>
  </si>
  <si>
    <t>Vitis vinifera subsp vinifera cv. Odem</t>
  </si>
  <si>
    <t>Vitis vinifera subsp vinifera cv. Odesky tcherny</t>
  </si>
  <si>
    <t>Vitis vinifera subsp vinifera cv. Odjalechi</t>
  </si>
  <si>
    <t>Vitis vinifera subsp vinifera cv. Odjou batak</t>
  </si>
  <si>
    <t>Vitis vinifera subsp vinifera cv. Odola</t>
  </si>
  <si>
    <t>Vitis vinifera subsp vinifera cv. Oeillade Bouschet n°1</t>
  </si>
  <si>
    <t>Vitis vinifera subsp vinifera cv. Oeillade bouschet n°4</t>
  </si>
  <si>
    <t>Vitis vinifera subsp vinifera cv. Oeillade noire</t>
  </si>
  <si>
    <t>Vitis vinifera subsp vinifera cv. Ofner</t>
  </si>
  <si>
    <t>Vitis vinifera subsp vinifera cv. Ohanès</t>
  </si>
  <si>
    <t>Vitis vinifera subsp vinifera cv. Okatac</t>
  </si>
  <si>
    <t>Vitis vinifera subsp vinifera cv. Oktiabrskii</t>
  </si>
  <si>
    <t>Vitis vinifera subsp vinifera cv. Öküz gözü</t>
  </si>
  <si>
    <t>Vitis vinifera subsp vinifera cv. Öküz gözü par erreur</t>
  </si>
  <si>
    <t>Vitis vinifera subsp vinifera cv. Olasz kadarka</t>
  </si>
  <si>
    <t>Vitis vinifera subsp vinifera cv. Olber weiss</t>
  </si>
  <si>
    <t>Vitis vinifera subsp vinifera cv. Olho de cocco</t>
  </si>
  <si>
    <t>Vitis vinifera subsp vinifera cv. Olho de Pargo</t>
  </si>
  <si>
    <t>Vitis vinifera subsp vinifera cv. Olivette Barthelet</t>
  </si>
  <si>
    <t>Vitis vinifera subsp vinifera cv. Olivette blanche</t>
  </si>
  <si>
    <t>Vitis vinifera subsp vinifera cv. Olivette noire</t>
  </si>
  <si>
    <t>Vitis vinifera subsp vinifera cv. Olivette rose</t>
  </si>
  <si>
    <t>Vitis vinifera subsp vinifera cv. Om Reu</t>
  </si>
  <si>
    <t>Vitis vinifera subsp vinifera cv. Onchette</t>
  </si>
  <si>
    <t>Vitis vinifera subsp vinifera cv. Ondenc</t>
  </si>
  <si>
    <t>Vitis vinifera subsp vinifera cv. Onusta</t>
  </si>
  <si>
    <t>Vitis vinifera subsp vinifera cv. Opale = Pirovano 213</t>
  </si>
  <si>
    <t>Vitis vinifera subsp vinifera cv. Oporto feher</t>
  </si>
  <si>
    <t>Vitis vinifera subsp vinifera cv. Oporto szürke</t>
  </si>
  <si>
    <t>Vitis vinifera subsp vinifera cv. Opsimos Edessis</t>
  </si>
  <si>
    <t>Vitis vinifera subsp vinifera cv. Optima = Geilweilerhof 33-13-113</t>
  </si>
  <si>
    <t>Vitis vinifera subsp vinifera cv. Ora = INRA 2403-3</t>
  </si>
  <si>
    <t>Vitis vinifera subsp vinifera cv. Orangetraube</t>
  </si>
  <si>
    <t>Vitis vinifera subsp vinifera cv. Orbois = Arbois</t>
  </si>
  <si>
    <t>Vitis vinifera subsp vinifera cv. Org tokos</t>
  </si>
  <si>
    <t>Vitis vinifera subsp vinifera cv. Orléans jaune</t>
  </si>
  <si>
    <t>Vitis vinifera subsp vinifera cv. Orlovi nogti</t>
  </si>
  <si>
    <t>Vitis vinifera subsp vinifera cv. Orlovi nokti cerni</t>
  </si>
  <si>
    <t>Vitis vinifera subsp vinifera cv. Ornove</t>
  </si>
  <si>
    <t>Vitis vinifera subsp vinifera cv. Ornove 2</t>
  </si>
  <si>
    <t>Vitis vinifera subsp vinifera cv. Örrökké piros</t>
  </si>
  <si>
    <t>Vitis vinifera subsp vinifera cv. Ortega = Würzburg B 48-21-4</t>
  </si>
  <si>
    <t>Vitis vinifera subsp vinifera cv. Ortrugo</t>
  </si>
  <si>
    <t>Vitis vinifera subsp vinifera cv. Otcha bala</t>
  </si>
  <si>
    <t>Vitis vinifera subsp vinifera cv. Ötfürtü</t>
  </si>
  <si>
    <t>Vitis vinifera subsp vinifera cv. Oul b'Ouzgueur</t>
  </si>
  <si>
    <t>Vitis vinifera subsp vinifera cv. Ouliven</t>
  </si>
  <si>
    <t>Vitis vinifera subsp vinifera cv. Ouroum üzümü</t>
  </si>
  <si>
    <t>Vitis vinifera subsp vinifera cv. Oussakheloouri</t>
  </si>
  <si>
    <t>Vitis vinifera subsp vinifera cv. Outanant</t>
  </si>
  <si>
    <t>Vitis vinifera subsp vinifera cv. Ovis</t>
  </si>
  <si>
    <t>Vitis vinifera subsp vinifera cv. Ozaan Daii</t>
  </si>
  <si>
    <t>Vitis vinifera subsp vinifera cv. Padeiro de Basto</t>
  </si>
  <si>
    <t>Vitis vinifera subsp vinifera cv. Pagadebiti</t>
  </si>
  <si>
    <t>Vitis vinifera subsp vinifera cv. Pagadebito</t>
  </si>
  <si>
    <t>Vitis vinifera subsp vinifera cv. Païs</t>
  </si>
  <si>
    <t>Vitis vinifera subsp vinifera cv. Palarusa</t>
  </si>
  <si>
    <t>Vitis vinifera subsp vinifera cv. Palestina Oberlin I</t>
  </si>
  <si>
    <t>Vitis vinifera subsp vinifera cv. Palestina Oberlin II</t>
  </si>
  <si>
    <t>Vitis vinifera subsp vinifera cv. Palestina Oberlin III</t>
  </si>
  <si>
    <t>Vitis vinifera subsp vinifera cv. Pallagrello nero</t>
  </si>
  <si>
    <t>Vitis vinifera subsp vinifera cv. Pamid</t>
  </si>
  <si>
    <t>Vitis vinifera subsp vinifera cv. Pamid bial</t>
  </si>
  <si>
    <t>Vitis vinifera subsp vinifera cv. Pamid siv</t>
  </si>
  <si>
    <t>Vitis vinifera subsp vinifera cv. Pamid tcher</t>
  </si>
  <si>
    <t>Vitis vinifera subsp vinifera cv. Pamidi</t>
  </si>
  <si>
    <t>Vitis vinifera subsp vinifera cv. Pannonia kincse</t>
  </si>
  <si>
    <t>Vitis vinifera subsp vinifera cv. Panse précoce</t>
  </si>
  <si>
    <t>Vitis vinifera subsp vinifera cv. Pansera</t>
  </si>
  <si>
    <t>Vitis vinifera subsp vinifera cv. Papadiko</t>
  </si>
  <si>
    <t>Vitis vinifera subsp vinifera cv. Papasca neagra</t>
  </si>
  <si>
    <t>Vitis vinifera subsp vinifera cv. Papaskarasi</t>
  </si>
  <si>
    <t>Vitis vinifera subsp vinifera cv. Paradisa</t>
  </si>
  <si>
    <t>Vitis vinifera subsp vinifera cv. Pardillo</t>
  </si>
  <si>
    <t>Vitis vinifera subsp vinifera cv. Pardina = Pirovano 130</t>
  </si>
  <si>
    <t>Vitis vinifera subsp vinifera cv. Pardotte</t>
  </si>
  <si>
    <t>Vitis vinifera subsp vinifera cv. Parduca</t>
  </si>
  <si>
    <t>Vitis vinifera subsp vinifera cv. Parellada</t>
  </si>
  <si>
    <t>Vitis vinifera subsp vinifera cv. Pariano</t>
  </si>
  <si>
    <t>Vitis vinifera subsp vinifera cv. Parkent</t>
  </si>
  <si>
    <t>Vitis vinifera subsp vinifera cv. Pascal</t>
  </si>
  <si>
    <t>Vitis vinifera subsp vinifera cv. Pascale di Cagliari</t>
  </si>
  <si>
    <t>Vitis vinifera subsp vinifera cv. Pasiga</t>
  </si>
  <si>
    <t>Vitis vinifera subsp vinifera cv. Patagonia</t>
  </si>
  <si>
    <t>Vitis vinifera subsp vinifera cv. Pattaresco</t>
  </si>
  <si>
    <t>Vitis vinifera subsp vinifera cv. Patte d'oie</t>
  </si>
  <si>
    <t>Vitis vinifera subsp vinifera cv. Pau Ferro</t>
  </si>
  <si>
    <t>Vitis vinifera subsp vinifera cv. Paulsen 157</t>
  </si>
  <si>
    <t>Vitis vinifera subsp vinifera cv. Pavana</t>
  </si>
  <si>
    <t>Vitis vinifera subsp vinifera cv. Pé de Perdiz</t>
  </si>
  <si>
    <t>Vitis vinifera subsp vinifera cv. Pé de Perdrix</t>
  </si>
  <si>
    <t>Vitis vinifera subsp vinifera cv. Peck</t>
  </si>
  <si>
    <t>Vitis vinifera subsp vinifera cv. Pecorino</t>
  </si>
  <si>
    <t>Vitis vinifera subsp vinifera cv. Pecsi dinka</t>
  </si>
  <si>
    <t>Vitis vinifera subsp vinifera cv. Pecsi Szagos</t>
  </si>
  <si>
    <t>Vitis vinifera subsp vinifera cv. Pedevenda</t>
  </si>
  <si>
    <t>Vitis vinifera subsp vinifera cv. Pedro Gimenez faux</t>
  </si>
  <si>
    <t>Vitis vinifera subsp vinifera cv. Pedro Jimenez</t>
  </si>
  <si>
    <t>Vitis vinifera subsp vinifera cv. Pedro Luis</t>
  </si>
  <si>
    <t>Vitis vinifera subsp vinifera cv. Pedrol</t>
  </si>
  <si>
    <t>Vitis vinifera subsp vinifera cv. Peikani</t>
  </si>
  <si>
    <t>Vitis vinifera subsp vinifera cv. Peince</t>
  </si>
  <si>
    <t>Vitis vinifera subsp vinifera cv. Peloursin</t>
  </si>
  <si>
    <t>Vitis vinifera subsp vinifera cv. Peloursin gris</t>
  </si>
  <si>
    <t>Vitis vinifera subsp vinifera cv. Penouille</t>
  </si>
  <si>
    <t>Vitis vinifera subsp vinifera cv. Perdea</t>
  </si>
  <si>
    <t>Vitis vinifera subsp vinifera cv. Perel</t>
  </si>
  <si>
    <t>Vitis vinifera subsp vinifera cv. Pergolese</t>
  </si>
  <si>
    <t>Vitis vinifera subsp vinifera cv. Pergrandis = Pirovano 388</t>
  </si>
  <si>
    <t>Vitis vinifera subsp vinifera cv. Periquita</t>
  </si>
  <si>
    <t>Vitis vinifera subsp vinifera cv. Perla nera = Pirovano 218</t>
  </si>
  <si>
    <t>Vitis vinifera subsp vinifera cv. Perlaut = INRA 669-45</t>
  </si>
  <si>
    <t>Vitis vinifera subsp vinifera cv. Perle = Scheu 3951</t>
  </si>
  <si>
    <t>Vitis vinifera subsp vinifera cv. Perle de Csaba</t>
  </si>
  <si>
    <t>Vitis vinifera subsp vinifera cv. Perle de Csaba rouge</t>
  </si>
  <si>
    <t>Vitis vinifera subsp vinifera cv. Perle impériale blanche</t>
  </si>
  <si>
    <t>Vitis vinifera subsp vinifera cv. Perlette</t>
  </si>
  <si>
    <t>Vitis vinifera subsp vinifera cv. Perlon</t>
  </si>
  <si>
    <t>Vitis vinifera subsp vinifera cv. Perlona = Pirovano 54</t>
  </si>
  <si>
    <t>Vitis vinifera subsp vinifera cv. Perola da Gestosa</t>
  </si>
  <si>
    <t>Vitis vinifera subsp vinifera cv. Perricone</t>
  </si>
  <si>
    <t>Vitis vinifera subsp vinifera cv. Perrier noir</t>
  </si>
  <si>
    <t>Vitis vinifera subsp vinifera cv. Perrum</t>
  </si>
  <si>
    <t>Vitis vinifera subsp vinifera cv. Perruno</t>
  </si>
  <si>
    <t>Vitis vinifera subsp vinifera cv. Persagne grise</t>
  </si>
  <si>
    <t>Vitis vinifera subsp vinifera cv. Persan</t>
  </si>
  <si>
    <t>Vitis vinifera subsp vinifera cv. Pervenetz praskoveisky</t>
  </si>
  <si>
    <t>Vitis vinifera subsp vinifera cv. Petinos</t>
  </si>
  <si>
    <t>Vitis vinifera subsp vinifera cv. Petit Blanchou</t>
  </si>
  <si>
    <t>Vitis vinifera subsp vinifera cv. Petit Bouschet</t>
  </si>
  <si>
    <t>Vitis vinifera subsp vinifera cv. Petit Bouschet à feuilles de Malvoisie</t>
  </si>
  <si>
    <t>Vitis vinifera subsp vinifera cv. Petit Bouschet à feuilles lisses x Aramon n°2</t>
  </si>
  <si>
    <t>Vitis vinifera subsp vinifera cv. Petit Bouschet à feuilles lisses x Aramon n°3</t>
  </si>
  <si>
    <t>Vitis vinifera subsp vinifera cv. Petit Bouschet à feuilles lisses x Aramon n°5</t>
  </si>
  <si>
    <t>Vitis vinifera subsp vinifera cv. Petit Bouschet extra fertile</t>
  </si>
  <si>
    <t>Vitis vinifera subsp vinifera cv. Petit Bouschet x Aramon n°1</t>
  </si>
  <si>
    <t>Vitis vinifera subsp vinifera cv. Petit Bouschet x Aramon n°2</t>
  </si>
  <si>
    <t>Vitis vinifera subsp vinifera cv. Petit Bouschet x Aramon n°4</t>
  </si>
  <si>
    <t>Vitis vinifera subsp vinifera cv. Petit Bouschet x Aramon n°6</t>
  </si>
  <si>
    <t>Vitis vinifera subsp vinifera cv. Petit Bouschet x Aramon n°7</t>
  </si>
  <si>
    <t>Vitis vinifera subsp vinifera cv. Petit Bouschet x Aramon n°8</t>
  </si>
  <si>
    <t>Vitis vinifera subsp vinifera cv. Petit Bouschet x Aramon n°9</t>
  </si>
  <si>
    <t>Vitis vinifera subsp vinifera cv. Petit Bouschet x Morrastel fleuri n°1</t>
  </si>
  <si>
    <t>Vitis vinifera subsp vinifera cv. Petit Bouschet x Morrastel n°3</t>
  </si>
  <si>
    <t>Vitis vinifera subsp vinifera cv. Petit Bouschet x Morrastel n°7</t>
  </si>
  <si>
    <t>Vitis vinifera subsp vinifera cv. Petit Bouschet x Piquepoul n°2</t>
  </si>
  <si>
    <t>Vitis vinifera subsp vinifera cv. Petit Bouschet x Terret gris</t>
  </si>
  <si>
    <t>Vitis vinifera subsp vinifera cv. Petit Courbu</t>
  </si>
  <si>
    <t>Vitis vinifera subsp vinifera cv. Petit Manseng</t>
  </si>
  <si>
    <t>Vitis vinifera subsp vinifera cv. Petit Meslier</t>
  </si>
  <si>
    <t>Vitis vinifera subsp vinifera cv. Petit Meslier rose</t>
  </si>
  <si>
    <t>Vitis vinifera subsp vinifera cv. Petit Péjac</t>
  </si>
  <si>
    <t>Vitis vinifera subsp vinifera cv. Petit rouge</t>
  </si>
  <si>
    <t>Vitis vinifera subsp vinifera cv. Petit Verdot</t>
  </si>
  <si>
    <t>Vitis vinifera subsp vinifera cv. Pétoin</t>
  </si>
  <si>
    <t>Vitis vinifera subsp vinifera cv. Peurion</t>
  </si>
  <si>
    <t>Vitis vinifera subsp vinifera cv. Peverella</t>
  </si>
  <si>
    <t>Vitis vinifera subsp vinifera cv. Peygamber üzümü</t>
  </si>
  <si>
    <t>Vitis vinifera subsp vinifera cv. Phakhri</t>
  </si>
  <si>
    <t>Vitis vinifera subsp vinifera cv. Phidia</t>
  </si>
  <si>
    <t>Vitis vinifera subsp vinifera cv. Phileri attikis</t>
  </si>
  <si>
    <t>Vitis vinifera subsp vinifera cv. Phileri rose</t>
  </si>
  <si>
    <t>Vitis vinifera subsp vinifera cv. Phileri rose musqué</t>
  </si>
  <si>
    <t>Vitis vinifera subsp vinifera cv. Phokiano</t>
  </si>
  <si>
    <t>Vitis vinifera subsp vinifera cv. Phraoula rose</t>
  </si>
  <si>
    <t>Vitis vinifera subsp vinifera cv. Picadillo blanco</t>
  </si>
  <si>
    <t>Vitis vinifera subsp vinifera cv. Picardan = Araignan blanc</t>
  </si>
  <si>
    <t>Vitis vinifera subsp vinifera cv. Piccola nera</t>
  </si>
  <si>
    <t>Vitis vinifera subsp vinifera cv. Piccolit</t>
  </si>
  <si>
    <t>Vitis vinifera subsp vinifera cv. Picolin</t>
  </si>
  <si>
    <t>Vitis vinifera subsp vinifera cv. Piedirosso</t>
  </si>
  <si>
    <t>Vitis vinifera subsp vinifera cv. Pigeonnet</t>
  </si>
  <si>
    <t>Vitis vinifera subsp vinifera cv. Pignol</t>
  </si>
  <si>
    <t>Vitis vinifera subsp vinifera cv. Pignola valtellinese</t>
  </si>
  <si>
    <t>Vitis vinifera subsp vinifera cv. Piment</t>
  </si>
  <si>
    <t>Vitis vinifera subsp vinifera cv. Pin el pou Tao</t>
  </si>
  <si>
    <t>Vitis vinifera subsp vinifera cv. Pineau d'Aunis</t>
  </si>
  <si>
    <t>Vitis vinifera subsp vinifera cv. Pineau d'Aunis teinturier</t>
  </si>
  <si>
    <t>Vitis vinifera subsp vinifera cv. Pinella bianca</t>
  </si>
  <si>
    <t>Vitis vinifera subsp vinifera cv. Pinot à fleurs doubles</t>
  </si>
  <si>
    <t>Vitis vinifera subsp vinifera cv. Pinot blanc</t>
  </si>
  <si>
    <t>Vitis vinifera subsp vinifera cv. Pinot gris</t>
  </si>
  <si>
    <t>Vitis vinifera subsp vinifera cv. Pinot lacinifolié</t>
  </si>
  <si>
    <t>Vitis vinifera subsp vinifera cv. Pinot noir</t>
  </si>
  <si>
    <t>Vitis vinifera subsp vinifera cv. Pinot précoce noir</t>
  </si>
  <si>
    <t>Vitis vinifera subsp vinifera cv. Pinot rouge</t>
  </si>
  <si>
    <t>Vitis vinifera subsp vinifera cv. Pinot teinturier</t>
  </si>
  <si>
    <t>Vitis vinifera subsp vinifera cv. Pinot tête de nègre</t>
  </si>
  <si>
    <t>Vitis vinifera subsp vinifera cv. Pinotage</t>
  </si>
  <si>
    <t>Vitis vinifera subsp vinifera cv. Piquepoul blanc</t>
  </si>
  <si>
    <t>Vitis vinifera subsp vinifera cv. Piquepoul Bouschet</t>
  </si>
  <si>
    <t>Vitis vinifera subsp vinifera cv. Piquepoul gris</t>
  </si>
  <si>
    <t>Vitis vinifera subsp vinifera cv. Piquepoul noir</t>
  </si>
  <si>
    <t>Vitis vinifera subsp vinifera cv. Pirciu</t>
  </si>
  <si>
    <t>Vitis vinifera subsp vinifera cv. Pirovano 1</t>
  </si>
  <si>
    <t>Vitis vinifera subsp vinifera cv. Pirovano 11</t>
  </si>
  <si>
    <t>Vitis vinifera subsp vinifera cv. Pirovano 111</t>
  </si>
  <si>
    <t>Vitis vinifera subsp vinifera cv. Pirovano 112</t>
  </si>
  <si>
    <t>Vitis vinifera subsp vinifera cv. Pirovano 113</t>
  </si>
  <si>
    <t>Vitis vinifera subsp vinifera cv. Pirovano 115</t>
  </si>
  <si>
    <t>Vitis vinifera subsp vinifera cv. Pirovano 123</t>
  </si>
  <si>
    <t>Vitis vinifera subsp vinifera cv. Pirovano 14</t>
  </si>
  <si>
    <t>Vitis vinifera subsp vinifera cv. Pirovano 15</t>
  </si>
  <si>
    <t>Vitis vinifera subsp vinifera cv. Pirovano 153</t>
  </si>
  <si>
    <t>Vitis vinifera subsp vinifera cv. Pirovano 154</t>
  </si>
  <si>
    <t>Vitis vinifera subsp vinifera cv. Pirovano 155</t>
  </si>
  <si>
    <t>Vitis vinifera subsp vinifera cv. Pirovano 156</t>
  </si>
  <si>
    <t>Vitis vinifera subsp vinifera cv. Pirovano 157</t>
  </si>
  <si>
    <t>Vitis vinifera subsp vinifera cv. Pirovano 159</t>
  </si>
  <si>
    <t>Vitis vinifera subsp vinifera cv. Pirovano 17</t>
  </si>
  <si>
    <t>Vitis vinifera subsp vinifera cv. Pirovano 174</t>
  </si>
  <si>
    <t>Vitis vinifera subsp vinifera cv. Pirovano 175</t>
  </si>
  <si>
    <t>Vitis vinifera subsp vinifera cv. Pirovano 182</t>
  </si>
  <si>
    <t>Vitis vinifera subsp vinifera cv. Pirovano 186</t>
  </si>
  <si>
    <t>Vitis vinifera subsp vinifera cv. Pirovano 186 a</t>
  </si>
  <si>
    <t>Vitis vinifera subsp vinifera cv. Pirovano 188</t>
  </si>
  <si>
    <t>Vitis vinifera subsp vinifera cv. Pirovano 19</t>
  </si>
  <si>
    <t>Vitis vinifera subsp vinifera cv. Pirovano 190</t>
  </si>
  <si>
    <t>Vitis vinifera subsp vinifera cv. Pirovano 21</t>
  </si>
  <si>
    <t>Vitis vinifera subsp vinifera cv. Pirovano 217</t>
  </si>
  <si>
    <t>Vitis vinifera subsp vinifera cv. Pirovano 219</t>
  </si>
  <si>
    <t>Vitis vinifera subsp vinifera cv. Pirovano 220 b</t>
  </si>
  <si>
    <t>Vitis vinifera subsp vinifera cv. Pirovano 225</t>
  </si>
  <si>
    <t>Vitis vinifera subsp vinifera cv. Pirovano 235</t>
  </si>
  <si>
    <t>Vitis vinifera subsp vinifera cv. Pirovano 24</t>
  </si>
  <si>
    <t>Vitis vinifera subsp vinifera cv. Pirovano 25</t>
  </si>
  <si>
    <t>Vitis vinifera subsp vinifera cv. Pirovano 28</t>
  </si>
  <si>
    <t>Vitis vinifera subsp vinifera cv. Pirovano 3</t>
  </si>
  <si>
    <t>Vitis vinifera subsp vinifera cv. Pirovano 306</t>
  </si>
  <si>
    <t>Vitis vinifera subsp vinifera cv. Pirovano 31</t>
  </si>
  <si>
    <t>Vitis vinifera subsp vinifera cv. Pirovano 312</t>
  </si>
  <si>
    <t>Vitis vinifera subsp vinifera cv. Pirovano 313 a</t>
  </si>
  <si>
    <t>Vitis vinifera subsp vinifera cv. Pirovano 315</t>
  </si>
  <si>
    <t>Vitis vinifera subsp vinifera cv. Pirovano 32</t>
  </si>
  <si>
    <t>Vitis vinifera subsp vinifera cv. Pirovano 321</t>
  </si>
  <si>
    <t>Vitis vinifera subsp vinifera cv. Pirovano 322</t>
  </si>
  <si>
    <t>Vitis vinifera subsp vinifera cv. Pirovano 338</t>
  </si>
  <si>
    <t>Vitis vinifera subsp vinifera cv. Pirovano 344</t>
  </si>
  <si>
    <t>Vitis vinifera subsp vinifera cv. Pirovano 346</t>
  </si>
  <si>
    <t>Vitis vinifera subsp vinifera cv. Pirovano 349</t>
  </si>
  <si>
    <t>Vitis vinifera subsp vinifera cv. Pirovano 352 faux</t>
  </si>
  <si>
    <t>Vitis vinifera subsp vinifera cv. Pirovano 359</t>
  </si>
  <si>
    <t>Vitis vinifera subsp vinifera cv. Pirovano 36</t>
  </si>
  <si>
    <t>Vitis vinifera subsp vinifera cv. Pirovano 378</t>
  </si>
  <si>
    <t>Vitis vinifera subsp vinifera cv. Pirovano 398</t>
  </si>
  <si>
    <t>Vitis vinifera subsp vinifera cv. Pirovano 399</t>
  </si>
  <si>
    <t>Vitis vinifera subsp vinifera cv. Pirovano 4</t>
  </si>
  <si>
    <t>Vitis vinifera subsp vinifera cv. Pirovano 428</t>
  </si>
  <si>
    <t>Vitis vinifera subsp vinifera cv. Pirovano 436</t>
  </si>
  <si>
    <t>Vitis vinifera subsp vinifera cv. Pirovano 46</t>
  </si>
  <si>
    <t>Vitis vinifera subsp vinifera cv. Pirovano 468</t>
  </si>
  <si>
    <t>Vitis vinifera subsp vinifera cv. Pirovano 471</t>
  </si>
  <si>
    <t>Vitis vinifera subsp vinifera cv. Pirovano 477 a</t>
  </si>
  <si>
    <t>Vitis vinifera subsp vinifera cv. Pirovano 49</t>
  </si>
  <si>
    <t>Vitis vinifera subsp vinifera cv. Pirovano 5</t>
  </si>
  <si>
    <t>Vitis vinifera subsp vinifera cv. Pirovano 50</t>
  </si>
  <si>
    <t>Vitis vinifera subsp vinifera cv. Pirovano 51</t>
  </si>
  <si>
    <t>Vitis vinifera subsp vinifera cv. Pirovano 53</t>
  </si>
  <si>
    <t>Vitis vinifera subsp vinifera cv. Pirovano 530</t>
  </si>
  <si>
    <t>Vitis vinifera subsp vinifera cv. Pirovano 531</t>
  </si>
  <si>
    <t>Vitis vinifera subsp vinifera cv. Pirovano 536</t>
  </si>
  <si>
    <t>Vitis vinifera subsp vinifera cv. Pirovano 54 A</t>
  </si>
  <si>
    <t>Vitis vinifera subsp vinifera cv. Pirovano 540 A</t>
  </si>
  <si>
    <t>Vitis vinifera subsp vinifera cv. Pirovano 544</t>
  </si>
  <si>
    <t>Vitis vinifera subsp vinifera cv. Pirovano 55 faux</t>
  </si>
  <si>
    <t>Vitis vinifera subsp vinifera cv. Pirovano 56</t>
  </si>
  <si>
    <t>Vitis vinifera subsp vinifera cv. Pirovano 57</t>
  </si>
  <si>
    <t>Vitis vinifera subsp vinifera cv. Pirovano 575</t>
  </si>
  <si>
    <t>Vitis vinifera subsp vinifera cv. Pirovano 61</t>
  </si>
  <si>
    <t>Vitis vinifera subsp vinifera cv. Pirovano 62</t>
  </si>
  <si>
    <t>Vitis vinifera subsp vinifera cv. Pirovano 620</t>
  </si>
  <si>
    <t>Vitis vinifera subsp vinifera cv. Pirovano 63</t>
  </si>
  <si>
    <t>Vitis vinifera subsp vinifera cv. Pirovano 64</t>
  </si>
  <si>
    <t>Vitis vinifera subsp vinifera cv. Pirovano 66</t>
  </si>
  <si>
    <t>Vitis vinifera subsp vinifera cv. Pirovano 671</t>
  </si>
  <si>
    <t>Vitis vinifera subsp vinifera cv. Pirovano 69</t>
  </si>
  <si>
    <t>Vitis vinifera subsp vinifera cv. Pirovano 74</t>
  </si>
  <si>
    <t>Vitis vinifera subsp vinifera cv. Pirovano 76</t>
  </si>
  <si>
    <t>Vitis vinifera subsp vinifera cv. Pirovano 79</t>
  </si>
  <si>
    <t>Vitis vinifera subsp vinifera cv. Pirovano 80</t>
  </si>
  <si>
    <t>Vitis vinifera subsp vinifera cv. Pirovano 84</t>
  </si>
  <si>
    <t>Vitis vinifera subsp vinifera cv. Pirovano 88</t>
  </si>
  <si>
    <t>Vitis vinifera subsp vinifera cv. Pirovano 91</t>
  </si>
  <si>
    <t>Vitis vinifera subsp vinifera cv. Pirovano 92</t>
  </si>
  <si>
    <t>Vitis vinifera subsp vinifera cv. Pirovano 93</t>
  </si>
  <si>
    <t>Vitis vinifera subsp vinifera cv. Pirovano 94</t>
  </si>
  <si>
    <t>Vitis vinifera subsp vinifera cv. Pirovano 95</t>
  </si>
  <si>
    <t>Vitis vinifera subsp vinifera cv. Pirovano 96</t>
  </si>
  <si>
    <t>Vitis vinifera subsp vinifera cv. Pirovano 97</t>
  </si>
  <si>
    <t>Vitis vinifera subsp vinifera cv. Pirovano 98</t>
  </si>
  <si>
    <t>Vitis vinifera subsp vinifera cv. Pirovano 99</t>
  </si>
  <si>
    <t>Vitis vinifera subsp vinifera cv. Pizzutello nero</t>
  </si>
  <si>
    <t>Vitis vinifera subsp vinifera cv. Plant d'Aoste</t>
  </si>
  <si>
    <t>Vitis vinifera subsp vinifera cv. Plant de Brunel</t>
  </si>
  <si>
    <t>Vitis vinifera subsp vinifera cv. Plant de Couston</t>
  </si>
  <si>
    <t>Vitis vinifera subsp vinifera cv. Plant de Flassans</t>
  </si>
  <si>
    <t>Vitis vinifera subsp vinifera cv. Plant droit</t>
  </si>
  <si>
    <t>Vitis vinifera subsp vinifera cv. Plant Vert</t>
  </si>
  <si>
    <t>Vitis vinifera subsp vinifera cv. Planta mula</t>
  </si>
  <si>
    <t>Vitis vinifera subsp vinifera cv. Planta nova</t>
  </si>
  <si>
    <t>Vitis vinifera subsp vinifera cv. Plassa</t>
  </si>
  <si>
    <t>Vitis vinifera subsp vinifera cv. Platyracho</t>
  </si>
  <si>
    <t>Vitis vinifera subsp vinifera cv. Plavac mali (Jelaska)</t>
  </si>
  <si>
    <t>Vitis vinifera subsp vinifera cv. Plavaï</t>
  </si>
  <si>
    <t>Vitis vinifera subsp vinifera cv. Plavina crna</t>
  </si>
  <si>
    <t>Vitis vinifera subsp vinifera cv. Pletchistik</t>
  </si>
  <si>
    <t>Vitis vinifera subsp vinifera cv. Plyto</t>
  </si>
  <si>
    <t>Vitis vinifera subsp vinifera cv. Pobeda</t>
  </si>
  <si>
    <t>Vitis vinifera subsp vinifera cv. Pointu</t>
  </si>
  <si>
    <t>Vitis vinifera subsp vinifera cv. Pollera nera</t>
  </si>
  <si>
    <t>Vitis vinifera subsp vinifera cv. Pollita</t>
  </si>
  <si>
    <t>Vitis vinifera subsp vinifera cv. Portan = INRA 1508-25</t>
  </si>
  <si>
    <t>Vitis vinifera subsp vinifera cv. Portugais blanc</t>
  </si>
  <si>
    <t>Vitis vinifera subsp vinifera cv. Portugais bleu</t>
  </si>
  <si>
    <t>Vitis vinifera subsp vinifera cv. Posip</t>
  </si>
  <si>
    <t>Vitis vinifera subsp vinifera cv. Potamissio</t>
  </si>
  <si>
    <t>Vitis vinifera subsp vinifera cv. Pougayen</t>
  </si>
  <si>
    <t>Vitis vinifera subsp vinifera cv. Pougnet</t>
  </si>
  <si>
    <t>Vitis vinifera subsp vinifera cv. Poulsard</t>
  </si>
  <si>
    <t>Vitis vinifera subsp vinifera cv. Poulsard blanc</t>
  </si>
  <si>
    <t>Vitis vinifera subsp vinifera cv. Poulsard rouge</t>
  </si>
  <si>
    <t>Vitis vinifera subsp vinifera cv. Pozsonyi feher</t>
  </si>
  <si>
    <t>Vitis vinifera subsp vinifera cv. Prc</t>
  </si>
  <si>
    <t>Vitis vinifera subsp vinifera cv. Précoce Bousquet</t>
  </si>
  <si>
    <t>Vitis vinifera subsp vinifera cv. Précoce de Malingre</t>
  </si>
  <si>
    <t>Vitis vinifera subsp vinifera cv. Précoce di Roma = Pirovano 707</t>
  </si>
  <si>
    <t>Vitis vinifera subsp vinifera cv. Premier</t>
  </si>
  <si>
    <t>Vitis vinifera subsp vinifera cv. Président Carnot</t>
  </si>
  <si>
    <t>Vitis vinifera subsp vinifera cv. Preto Martinho</t>
  </si>
  <si>
    <t>Vitis vinifera subsp vinifera cv. Preto salmoura</t>
  </si>
  <si>
    <t>Vitis vinifera subsp vinifera cv. Prima =  INRA 2719-122</t>
  </si>
  <si>
    <t>Vitis vinifera subsp vinifera cv. Primiera = Pirovano 309</t>
  </si>
  <si>
    <t>Vitis vinifera subsp vinifera cv. Primitivo</t>
  </si>
  <si>
    <t>Vitis vinifera subsp vinifera cv. Prin blanc</t>
  </si>
  <si>
    <t>Vitis vinifera subsp vinifera cv. Prince of Wales</t>
  </si>
  <si>
    <t>Vitis vinifera subsp vinifera cv. Princeps = Pirovano 357</t>
  </si>
  <si>
    <t>Vitis vinifera subsp vinifera cv. Principessa di Piemonte = Pirovano 108</t>
  </si>
  <si>
    <t>Vitis vinifera subsp vinifera cv. Prista</t>
  </si>
  <si>
    <t>Vitis vinifera subsp vinifera cv. Prodigiosa = Pirovano 59</t>
  </si>
  <si>
    <t>Vitis vinifera subsp vinifera cv. Prokupac</t>
  </si>
  <si>
    <t>Vitis vinifera subsp vinifera cv. Prosecco</t>
  </si>
  <si>
    <t>Vitis vinifera subsp vinifera cv. Prosecco lungo</t>
  </si>
  <si>
    <t>Vitis vinifera subsp vinifera cv. Prosperi 102</t>
  </si>
  <si>
    <t>Vitis vinifera subsp vinifera cv. Prosperi 167</t>
  </si>
  <si>
    <t>Vitis vinifera subsp vinifera cv. Prosperi 201</t>
  </si>
  <si>
    <t>Vitis vinifera subsp vinifera cv. Prosperi 204</t>
  </si>
  <si>
    <t>Vitis vinifera subsp vinifera cv. Prosperi 262</t>
  </si>
  <si>
    <t>Vitis vinifera subsp vinifera cv. Prosperi 268</t>
  </si>
  <si>
    <t>Vitis vinifera subsp vinifera cv. Prosperi 285</t>
  </si>
  <si>
    <t>Vitis vinifera subsp vinifera cv. Prosperi 37</t>
  </si>
  <si>
    <t>Vitis vinifera subsp vinifera cv. Prosperi 371</t>
  </si>
  <si>
    <t>Vitis vinifera subsp vinifera cv. Prosperi 8</t>
  </si>
  <si>
    <t>Vitis vinifera subsp vinifera cv. Prosperi 97</t>
  </si>
  <si>
    <t>Vitis vinifera subsp vinifera cv. Proueral</t>
  </si>
  <si>
    <t>Vitis vinifera subsp vinifera cv. Prueras</t>
  </si>
  <si>
    <t>Vitis vinifera subsp vinifera cv. Prune de Cazouls</t>
  </si>
  <si>
    <t>Vitis vinifera subsp vinifera cv. Prunelard</t>
  </si>
  <si>
    <t>Vitis vinifera subsp vinifera cv. Prunella moscato = Pirovano 47</t>
  </si>
  <si>
    <t>Vitis vinifera subsp vinifera cv. Prunesta nera</t>
  </si>
  <si>
    <t>Vitis vinifera subsp vinifera cv. Prunesta rosso violacea</t>
  </si>
  <si>
    <t>Vitis vinifera subsp vinifera cv. Psarotherico</t>
  </si>
  <si>
    <t>Vitis vinifera subsp vinifera cv. Pseudosyrico</t>
  </si>
  <si>
    <t>Vitis vinifera subsp vinifera cv. Puljïzanac</t>
  </si>
  <si>
    <t>Vitis vinifera subsp vinifera cv. Purcsin</t>
  </si>
  <si>
    <t>Vitis vinifera subsp vinifera cv. Putzscheere</t>
  </si>
  <si>
    <t>Vitis vinifera subsp vinifera cv. Quebranta</t>
  </si>
  <si>
    <t>Vitis vinifera subsp vinifera cv. Queen</t>
  </si>
  <si>
    <t>Vitis vinifera subsp vinifera cv. Quiebratinajas</t>
  </si>
  <si>
    <t>Vitis vinifera subsp vinifera cv. Quigat</t>
  </si>
  <si>
    <t>Vitis vinifera subsp vinifera cv. Rabigato</t>
  </si>
  <si>
    <t>Vitis vinifera subsp vinifera cv. Rabigato du Douro</t>
  </si>
  <si>
    <t>Vitis vinifera subsp vinifera cv. Raboso piave</t>
  </si>
  <si>
    <t>Vitis vinifera subsp vinifera cv. Raboso Veronese</t>
  </si>
  <si>
    <t>Vitis vinifera subsp vinifera cv. Raffiat de Moncade</t>
  </si>
  <si>
    <t>Vitis vinifera subsp vinifera cv. Raisaine</t>
  </si>
  <si>
    <t>Vitis vinifera subsp vinifera cv. Raisin de Kossuth</t>
  </si>
  <si>
    <t>Vitis vinifera subsp vinifera cv. Rakszölö</t>
  </si>
  <si>
    <t>Vitis vinifera subsp vinifera cv. Rami = Vidal 119</t>
  </si>
  <si>
    <t>Vitis vinifera subsp vinifera cv. Ramisco</t>
  </si>
  <si>
    <t>Vitis vinifera subsp vinifera cv. Rannii Vira</t>
  </si>
  <si>
    <t>Vitis vinifera subsp vinifera cv. Ranny Magaratcha = Magaratch 372</t>
  </si>
  <si>
    <t>Vitis vinifera subsp vinifera cv. Rassegui</t>
  </si>
  <si>
    <t>Vitis vinifera subsp vinifera cv. Rauschling</t>
  </si>
  <si>
    <t>Vitis vinifera subsp vinifera cv. Razachie alba</t>
  </si>
  <si>
    <t>Vitis vinifera subsp vinifera cv. Razachie rosie</t>
  </si>
  <si>
    <t>Vitis vinifera subsp vinifera cv. Razakiia mirisliva</t>
  </si>
  <si>
    <t>Vitis vinifera subsp vinifera cv. Razakiia piembiana</t>
  </si>
  <si>
    <t>Vitis vinifera subsp vinifera cv. Razdani</t>
  </si>
  <si>
    <t>Vitis vinifera subsp vinifera cv. Raziki</t>
  </si>
  <si>
    <t>Vitis vinifera subsp vinifera cv. Red globe</t>
  </si>
  <si>
    <t>Vitis vinifera subsp vinifera cv. Red May</t>
  </si>
  <si>
    <t>Vitis vinifera subsp vinifera cv. Refosco dal pedonculo rosso</t>
  </si>
  <si>
    <t>Vitis vinifera subsp vinifera cv. Refoscone</t>
  </si>
  <si>
    <t>Vitis vinifera subsp vinifera cv. Regenerator</t>
  </si>
  <si>
    <t>Vitis vinifera subsp vinifera cv. Reichensteiner</t>
  </si>
  <si>
    <t>Vitis vinifera subsp vinifera cv. Reichriesling</t>
  </si>
  <si>
    <t>Vitis vinifera subsp vinifera cv. Reichsfränkisch</t>
  </si>
  <si>
    <t>Vitis vinifera subsp vinifera cv. Reine des Vignes</t>
  </si>
  <si>
    <t>Vitis vinifera subsp vinifera cv. Retagliado bianco = Arrotelas</t>
  </si>
  <si>
    <t>Vitis vinifera subsp vinifera cv. Revers Cepens</t>
  </si>
  <si>
    <t>Vitis vinifera subsp vinifera cv. Rèze</t>
  </si>
  <si>
    <t>Vitis vinifera subsp vinifera cv. Rhoditis</t>
  </si>
  <si>
    <t>Vitis vinifera subsp vinifera cv. Ribier gris</t>
  </si>
  <si>
    <t>Vitis vinifera subsp vinifera cv. Ribier noir</t>
  </si>
  <si>
    <t>Vitis vinifera subsp vinifera cv. Ribol = INRA 1597-131</t>
  </si>
  <si>
    <t>Vitis vinifera subsp vinifera cv. Ribolla gialla</t>
  </si>
  <si>
    <t>Vitis vinifera subsp vinifera cv. Ribote</t>
  </si>
  <si>
    <t>Vitis vinifera subsp vinifera cv. Rieslaner = Würzburg NI 11-17</t>
  </si>
  <si>
    <t>Vitis vinifera subsp vinifera cv. Riesling</t>
  </si>
  <si>
    <t>Vitis vinifera subsp vinifera cv. Riesling italico</t>
  </si>
  <si>
    <t>Vitis vinifera subsp vinifera cv. Riesling Lion</t>
  </si>
  <si>
    <t>Vitis vinifera subsp vinifera cv. Riesling rouge</t>
  </si>
  <si>
    <t>Vitis vinifera subsp vinifera cv. Rigolbouillé</t>
  </si>
  <si>
    <t>Vitis vinifera subsp vinifera cv. Riminèse</t>
  </si>
  <si>
    <t>Vitis vinifera subsp vinifera cv. Rindjaga</t>
  </si>
  <si>
    <t>Vitis vinifera subsp vinifera cv. Rivairenc = Aspiran noir</t>
  </si>
  <si>
    <t>Vitis vinifera subsp vinifera cv. Rivairenc blanc = Aspiran blanc</t>
  </si>
  <si>
    <t>Vitis vinifera subsp vinifera cv. Rivairenc gris = Aspiran gris</t>
  </si>
  <si>
    <t>Vitis vinifera subsp vinifera cv. Rizamat</t>
  </si>
  <si>
    <t>Vitis vinifera subsp vinifera cv. Rizens</t>
  </si>
  <si>
    <t>Vitis vinifera subsp vinifera cv. Rkatsitelli</t>
  </si>
  <si>
    <t>Vitis vinifera subsp vinifera cv. Rkatziteli krasni</t>
  </si>
  <si>
    <t>Vitis vinifera subsp vinifera cv. Robin noir</t>
  </si>
  <si>
    <t>Vitis vinifera subsp vinifera cv. Rodi = Pirovano 166</t>
  </si>
  <si>
    <t>Vitis vinifera subsp vinifera cv. Rohrtraube</t>
  </si>
  <si>
    <t>Vitis vinifera subsp vinifera cv. Roi des précoces</t>
  </si>
  <si>
    <t>Vitis vinifera subsp vinifera cv. Roma = Pirovano 210</t>
  </si>
  <si>
    <t>Vitis vinifera subsp vinifera cv. Rombola noir</t>
  </si>
  <si>
    <t>Vitis vinifera subsp vinifera cv. Romeïco</t>
  </si>
  <si>
    <t>Vitis vinifera subsp vinifera cv. Romorantin</t>
  </si>
  <si>
    <t>Vitis vinifera subsp vinifera cv. Rondinella</t>
  </si>
  <si>
    <t>Vitis vinifera subsp vinifera cv. Ronelle</t>
  </si>
  <si>
    <t>Vitis vinifera subsp vinifera cv. Rosa del Peru type 1</t>
  </si>
  <si>
    <t>Vitis vinifera subsp vinifera cv. Rosa del Peru type 2</t>
  </si>
  <si>
    <t>Vitis vinifera subsp vinifera cv. Rosa menna di vacca</t>
  </si>
  <si>
    <t>Vitis vinifera subsp vinifera cv. Rosa steen</t>
  </si>
  <si>
    <t>Vitis vinifera subsp vinifera cv. Rosaki blanc de semis</t>
  </si>
  <si>
    <t>Vitis vinifera subsp vinifera cv. Rosaki noir de semis</t>
  </si>
  <si>
    <t>Vitis vinifera subsp vinifera cv. Rosé du Var</t>
  </si>
  <si>
    <t>Vitis vinifera subsp vinifera cv. Rossara trentina</t>
  </si>
  <si>
    <t>Vitis vinifera subsp vinifera cv. Rossese</t>
  </si>
  <si>
    <t>Vitis vinifera subsp vinifera cv. Rossignola</t>
  </si>
  <si>
    <t>Vitis vinifera subsp vinifera cv. Rossola bianca</t>
  </si>
  <si>
    <t>Vitis vinifera subsp vinifera cv. Rotberger = Gm 3-37</t>
  </si>
  <si>
    <t>Vitis vinifera subsp vinifera cv. Rotgipfler</t>
  </si>
  <si>
    <t>Vitis vinifera subsp vinifera cv. Roubinoy de Magaratch = Magaratch 56</t>
  </si>
  <si>
    <t>Vitis vinifera subsp vinifera cv. Roublot</t>
  </si>
  <si>
    <t>Vitis vinifera subsp vinifera cv. Rouchaki</t>
  </si>
  <si>
    <t>Vitis vinifera subsp vinifera cv. Rouge de Fully</t>
  </si>
  <si>
    <t>Vitis vinifera subsp vinifera cv. Roumi noir</t>
  </si>
  <si>
    <t>Vitis vinifera subsp vinifera cv. Roussaïtis</t>
  </si>
  <si>
    <t>Vitis vinifera subsp vinifera cv. Roussanne</t>
  </si>
  <si>
    <t>Vitis vinifera subsp vinifera cv. Roussaou</t>
  </si>
  <si>
    <t>Vitis vinifera subsp vinifera cv. Roussette d'Ayze</t>
  </si>
  <si>
    <t>Vitis vinifera subsp vinifera cv. Roxo dos pintos</t>
  </si>
  <si>
    <t>Vitis vinifera subsp vinifera cv. Royal</t>
  </si>
  <si>
    <t>Vitis vinifera subsp vinifera cv. Royal Ascot</t>
  </si>
  <si>
    <t>Vitis vinifera subsp vinifera cv. Royal Askant</t>
  </si>
  <si>
    <t>Vitis vinifera subsp vinifera cv. Royal Molenberg</t>
  </si>
  <si>
    <t>Vitis vinifera subsp vinifera cv. Royal Vineyard</t>
  </si>
  <si>
    <t>Vitis vinifera subsp vinifera cv. Rubi</t>
  </si>
  <si>
    <t>Vitis vinifera subsp vinifera cv. Ruby Cabernet</t>
  </si>
  <si>
    <t>Vitis vinifera subsp vinifera cv. Ruby seedless</t>
  </si>
  <si>
    <t>Vitis vinifera subsp vinifera cv. Rudezusa</t>
  </si>
  <si>
    <t>Vitis vinifera subsp vinifera cv. Ruzevina</t>
  </si>
  <si>
    <t>Vitis vinifera subsp vinifera cv. Sabalkanskoï</t>
  </si>
  <si>
    <t>Vitis vinifera subsp vinifera cv. Sabaté</t>
  </si>
  <si>
    <t>Vitis vinifera subsp vinifera cv. Sabra</t>
  </si>
  <si>
    <t>Vitis vinifera subsp vinifera cv. Sacavem = C27 Coutinho</t>
  </si>
  <si>
    <t>Vitis vinifera subsp vinifera cv. Sacy</t>
  </si>
  <si>
    <t>Vitis vinifera subsp vinifera cv. Sagrantino</t>
  </si>
  <si>
    <t>Vitis vinifera subsp vinifera cv. Sahami</t>
  </si>
  <si>
    <t>Vitis vinifera subsp vinifera cv. Sahebi</t>
  </si>
  <si>
    <t>Vitis vinifera subsp vinifera cv. Sahibi sorh</t>
  </si>
  <si>
    <t>Vitis vinifera subsp vinifera cv. Sahilii</t>
  </si>
  <si>
    <t>Vitis vinifera subsp vinifera cv. Saint-Emilion x Sémillon D</t>
  </si>
  <si>
    <t>Vitis vinifera subsp vinifera cv. Saint-Laurent</t>
  </si>
  <si>
    <t>Vitis vinifera subsp vinifera cv. Saint-Louis faux</t>
  </si>
  <si>
    <t>Vitis vinifera subsp vinifera cv. Saint-Macaire</t>
  </si>
  <si>
    <t>Vitis vinifera subsp vinifera cv. Sainton = Vidal 9</t>
  </si>
  <si>
    <t>Vitis vinifera subsp vinifera cv. Saint-Pierre doré</t>
  </si>
  <si>
    <t>Vitis vinifera subsp vinifera cv. Sakasli</t>
  </si>
  <si>
    <t>Vitis vinifera subsp vinifera cv. Salagnin</t>
  </si>
  <si>
    <t>Vitis vinifera subsp vinifera cv. Salba</t>
  </si>
  <si>
    <t>Vitis vinifera subsp vinifera cv. Salicette</t>
  </si>
  <si>
    <t>Vitis vinifera subsp vinifera cv. Samarrinho preto</t>
  </si>
  <si>
    <t>Vitis vinifera subsp vinifera cv. Samoriau</t>
  </si>
  <si>
    <t>Vitis vinifera subsp vinifera cv. Samoveanca</t>
  </si>
  <si>
    <t>Vitis vinifera subsp vinifera cv. San Antoni</t>
  </si>
  <si>
    <t>Vitis vinifera subsp vinifera cv. San Francisco</t>
  </si>
  <si>
    <t>Vitis vinifera subsp vinifera cv. San Jeronimo</t>
  </si>
  <si>
    <t>Vitis vinifera subsp vinifera cv. San Martino = Pirovano 215</t>
  </si>
  <si>
    <t>Vitis vinifera subsp vinifera cv. Sanginella di Salerno</t>
  </si>
  <si>
    <t>Vitis vinifera subsp vinifera cv. Santa Barbara = Pirovano 480</t>
  </si>
  <si>
    <t>Vitis vinifera subsp vinifera cv. Santa Magdalena</t>
  </si>
  <si>
    <t>Vitis vinifera subsp vinifera cv. Santa Morena</t>
  </si>
  <si>
    <t>Vitis vinifera subsp vinifera cv. Santa Paula</t>
  </si>
  <si>
    <t>Vitis vinifera subsp vinifera cv. Saperavi</t>
  </si>
  <si>
    <t>Vitis vinifera subsp vinifera cv. Sapere otzkhanouri</t>
  </si>
  <si>
    <t>Vitis vinifera subsp vinifera cv. Sarfeher</t>
  </si>
  <si>
    <t>Vitis vinifera subsp vinifera cv. Sary pandass</t>
  </si>
  <si>
    <t>Vitis vinifera subsp vinifera cv. Sateni bely</t>
  </si>
  <si>
    <t>Vitis vinifera subsp vinifera cv. Sateni tcherny</t>
  </si>
  <si>
    <t>Vitis vinifera subsp vinifera cv. Satino Kokkino</t>
  </si>
  <si>
    <t>Vitis vinifera subsp vinifera cv. Sauterne blanc</t>
  </si>
  <si>
    <t>Vitis vinifera subsp vinifera cv. Sauvaget</t>
  </si>
  <si>
    <t>Vitis vinifera subsp vinifera cv. Sauvignon</t>
  </si>
  <si>
    <t>Vitis vinifera subsp vinifera cv. Sauvignon gris</t>
  </si>
  <si>
    <t>Vitis vinifera subsp vinifera cv. Sauvignon rouge</t>
  </si>
  <si>
    <t>Vitis vinifera subsp vinifera cv. Sauvignonasse</t>
  </si>
  <si>
    <t>Vitis vinifera subsp vinifera cv. Savagnin blanc</t>
  </si>
  <si>
    <t>Vitis vinifera subsp vinifera cv. Savagnin rose</t>
  </si>
  <si>
    <t>Vitis vinifera subsp vinifera cv. Savvatiano</t>
  </si>
  <si>
    <t>Vitis vinifera subsp vinifera cv. Scaliger</t>
  </si>
  <si>
    <t>Vitis vinifera subsp vinifera cv. Schabasche</t>
  </si>
  <si>
    <t>Vitis vinifera subsp vinifera cv. Scheu 10514</t>
  </si>
  <si>
    <t>Vitis vinifera subsp vinifera cv. Scheurebe</t>
  </si>
  <si>
    <t>Vitis vinifera subsp vinifera cv. Schiava gentile</t>
  </si>
  <si>
    <t>Vitis vinifera subsp vinifera cv. Schiava grigia</t>
  </si>
  <si>
    <t>Vitis vinifera subsp vinifera cv. Schiava lombarda</t>
  </si>
  <si>
    <t>Vitis vinifera subsp vinifera cv. Schiradzouli</t>
  </si>
  <si>
    <t>Vitis vinifera subsp vinifera cv. Schiradzouli violet</t>
  </si>
  <si>
    <t>Vitis vinifera subsp vinifera cv. Schiras</t>
  </si>
  <si>
    <t>Vitis vinifera subsp vinifera cv. Sciaccarello</t>
  </si>
  <si>
    <t>Vitis vinifera subsp vinifera cv. Sciascinoso</t>
  </si>
  <si>
    <t>Vitis vinifera subsp vinifera cv. Sebai assouad</t>
  </si>
  <si>
    <t>Vitis vinifera subsp vinifera cv. Sécal</t>
  </si>
  <si>
    <t>Vitis vinifera subsp vinifera cv. Segalin = INRA 1377-174</t>
  </si>
  <si>
    <t>Vitis vinifera subsp vinifera cv. Seibel 60</t>
  </si>
  <si>
    <t>Vitis vinifera subsp vinifera cv. Select = Vidal 100 T</t>
  </si>
  <si>
    <t>Vitis vinifera subsp vinifera cv. Semebat</t>
  </si>
  <si>
    <t>Vitis vinifera subsp vinifera cv. Semidano</t>
  </si>
  <si>
    <t>Vitis vinifera subsp vinifera cv. Semillon</t>
  </si>
  <si>
    <t>Vitis vinifera subsp vinifera cv. Septimer = Alzey 3952</t>
  </si>
  <si>
    <t>Vitis vinifera subsp vinifera cv. Sercial</t>
  </si>
  <si>
    <t>Vitis vinifera subsp vinifera cv. Serénèze de Moirans</t>
  </si>
  <si>
    <t>Vitis vinifera subsp vinifera cv. Serénèze de Voreppe</t>
  </si>
  <si>
    <t>Vitis vinifera subsp vinifera cv. Serna</t>
  </si>
  <si>
    <t>Vitis vinifera subsp vinifera cv. Servabilis = Pirovano 221</t>
  </si>
  <si>
    <t>Vitis vinifera subsp vinifera cv. Servanin</t>
  </si>
  <si>
    <t>Vitis vinifera subsp vinifera cv. Servant</t>
  </si>
  <si>
    <t>Vitis vinifera subsp vinifera cv. Sevan</t>
  </si>
  <si>
    <t>Vitis vinifera subsp vinifera cv. Sgavetta</t>
  </si>
  <si>
    <t>Vitis vinifera subsp vinifera cv. Sguigarda</t>
  </si>
  <si>
    <t>Vitis vinifera subsp vinifera cv. Shenidani</t>
  </si>
  <si>
    <t>Vitis vinifera subsp vinifera cv. Shindo Khani</t>
  </si>
  <si>
    <t>Vitis vinifera subsp vinifera cv. Shirazi</t>
  </si>
  <si>
    <t>Vitis vinifera subsp vinifera cv. Siah</t>
  </si>
  <si>
    <t>Vitis vinifera subsp vinifera cv. Sibirkovy</t>
  </si>
  <si>
    <t>Vitis vinifera subsp vinifera cv. Sicilien faux</t>
  </si>
  <si>
    <t>Vitis vinifera subsp vinifera cv. Sideritis</t>
  </si>
  <si>
    <t>Vitis vinifera subsp vinifera cv. Siegerrebe = Scheu 7957</t>
  </si>
  <si>
    <t>Vitis vinifera subsp vinifera cv. Silberweiss</t>
  </si>
  <si>
    <t>Vitis vinifera subsp vinifera cv. Skiadopoulo</t>
  </si>
  <si>
    <t>Vitis vinifera subsp vinifera cv. Skyloklima</t>
  </si>
  <si>
    <t>Vitis vinifera subsp vinifera cv. Skylopnichtis</t>
  </si>
  <si>
    <t>Vitis vinifera subsp vinifera cv. Skylopnichtis blanc</t>
  </si>
  <si>
    <t>Vitis vinifera subsp vinifera cv. Slankamenka blanc</t>
  </si>
  <si>
    <t>Vitis vinifera subsp vinifera cv. Soiaki</t>
  </si>
  <si>
    <t>Vitis vinifera subsp vinifera cv. Soic</t>
  </si>
  <si>
    <t>Vitis vinifera subsp vinifera cv. Solferino = Pirovano 316</t>
  </si>
  <si>
    <t>Vitis vinifera subsp vinifera cv. Somarello rosso</t>
  </si>
  <si>
    <t>Vitis vinifera subsp vinifera cv. Somzölö kek</t>
  </si>
  <si>
    <t>Vitis vinifera subsp vinifera cv. Sorok Let Oktiabria</t>
  </si>
  <si>
    <t>Vitis vinifera subsp vinifera cv. Soukholimansky bely</t>
  </si>
  <si>
    <t>Vitis vinifera subsp vinifera cv. Souri (1)</t>
  </si>
  <si>
    <t>Vitis vinifera subsp vinifera cv. Souri (2)</t>
  </si>
  <si>
    <t>Vitis vinifera subsp vinifera cv. Sourkhak biely</t>
  </si>
  <si>
    <t>Vitis vinifera subsp vinifera cv. Sourkhak kitabsky</t>
  </si>
  <si>
    <t>Vitis vinifera subsp vinifera cv. Souvenir du Congrès</t>
  </si>
  <si>
    <t>Vitis vinifera subsp vinifera cv. Souzao</t>
  </si>
  <si>
    <t>Vitis vinifera subsp vinifera cv. Sovrana = Pirovano 244</t>
  </si>
  <si>
    <t>Vitis vinifera subsp vinifera cv. Staphidampelo</t>
  </si>
  <si>
    <t>Vitis vinifera subsp vinifera cv. Staphidostaphylo</t>
  </si>
  <si>
    <t>Vitis vinifera subsp vinifera cv. Steinschiller blanc</t>
  </si>
  <si>
    <t>Vitis vinifera subsp vinifera cv. Strophyliatico</t>
  </si>
  <si>
    <t>Vitis vinifera subsp vinifera cv. Suavis = Pirovano 365 s</t>
  </si>
  <si>
    <t>Vitis vinifera subsp vinifera cv. Subirat Parent</t>
  </si>
  <si>
    <t>Vitis vinifera subsp vinifera cv. Sugrafive = Early Supérior seedless</t>
  </si>
  <si>
    <t>Vitis vinifera subsp vinifera cv. Sugraone = Superior seedless</t>
  </si>
  <si>
    <t>Vitis vinifera subsp vinifera cv. Sulivan blanc</t>
  </si>
  <si>
    <t>Vitis vinifera subsp vinifera cv. Sultana moscata = Pirovano 75</t>
  </si>
  <si>
    <t>Vitis vinifera subsp vinifera cv. Sultanina</t>
  </si>
  <si>
    <t>Vitis vinifera subsp vinifera cv. Sultanine</t>
  </si>
  <si>
    <t>Vitis vinifera subsp vinifera cv. Sultanine monococco</t>
  </si>
  <si>
    <t>Vitis vinifera subsp vinifera cv. Sultanine rose</t>
  </si>
  <si>
    <t>Vitis vinifera subsp vinifera cv. Sultanine rouge</t>
  </si>
  <si>
    <t>Vitis vinifera subsp vinifera cv. Sumoll</t>
  </si>
  <si>
    <t>Vitis vinifera subsp vinifera cv. Suntory blanc</t>
  </si>
  <si>
    <t>Vitis vinifera subsp vinifera cv. Superba = Pirovano 476 a</t>
  </si>
  <si>
    <t>Vitis vinifera subsp vinifera cv. Superfrankenthal = Pirovano 243</t>
  </si>
  <si>
    <t>Vitis vinifera subsp vinifera cv. Superzibibbo = Pirovano 107 a</t>
  </si>
  <si>
    <t>Vitis vinifera subsp vinifera cv. Suscan crni</t>
  </si>
  <si>
    <t>Vitis vinifera subsp vinifera cv. Susumaniello</t>
  </si>
  <si>
    <t>Vitis vinifera subsp vinifera cv. Sykiotis</t>
  </si>
  <si>
    <t>Vitis vinifera subsp vinifera cv. Sylvaner</t>
  </si>
  <si>
    <t>Vitis vinifera subsp vinifera cv. Sylvaner blau</t>
  </si>
  <si>
    <t>Vitis vinifera subsp vinifera cv. Sylvaner rot</t>
  </si>
  <si>
    <t>Vitis vinifera subsp vinifera cv. Syrah</t>
  </si>
  <si>
    <t>Vitis vinifera subsp vinifera cv. Syriki</t>
  </si>
  <si>
    <t>Vitis vinifera subsp vinifera cv. Szagos Bajnar</t>
  </si>
  <si>
    <t>Vitis vinifera subsp vinifera cv. Szauter Gusztav</t>
  </si>
  <si>
    <t>Vitis vinifera subsp vinifera cv. Szegedi</t>
  </si>
  <si>
    <t>Vitis vinifera subsp vinifera cv. Szegeny ember szölöje</t>
  </si>
  <si>
    <t>Vitis vinifera subsp vinifera cv. Szent Laszlö</t>
  </si>
  <si>
    <t>Vitis vinifera subsp vinifera cv. Szeredi</t>
  </si>
  <si>
    <t>Vitis vinifera subsp vinifera cv. Szeremi zöld</t>
  </si>
  <si>
    <t>Vitis vinifera subsp vinifera cv. Tachtas</t>
  </si>
  <si>
    <t>Vitis vinifera subsp vinifera cv. Taferielt</t>
  </si>
  <si>
    <t>Vitis vinifera subsp vinifera cv. Tagleit n'timilli</t>
  </si>
  <si>
    <t>Vitis vinifera subsp vinifera cv. Tagobi</t>
  </si>
  <si>
    <t>Vitis vinifera subsp vinifera cv. Taifi belyi</t>
  </si>
  <si>
    <t>Vitis vinifera subsp vinifera cv. Taïfi rosovy</t>
  </si>
  <si>
    <t>Vitis vinifera subsp vinifera cv. Taïlilout</t>
  </si>
  <si>
    <t>Vitis vinifera subsp vinifera cv. Tamares</t>
  </si>
  <si>
    <t>Vitis vinifera subsp vinifera cv. Tamarez Moscatel 31-3-3</t>
  </si>
  <si>
    <t>Vitis vinifera subsp vinifera cv. Tana kouzy</t>
  </si>
  <si>
    <t>Vitis vinifera subsp vinifera cv. Tanagos</t>
  </si>
  <si>
    <t>Vitis vinifera subsp vinifera cv. Tankert</t>
  </si>
  <si>
    <t>Vitis vinifera subsp vinifera cv. Tannat</t>
  </si>
  <si>
    <t>Vitis vinifera subsp vinifera cv. Tantovina</t>
  </si>
  <si>
    <t>Vitis vinifera subsp vinifera cv. Tarabassié</t>
  </si>
  <si>
    <t>Vitis vinifera subsp vinifera cv. Tardif</t>
  </si>
  <si>
    <t>Vitis vinifera subsp vinifera cv. Tarnaou</t>
  </si>
  <si>
    <t>Vitis vinifera subsp vinifera cv. Tarragonins</t>
  </si>
  <si>
    <t>Vitis vinifera subsp vinifera cv. Tarrango</t>
  </si>
  <si>
    <t>Vitis vinifera subsp vinifera cv. Taschly</t>
  </si>
  <si>
    <t>Vitis vinifera subsp vinifera cv. Tavkveri</t>
  </si>
  <si>
    <t>Vitis vinifera subsp vinifera cv. Tavrida = Magaratch 171</t>
  </si>
  <si>
    <t>Vitis vinifera subsp vinifera cv. Tchaïnak</t>
  </si>
  <si>
    <t>Vitis vinifera subsp vinifera cv. Tchernii Crimski</t>
  </si>
  <si>
    <t>Vitis vinifera subsp vinifera cv. Tchilar</t>
  </si>
  <si>
    <t>Vitis vinifera subsp vinifera cv. Tchiliaki blanc</t>
  </si>
  <si>
    <t>Vitis vinifera subsp vinifera cv. Tchiliaki rouge</t>
  </si>
  <si>
    <t>Vitis vinifera subsp vinifera cv. Tchingin kara</t>
  </si>
  <si>
    <t>Vitis vinifera subsp vinifera cv. Tchinouri</t>
  </si>
  <si>
    <t>Vitis vinifera subsp vinifera cv. Tchkhaveri</t>
  </si>
  <si>
    <t>Vitis vinifera subsp vinifera cv. Teinturier</t>
  </si>
  <si>
    <t>Vitis vinifera subsp vinifera cv. Teli granat</t>
  </si>
  <si>
    <t>Vitis vinifera subsp vinifera cv. Tempranilla</t>
  </si>
  <si>
    <t>Vitis vinifera subsp vinifera cv. Tempranillo</t>
  </si>
  <si>
    <t>Vitis vinifera subsp vinifera cv. Téoulier</t>
  </si>
  <si>
    <t>Vitis vinifera subsp vinifera cv. Téoulier blanc</t>
  </si>
  <si>
    <t>Vitis vinifera subsp vinifera cv. Terbasch</t>
  </si>
  <si>
    <t>Vitis vinifera subsp vinifera cv. Teresita = Dalmasso XVIII-24</t>
  </si>
  <si>
    <t>Vitis vinifera subsp vinifera cv. Terlaner</t>
  </si>
  <si>
    <t>Vitis vinifera subsp vinifera cv. Teroldego</t>
  </si>
  <si>
    <t>Vitis vinifera subsp vinifera cv. Terr Gulmek</t>
  </si>
  <si>
    <t>Vitis vinifera subsp vinifera cv. Terramon long</t>
  </si>
  <si>
    <t>Vitis vinifera subsp vinifera cv. Terramon rond</t>
  </si>
  <si>
    <t>Vitis vinifera subsp vinifera cv. Terrano</t>
  </si>
  <si>
    <t>Vitis vinifera subsp vinifera cv. Terrantez de Madère</t>
  </si>
  <si>
    <t>Vitis vinifera subsp vinifera cv. Terrantez du Dão</t>
  </si>
  <si>
    <t>Vitis vinifera subsp vinifera cv. Terret blanc</t>
  </si>
  <si>
    <t>Vitis vinifera subsp vinifera cv. Terret Bouschet</t>
  </si>
  <si>
    <t>Vitis vinifera subsp vinifera cv. Terret gris</t>
  </si>
  <si>
    <t>Vitis vinifera subsp vinifera cv. Terret noir</t>
  </si>
  <si>
    <t>Vitis vinifera subsp vinifera cv. Teta de Vaca</t>
  </si>
  <si>
    <t>Vitis vinifera subsp vinifera cv. Thallocsy Lajos muskotaly = Muscat Thallocsy</t>
  </si>
  <si>
    <t>Vitis vinifera subsp vinifera cv. Thermi</t>
  </si>
  <si>
    <t>Vitis vinifera subsp vinifera cv. Tibouren</t>
  </si>
  <si>
    <t>Vitis vinifera subsp vinifera cv. Tihany</t>
  </si>
  <si>
    <t>Vitis vinifera subsp vinifera cv. Timorasso</t>
  </si>
  <si>
    <t>Vitis vinifera subsp vinifera cv. Timpurie</t>
  </si>
  <si>
    <t>Vitis vinifera subsp vinifera cv. Tini</t>
  </si>
  <si>
    <t>Vitis vinifera subsp vinifera cv. Tiniouine</t>
  </si>
  <si>
    <t>Vitis vinifera subsp vinifera cv. Tinos noir</t>
  </si>
  <si>
    <t>Vitis vinifera subsp vinifera cv. Tinta amarella</t>
  </si>
  <si>
    <t>Vitis vinifera subsp vinifera cv. Tinta Barroca</t>
  </si>
  <si>
    <t>Vitis vinifera subsp vinifera cv. Tinta carvalha</t>
  </si>
  <si>
    <t>Vitis vinifera subsp vinifera cv. Tinta castellõa</t>
  </si>
  <si>
    <t>Vitis vinifera subsp vinifera cv. Tinta de Madeira</t>
  </si>
  <si>
    <t>Vitis vinifera subsp vinifera cv. Tinta francisca</t>
  </si>
  <si>
    <t>Vitis vinifera subsp vinifera cv. Tinta pinheira</t>
  </si>
  <si>
    <t>Vitis vinifera subsp vinifera cv. Tintillo</t>
  </si>
  <si>
    <t>Vitis vinifera subsp vinifera cv. Tintinha = Leao Ferreira da Almeida 11-48-122</t>
  </si>
  <si>
    <t>Vitis vinifera subsp vinifera cv. Tinto Cao</t>
  </si>
  <si>
    <t>Vitis vinifera subsp vinifera cv. Tintora</t>
  </si>
  <si>
    <t>Vitis vinifera subsp vinifera cv. Tita Caprei</t>
  </si>
  <si>
    <t>Vitis vinifera subsp vinifera cv. Tolstokorii</t>
  </si>
  <si>
    <t>Vitis vinifera subsp vinifera cv. Török Mazsola</t>
  </si>
  <si>
    <t>Vitis vinifera subsp vinifera cv. Torralba</t>
  </si>
  <si>
    <t>Vitis vinifera subsp vinifera cv. Torrontès</t>
  </si>
  <si>
    <t>Vitis vinifera subsp vinifera cv. Torrontès mendocino</t>
  </si>
  <si>
    <t>Vitis vinifera subsp vinifera cv. Torrontès riojano</t>
  </si>
  <si>
    <t>Vitis vinifera subsp vinifera cv. Torrontès sanjuanino</t>
  </si>
  <si>
    <t>Vitis vinifera subsp vinifera cv. Tortozon</t>
  </si>
  <si>
    <t>Vitis vinifera subsp vinifera cv. Tourbat</t>
  </si>
  <si>
    <t>Vitis vinifera subsp vinifera cv. Touriga</t>
  </si>
  <si>
    <t>Vitis vinifera subsp vinifera cv. Toutrissin</t>
  </si>
  <si>
    <t>Vitis vinifera subsp vinifera cv. Tre voto</t>
  </si>
  <si>
    <t>Vitis vinifera subsp vinifera cv. Trebbiano</t>
  </si>
  <si>
    <t>Vitis vinifera subsp vinifera cv. Trebbiano di Soave</t>
  </si>
  <si>
    <t>Vitis vinifera subsp vinifera cv. Trebbiano giallo</t>
  </si>
  <si>
    <t>Vitis vinifera subsp vinifera cv. Trebbiano romagnolo</t>
  </si>
  <si>
    <t>Vitis vinifera subsp vinifera cv. Trebbiano spoletino</t>
  </si>
  <si>
    <t>Vitis vinifera subsp vinifera cv. Treixadura</t>
  </si>
  <si>
    <t>Vitis vinifera subsp vinifera cv. Trentham black faux</t>
  </si>
  <si>
    <t>Vitis vinifera subsp vinifera cv. Treolina</t>
  </si>
  <si>
    <t>Vitis vinifera subsp vinifera cv. Tressot</t>
  </si>
  <si>
    <t>Vitis vinifera subsp vinifera cv. Tressot blanc</t>
  </si>
  <si>
    <t>Vitis vinifera subsp vinifera cv. Tressot panaché</t>
  </si>
  <si>
    <t>Vitis vinifera subsp vinifera cv. Tressot panaché faux</t>
  </si>
  <si>
    <t>Vitis vinifera subsp vinifera cv. Trevisana nera</t>
  </si>
  <si>
    <t>Vitis vinifera subsp vinifera cv. Trieste = Pirovano 299</t>
  </si>
  <si>
    <t>Vitis vinifera subsp vinifera cv. Tripoli = Pirovano 352</t>
  </si>
  <si>
    <t>Vitis vinifera subsp vinifera cv. Trollinger blaudüftig</t>
  </si>
  <si>
    <t>Vitis vinifera subsp vinifera cv. Trollinger Muskat</t>
  </si>
  <si>
    <t>Vitis vinifera subsp vinifera cv. Trollingi feher</t>
  </si>
  <si>
    <t>Vitis vinifera subsp vinifera cv. Trousseau</t>
  </si>
  <si>
    <t>Vitis vinifera subsp vinifera cv. Trousseau gris</t>
  </si>
  <si>
    <t>Vitis vinifera subsp vinifera cv. Troyen</t>
  </si>
  <si>
    <t>Vitis vinifera subsp vinifera cv. Trunzo</t>
  </si>
  <si>
    <t>Vitis vinifera subsp vinifera cv. Tsambato</t>
  </si>
  <si>
    <t>Vitis vinifera subsp vinifera cv. Tschetirbak</t>
  </si>
  <si>
    <t>Vitis vinifera subsp vinifera cv. Tuia tiche</t>
  </si>
  <si>
    <t>Vitis vinifera subsp vinifera cv. Tuia tiche faux</t>
  </si>
  <si>
    <t>Vitis vinifera subsp vinifera cv. Tulillah</t>
  </si>
  <si>
    <t>Vitis vinifera subsp vinifera cv. Turki</t>
  </si>
  <si>
    <t>Vitis vinifera subsp vinifera cv. Turruntes</t>
  </si>
  <si>
    <t>Vitis vinifera subsp vinifera cv. Turska dinka</t>
  </si>
  <si>
    <t>Vitis vinifera subsp vinifera cv. Tzimlansky blanc</t>
  </si>
  <si>
    <t>Vitis vinifera subsp vinifera cv. Tzimlansky noir</t>
  </si>
  <si>
    <t>Vitis vinifera subsp vinifera cv. Tzitzka</t>
  </si>
  <si>
    <t>Vitis vinifera subsp vinifera cv. Tzolikoouri</t>
  </si>
  <si>
    <t>Vitis vinifera subsp vinifera cv. Ugni blanc</t>
  </si>
  <si>
    <t>Vitis vinifera subsp vinifera cv. Ugni blanc à feuilles découpées</t>
  </si>
  <si>
    <t>Vitis vinifera subsp vinifera cv. Ugni rouge</t>
  </si>
  <si>
    <t>Vitis vinifera subsp vinifera cv. Urben blau</t>
  </si>
  <si>
    <t>Vitis vinifera subsp vinifera cv. Urben rot</t>
  </si>
  <si>
    <t>Vitis vinifera subsp vinifera cv. Urreti</t>
  </si>
  <si>
    <t>Vitis vinifera subsp vinifera cv. Uva Cao</t>
  </si>
  <si>
    <t>Vitis vinifera subsp vinifera cv. Uva de Rey</t>
  </si>
  <si>
    <t>Vitis vinifera subsp vinifera cv. Uva di Troia</t>
  </si>
  <si>
    <t>Vitis vinifera subsp vinifera cv. Uva melona</t>
  </si>
  <si>
    <t>Vitis vinifera subsp vinifera cv. V 155 (J.P. Vidal)</t>
  </si>
  <si>
    <t>Vitis vinifera subsp vinifera cv. Valais noir</t>
  </si>
  <si>
    <t>Vitis vinifera subsp vinifera cv. Valdepeñas</t>
  </si>
  <si>
    <t>Vitis vinifera subsp vinifera cv. Valdiguié</t>
  </si>
  <si>
    <t>Vitis vinifera subsp vinifera cv. Valdiguié pissaïré</t>
  </si>
  <si>
    <t>Vitis vinifera subsp vinifera cv. Valenci blanco</t>
  </si>
  <si>
    <t>Vitis vinifera subsp vinifera cv. Valenci blanco faux</t>
  </si>
  <si>
    <t>Vitis vinifera subsp vinifera cv. Valensi noir</t>
  </si>
  <si>
    <t>Vitis vinifera subsp vinifera cv. Vapsa</t>
  </si>
  <si>
    <t>Vitis vinifera subsp vinifera cv. Vassarga bielaia</t>
  </si>
  <si>
    <t>Vitis vinifera subsp vinifera cv. Vassarga tchernaia</t>
  </si>
  <si>
    <t>Vitis vinifera subsp vinifera cv. Vékonyhéju</t>
  </si>
  <si>
    <t>Vitis vinifera subsp vinifera cv. Velteliner rouge</t>
  </si>
  <si>
    <t>Vitis vinifera subsp vinifera cv. Velteliner rouge précoce</t>
  </si>
  <si>
    <t>Vitis vinifera subsp vinifera cv. Velteliner vert</t>
  </si>
  <si>
    <t>Vitis vinifera subsp vinifera cv. Verdanel</t>
  </si>
  <si>
    <t>Vitis vinifera subsp vinifera cv. Verdea</t>
  </si>
  <si>
    <t>Vitis vinifera subsp vinifera cv. Verdeca</t>
  </si>
  <si>
    <t>Vitis vinifera subsp vinifera cv. Verdejo blanco</t>
  </si>
  <si>
    <t>Vitis vinifera subsp vinifera cv. Verdejo negro</t>
  </si>
  <si>
    <t>Vitis vinifera subsp vinifera cv. Verdelho</t>
  </si>
  <si>
    <t>Vitis vinifera subsp vinifera cv. Verdelho du Dâo</t>
  </si>
  <si>
    <t>Vitis vinifera subsp vinifera cv. Verdelho feijão</t>
  </si>
  <si>
    <t>Vitis vinifera subsp vinifera cv. Verdelho tinto femelle</t>
  </si>
  <si>
    <t>Vitis vinifera subsp vinifera cv. Verdesse</t>
  </si>
  <si>
    <t>Vitis vinifera subsp vinifera cv. Verdicchio</t>
  </si>
  <si>
    <t>Vitis vinifera subsp vinifera cv. Verdiso</t>
  </si>
  <si>
    <t>Vitis vinifera subsp vinifera cv. Verduschia</t>
  </si>
  <si>
    <t>Vitis vinifera subsp vinifera cv. Verduzzo friulano</t>
  </si>
  <si>
    <t>Vitis vinifera subsp vinifera cv. Verduzzo trevigiano</t>
  </si>
  <si>
    <t>Vitis vinifera subsp vinifera cv. Verico</t>
  </si>
  <si>
    <t>Vitis vinifera subsp vinifera cv. Verjus</t>
  </si>
  <si>
    <t>Vitis vinifera subsp vinifera cv. Vermentino</t>
  </si>
  <si>
    <t>Vitis vinifera subsp vinifera cv. Vermentino nero</t>
  </si>
  <si>
    <t>Vitis vinifera subsp vinifera cv. Vernaccia di Oristano</t>
  </si>
  <si>
    <t>Vitis vinifera subsp vinifera cv. Vernaccia di San Gimignano</t>
  </si>
  <si>
    <t>Vitis vinifera subsp vinifera cv. Vernaccia nera</t>
  </si>
  <si>
    <t>Vitis vinifera subsp vinifera cv. Vernaccina</t>
  </si>
  <si>
    <t>Vitis vinifera subsp vinifera cv. Verona = Pirovano 52</t>
  </si>
  <si>
    <t>Vitis vinifera subsp vinifera cv. Vespaiola</t>
  </si>
  <si>
    <t>Vitis vinifera subsp vinifera cv. Vespolina</t>
  </si>
  <si>
    <t>Vitis vinifera subsp vinifera cv. Vesprino</t>
  </si>
  <si>
    <t>Vitis vinifera subsp vinifera cv. Victor = Pirovano 314</t>
  </si>
  <si>
    <t>Vitis vinifera subsp vinifera cv. Vidal 117</t>
  </si>
  <si>
    <t>Vitis vinifera subsp vinifera cv. Vidal 31</t>
  </si>
  <si>
    <t>Vitis vinifera subsp vinifera cv. Vidal 311</t>
  </si>
  <si>
    <t>Vitis vinifera subsp vinifera cv. Vidal 36</t>
  </si>
  <si>
    <t>Vitis vinifera subsp vinifera cv. Vidal 539</t>
  </si>
  <si>
    <t>Vitis vinifera subsp vinifera cv. Vidal 544</t>
  </si>
  <si>
    <t>Vitis vinifera subsp vinifera cv. Vidal 547</t>
  </si>
  <si>
    <t>Vitis vinifera subsp vinifera cv. Vidal 548</t>
  </si>
  <si>
    <t>Vitis vinifera subsp vinifera cv. Vidal 595</t>
  </si>
  <si>
    <t>Vitis vinifera subsp vinifera cv. Vidal 662</t>
  </si>
  <si>
    <t>Vitis vinifera subsp vinifera cv. Vidal 678</t>
  </si>
  <si>
    <t>Vitis vinifera subsp vinifera cv. Vidal 686</t>
  </si>
  <si>
    <t>Vitis vinifera subsp vinifera cv. Vidal 76 T</t>
  </si>
  <si>
    <t>Vitis vinifera subsp vinifera cv. Vidal 800</t>
  </si>
  <si>
    <t>Vitis vinifera subsp vinifera cv. Vidal 804</t>
  </si>
  <si>
    <t>Vitis vinifera subsp vinifera cv. Vidal 808</t>
  </si>
  <si>
    <t>Vitis vinifera subsp vinifera cv. Vidal 815</t>
  </si>
  <si>
    <t>Vitis vinifera subsp vinifera cv. Vidal 83 T</t>
  </si>
  <si>
    <t>Vitis vinifera subsp vinifera cv. Vidal 98 T</t>
  </si>
  <si>
    <t>Vitis vinifera subsp vinifera cv. Vidal 99 T</t>
  </si>
  <si>
    <t>Vitis vinifera subsp vinifera cv. Vidiano</t>
  </si>
  <si>
    <t>Vitis vinifera subsp vinifera cv. Vien de Nus</t>
  </si>
  <si>
    <t>Vitis vinifera subsp vinifera cv. Vigne de Wood</t>
  </si>
  <si>
    <t>Vitis vinifera subsp vinifera cv. Vijiriega</t>
  </si>
  <si>
    <t>Vitis vinifera subsp vinifera cv. Vilana</t>
  </si>
  <si>
    <t>Vitis vinifera subsp vinifera cv. Villardiell</t>
  </si>
  <si>
    <t>Vitis vinifera subsp vinifera cv. Vinta</t>
  </si>
  <si>
    <t>Vitis vinifera subsp vinifera cv. Vintaïu</t>
  </si>
  <si>
    <t>Vitis vinifera subsp vinifera cv. Viognier</t>
  </si>
  <si>
    <t>Vitis vinifera subsp vinifera cv. Viola = Dalmasso XVIII-3</t>
  </si>
  <si>
    <t>Vitis vinifera subsp vinifera cv. Viosinho</t>
  </si>
  <si>
    <t>Vitis vinifera subsp vinifera cv. Viska</t>
  </si>
  <si>
    <t>Vitis vinifera subsp vinifera cv. Vital</t>
  </si>
  <si>
    <t>Vitis vinifera subsp vinifera cv. Volavna feher</t>
  </si>
  <si>
    <t>Vitis vinifera subsp vinifera cv. Volta = Pirovano 105</t>
  </si>
  <si>
    <t>Vitis vinifera subsp vinifera cv. Vörös vallas kek</t>
  </si>
  <si>
    <t>Vitis vinifera subsp vinifera cv. Voskeat</t>
  </si>
  <si>
    <t>Vitis vinifera subsp vinifera cv. Voudomato</t>
  </si>
  <si>
    <t>Vitis vinifera subsp vinifera cv. Vranac crni</t>
  </si>
  <si>
    <t>Vitis vinifera subsp vinifera cv. Vugava</t>
  </si>
  <si>
    <t>Vitis vinifera subsp vinifera cv. Vulpea</t>
  </si>
  <si>
    <t>Vitis vinifera subsp vinifera cv. Weisse Geisdutte par erreur</t>
  </si>
  <si>
    <t>Vitis vinifera subsp vinifera cv. West Freisia</t>
  </si>
  <si>
    <t>Vitis vinifera subsp vinifera cv. White Cinsaut</t>
  </si>
  <si>
    <t>Vitis vinifera subsp vinifera cv. White Lisbon</t>
  </si>
  <si>
    <t>Vitis vinifera subsp vinifera cv. White Muscadel</t>
  </si>
  <si>
    <t>Vitis vinifera subsp vinifera cv. White Prince</t>
  </si>
  <si>
    <t>Vitis vinifera subsp vinifera cv. Wildbacher blau</t>
  </si>
  <si>
    <t>Vitis vinifera subsp vinifera cv. Xarello</t>
  </si>
  <si>
    <t>Vitis vinifera subsp vinifera cv. Xarello vermell</t>
  </si>
  <si>
    <t>Vitis vinifera subsp vinifera cv. Xynomavro</t>
  </si>
  <si>
    <t>Vitis vinifera subsp vinifera cv. Yaghasti</t>
  </si>
  <si>
    <t>Vitis vinifera subsp vinifera cv. Yaï isioum rosovy</t>
  </si>
  <si>
    <t>Vitis vinifera subsp vinifera cv. Yapindjac</t>
  </si>
  <si>
    <t>Vitis vinifera subsp vinifera cv. Yekroa</t>
  </si>
  <si>
    <t>Vitis vinifera subsp vinifera cv. Ygia</t>
  </si>
  <si>
    <t>Vitis vinifera subsp vinifera cv. Yhsouh ali</t>
  </si>
  <si>
    <t>Vitis vinifera subsp vinifera cv. Zadarka bijela</t>
  </si>
  <si>
    <t>Vitis vinifera subsp vinifera cv. Zagtaïr</t>
  </si>
  <si>
    <t>Vitis vinifera subsp vinifera cv. Zalema</t>
  </si>
  <si>
    <t>Vitis vinifera subsp vinifera cv. Zalovitico</t>
  </si>
  <si>
    <t>Vitis vinifera subsp vinifera cv. Zampara</t>
  </si>
  <si>
    <t>Vitis vinifera subsp vinifera cv. Zeini</t>
  </si>
  <si>
    <t>Vitis vinifera subsp vinifera cv. Zeini abiad</t>
  </si>
  <si>
    <t>Vitis vinifera subsp vinifera cv. Zeini baladi</t>
  </si>
  <si>
    <t>Vitis vinifera subsp vinifera cv. Zeini rouge</t>
  </si>
  <si>
    <t>Vitis vinifera subsp vinifera cv. Zghihara de Husi</t>
  </si>
  <si>
    <t>Vitis vinifera subsp vinifera cv. Zierfandler rot</t>
  </si>
  <si>
    <t>Vitis vinifera subsp vinifera cv. Zilavka</t>
  </si>
  <si>
    <t>Vitis vinifera subsp vinifera cv. Zimsko belo</t>
  </si>
  <si>
    <t>Vitis vinifera subsp vinifera cv. Zizine</t>
  </si>
  <si>
    <t>Vitis vinifera subsp vinifera cv. Zlatarica bijela</t>
  </si>
  <si>
    <t>Vitis vinifera subsp vinifera cv. Zöldfürtü</t>
  </si>
  <si>
    <t>Vitis vinifera subsp vinifera cv. Zrinyi Ilona</t>
  </si>
  <si>
    <t>Vitis vinifera subsp vinifera cv. Zsitvai dinka</t>
  </si>
  <si>
    <t>Vitis vinifera subsp vinifera cv. Zweigelt blau</t>
  </si>
  <si>
    <t>Vitis vinifera subsp vinifera L.</t>
  </si>
  <si>
    <t>Vitis wenchowensis C.Ling</t>
  </si>
  <si>
    <t>Vitis x interspécifique</t>
  </si>
  <si>
    <t>Vitis x interspécifique cv. Aladin</t>
  </si>
  <si>
    <t>Vitis x interspécifique cv. Albenc = Galibert 36-1</t>
  </si>
  <si>
    <t>Vitis x interspécifique cv. Albignac = Galibert 12-1</t>
  </si>
  <si>
    <t>Vitis x interspécifique cv. Albignan</t>
  </si>
  <si>
    <t>Vitis x interspécifique cv. Alicante Ganzin</t>
  </si>
  <si>
    <t>Vitis x interspécifique cv. Alicante Terras 20</t>
  </si>
  <si>
    <t>Vitis x interspécifique cv. Amandin</t>
  </si>
  <si>
    <t>Vitis x interspécifique cv. Ambror = Seibel 10173</t>
  </si>
  <si>
    <t>Vitis x interspécifique cv. Aramond du Gard = Seibel 2007</t>
  </si>
  <si>
    <t>Vitis x interspécifique cv. Aramon-Rupestris Ganzin 1</t>
  </si>
  <si>
    <t>Vitis x interspécifique cv. Aramon-Rupestris Ganzin 2</t>
  </si>
  <si>
    <t>Vitis x interspécifique cv. Aramon-Rupestris Ganzin 9</t>
  </si>
  <si>
    <t>Vitis x interspécifique cv. Arboras = Galibert 22-5</t>
  </si>
  <si>
    <t>Vitis x interspécifique cv. Arnaud Fabre 3</t>
  </si>
  <si>
    <t>Vitis x interspécifique cv. Arnold 3401</t>
  </si>
  <si>
    <t>Vitis x interspécifique cv. Aspignan noir n° 1 = Galibert 239-35</t>
  </si>
  <si>
    <t>Vitis x interspécifique cv. Aspignan noir n°2 = Galibert 239-36</t>
  </si>
  <si>
    <t>Vitis x interspécifique cv. Aspignan n°1 = Galibert 239-34</t>
  </si>
  <si>
    <t>Vitis x interspécifique cv. Aurore = Seibel 5279</t>
  </si>
  <si>
    <t>Vitis x interspécifique cv. B Maclet</t>
  </si>
  <si>
    <t>Vitis x interspécifique cv. Baco blanc = Baco 22 A</t>
  </si>
  <si>
    <t>Vitis x interspécifique cv. Baco Noir = Baco 1</t>
  </si>
  <si>
    <t>Vitis x interspécifique cv. Baco 23 A</t>
  </si>
  <si>
    <t>Vitis x interspécifique cv. Baco 9-11</t>
  </si>
  <si>
    <t>Vitis x interspécifique cv. Beaujolais x 23657 S.V. n°1</t>
  </si>
  <si>
    <t>Vitis x interspécifique cv. Beaujolais x 23657 S.V. n°10</t>
  </si>
  <si>
    <t>Vitis x interspécifique cv. Beaujolais x 23657 S.V. n°11</t>
  </si>
  <si>
    <t>Vitis x interspécifique cv. Beaujolais x 23657 S.V. n°12</t>
  </si>
  <si>
    <t>Vitis x interspécifique cv. Beaujolais x 23657 S.V. n°13</t>
  </si>
  <si>
    <t>Vitis x interspécifique cv. Beaujolais x 23657 S.V. n°14</t>
  </si>
  <si>
    <t>Vitis x interspécifique cv. Beaujolais x 23657 S.V. n°15</t>
  </si>
  <si>
    <t>Vitis x interspécifique cv. Beaujolais x 23657 S.V. n°16</t>
  </si>
  <si>
    <t>Vitis x interspécifique cv. Beaujolais x 23657 S.V. n°17</t>
  </si>
  <si>
    <t>Vitis x interspécifique cv. Beaujolais x 23657 S.V. n°18</t>
  </si>
  <si>
    <t>Vitis x interspécifique cv. Beaujolais x 23657 S.V. n°2</t>
  </si>
  <si>
    <t>Vitis x interspécifique cv. Beaujolais x 23657 S.V. n°3</t>
  </si>
  <si>
    <t>Vitis x interspécifique cv. Beaujolais x 23657 S.V. n°4</t>
  </si>
  <si>
    <t>Vitis x interspécifique cv. Beaujolais x 23657 S.V. n°5</t>
  </si>
  <si>
    <t>Vitis x interspécifique cv. Beaujolais x 23657 S.V. n°6</t>
  </si>
  <si>
    <t>Vitis x interspécifique cv. Beaujolais x 23657 S.V. n°7</t>
  </si>
  <si>
    <t>Vitis x interspécifique cv. Beaujolais x 23657 S.V. n°8</t>
  </si>
  <si>
    <t>Vitis x interspécifique cv. Beaujolais x 23657 S.V. n°9</t>
  </si>
  <si>
    <t>Vitis x interspécifique cv. Bel Castel = Castel 13706</t>
  </si>
  <si>
    <t>Vitis x interspécifique cv. Bellandais = Seibel 14596</t>
  </si>
  <si>
    <t>Vitis x interspécifique cv. Bénédiction de Pecs</t>
  </si>
  <si>
    <t>Vitis x interspécifique cv. berlandieri x ?</t>
  </si>
  <si>
    <t>Vitis x interspécifique cv. Berlandieri-Colombard 1 A</t>
  </si>
  <si>
    <t>Vitis x interspécifique cv. Berlandieri-Colombard 1 B</t>
  </si>
  <si>
    <t>Vitis x interspécifique cv. Berlandieri-Colombard 2 = BC 2</t>
  </si>
  <si>
    <t>Vitis x interspécifique cv. Berlandieri-Colombard 3</t>
  </si>
  <si>
    <t>Vitis x interspécifique cv. Bertille Seyve 1125</t>
  </si>
  <si>
    <t>Vitis x interspécifique cv. Bertille Seyve 1127</t>
  </si>
  <si>
    <t>Vitis x interspécifique cv. Bertille Seyve 1129</t>
  </si>
  <si>
    <t>Vitis x interspécifique cv. Bertille Seyve 1134</t>
  </si>
  <si>
    <t>Vitis x interspécifique cv. Bertille Seyve 1353</t>
  </si>
  <si>
    <t>Vitis x interspécifique cv. Bertille Seyve 1372</t>
  </si>
  <si>
    <t>Vitis x interspécifique cv. Bertille Seyve 1516</t>
  </si>
  <si>
    <t>Vitis x interspécifique cv. Bertille Seyve 1522</t>
  </si>
  <si>
    <t>Vitis x interspécifique cv. Bertille Seyve 1523</t>
  </si>
  <si>
    <t>Vitis x interspécifique cv. Bertille Seyve 1630 faux</t>
  </si>
  <si>
    <t>Vitis x interspécifique cv. Bertille Seyve 1808</t>
  </si>
  <si>
    <t>Vitis x interspécifique cv. Bertille Seyve 1838</t>
  </si>
  <si>
    <t>Vitis x interspécifique cv. Bertille Seyve 2048</t>
  </si>
  <si>
    <t>Vitis x interspécifique cv. Bertille Seyve 2049</t>
  </si>
  <si>
    <t>Vitis x interspécifique cv. Bertille Seyve 2050</t>
  </si>
  <si>
    <t>Vitis x interspécifique cv. Bertille Seyve 2117</t>
  </si>
  <si>
    <t>Vitis x interspécifique cv. Bertille Seyve 2179</t>
  </si>
  <si>
    <t>Vitis x interspécifique cv. Bertille Seyve 2240</t>
  </si>
  <si>
    <t>Vitis x interspécifique cv. Bertille Seyve 2381</t>
  </si>
  <si>
    <t>Vitis x interspécifique cv. Bertille Seyve 2400</t>
  </si>
  <si>
    <t>Vitis x interspécifique cv. Bertille Seyve 2409</t>
  </si>
  <si>
    <t>Vitis x interspécifique cv. Bertille Seyve 2475</t>
  </si>
  <si>
    <t>Vitis x interspécifique cv. Bertille Seyve 2491</t>
  </si>
  <si>
    <t>Vitis x interspécifique cv. Bertille Seyve 2499</t>
  </si>
  <si>
    <t>Vitis x interspécifique cv. Bertille Seyve 2502</t>
  </si>
  <si>
    <t>Vitis x interspécifique cv. Bertille Seyve 2508</t>
  </si>
  <si>
    <t>Vitis x interspécifique cv. Bertille Seyve 2533</t>
  </si>
  <si>
    <t>Vitis x interspécifique cv. Bertille Seyve 2578</t>
  </si>
  <si>
    <t>Vitis x interspécifique cv. Bertille Seyve 2603</t>
  </si>
  <si>
    <t>Vitis x interspécifique cv. Bertille Seyve 2758</t>
  </si>
  <si>
    <t>Vitis x interspécifique cv. Bertille Seyve 2760</t>
  </si>
  <si>
    <t>Vitis x interspécifique cv. Bertille Seyve 2833</t>
  </si>
  <si>
    <t>Vitis x interspécifique cv. Bertille Seyve 2845</t>
  </si>
  <si>
    <t>Vitis x interspécifique cv. Bertille Seyve 2846</t>
  </si>
  <si>
    <t>Vitis x interspécifique cv. Bertille Seyve 3027</t>
  </si>
  <si>
    <t>Vitis x interspécifique cv. Bertille Seyve 3064</t>
  </si>
  <si>
    <t>Vitis x interspécifique cv. Bertille Seyve 3072</t>
  </si>
  <si>
    <t>Vitis x interspécifique cv. Bertille Seyve 3101</t>
  </si>
  <si>
    <t>Vitis x interspécifique cv. Bertille Seyve 3114</t>
  </si>
  <si>
    <t>Vitis x interspécifique cv. Bertille Seyve 3118</t>
  </si>
  <si>
    <t>Vitis x interspécifique cv. Bertille Seyve 3144</t>
  </si>
  <si>
    <t>Vitis x interspécifique cv. Bertille Seyve 3246</t>
  </si>
  <si>
    <t>Vitis x interspécifique cv. Bertille Seyve 3310</t>
  </si>
  <si>
    <t>Vitis x interspécifique cv. Bertille Seyve 3408</t>
  </si>
  <si>
    <t>Vitis x interspécifique cv. Bertille Seyve 3411</t>
  </si>
  <si>
    <t>Vitis x interspécifique cv. Bertille Seyve 3434</t>
  </si>
  <si>
    <t>Vitis x interspécifique cv. Bertille Seyve 3585</t>
  </si>
  <si>
    <t>Vitis x interspécifique cv. Bertille Seyve 3600</t>
  </si>
  <si>
    <t>Vitis x interspécifique cv. Bertille Seyve 4127</t>
  </si>
  <si>
    <t>Vitis x interspécifique cv. Bertille Seyve 413</t>
  </si>
  <si>
    <t>Vitis x interspécifique cv. Bertille Seyve 4176</t>
  </si>
  <si>
    <t>Vitis x interspécifique cv. Bertille Seyve 4201</t>
  </si>
  <si>
    <t>Vitis x interspécifique cv. Bertille Seyve 433</t>
  </si>
  <si>
    <t>Vitis x interspécifique cv. Bertille Seyve 450</t>
  </si>
  <si>
    <t>Vitis x interspécifique cv. Bertille Seyve 453</t>
  </si>
  <si>
    <t>Vitis x interspécifique cv. Bertille Seyve 460</t>
  </si>
  <si>
    <t>Vitis x interspécifique cv. Bertille Seyve 4825</t>
  </si>
  <si>
    <t>Vitis x interspécifique cv. Bertille Seyve 618</t>
  </si>
  <si>
    <t>Vitis x interspécifique cv. Bertille Seyve 6264</t>
  </si>
  <si>
    <t>Vitis x interspécifique cv. Bertille Seyve 6283</t>
  </si>
  <si>
    <t>Vitis x interspécifique cv. Bertille Seyve 822</t>
  </si>
  <si>
    <t>Vitis x interspécifique cv. Bertille Seyve 872</t>
  </si>
  <si>
    <t>Vitis x interspécifique cv. Bertille Seyve 893</t>
  </si>
  <si>
    <t>Vitis x interspécifique cv. Beta grape de Chaunac = Beta</t>
  </si>
  <si>
    <t>Vitis x interspécifique cv. Beyer 2</t>
  </si>
  <si>
    <t>Vitis x interspécifique cv. Black Queen</t>
  </si>
  <si>
    <t>Vitis x interspécifique cv. Blanche musquée = Galibert 256-73</t>
  </si>
  <si>
    <t>Vitis x interspécifique cv. Bogni 15</t>
  </si>
  <si>
    <t>Vitis x interspécifique cv. Bon Laurent = Kühlmann 267-1</t>
  </si>
  <si>
    <t>Vitis x interspécifique cv. Bon noir = Kühlmann 278-2</t>
  </si>
  <si>
    <t>Vitis x interspécifique cv. Bouchalès x 18315 S.V. n°30</t>
  </si>
  <si>
    <t>Vitis x interspécifique cv. Boujannoir = Galibert 6-1</t>
  </si>
  <si>
    <t>Vitis x interspécifique cv. Breider 19975</t>
  </si>
  <si>
    <t>Vitis x interspécifique cv. Brémont</t>
  </si>
  <si>
    <t>Vitis x interspécifique cv. Bronner = FR 250-75</t>
  </si>
  <si>
    <t>Vitis x interspécifique cv. Bronx seedless</t>
  </si>
  <si>
    <t>Vitis x interspécifique cv. Burdin 10010</t>
  </si>
  <si>
    <t>Vitis x interspécifique cv. Burdin 1582</t>
  </si>
  <si>
    <t>Vitis x interspécifique cv. Burdin 1585</t>
  </si>
  <si>
    <t>Vitis x interspécifique cv. Burdin 1605</t>
  </si>
  <si>
    <t>Vitis x interspécifique cv. Burdin 4077</t>
  </si>
  <si>
    <t>Vitis x interspécifique cv. Burdin 4502</t>
  </si>
  <si>
    <t>Vitis x interspécifique cv. Burdin 4503</t>
  </si>
  <si>
    <t>Vitis x interspécifique cv. Burdin 4560</t>
  </si>
  <si>
    <t>Vitis x interspécifique cv. Burdin 4582</t>
  </si>
  <si>
    <t>Vitis x interspécifique cv. Burdin 4601</t>
  </si>
  <si>
    <t>Vitis x interspécifique cv. Burdin 4650</t>
  </si>
  <si>
    <t>Vitis x interspécifique cv. Burdin 4655</t>
  </si>
  <si>
    <t>Vitis x interspécifique cv. Burdin 4672</t>
  </si>
  <si>
    <t>Vitis x interspécifique cv. Burdin 4687</t>
  </si>
  <si>
    <t>Vitis x interspécifique cv. Burdin 4695</t>
  </si>
  <si>
    <t>Vitis x interspécifique cv. Burdin 4716</t>
  </si>
  <si>
    <t>Vitis x interspécifique cv. Burdin 4795</t>
  </si>
  <si>
    <t>Vitis x interspécifique cv. Burdin 4855</t>
  </si>
  <si>
    <t>Vitis x interspécifique cv. Burdin 5201</t>
  </si>
  <si>
    <t>Vitis x interspécifique cv. Burdin 5400</t>
  </si>
  <si>
    <t>Vitis x interspécifique cv. Burdin 5406</t>
  </si>
  <si>
    <t>Vitis x interspécifique cv. Burdin 5440</t>
  </si>
  <si>
    <t>Vitis x interspécifique cv. Burdin 5535</t>
  </si>
  <si>
    <t>Vitis x interspécifique cv. Burdin 5539</t>
  </si>
  <si>
    <t>Vitis x interspécifique cv. Burdin 5540</t>
  </si>
  <si>
    <t>Vitis x interspécifique cv. Burdin 5580</t>
  </si>
  <si>
    <t>Vitis x interspécifique cv. Burdin 5581</t>
  </si>
  <si>
    <t>Vitis x interspécifique cv. Burdin 5620</t>
  </si>
  <si>
    <t>Vitis x interspécifique cv. Burdin 5833</t>
  </si>
  <si>
    <t>Vitis x interspécifique cv. Burdin 5894</t>
  </si>
  <si>
    <t>Vitis x interspécifique cv. Burdin 5957</t>
  </si>
  <si>
    <t>Vitis x interspécifique cv. Burdin 5960</t>
  </si>
  <si>
    <t>Vitis x interspécifique cv. Burdin 5963</t>
  </si>
  <si>
    <t>Vitis x interspécifique cv. Burdin 5984</t>
  </si>
  <si>
    <t>Vitis x interspécifique cv. Burdin 6004</t>
  </si>
  <si>
    <t>Vitis x interspécifique cv. Burdin 6055</t>
  </si>
  <si>
    <t>Vitis x interspécifique cv. Burdin 6154</t>
  </si>
  <si>
    <t>Vitis x interspécifique cv. Burdin 6189</t>
  </si>
  <si>
    <t>Vitis x interspécifique cv. Burdin 6205</t>
  </si>
  <si>
    <t>Vitis x interspécifique cv. Burdin 6316</t>
  </si>
  <si>
    <t>Vitis x interspécifique cv. Burdin 6422</t>
  </si>
  <si>
    <t>Vitis x interspécifique cv. Burdin 6541</t>
  </si>
  <si>
    <t>Vitis x interspécifique cv. Burdin 6621</t>
  </si>
  <si>
    <t>Vitis x interspécifique cv. Burdin 7037</t>
  </si>
  <si>
    <t>Vitis x interspécifique cv. Burdin 7044</t>
  </si>
  <si>
    <t>Vitis x interspécifique cv. Burdin 7061</t>
  </si>
  <si>
    <t>Vitis x interspécifique cv. Burdin 7187</t>
  </si>
  <si>
    <t>Vitis x interspécifique cv. Burdin 7194</t>
  </si>
  <si>
    <t>Vitis x interspécifique cv. Burdin 7200</t>
  </si>
  <si>
    <t>Vitis x interspécifique cv. Burdin 7206</t>
  </si>
  <si>
    <t>Vitis x interspécifique cv. Burdin 7215</t>
  </si>
  <si>
    <t>Vitis x interspécifique cv. Burdin 7216</t>
  </si>
  <si>
    <t>Vitis x interspécifique cv. Burdin 7334</t>
  </si>
  <si>
    <t>Vitis x interspécifique cv. Burdin 7352</t>
  </si>
  <si>
    <t>Vitis x interspécifique cv. Burdin 7353</t>
  </si>
  <si>
    <t>Vitis x interspécifique cv. Burdin 7357</t>
  </si>
  <si>
    <t>Vitis x interspécifique cv. Burdin 7358</t>
  </si>
  <si>
    <t>Vitis x interspécifique cv. Burdin 7360</t>
  </si>
  <si>
    <t>Vitis x interspécifique cv. Burdin 7365</t>
  </si>
  <si>
    <t>Vitis x interspécifique cv. Burdin 7368</t>
  </si>
  <si>
    <t>Vitis x interspécifique cv. Burdin 7369</t>
  </si>
  <si>
    <t>Vitis x interspécifique cv. Burdin 7371</t>
  </si>
  <si>
    <t>Vitis x interspécifique cv. Burdin 7374</t>
  </si>
  <si>
    <t>Vitis x interspécifique cv. Burdin 7375</t>
  </si>
  <si>
    <t>Vitis x interspécifique cv. Burdin 7380</t>
  </si>
  <si>
    <t>Vitis x interspécifique cv. Burdin 7405</t>
  </si>
  <si>
    <t>Vitis x interspécifique cv. Burdin 7468</t>
  </si>
  <si>
    <t>Vitis x interspécifique cv. Burdin 7510</t>
  </si>
  <si>
    <t>Vitis x interspécifique cv. Burdin 7515</t>
  </si>
  <si>
    <t>Vitis x interspécifique cv. Burdin 7582</t>
  </si>
  <si>
    <t>Vitis x interspécifique cv. Burdin 7595</t>
  </si>
  <si>
    <t>Vitis x interspécifique cv. Burdin 7618</t>
  </si>
  <si>
    <t>Vitis x interspécifique cv. Burdin 7638</t>
  </si>
  <si>
    <t>Vitis x interspécifique cv. Burdin 7648</t>
  </si>
  <si>
    <t>Vitis x interspécifique cv. Burdin 7696</t>
  </si>
  <si>
    <t>Vitis x interspécifique cv. Burdin 8649</t>
  </si>
  <si>
    <t>Vitis x interspécifique cv. Burdin 8796</t>
  </si>
  <si>
    <t>Vitis x interspécifique cv. Burdin 8811</t>
  </si>
  <si>
    <t>Vitis x interspécifique cv. Burdin 9010</t>
  </si>
  <si>
    <t>Vitis x interspécifique cv. C 26 Maclet</t>
  </si>
  <si>
    <t>Vitis x interspécifique cv. C 49 Maclet</t>
  </si>
  <si>
    <t>Vitis x interspécifique cv. C 69 Maclet</t>
  </si>
  <si>
    <t>Vitis x interspécifique cv. C 86 Maclet</t>
  </si>
  <si>
    <t>Vitis x interspécifique cv. C 98 Maclet</t>
  </si>
  <si>
    <t>Vitis x interspécifique cv. Cadamon 1</t>
  </si>
  <si>
    <t>Vitis x interspécifique cv. Cadamon 1 = Galibert 133-6</t>
  </si>
  <si>
    <t>Vitis x interspécifique cv. Cadamon 2 = Galibert 201-5</t>
  </si>
  <si>
    <t>Vitis x interspécifique cv. Cadillon doré = Galibert 261-13</t>
  </si>
  <si>
    <t>Vitis x interspécifique cv. Cadillon tardif = Galibert 261-12</t>
  </si>
  <si>
    <t>Vitis x interspécifique cv. Cadougnan blanc = Galibert 217-36</t>
  </si>
  <si>
    <t>Vitis x interspécifique cv. Cadougnan noir n° 2 = Galibert 217-33</t>
  </si>
  <si>
    <t>Vitis x interspécifique cv. Cadoulas n°1 = Galibert 207-86</t>
  </si>
  <si>
    <t>Vitis x interspécifique cv. Cadoulas n°2 = Galibert 114-14</t>
  </si>
  <si>
    <t>Vitis x interspécifique cv. Cadoulenc n°3 = Galibert 239-92</t>
  </si>
  <si>
    <t>Vitis x interspécifique cv. Cadoulenc 2</t>
  </si>
  <si>
    <t>Vitis x interspécifique cv. Caille 16</t>
  </si>
  <si>
    <t>Vitis x interspécifique cv. Caille 78</t>
  </si>
  <si>
    <t>Vitis x interspécifique cv. Calignon 2</t>
  </si>
  <si>
    <t>Vitis x interspécifique cv. Camirane blanche = Fourquier 16-45</t>
  </si>
  <si>
    <t>Vitis x interspécifique cv. Camirane rose = Fourquier 5-45</t>
  </si>
  <si>
    <t>Vitis x interspécifique cv. Candin</t>
  </si>
  <si>
    <t>Vitis x interspécifique cv. Carubis = Galibert 21-1</t>
  </si>
  <si>
    <t>Vitis x interspécifique cv. Cassady</t>
  </si>
  <si>
    <t>Vitis x interspécifique cv. Castel 120</t>
  </si>
  <si>
    <t>Vitis x interspécifique cv. Castel 121</t>
  </si>
  <si>
    <t>Vitis x interspécifique cv. Castel 12412</t>
  </si>
  <si>
    <t>Vitis x interspécifique cv. Castel 12827</t>
  </si>
  <si>
    <t>Vitis x interspécifique cv. Castel 12916</t>
  </si>
  <si>
    <t>Vitis x interspécifique cv. Castel 18311</t>
  </si>
  <si>
    <t>Vitis x interspécifique cv. Castel 1832</t>
  </si>
  <si>
    <t>Vitis x interspécifique cv. Castel 188-04</t>
  </si>
  <si>
    <t>Vitis x interspécifique cv. Castel 188-08</t>
  </si>
  <si>
    <t>Vitis x interspécifique cv. Castel 188-15</t>
  </si>
  <si>
    <t>Vitis x interspécifique cv. Castel 19637</t>
  </si>
  <si>
    <t>Vitis x interspécifique cv. Castel 20029</t>
  </si>
  <si>
    <t>Vitis x interspécifique cv. Castel 20031</t>
  </si>
  <si>
    <t>Vitis x interspécifique cv. Castel 20035</t>
  </si>
  <si>
    <t>Vitis x interspécifique cv. Castel 20410</t>
  </si>
  <si>
    <t>Vitis x interspécifique cv. Castel 20415</t>
  </si>
  <si>
    <t>Vitis x interspécifique cv. Castel 20418</t>
  </si>
  <si>
    <t>Vitis x interspécifique cv. Castel 215-1</t>
  </si>
  <si>
    <t>Vitis x interspécifique cv. Castel 227-1</t>
  </si>
  <si>
    <t>Vitis x interspécifique cv. Castel 3431</t>
  </si>
  <si>
    <t>Vitis x interspécifique cv. Castel 4337</t>
  </si>
  <si>
    <t>Vitis x interspécifique cv. Castel 4515</t>
  </si>
  <si>
    <t>Vitis x interspécifique cv. Castel 4639</t>
  </si>
  <si>
    <t>Vitis x interspécifique cv. Castel 6011</t>
  </si>
  <si>
    <t>Vitis x interspécifique cv. Castel 6021</t>
  </si>
  <si>
    <t>Vitis x interspécifique cv. Castel 6831</t>
  </si>
  <si>
    <t>Vitis x interspécifique cv. Castel 7229</t>
  </si>
  <si>
    <t>Vitis x interspécifique cv. Castel 7501</t>
  </si>
  <si>
    <t>Vitis x interspécifique cv. Castel 7605</t>
  </si>
  <si>
    <t>Vitis x interspécifique cv. Chambaudière 113</t>
  </si>
  <si>
    <t>Vitis x interspécifique cv. Chambaudière 1330</t>
  </si>
  <si>
    <t>Vitis x interspécifique cv. Chambaudière 1336</t>
  </si>
  <si>
    <t>Vitis x interspécifique cv. Chambaudière 1337</t>
  </si>
  <si>
    <t>Vitis x interspécifique cv. Chambaudière 1349</t>
  </si>
  <si>
    <t>Vitis x interspécifique cv. Chambaudière 1375</t>
  </si>
  <si>
    <t>Vitis x interspécifique cv. Chambaudière 1391</t>
  </si>
  <si>
    <t>Vitis x interspécifique cv. Chambaudière 426</t>
  </si>
  <si>
    <t>Vitis x interspécifique cv. Chambaudière 442</t>
  </si>
  <si>
    <t>Vitis x interspécifique cv. Chambaudière 540</t>
  </si>
  <si>
    <t>Vitis x interspécifique cv. Chambourcin = Joannès Seyve 26205</t>
  </si>
  <si>
    <t>Vitis x interspécifique cv. Chancellor = Seibel 7053</t>
  </si>
  <si>
    <t>Vitis x interspécifique cv. Chasselas Baco = Baco 7 A</t>
  </si>
  <si>
    <t>Vitis x interspécifique cv. Chazalon</t>
  </si>
  <si>
    <t>Vitis x interspécifique cv. Chelois = Seibel 10878</t>
  </si>
  <si>
    <t>Vitis x interspécifique cv. Chenivesse</t>
  </si>
  <si>
    <t>Vitis x interspécifique cv. Chevalier 3401</t>
  </si>
  <si>
    <t>Vitis x interspécifique cv. Chevalier 4002</t>
  </si>
  <si>
    <t>Vitis x interspécifique cv. cinerea x davidii</t>
  </si>
  <si>
    <t>Vitis x interspécifique cv. Claire Kühlmann = Kühlmann 477-1</t>
  </si>
  <si>
    <t>Vitis x interspécifique cv. Clairette dorée Ganzin</t>
  </si>
  <si>
    <t>Vitis x interspécifique cv. Clairette résistante</t>
  </si>
  <si>
    <t>Vitis x interspécifique cv. Clinton = Kilianstraube</t>
  </si>
  <si>
    <t>Vitis x interspécifique cv. Colobel = Seibel 8357</t>
  </si>
  <si>
    <t>Vitis x interspécifique cv. coriacea x cinerea</t>
  </si>
  <si>
    <t>Vitis x interspécifique cv. Cosmo 10</t>
  </si>
  <si>
    <t>Vitis x interspécifique cv. Cosmo 2</t>
  </si>
  <si>
    <t>Vitis x interspécifique cv. Couderc noir = Couderc 7120</t>
  </si>
  <si>
    <t>Vitis x interspécifique cv. Couderc 1</t>
  </si>
  <si>
    <t>Vitis x interspécifique cv. Couderc 10</t>
  </si>
  <si>
    <t>Vitis x interspécifique cv. Couderc 101</t>
  </si>
  <si>
    <t>Vitis x interspécifique cv. Couderc 102-5 ter</t>
  </si>
  <si>
    <t>Vitis x interspécifique cv. Couderc 106-46</t>
  </si>
  <si>
    <t>Vitis x interspécifique cv. Couderc 106-51</t>
  </si>
  <si>
    <t>Vitis x interspécifique cv. Couderc 109-4</t>
  </si>
  <si>
    <t>Vitis x interspécifique cv. Couderc 11</t>
  </si>
  <si>
    <t>Vitis x interspécifique cv. Couderc 117-3</t>
  </si>
  <si>
    <t>Vitis x interspécifique cv. Couderc 117-4</t>
  </si>
  <si>
    <t>Vitis x interspécifique cv. Couderc 119</t>
  </si>
  <si>
    <t>Vitis x interspécifique cv. Couderc 12</t>
  </si>
  <si>
    <t>Vitis x interspécifique cv. Couderc 1202</t>
  </si>
  <si>
    <t>Vitis x interspécifique cv. Couderc 124-12</t>
  </si>
  <si>
    <t>Vitis x interspécifique cv. Couderc 126-8</t>
  </si>
  <si>
    <t>Vitis x interspécifique cv. Couderc 128-29 = N 6-53</t>
  </si>
  <si>
    <t>Vitis x interspécifique cv. Couderc 13</t>
  </si>
  <si>
    <t>Vitis x interspécifique cv. Couderc 1305</t>
  </si>
  <si>
    <t>Vitis x interspécifique cv. Couderc 13-11</t>
  </si>
  <si>
    <t>Vitis x interspécifique cv. Couderc 132</t>
  </si>
  <si>
    <t>Vitis x interspécifique cv. Couderc 13-205 ou 132-5</t>
  </si>
  <si>
    <t>Vitis x interspécifique cv. Couderc 136-4</t>
  </si>
  <si>
    <t>Vitis x interspécifique cv. Couderc 14</t>
  </si>
  <si>
    <t>Vitis x interspécifique cv. Couderc 1401</t>
  </si>
  <si>
    <t>Vitis x interspécifique cv. Couderc 146-51</t>
  </si>
  <si>
    <t>Vitis x interspécifique cv. Couderc 15</t>
  </si>
  <si>
    <t>Vitis x interspécifique cv. Couderc 157-11</t>
  </si>
  <si>
    <t>Vitis x interspécifique cv. Couderc 157-21</t>
  </si>
  <si>
    <t>Vitis x interspécifique cv. Couderc 16</t>
  </si>
  <si>
    <t>Vitis x interspécifique cv. Couderc 1613</t>
  </si>
  <si>
    <t>Vitis x interspécifique cv. Couderc 1615</t>
  </si>
  <si>
    <t>Vitis x interspécifique cv. Couderc 1616 (Colmar 1984)</t>
  </si>
  <si>
    <t>Vitis x interspécifique cv. Couderc 1616 Davy (pubescent)</t>
  </si>
  <si>
    <t>Vitis x interspécifique cv. Couderc 1616 E</t>
  </si>
  <si>
    <t>Vitis x interspécifique cv. Couderc 162</t>
  </si>
  <si>
    <t>Vitis x interspécifique cv. Couderc 162-46</t>
  </si>
  <si>
    <t>Vitis x interspécifique cv. Couderc 162-5</t>
  </si>
  <si>
    <t>Vitis x interspécifique cv. Couderc 162-97</t>
  </si>
  <si>
    <t>Vitis x interspécifique cv. Couderc 17</t>
  </si>
  <si>
    <t>Vitis x interspécifique cv. Couderc 175</t>
  </si>
  <si>
    <t>Vitis x interspécifique cv. Couderc 18</t>
  </si>
  <si>
    <t>Vitis x interspécifique cv. Couderc 19 = 299-35</t>
  </si>
  <si>
    <t>Vitis x interspécifique cv. Couderc 197-94</t>
  </si>
  <si>
    <t>Vitis x interspécifique cv. Couderc 198-21</t>
  </si>
  <si>
    <t>Vitis x interspécifique cv. Couderc 198-89</t>
  </si>
  <si>
    <t>Vitis x interspécifique cv. Couderc 199-88</t>
  </si>
  <si>
    <t>Vitis x interspécifique cv. Couderc 2</t>
  </si>
  <si>
    <t>Vitis x interspécifique cv. Couderc 20</t>
  </si>
  <si>
    <t>Vitis x interspécifique cv. Couderc 201</t>
  </si>
  <si>
    <t>Vitis x interspécifique cv. Couderc 202-137</t>
  </si>
  <si>
    <t>Vitis x interspécifique cv. Couderc 203-143</t>
  </si>
  <si>
    <t>Vitis x interspécifique cv. Couderc 21</t>
  </si>
  <si>
    <t>Vitis x interspécifique cv. Couderc 2-10 = 2 Baronne</t>
  </si>
  <si>
    <t>Vitis x interspécifique cv. Couderc 216-2</t>
  </si>
  <si>
    <t>Vitis x interspécifique cv. Couderc 22</t>
  </si>
  <si>
    <t>Vitis x interspécifique cv. Couderc 226-58</t>
  </si>
  <si>
    <t>Vitis x interspécifique cv. Couderc 23</t>
  </si>
  <si>
    <t>Vitis x interspécifique cv. Couderc 235-120</t>
  </si>
  <si>
    <t>Vitis x interspécifique cv. Couderc 24</t>
  </si>
  <si>
    <t>Vitis x interspécifique cv. Couderc 241-123</t>
  </si>
  <si>
    <t>Vitis x interspécifique cv. Couderc 241-125</t>
  </si>
  <si>
    <t>Vitis x interspécifique cv. Couderc 246-123</t>
  </si>
  <si>
    <t>Vitis x interspécifique cv. Couderc 25</t>
  </si>
  <si>
    <t>Vitis x interspécifique cv. Couderc 251-150</t>
  </si>
  <si>
    <t>Vitis x interspécifique cv. Couderc 251-50</t>
  </si>
  <si>
    <t>Vitis x interspécifique cv. Couderc 252-14</t>
  </si>
  <si>
    <t>Vitis x interspécifique cv. Couderc 252-15</t>
  </si>
  <si>
    <t>Vitis x interspécifique cv. Couderc 26</t>
  </si>
  <si>
    <t>Vitis x interspécifique cv. Couderc 261-50</t>
  </si>
  <si>
    <t>Vitis x interspécifique cv. Couderc 2627-11</t>
  </si>
  <si>
    <t>Vitis x interspécifique cv. Couderc 267-27</t>
  </si>
  <si>
    <t>Vitis x interspécifique cv. Couderc 272-60</t>
  </si>
  <si>
    <t>Vitis x interspécifique cv. Couderc 28-112</t>
  </si>
  <si>
    <t>Vitis x interspécifique cv. Couderc 286-68</t>
  </si>
  <si>
    <t>Vitis x interspécifique cv. Couderc 299-17</t>
  </si>
  <si>
    <t>Vitis x interspécifique cv. Couderc 299-35</t>
  </si>
  <si>
    <t>Vitis x interspécifique cv. Couderc 3</t>
  </si>
  <si>
    <t>Vitis x interspécifique cv. Couderc 302-60</t>
  </si>
  <si>
    <t>Vitis x interspécifique cv. Couderc 3304</t>
  </si>
  <si>
    <t>Vitis x interspécifique cv. Couderc 3306</t>
  </si>
  <si>
    <t>Vitis x interspécifique cv. Couderc 3307</t>
  </si>
  <si>
    <t>Vitis x interspécifique cv. Couderc 3310</t>
  </si>
  <si>
    <t>Vitis x interspécifique cv. Couderc 343-14</t>
  </si>
  <si>
    <t>Vitis x interspécifique cv. Couderc 3601</t>
  </si>
  <si>
    <t>Vitis x interspécifique cv. Couderc 3905</t>
  </si>
  <si>
    <t>Vitis x interspécifique cv. Couderc 3907</t>
  </si>
  <si>
    <t>Vitis x interspécifique cv. Couderc 4</t>
  </si>
  <si>
    <t>Vitis x interspécifique cv. Couderc 404</t>
  </si>
  <si>
    <t>Vitis x interspécifique cv. Couderc 4306</t>
  </si>
  <si>
    <t>Vitis x interspécifique cv. Couderc 4308</t>
  </si>
  <si>
    <t>Vitis x interspécifique cv. Couderc 5</t>
  </si>
  <si>
    <t>Vitis x interspécifique cv. Couderc 501</t>
  </si>
  <si>
    <t>Vitis x interspécifique cv. Couderc 503</t>
  </si>
  <si>
    <t>Vitis x interspécifique cv. Couderc 504</t>
  </si>
  <si>
    <t>Vitis x interspécifique cv. Couderc 5407</t>
  </si>
  <si>
    <t>Vitis x interspécifique cv. Couderc 548-1</t>
  </si>
  <si>
    <t>Vitis x interspécifique cv. Couderc 554-5</t>
  </si>
  <si>
    <t>Vitis x interspécifique cv. Couderc 6</t>
  </si>
  <si>
    <t>Vitis x interspécifique cv. Couderc 601</t>
  </si>
  <si>
    <t>Vitis x interspécifique cv. Couderc 602</t>
  </si>
  <si>
    <t>Vitis x interspécifique cv. Couderc 603</t>
  </si>
  <si>
    <t>Vitis x interspécifique cv. Couderc 62-66</t>
  </si>
  <si>
    <t>Vitis x interspécifique cv. Couderc 633 H</t>
  </si>
  <si>
    <t>Vitis x interspécifique cv. Couderc 7</t>
  </si>
  <si>
    <t>Vitis x interspécifique cv. Couderc 71-03</t>
  </si>
  <si>
    <t>Vitis x interspécifique cv. Couderc 71-04</t>
  </si>
  <si>
    <t>Vitis x interspécifique cv. Couderc 7106</t>
  </si>
  <si>
    <t>Vitis x interspécifique cv. Couderc 7160</t>
  </si>
  <si>
    <t>Vitis x interspécifique cv. Couderc 71-61 = Contassot 2</t>
  </si>
  <si>
    <t>Vitis x interspécifique cv. Couderc 7301</t>
  </si>
  <si>
    <t>Vitis x interspécifique cv. Couderc 7417</t>
  </si>
  <si>
    <t>Vitis x interspécifique cv. Couderc 7502</t>
  </si>
  <si>
    <t>Vitis x interspécifique cv. Couderc 8</t>
  </si>
  <si>
    <t>Vitis x interspécifique cv. Couderc 81-2</t>
  </si>
  <si>
    <t>Vitis x interspécifique cv. Couderc 82-12</t>
  </si>
  <si>
    <t>Vitis x interspécifique cv. Couderc 8232</t>
  </si>
  <si>
    <t>Vitis x interspécifique cv. Couderc 84-10</t>
  </si>
  <si>
    <t>Vitis x interspécifique cv. Couderc 84-61</t>
  </si>
  <si>
    <t>Vitis x interspécifique cv. Couderc 85-113</t>
  </si>
  <si>
    <t>Vitis x interspécifique cv. Couderc 87-83</t>
  </si>
  <si>
    <t>Vitis x interspécifique cv. Couderc 89-23</t>
  </si>
  <si>
    <t>Vitis x interspécifique cv. Couderc 9</t>
  </si>
  <si>
    <t>Vitis x interspécifique cv. Couderc 901</t>
  </si>
  <si>
    <t>Vitis x interspécifique cv. Couderc 90-38</t>
  </si>
  <si>
    <t>Vitis x interspécifique cv. Couderc 904</t>
  </si>
  <si>
    <t>Vitis x interspécifique cv. Couderc 93-5</t>
  </si>
  <si>
    <t>Vitis x interspécifique cv. Couderc 96-32</t>
  </si>
  <si>
    <t>Vitis x interspécifique cv. Couderc 98-76</t>
  </si>
  <si>
    <t>Vitis x interspécifique cv. Cournon = Galibert 22-4</t>
  </si>
  <si>
    <t>Vitis x interspécifique cv. D Maclet</t>
  </si>
  <si>
    <t>Vitis x interspécifique cv. Dattier de Saint-Vallier = Seyve-Villard 20-365</t>
  </si>
  <si>
    <t>Vitis x interspécifique cv. davidii x ?</t>
  </si>
  <si>
    <t>Vitis x interspécifique cv. De Chaunac = Seibel 9549</t>
  </si>
  <si>
    <t>Vitis x interspécifique cv. Delaware rose</t>
  </si>
  <si>
    <t>Vitis x interspécifique cv. Directeur Grosjean = Kühlmann 536-3</t>
  </si>
  <si>
    <t>Vitis x interspécifique cv. Docteur Decker-rebe</t>
  </si>
  <si>
    <t>Vitis x interspécifique cv. Dog Ridge</t>
  </si>
  <si>
    <t>Vitis x interspécifique cv. Dorette</t>
  </si>
  <si>
    <t>Vitis x interspécifique cv. Douriou = Baco 37-16</t>
  </si>
  <si>
    <t>Vitis x interspécifique cv. Doux noir = Galibert 294-33</t>
  </si>
  <si>
    <t>Vitis x interspécifique cv. Dufour 11 F</t>
  </si>
  <si>
    <t>Vitis x interspécifique cv. E 31 Maclet</t>
  </si>
  <si>
    <t>Vitis x interspécifique cv. E 46 Maclet</t>
  </si>
  <si>
    <t>Vitis x interspécifique cv. Edda Mussolini = Pirovano 78</t>
  </si>
  <si>
    <t>Vitis x interspécifique cv. Einset seedless</t>
  </si>
  <si>
    <t>Vitis x interspécifique cv. Elisabeth</t>
  </si>
  <si>
    <t>Vitis x interspécifique cv. Embanc n°2 = Galibert 113-20</t>
  </si>
  <si>
    <t>Vitis x interspécifique cv. Emblanc n°1 = Galibert 113-18</t>
  </si>
  <si>
    <t>Vitis x interspécifique cv. Emblanc n°3 = Galibert 113-32</t>
  </si>
  <si>
    <t>Vitis x interspécifique cv. Emblanc n°4 = Galibert 128-13</t>
  </si>
  <si>
    <t>Vitis x interspécifique cv. Emblanc n°5 = Galibert 152-26</t>
  </si>
  <si>
    <t>Vitis x interspécifique cv. Emblanc n°6 = Galibert 153-11</t>
  </si>
  <si>
    <t>Vitis x interspécifique cv. Emblanc n°7 = Galibert 154-20</t>
  </si>
  <si>
    <t>Vitis x interspécifique cv. Emblanc n°8 = Galibert 155-9</t>
  </si>
  <si>
    <t>Vitis x interspécifique cv. Emblanc n°9 = Galibert 162-3</t>
  </si>
  <si>
    <t>Vitis x interspécifique cv. Emon 1-23</t>
  </si>
  <si>
    <t>Vitis x interspécifique cv. Emon 19-20</t>
  </si>
  <si>
    <t>Vitis x interspécifique cv. Emon 2</t>
  </si>
  <si>
    <t>Vitis x interspécifique cv. Emon 2-5</t>
  </si>
  <si>
    <t>Vitis x interspécifique cv. Emon 9</t>
  </si>
  <si>
    <t>Vitis x interspécifique cv. Ennoir n°1 = Galibert 114-10</t>
  </si>
  <si>
    <t>Vitis x interspécifique cv. Ennoir n°2 = Galibert 152-24</t>
  </si>
  <si>
    <t>Vitis x interspécifique cv. Ennoir n°3 = Galibert 152-27</t>
  </si>
  <si>
    <t>Vitis x interspécifique cv. Ennoir n°4 = Galibert 155-3</t>
  </si>
  <si>
    <t>Vitis x interspécifique cv. Ennoir n°5 = Galibert 155-11</t>
  </si>
  <si>
    <t>Vitis x interspécifique cv. Ennoir n°6 = Galibert 155-14</t>
  </si>
  <si>
    <t>Vitis x interspécifique cv. Ennoir n°7 = Galibert 162-4</t>
  </si>
  <si>
    <t>Vitis x interspécifique cv. Ennoir n°8 = Galibert 166-18</t>
  </si>
  <si>
    <t>Vitis x interspécifique cv. Ennoir n°9 = Galibert 171-24</t>
  </si>
  <si>
    <t>Vitis x interspécifique cv. Estellat = Baco 30-12</t>
  </si>
  <si>
    <t>Vitis x interspécifique cv. Etoile 1 = Kühlmann 237-1</t>
  </si>
  <si>
    <t>Vitis x interspécifique cv. Etoile 2 = Kühlmann 237-2</t>
  </si>
  <si>
    <t>Vitis x interspécifique cv. Evex 13-3</t>
  </si>
  <si>
    <t>Vitis x interspécifique cv. Evex 13-5</t>
  </si>
  <si>
    <t>Vitis x interspécifique cv. Excelsior Guilly</t>
  </si>
  <si>
    <t>Vitis x interspécifique cv. Excelsior (Ricketts)</t>
  </si>
  <si>
    <t>Vitis x interspécifique cv. Farato Grimaldi</t>
  </si>
  <si>
    <t>Vitis x interspécifique cv. Fauconneau 1</t>
  </si>
  <si>
    <t>Vitis x interspécifique cv. Fauconneau 2</t>
  </si>
  <si>
    <t>Vitis x interspécifique cv. Fercal</t>
  </si>
  <si>
    <t>Vitis x interspécifique cv. Ferdinand de Lesseps</t>
  </si>
  <si>
    <t>Vitis x interspécifique cv. Fin blanc 1</t>
  </si>
  <si>
    <t>Vitis x interspécifique cv. Fin noir = Kühlmann 275-2</t>
  </si>
  <si>
    <t>Vitis x interspécifique cv. Fin noir 1</t>
  </si>
  <si>
    <t>Vitis x interspécifique cv. Fin noir 2</t>
  </si>
  <si>
    <t>Vitis x interspécifique cv. Florental = Burdin 7705</t>
  </si>
  <si>
    <t>Vitis x interspécifique cv. Flot d'Or = Seibel 2653</t>
  </si>
  <si>
    <t>Vitis x interspécifique cv. Flot rouge = Seibel 1020</t>
  </si>
  <si>
    <t>Vitis x interspécifique cv. Fontan</t>
  </si>
  <si>
    <t>Vitis x interspécifique cv. Fredonia</t>
  </si>
  <si>
    <t>Vitis x interspécifique cv. G 1 = Grézot 1</t>
  </si>
  <si>
    <t>Vitis x interspécifique cv. Gaillard 157</t>
  </si>
  <si>
    <t>Vitis x interspécifique cv. Gaillard 194</t>
  </si>
  <si>
    <t>Vitis x interspécifique cv. Gaillard 2</t>
  </si>
  <si>
    <t>Vitis x interspécifique cv. Galibert 114-12</t>
  </si>
  <si>
    <t>Vitis x interspécifique cv. Galibert 114-25</t>
  </si>
  <si>
    <t>Vitis x interspécifique cv. Galibert 115-18</t>
  </si>
  <si>
    <t>Vitis x interspécifique cv. Galibert 115-28</t>
  </si>
  <si>
    <t>Vitis x interspécifique cv. Galibert 14-2</t>
  </si>
  <si>
    <t>Vitis x interspécifique cv. Galibert 14-3</t>
  </si>
  <si>
    <t>Vitis x interspécifique cv. Galibert 14-4</t>
  </si>
  <si>
    <t>Vitis x interspécifique cv. Galibert 14-5</t>
  </si>
  <si>
    <t>Vitis x interspécifique cv. Galibert 201 F</t>
  </si>
  <si>
    <t>Vitis x interspécifique cv. Galibert 201 H</t>
  </si>
  <si>
    <t>Vitis x interspécifique cv. Galibert 201-8 = Inconnu</t>
  </si>
  <si>
    <t>Vitis x interspécifique cv. Galibert 20-2</t>
  </si>
  <si>
    <t>Vitis x interspécifique cv. Galibert 21-2</t>
  </si>
  <si>
    <t>Vitis x interspécifique cv. Galibert 25-2</t>
  </si>
  <si>
    <t>Vitis x interspécifique cv. Galibert 309</t>
  </si>
  <si>
    <t>Vitis x interspécifique cv. Galibert 315</t>
  </si>
  <si>
    <t>Vitis x interspécifique cv. Galibert 35-3</t>
  </si>
  <si>
    <t>Vitis x interspécifique cv. Galibert 403</t>
  </si>
  <si>
    <t>Vitis x interspécifique cv. Galibert 404</t>
  </si>
  <si>
    <t>Vitis x interspécifique cv. Galibert 408</t>
  </si>
  <si>
    <t>Vitis x interspécifique cv. Galibert 413</t>
  </si>
  <si>
    <t>Vitis x interspécifique cv. Galibert 414</t>
  </si>
  <si>
    <t>Vitis x interspécifique cv. Galibert 420</t>
  </si>
  <si>
    <t>Vitis x interspécifique cv. Galibert 42-1</t>
  </si>
  <si>
    <t>Vitis x interspécifique cv. Galibert 42-2</t>
  </si>
  <si>
    <t>Vitis x interspécifique cv. Galibert 42-3</t>
  </si>
  <si>
    <t>Vitis x interspécifique cv. Galicante blanc n°1 = Galibert 238-95</t>
  </si>
  <si>
    <t>Vitis x interspécifique cv. Galicante noir n°1 = Galibert 239-96</t>
  </si>
  <si>
    <t>Vitis x interspécifique cv. Galicoul noir = Galibert 238-35</t>
  </si>
  <si>
    <t>Vitis x interspécifique cv. Galignon n°2 = Galibert 264-34</t>
  </si>
  <si>
    <t>Vitis x interspécifique cv. Gamay Couderc = Couderc 3103</t>
  </si>
  <si>
    <t>Vitis x interspécifique cv. Garnier 15-6</t>
  </si>
  <si>
    <t>Vitis x interspécifique cv. Garonnet = Seyve-Villard 18-283</t>
  </si>
  <si>
    <t>Vitis x interspécifique cv. Gaulois 1</t>
  </si>
  <si>
    <t>Vitis x interspécifique cv. Gaulois 2</t>
  </si>
  <si>
    <t>Vitis x interspécifique cv. Geisenheim 26</t>
  </si>
  <si>
    <t>Vitis x interspécifique cv. Geisenheim 97</t>
  </si>
  <si>
    <t>Vitis x interspécifique cv. GfGa-47-42</t>
  </si>
  <si>
    <t>Vitis x interspécifique cv. Gigantesque Millardet de Grasset</t>
  </si>
  <si>
    <t>Vitis x interspécifique cv. Glenora</t>
  </si>
  <si>
    <t>Vitis x interspécifique cv. Golden Muscat</t>
  </si>
  <si>
    <t>Vitis x interspécifique cv. Golia = 1-37 Pirovano</t>
  </si>
  <si>
    <t>Vitis x interspécifique cv. Gradian noir = Galibert 23-2</t>
  </si>
  <si>
    <t>Vitis x interspécifique cv. Grand Noir de Cadoule = Galibert 115-22</t>
  </si>
  <si>
    <t>Vitis x interspécifique cv. Gravesac</t>
  </si>
  <si>
    <t>Vitis x interspécifique cv. Grimaldi 24-27</t>
  </si>
  <si>
    <t>Vitis x interspécifique cv. Grimaldi 444</t>
  </si>
  <si>
    <t>Vitis x interspécifique cv. Gros Cadillon = Galibert 261-11</t>
  </si>
  <si>
    <t>Vitis x interspécifique cv. Guillaume 35</t>
  </si>
  <si>
    <t>Vitis x interspécifique cv. Guillaume 4</t>
  </si>
  <si>
    <t>Vitis x interspécifique cv. Guillaume 6</t>
  </si>
  <si>
    <t>Vitis x interspécifique cv. Harmony</t>
  </si>
  <si>
    <t>Vitis x interspécifique cv. Hartford Prolific</t>
  </si>
  <si>
    <t>Vitis x interspécifique cv. Helios</t>
  </si>
  <si>
    <t>Vitis x interspécifique cv. Herbemont</t>
  </si>
  <si>
    <t>Vitis x interspécifique cv. Himrod</t>
  </si>
  <si>
    <t>Vitis x interspécifique cv. Humbert 3</t>
  </si>
  <si>
    <t>Vitis x interspécifique cv. Hybride Azemar</t>
  </si>
  <si>
    <t>Vitis x interspécifique cv. Hybride Boiziau</t>
  </si>
  <si>
    <t>Vitis x interspécifique cv. Hybride d'Allen</t>
  </si>
  <si>
    <t>Vitis x interspécifique cv. Hybride Fournier</t>
  </si>
  <si>
    <t>Vitis x interspécifique cv. Hybride Franc</t>
  </si>
  <si>
    <t>Vitis x interspécifique cv. Hybride Lacoste</t>
  </si>
  <si>
    <t>Vitis x interspécifique cv. Hybride Pully 1</t>
  </si>
  <si>
    <t>Vitis x interspécifique cv. Hybride Pully 7</t>
  </si>
  <si>
    <t>Vitis x interspécifique cv. Hybride Trinquier</t>
  </si>
  <si>
    <t>Vitis x interspécifique cv. INRA-Mtp-3186-1-87</t>
  </si>
  <si>
    <t>Vitis x interspécifique cv. Institut = Kühlmann 482-2</t>
  </si>
  <si>
    <t>Vitis x interspécifique cv. Jacquez</t>
  </si>
  <si>
    <t>Vitis x interspécifique cv. Jacquez d'Aurelles 1</t>
  </si>
  <si>
    <t>Vitis x interspécifique cv. Joannès Seyve 11369</t>
  </si>
  <si>
    <t>Vitis x interspécifique cv. Joannès Seyve 12426</t>
  </si>
  <si>
    <t>Vitis x interspécifique cv. Joannès Seyve 12428</t>
  </si>
  <si>
    <t>Vitis x interspécifique cv. Joannès Seyve 12448</t>
  </si>
  <si>
    <t>Vitis x interspécifique cv. Joannès Seyve 12462</t>
  </si>
  <si>
    <t>Vitis x interspécifique cv. Joannès Seyve 13733</t>
  </si>
  <si>
    <t>Vitis x interspécifique cv. Joannès Seyve 13756</t>
  </si>
  <si>
    <t>Vitis x interspécifique cv. Joannès Seyve 14924</t>
  </si>
  <si>
    <t>Vitis x interspécifique cv. Joannès Seyve 14928</t>
  </si>
  <si>
    <t>Vitis x interspécifique cv. Joannès Seyve 14982</t>
  </si>
  <si>
    <t>Vitis x interspécifique cv. Joannès Seyve 15874</t>
  </si>
  <si>
    <t>Vitis x interspécifique cv. Joannès Seyve 15875</t>
  </si>
  <si>
    <t>Vitis x interspécifique cv. Joannès Seyve 16150</t>
  </si>
  <si>
    <t>Vitis x interspécifique cv. Joannès Seyve 19103</t>
  </si>
  <si>
    <t>Vitis x interspécifique cv. Joannès Seyve 23275</t>
  </si>
  <si>
    <t>Vitis x interspécifique cv. Joannès Seyve 23284</t>
  </si>
  <si>
    <t>Vitis x interspécifique cv. Joannès Seyve 23298</t>
  </si>
  <si>
    <t>Vitis x interspécifique cv. Joannès Seyve 23416</t>
  </si>
  <si>
    <t>Vitis x interspécifique cv. Joannès Seyve 23545</t>
  </si>
  <si>
    <t>Vitis x interspécifique cv. Joannès Seyve 24298</t>
  </si>
  <si>
    <t>Vitis x interspécifique cv. Joannès Seyve 24397</t>
  </si>
  <si>
    <t>Vitis x interspécifique cv. Joannès Seyve 24398</t>
  </si>
  <si>
    <t>Vitis x interspécifique cv. Joannès Seyve 24399</t>
  </si>
  <si>
    <t>Vitis x interspécifique cv. Joannès Seyve 24408</t>
  </si>
  <si>
    <t>Vitis x interspécifique cv. Joannès Seyve 24444</t>
  </si>
  <si>
    <t>Vitis x interspécifique cv. Joannès Seyve 24610</t>
  </si>
  <si>
    <t>Vitis x interspécifique cv. Joannès Seyve 24614</t>
  </si>
  <si>
    <t>Vitis x interspécifique cv. Joannès Seyve 24651</t>
  </si>
  <si>
    <t>Vitis x interspécifique cv. Joannès Seyve 24967</t>
  </si>
  <si>
    <t>Vitis x interspécifique cv. Joannès Seyve 25444</t>
  </si>
  <si>
    <t>Vitis x interspécifique cv. Joannès Seyve 25555</t>
  </si>
  <si>
    <t>Vitis x interspécifique cv. Joannès Seyve 25874</t>
  </si>
  <si>
    <t>Vitis x interspécifique cv. Joannès Seyve 26130</t>
  </si>
  <si>
    <t>Vitis x interspécifique cv. Joannès Seyve 26470</t>
  </si>
  <si>
    <t>Vitis x interspécifique cv. Joannès Seyve 26480</t>
  </si>
  <si>
    <t>Vitis x interspécifique cv. Joannès Seyve 26482</t>
  </si>
  <si>
    <t>Vitis x interspécifique cv. Joannès Seyve 26487</t>
  </si>
  <si>
    <t>Vitis x interspécifique cv. Joannès Seyve 26490</t>
  </si>
  <si>
    <t>Vitis x interspécifique cv. Joannès Seyve 26620</t>
  </si>
  <si>
    <t>Vitis x interspécifique cv. Joannès Seyve 26627</t>
  </si>
  <si>
    <t>Vitis x interspécifique cv. Joannès Seyve 26649</t>
  </si>
  <si>
    <t>Vitis x interspécifique cv. Joannès Seyve 26651</t>
  </si>
  <si>
    <t>Vitis x interspécifique cv. Joannès Seyve 26654</t>
  </si>
  <si>
    <t>Vitis x interspécifique cv. Joannès Seyve 26674</t>
  </si>
  <si>
    <t>Vitis x interspécifique cv. Joannès Seyve 26724</t>
  </si>
  <si>
    <t>Vitis x interspécifique cv. Joannès Seyve 26790</t>
  </si>
  <si>
    <t>Vitis x interspécifique cv. Joannès Seyve 26855</t>
  </si>
  <si>
    <t>Vitis x interspécifique cv. Joannès Seyve 26924</t>
  </si>
  <si>
    <t>Vitis x interspécifique cv. Joannès Seyve 27350</t>
  </si>
  <si>
    <t>Vitis x interspécifique cv. Joannès Seyve 30158</t>
  </si>
  <si>
    <t>Vitis x interspécifique cv. Joannès Seyve 30286</t>
  </si>
  <si>
    <t>Vitis x interspécifique cv. Joannès Seyve 30555</t>
  </si>
  <si>
    <t>Vitis x interspécifique cv. Joannès Seyve 30641</t>
  </si>
  <si>
    <t>Vitis x interspécifique cv. Joannès Seyve 30662</t>
  </si>
  <si>
    <t>Vitis x interspécifique cv. Joannès Seyve 31132</t>
  </si>
  <si>
    <t>Vitis x interspécifique cv. Joannès Seyve 31392</t>
  </si>
  <si>
    <t>Vitis x interspécifique cv. Joannès Seyve 4825</t>
  </si>
  <si>
    <t>Vitis x interspécifique cv. Joannès Seyve 5563</t>
  </si>
  <si>
    <t>Vitis x interspécifique cv. Joannès Seyve 6264</t>
  </si>
  <si>
    <t>Vitis x interspécifique cv. Joannès Seyve 9149</t>
  </si>
  <si>
    <t>Vitis x interspécifique cv. Johanniter</t>
  </si>
  <si>
    <t>Vitis x interspécifique cv. Joussely 1</t>
  </si>
  <si>
    <t>Vitis x interspécifique cv. Joussely 2</t>
  </si>
  <si>
    <t>Vitis x interspécifique cv. Jurie 1975</t>
  </si>
  <si>
    <t>Vitis x interspécifique cv. Kühlmann 702 A faux</t>
  </si>
  <si>
    <t>Vitis x interspécifique cv. La Céline = Baco 12-12</t>
  </si>
  <si>
    <t>Vitis x interspécifique cv. La Madone = Couderc 4101</t>
  </si>
  <si>
    <t>Vitis x interspécifique cv. labrusca x ?</t>
  </si>
  <si>
    <t>Vitis x interspécifique cv. labrusca x vinifera</t>
  </si>
  <si>
    <t>Vitis x interspécifique cv. Laffourcade 15 V</t>
  </si>
  <si>
    <t>Vitis x interspécifique cv. Laffourcade 19</t>
  </si>
  <si>
    <t>Vitis x interspécifique cv. Laffourcade 26</t>
  </si>
  <si>
    <t>Vitis x interspécifique cv. Laffourcade 6</t>
  </si>
  <si>
    <t>Vitis x interspécifique cv. Landal = Landot 244</t>
  </si>
  <si>
    <t>Vitis x interspécifique cv. Landot 1233</t>
  </si>
  <si>
    <t>Vitis x interspécifique cv. Landot 1674</t>
  </si>
  <si>
    <t>Vitis x interspécifique cv. Landot 1678</t>
  </si>
  <si>
    <t>Vitis x interspécifique cv. Landot 1680</t>
  </si>
  <si>
    <t>Vitis x interspécifique cv. Landot 204</t>
  </si>
  <si>
    <t>Vitis x interspécifique cv. Landot 206</t>
  </si>
  <si>
    <t>Vitis x interspécifique cv. Landot 2281</t>
  </si>
  <si>
    <t>Vitis x interspécifique cv. Landot 2282</t>
  </si>
  <si>
    <t>Vitis x interspécifique cv. Landot 2283</t>
  </si>
  <si>
    <t>Vitis x interspécifique cv. Landot 2291</t>
  </si>
  <si>
    <t>Vitis x interspécifique cv. Landot 234</t>
  </si>
  <si>
    <t>Vitis x interspécifique cv. Landot 2380</t>
  </si>
  <si>
    <t>Vitis x interspécifique cv. Landot 240</t>
  </si>
  <si>
    <t>Vitis x interspécifique cv. Landot 2517</t>
  </si>
  <si>
    <t>Vitis x interspécifique cv. Landot 301</t>
  </si>
  <si>
    <t>Vitis x interspécifique cv. Landot 304</t>
  </si>
  <si>
    <t>Vitis x interspécifique cv. Landot 3381</t>
  </si>
  <si>
    <t>Vitis x interspécifique cv. Landot 3474</t>
  </si>
  <si>
    <t>Vitis x interspécifique cv. Landot 3518</t>
  </si>
  <si>
    <t>Vitis x interspécifique cv. Landot 3568</t>
  </si>
  <si>
    <t>Vitis x interspécifique cv. Landot 3901</t>
  </si>
  <si>
    <t>Vitis x interspécifique cv. Landot 4239</t>
  </si>
  <si>
    <t>Vitis x interspécifique cv. Landot 4411</t>
  </si>
  <si>
    <t>Vitis x interspécifique cv. Landot 4465</t>
  </si>
  <si>
    <t>Vitis x interspécifique cv. Landot 4511</t>
  </si>
  <si>
    <t>Vitis x interspécifique cv. Landot 506</t>
  </si>
  <si>
    <t>Vitis x interspécifique cv. Landot 508</t>
  </si>
  <si>
    <t>Vitis x interspécifique cv. Landot 540</t>
  </si>
  <si>
    <t>Vitis x interspécifique cv. Landot 562</t>
  </si>
  <si>
    <t>Vitis x interspécifique cv. Landot 742</t>
  </si>
  <si>
    <t>Vitis x interspécifique cv. Landot 760</t>
  </si>
  <si>
    <t>Vitis x interspécifique cv. Landot 790</t>
  </si>
  <si>
    <t>Vitis x interspécifique cv. Laquenexy 155-2</t>
  </si>
  <si>
    <t>Vitis x interspécifique cv. Laquenexy 43-3</t>
  </si>
  <si>
    <t>Vitis x interspécifique cv. Laquenexy 44</t>
  </si>
  <si>
    <t>Vitis x interspécifique cv. Laquenexy 4-54</t>
  </si>
  <si>
    <t>Vitis x interspécifique cv. Laquenexy 4-56</t>
  </si>
  <si>
    <t>Vitis x interspécifique cv. Le Capéran = Baco 43-23</t>
  </si>
  <si>
    <t>Vitis x interspécifique cv. Le Cazalet = Baco 58-15</t>
  </si>
  <si>
    <t>Vitis x interspécifique cv. Le Colonel = Bertille Seyve 2667</t>
  </si>
  <si>
    <t>Vitis x interspécifique cv. Le Commandant = Bertille Seyve 2862</t>
  </si>
  <si>
    <t>Vitis x interspécifique cv. Le Fondard = Le Jurassien = Jurie 580</t>
  </si>
  <si>
    <t>Vitis x interspécifique cv. Le Général = Bertille Seyve 5563</t>
  </si>
  <si>
    <t>Vitis x interspécifique cv. Le Pourpre = Seibel 4646</t>
  </si>
  <si>
    <t>Vitis x interspécifique cv. Le Rubis = Seibel 5575</t>
  </si>
  <si>
    <t>Vitis x interspécifique cv. Le Subéreux = Seibel 6905</t>
  </si>
  <si>
    <t>Vitis x interspécifique cv. Léon Millot = Kühlmann 194-2</t>
  </si>
  <si>
    <t>Vitis x interspécifique cv. Llyod's number 33 = LN 33</t>
  </si>
  <si>
    <t>Vitis x interspécifique cv. Logan</t>
  </si>
  <si>
    <t>Vitis x interspécifique cv. Lucie Kühlmann = Kühlmann 149-3</t>
  </si>
  <si>
    <t>Vitis x interspécifique cv. Maclet C 103</t>
  </si>
  <si>
    <t>Vitis x interspécifique cv. Madame Castel = Castel 1028</t>
  </si>
  <si>
    <t>Vitis x interspécifique cv. Madame Lussan = Castel 19002</t>
  </si>
  <si>
    <t>Vitis x interspécifique cv. Mademoiselle Messiny = Kühlmann 193-5</t>
  </si>
  <si>
    <t>Vitis x interspécifique cv. Malègue S 3</t>
  </si>
  <si>
    <t>Vitis x interspécifique cv. Malègue 113</t>
  </si>
  <si>
    <t>Vitis x interspécifique cv. Malègue 1157-1</t>
  </si>
  <si>
    <t>Vitis x interspécifique cv. Malègue 1157-15</t>
  </si>
  <si>
    <t>Vitis x interspécifique cv. Malègue 148-4</t>
  </si>
  <si>
    <t>Vitis x interspécifique cv. Malègue 1495-1</t>
  </si>
  <si>
    <t>Vitis x interspécifique cv. Malègue 150-13</t>
  </si>
  <si>
    <t>Vitis x interspécifique cv. Malègue 150-15</t>
  </si>
  <si>
    <t>Vitis x interspécifique cv. Malègue 150-9</t>
  </si>
  <si>
    <t>Vitis x interspécifique cv. Malègue 1647-8</t>
  </si>
  <si>
    <t>Vitis x interspécifique cv. Malègue 1995-4</t>
  </si>
  <si>
    <t>Vitis x interspécifique cv. Malègue 2049-3</t>
  </si>
  <si>
    <t>Vitis x interspécifique cv. Malègue 2094-3</t>
  </si>
  <si>
    <t>Vitis x interspécifique cv. Malègue 2236-1</t>
  </si>
  <si>
    <t>Vitis x interspécifique cv. Malègue 2623-2</t>
  </si>
  <si>
    <t>Vitis x interspécifique cv. Malègue 2627-11</t>
  </si>
  <si>
    <t>Vitis x interspécifique cv. Malègue 44-46</t>
  </si>
  <si>
    <t>Vitis x interspécifique cv. Malègue 469-2</t>
  </si>
  <si>
    <t>Vitis x interspécifique cv. Malègue 474-5</t>
  </si>
  <si>
    <t>Vitis x interspécifique cv. Malègue 51-20</t>
  </si>
  <si>
    <t>Vitis x interspécifique cv. Malègue 57</t>
  </si>
  <si>
    <t>Vitis x interspécifique cv. Malègue 653-1</t>
  </si>
  <si>
    <t>Vitis x interspécifique cv. Malègue 71-7</t>
  </si>
  <si>
    <t>Vitis x interspécifique cv. Malègue 75</t>
  </si>
  <si>
    <t>Vitis x interspécifique cv. Malègue 829-6</t>
  </si>
  <si>
    <t>Vitis x interspécifique cv. Maréchal Foch = Kühlmann 188-2</t>
  </si>
  <si>
    <t>Vitis x interspécifique cv. Maréchal Joffre = Kühlmann 187-1</t>
  </si>
  <si>
    <t>Vitis x interspécifique cv. Maxatawnay</t>
  </si>
  <si>
    <t>Vitis x interspécifique cv. Merzling</t>
  </si>
  <si>
    <t>Vitis x interspécifique cv. Meynieu 3</t>
  </si>
  <si>
    <t>Vitis x interspécifique cv. Meynieu 6</t>
  </si>
  <si>
    <t>Vitis x interspécifique cv. Meynieu 7</t>
  </si>
  <si>
    <t>Vitis x interspécifique cv. Meynieu 8-5</t>
  </si>
  <si>
    <t>Vitis x interspécifique cv. Meynieu 8-6</t>
  </si>
  <si>
    <t>Vitis x interspécifique cv. Meynieu 9-48</t>
  </si>
  <si>
    <t>Vitis x interspécifique cv. Millardet = Kühlmann 193-2</t>
  </si>
  <si>
    <t>Vitis x interspécifique cv. Millardet de Grasset 143 A</t>
  </si>
  <si>
    <t>Vitis x interspécifique cv. Millardet et de Grasset 101</t>
  </si>
  <si>
    <t>Vitis x interspécifique cv. Millardet et de Grasset 101-1</t>
  </si>
  <si>
    <t>Vitis x interspécifique cv. Millardet et de Grasset 101-10</t>
  </si>
  <si>
    <t>Vitis x interspécifique cv. Millardet et de Grasset 101-11</t>
  </si>
  <si>
    <t>Vitis x interspécifique cv. Millardet et de Grasset 101-12</t>
  </si>
  <si>
    <t>Vitis x interspécifique cv. Millardet et de Grasset 101-14 faux (Carpentras)</t>
  </si>
  <si>
    <t>Vitis x interspécifique cv. Millardet et de Grasset 101-2</t>
  </si>
  <si>
    <t>Vitis x interspécifique cv. Millardet et de Grasset 101-9</t>
  </si>
  <si>
    <t>Vitis x interspécifique cv. Millardet et de Grasset 106-8</t>
  </si>
  <si>
    <t>Vitis x interspécifique cv. Millardet et de Grasset 108-16</t>
  </si>
  <si>
    <t>Vitis x interspécifique cv. Millardet et de Grasset 125-1</t>
  </si>
  <si>
    <t>Vitis x interspécifique cv. Millardet et de Grasset 125-2</t>
  </si>
  <si>
    <t>Vitis x interspécifique cv. Millardet et de Grasset 125-4</t>
  </si>
  <si>
    <t>Vitis x interspécifique cv. Millardet et de Grasset 143</t>
  </si>
  <si>
    <t>Vitis x interspécifique cv. Millardet et de Grasset 17-37</t>
  </si>
  <si>
    <t>Vitis x interspécifique cv. Millardet et de Grasset 199-16</t>
  </si>
  <si>
    <t>Vitis x interspécifique cv. Millardet et de Grasset 202-4</t>
  </si>
  <si>
    <t>Vitis x interspécifique cv. Millardet et de Grasset 212-7</t>
  </si>
  <si>
    <t>Vitis x interspécifique cv. Millardet et de Grasset 215-2</t>
  </si>
  <si>
    <t>Vitis x interspécifique cv. Millardet et de Grasset 219-7</t>
  </si>
  <si>
    <t>Vitis x interspécifique cv. Millardet et de Grasset 227-11-29</t>
  </si>
  <si>
    <t>Vitis x interspécifique cv. Millardet et de Grasset 227-55-29</t>
  </si>
  <si>
    <t>Vitis x interspécifique cv. Millardet et de Grasset 262</t>
  </si>
  <si>
    <t>Vitis x interspécifique cv. Millardet et de Grasset 301-14-152</t>
  </si>
  <si>
    <t>Vitis x interspécifique cv. Millardet et de Grasset 301-37-152</t>
  </si>
  <si>
    <t>Vitis x interspécifique cv. Millardet et de Grasset 301-4-153</t>
  </si>
  <si>
    <t>Vitis x interspécifique cv. Millardet et de Grasset 301-43-152</t>
  </si>
  <si>
    <t>Vitis x interspécifique cv. Millardet et de Grasset 33</t>
  </si>
  <si>
    <t>Vitis x interspécifique cv. Millardet et de Grasset 420 B</t>
  </si>
  <si>
    <t>Vitis x interspécifique cv. Millardet et de Grasset 420 C</t>
  </si>
  <si>
    <t>Vitis x interspécifique cv. Millardet et de Grasset 422 A</t>
  </si>
  <si>
    <t>Vitis x interspécifique cv. Millardet et de Grasset 422 B</t>
  </si>
  <si>
    <t>Vitis x interspécifique cv. Millardet 301</t>
  </si>
  <si>
    <t>Vitis x interspécifique cv. Millardet 374</t>
  </si>
  <si>
    <t>Vitis x interspécifique cv. Molines P.F.</t>
  </si>
  <si>
    <t>Vitis x interspécifique cv. Montoneri 23</t>
  </si>
  <si>
    <t>Vitis x interspécifique cv. Mounier 14-2</t>
  </si>
  <si>
    <t>Vitis x interspécifique cv. Mounier 155-7</t>
  </si>
  <si>
    <t>Vitis x interspécifique cv. Mounier 19-3</t>
  </si>
  <si>
    <t>Vitis x interspécifique cv. Musc Delecta = Seibel 16281</t>
  </si>
  <si>
    <t>Vitis x interspécifique cv. Muscadille = Galibert 265-35</t>
  </si>
  <si>
    <t>Vitis x interspécifique cv. Muscadoule = Galibert 255-10</t>
  </si>
  <si>
    <t>Vitis x interspécifique cv. Muscat Bailey A</t>
  </si>
  <si>
    <t>Vitis x interspécifique cv. Muscat blanc = Meynieu 9-68</t>
  </si>
  <si>
    <t>Vitis x interspécifique cv. Muscat de Saint-Christol = Galibert 255-43</t>
  </si>
  <si>
    <t>Vitis x interspécifique cv. Muscat de Saint-Vallier = Seyve-Villard 20-473</t>
  </si>
  <si>
    <t>Vitis x interspécifique cv. Muscat Sélection 2 Gaillard</t>
  </si>
  <si>
    <t>Vitis x interspécifique cv. Muscolive = Galibert 15-2</t>
  </si>
  <si>
    <t>Vitis x interspécifique cv. Néo Muscat</t>
  </si>
  <si>
    <t>Vitis x interspécifique cv. Neo Muscat x Gros Sémillon</t>
  </si>
  <si>
    <t>Vitis x interspécifique cv. Néron = Kühlmann 296-1</t>
  </si>
  <si>
    <t>Vitis x interspécifique cv. Niabell</t>
  </si>
  <si>
    <t>Vitis x interspécifique cv. Niagara</t>
  </si>
  <si>
    <t>Vitis x interspécifique cv. Noah</t>
  </si>
  <si>
    <t>Vitis x interspécifique cv. Nouveau Bayard = Couderc 132-11</t>
  </si>
  <si>
    <t>Vitis x interspécifique cv. Oberlin noir = Oberlin 595</t>
  </si>
  <si>
    <t>Vitis x interspécifique cv. Oberlin 604</t>
  </si>
  <si>
    <t>Vitis x interspécifique cv. Oberlin 605</t>
  </si>
  <si>
    <t>Vitis x interspécifique cv. Oberlin 701</t>
  </si>
  <si>
    <t>Vitis x interspécifique cv. Oberlin 702 A</t>
  </si>
  <si>
    <t>Vitis x interspécifique cv. Oberlin 716</t>
  </si>
  <si>
    <t>Vitis x interspécifique cv. Oberlin 782</t>
  </si>
  <si>
    <t>Vitis x interspécifique cv. Oeillade de Conzieu = Landot 2832</t>
  </si>
  <si>
    <t>Vitis x interspécifique cv. Orion</t>
  </si>
  <si>
    <t>Vitis x interspécifique cv. Othello</t>
  </si>
  <si>
    <t>Vitis x interspécifique cv. Othello gris</t>
  </si>
  <si>
    <t>Vitis x interspécifique cv. Paulistinha</t>
  </si>
  <si>
    <t>Vitis x interspécifique cv. Paulsen 1043</t>
  </si>
  <si>
    <t>Vitis x interspécifique cv. Paulsen 1045</t>
  </si>
  <si>
    <t>Vitis x interspécifique cv. Paulsen 1119</t>
  </si>
  <si>
    <t>Vitis x interspécifique cv. Paulsen 1120</t>
  </si>
  <si>
    <t>Vitis x interspécifique cv. Paulsen 1321</t>
  </si>
  <si>
    <t>Vitis x interspécifique cv. Paulsen 1323</t>
  </si>
  <si>
    <t>Vitis x interspécifique cv. Paulsen 1381</t>
  </si>
  <si>
    <t>Vitis x interspécifique cv. Paulsen 1742</t>
  </si>
  <si>
    <t>Vitis x interspécifique cv. Paulsen 2 A</t>
  </si>
  <si>
    <t>Vitis x interspécifique cv. Paulsen 764</t>
  </si>
  <si>
    <t>Vitis x interspécifique cv. Paulsen 770</t>
  </si>
  <si>
    <t>Vitis x interspécifique cv. Paulsen 771</t>
  </si>
  <si>
    <t>Vitis x interspécifique cv. Paulsen 775</t>
  </si>
  <si>
    <t>Vitis x interspécifique cv. Paulsen 779</t>
  </si>
  <si>
    <t>Vitis x interspécifique cv. Paulsen 781</t>
  </si>
  <si>
    <t>Vitis x interspécifique cv. Paulsen 782</t>
  </si>
  <si>
    <t>Vitis x interspécifique cv. Paulsen 8302</t>
  </si>
  <si>
    <t>Vitis x interspécifique cv. Paulsen 8734</t>
  </si>
  <si>
    <t>Vitis x interspécifique cv. Peage 5-10 = Roy Chevrier 5-10</t>
  </si>
  <si>
    <t>Vitis x interspécifique cv. Perbos 137</t>
  </si>
  <si>
    <t>Vitis x interspécifique cv. Perbos 151</t>
  </si>
  <si>
    <t>Vitis x interspécifique cv. Perbos 159</t>
  </si>
  <si>
    <t>Vitis x interspécifique cv. Perbos 174</t>
  </si>
  <si>
    <t>Vitis x interspécifique cv. Perbos 180</t>
  </si>
  <si>
    <t>Vitis x interspécifique cv. Perbos 205</t>
  </si>
  <si>
    <t>Vitis x interspécifique cv. Perbos 210</t>
  </si>
  <si>
    <t>Vitis x interspécifique cv. Perbos 215</t>
  </si>
  <si>
    <t>Vitis x interspécifique cv. Perbos 226</t>
  </si>
  <si>
    <t>Vitis x interspécifique cv. Perbos 228</t>
  </si>
  <si>
    <t>Vitis x interspécifique cv. Perbos 48</t>
  </si>
  <si>
    <t>Vitis x interspécifique cv. Perbos 81</t>
  </si>
  <si>
    <t>Vitis x interspécifique cv. Perbos 82</t>
  </si>
  <si>
    <t>Vitis x interspécifique cv. Perdin</t>
  </si>
  <si>
    <t>Vitis x interspécifique cv. Perkins</t>
  </si>
  <si>
    <t>Vitis x interspécifique cv. Perle de Cadoule = Galibert 255-99</t>
  </si>
  <si>
    <t>Vitis x interspécifique cv. Perle noire = Seyve-Villard 20-347</t>
  </si>
  <si>
    <t>Vitis x interspécifique cv. Perraton 34</t>
  </si>
  <si>
    <t>Vitis x interspécifique cv. Perraton 36</t>
  </si>
  <si>
    <t>Vitis x interspécifique cv. Phénix</t>
  </si>
  <si>
    <t>Vitis x interspécifique cv. Phoenix</t>
  </si>
  <si>
    <t>Vitis x interspécifique cv. piasezkii x ?</t>
  </si>
  <si>
    <t>Vitis x interspécifique cv. piasezkii x romanetii</t>
  </si>
  <si>
    <t>Vitis x interspécifique cv. Picadoul = Galibert 221-31</t>
  </si>
  <si>
    <t>Vitis x interspécifique cv. Pierrelle = Seyve-Villard 20-366</t>
  </si>
  <si>
    <t>Vitis x interspécifique cv. Pignan noir = Galibert 23-1</t>
  </si>
  <si>
    <t>Vitis x interspécifique cv. Pignoletta</t>
  </si>
  <si>
    <t>Vitis x interspécifique cv. Pinard = Kühlmann 191-2</t>
  </si>
  <si>
    <t>Vitis x interspécifique cv. Pirobella</t>
  </si>
  <si>
    <t>Vitis x interspécifique cv. Pirovano 146</t>
  </si>
  <si>
    <t>Vitis x interspécifique cv. Pirovano 29</t>
  </si>
  <si>
    <t>Vitis x interspécifique cv. Pirovano 34</t>
  </si>
  <si>
    <t>Vitis x interspécifique cv. Pirovano 40</t>
  </si>
  <si>
    <t>Vitis x interspécifique cv. Pirovano 41</t>
  </si>
  <si>
    <t>Vitis x interspécifique cv. Pirovano 48</t>
  </si>
  <si>
    <t>Vitis x interspécifique cv. Pirovano 539 a</t>
  </si>
  <si>
    <t>Vitis x interspécifique cv. Pirovano 541</t>
  </si>
  <si>
    <t>Vitis x interspécifique cv. Pirovano 6</t>
  </si>
  <si>
    <t>Vitis x interspécifique cv. Plantet = Seibel 5455</t>
  </si>
  <si>
    <t>Vitis x interspécifique cv. Pocklington</t>
  </si>
  <si>
    <t>Vitis x interspécifique cv. Poilu = Kühlmann 252-3</t>
  </si>
  <si>
    <t>Vitis x interspécifique cv. Pougette musquée = Galibert 256-28</t>
  </si>
  <si>
    <t>Vitis x interspécifique cv. Précoce de Colmar = Kühlmann 277-2</t>
  </si>
  <si>
    <t>Vitis x interspécifique cv. Précoce Prady = Couderc 124-20</t>
  </si>
  <si>
    <t>Vitis x interspécifique cv. Précoce Prady = Couderc 126-21</t>
  </si>
  <si>
    <t>Vitis x interspécifique cv. Precursore</t>
  </si>
  <si>
    <t>Vitis x interspécifique cv. Primus = Pirovano 7</t>
  </si>
  <si>
    <t>Vitis x interspécifique cv. Prince noir Meynieu 1</t>
  </si>
  <si>
    <t>Vitis x interspécifique cv. Prosperi 11-71</t>
  </si>
  <si>
    <t>Vitis x interspécifique cv. Prosperi 11-72</t>
  </si>
  <si>
    <t>Vitis x interspécifique cv. Prosperi 15-99</t>
  </si>
  <si>
    <t>Vitis x interspécifique cv. Prosperi 16-107</t>
  </si>
  <si>
    <t>Vitis x interspécifique cv. Prosperi 16-108</t>
  </si>
  <si>
    <t>Vitis x interspécifique cv. Prosperi 16-109</t>
  </si>
  <si>
    <t>Vitis x interspécifique cv. Prosperi 5-32</t>
  </si>
  <si>
    <t>Vitis x interspécifique cv. Ranciaut blanc = Galibert 53-1</t>
  </si>
  <si>
    <t>Vitis x interspécifique cv. Ranciaut noir = Galibert 63-1</t>
  </si>
  <si>
    <t>Vitis x interspécifique cv. Ravat blanc = Ravat 6</t>
  </si>
  <si>
    <t>Vitis x interspécifique cv. Ravat 13</t>
  </si>
  <si>
    <t>Vitis x interspécifique cv. Ravat 143</t>
  </si>
  <si>
    <t>Vitis x interspécifique cv. Ravat 15</t>
  </si>
  <si>
    <t>Vitis x interspécifique cv. Ravat 16</t>
  </si>
  <si>
    <t>Vitis x interspécifique cv. Ravat 18</t>
  </si>
  <si>
    <t>Vitis x interspécifique cv. Ravat 19</t>
  </si>
  <si>
    <t>Vitis x interspécifique cv. Ravat 253</t>
  </si>
  <si>
    <t>Vitis x interspécifique cv. Ravat 262</t>
  </si>
  <si>
    <t>Vitis x interspécifique cv. Ravat 327</t>
  </si>
  <si>
    <t>Vitis x interspécifique cv. Ravat 34</t>
  </si>
  <si>
    <t>Vitis x interspécifique cv. Ravat 36</t>
  </si>
  <si>
    <t>Vitis x interspécifique cv. Ravat 507</t>
  </si>
  <si>
    <t>Vitis x interspécifique cv. Ravat 51</t>
  </si>
  <si>
    <t>Vitis x interspécifique cv. Ravat 8</t>
  </si>
  <si>
    <t>Vitis x interspécifique cv. Ravat 9</t>
  </si>
  <si>
    <t>Vitis x interspécifique cv. Ravaz 1</t>
  </si>
  <si>
    <t>Vitis x interspécifique cv. Ravaz 2</t>
  </si>
  <si>
    <t>Vitis x interspécifique cv. Rayon d'Or = Seibel 4986</t>
  </si>
  <si>
    <t>Vitis x interspécifique cv. RC 51</t>
  </si>
  <si>
    <t>Vitis x interspécifique cv. Rebecca</t>
  </si>
  <si>
    <t>Vitis x interspécifique cv. Regent</t>
  </si>
  <si>
    <t>Vitis x interspécifique cv. Rességuier sélection Birolleau 1 = RSB 1</t>
  </si>
  <si>
    <t>Vitis x interspécifique cv. Richter 31</t>
  </si>
  <si>
    <t>Vitis x interspécifique cv. Richter 57</t>
  </si>
  <si>
    <t>Vitis x interspécifique cv. Riparia Rupestris de Massannes glabre</t>
  </si>
  <si>
    <t>Vitis x interspécifique cv. riparia x berlandieri</t>
  </si>
  <si>
    <t>Vitis x interspécifique cv. riparia x rupestris</t>
  </si>
  <si>
    <t>Vitis x interspécifique cv. riparia x rupestris x candicans</t>
  </si>
  <si>
    <t>Vitis x interspécifique cv. riparia x vinifera</t>
  </si>
  <si>
    <t>Vitis x interspécifique cv. Riparia-Rupestris de Dracé</t>
  </si>
  <si>
    <t>Vitis x interspécifique cv. Riparia-Rupestris de Massannes pubescent</t>
  </si>
  <si>
    <t>Vitis x interspécifique cv. Riparia-Rupestris de Samadet</t>
  </si>
  <si>
    <t>Vitis x interspécifique cv. Riparia-Rupestris de Savènes</t>
  </si>
  <si>
    <t>Vitis x interspécifique cv. Riparia-Rupestris de Vauchretien</t>
  </si>
  <si>
    <t>Vitis x interspécifique cv. Riparia-Rupestris Schwarzmann</t>
  </si>
  <si>
    <t>Vitis x interspécifique cv. Robur</t>
  </si>
  <si>
    <t>Vitis x interspécifique cv. Roi des noirs = Seibel 4643</t>
  </si>
  <si>
    <t>Vitis x interspécifique cv. romanetii x ?</t>
  </si>
  <si>
    <t>Vitis x interspécifique cv. Rondo</t>
  </si>
  <si>
    <t>Vitis x interspécifique cv. Rosambre</t>
  </si>
  <si>
    <t>Vitis x interspécifique cv. Rosette = Seibel 1000</t>
  </si>
  <si>
    <t>Vitis x interspécifique cv. Rouby 3</t>
  </si>
  <si>
    <t>Vitis x interspécifique cv. Rouby 9</t>
  </si>
  <si>
    <t>Vitis x interspécifique cv. Roucaneuf = Seyve-Villard 12-309</t>
  </si>
  <si>
    <t>Vitis x interspécifique cv. Rougeon = Seibel 5898</t>
  </si>
  <si>
    <t>Vitis x interspécifique cv. Royalty</t>
  </si>
  <si>
    <t>Vitis x interspécifique cv. Rubilande = Seibel 11803</t>
  </si>
  <si>
    <t>Vitis x interspécifique cv. Rubino = Pirovano 192a</t>
  </si>
  <si>
    <t>Vitis x interspécifique cv. Rubiscan</t>
  </si>
  <si>
    <t>Vitis x interspécifique cv. Rudelin 101-6</t>
  </si>
  <si>
    <t>Vitis x interspécifique cv. Rudelin 101-9</t>
  </si>
  <si>
    <t>Vitis x interspécifique cv. Rudelin 102-1</t>
  </si>
  <si>
    <t>Vitis x interspécifique cv. Rudelin 102-4</t>
  </si>
  <si>
    <t>Vitis x interspécifique cv. Rudelin 102-8</t>
  </si>
  <si>
    <t>Vitis x interspécifique cv. Rudelin 102-9</t>
  </si>
  <si>
    <t>Vitis x interspécifique cv. Rudelin 103-1</t>
  </si>
  <si>
    <t>Vitis x interspécifique cv. Rudelin 103-2</t>
  </si>
  <si>
    <t>Vitis x interspécifique cv. Rudelin 103-6</t>
  </si>
  <si>
    <t>Vitis x interspécifique cv. Rudelin 103-8</t>
  </si>
  <si>
    <t>Vitis x interspécifique cv. Rudelin 104-4</t>
  </si>
  <si>
    <t>Vitis x interspécifique cv. Rudelin 104-8</t>
  </si>
  <si>
    <t>Vitis x interspécifique cv. Rudelin 105-6</t>
  </si>
  <si>
    <t>Vitis x interspécifique cv. Rudelin 106-1</t>
  </si>
  <si>
    <t>Vitis x interspécifique cv. Rudelin 106-4</t>
  </si>
  <si>
    <t>Vitis x interspécifique cv. Rudelin 108-4</t>
  </si>
  <si>
    <t>Vitis x interspécifique cv. Rudelin 109-3</t>
  </si>
  <si>
    <t>Vitis x interspécifique cv. Rudelin 109-7</t>
  </si>
  <si>
    <t>Vitis x interspécifique cv. Rudelin 111-2</t>
  </si>
  <si>
    <t>Vitis x interspécifique cv. Rudelin 111-3</t>
  </si>
  <si>
    <t>Vitis x interspécifique cv. Rudelin 111-4</t>
  </si>
  <si>
    <t>Vitis x interspécifique cv. Rudelin 111-8</t>
  </si>
  <si>
    <t>Vitis x interspécifique cv. Rudelin 122-9</t>
  </si>
  <si>
    <t>Vitis x interspécifique cv. Rudelin 125-8</t>
  </si>
  <si>
    <t>Vitis x interspécifique cv. Rudelin 126-4</t>
  </si>
  <si>
    <t>Vitis x interspécifique cv. Rudelin 126-6</t>
  </si>
  <si>
    <t>Vitis x interspécifique cv. Rudelin 130-8</t>
  </si>
  <si>
    <t>Vitis x interspécifique cv. Rudelin 131-7</t>
  </si>
  <si>
    <t>Vitis x interspécifique cv. Rudelin 132-2</t>
  </si>
  <si>
    <t>Vitis x interspécifique cv. Rudelin 17-4</t>
  </si>
  <si>
    <t>Vitis x interspécifique cv. Rudelin 17-5</t>
  </si>
  <si>
    <t>Vitis x interspécifique cv. Rudelin 18-1</t>
  </si>
  <si>
    <t>Vitis x interspécifique cv. Rudelin 3</t>
  </si>
  <si>
    <t>Vitis x interspécifique cv. Rudelin 312-1</t>
  </si>
  <si>
    <t>Vitis x interspécifique cv. Rudelin 314-3</t>
  </si>
  <si>
    <t>Vitis x interspécifique cv. Rudelin 315-1</t>
  </si>
  <si>
    <t>Vitis x interspécifique cv. Rudelin 316-5</t>
  </si>
  <si>
    <t>Vitis x interspécifique cv. Rudelin 37-3</t>
  </si>
  <si>
    <t>Vitis x interspécifique cv. Rudelin 38-6</t>
  </si>
  <si>
    <t>Vitis x interspécifique cv. Rudelin 5-41</t>
  </si>
  <si>
    <t>Vitis x interspécifique cv. Rudelin 58</t>
  </si>
  <si>
    <t>Vitis x interspécifique cv. Rudelin 610-6</t>
  </si>
  <si>
    <t>Vitis x interspécifique cv. Rudelin 611-1</t>
  </si>
  <si>
    <t>Vitis x interspécifique cv. Rudelin 613-3</t>
  </si>
  <si>
    <t>Vitis x interspécifique cv. Rudelin 6-96</t>
  </si>
  <si>
    <t>Vitis x interspécifique cv. Ruggeri 131</t>
  </si>
  <si>
    <t>Vitis x interspécifique cv. Ruggeri 188</t>
  </si>
  <si>
    <t>Vitis x interspécifique cv. Ruggeri 193</t>
  </si>
  <si>
    <t>Vitis x interspécifique cv. Ruggeri 205</t>
  </si>
  <si>
    <t>Vitis x interspécifique cv. Ruggeri 225</t>
  </si>
  <si>
    <t>Vitis x interspécifique cv. Ruggeri 240</t>
  </si>
  <si>
    <t>Vitis x interspécifique cv. Ruggeri 300</t>
  </si>
  <si>
    <t>Vitis x interspécifique cv. Ruggeri 322</t>
  </si>
  <si>
    <t>Vitis x interspécifique cv. Ruggeri 325</t>
  </si>
  <si>
    <t>Vitis x interspécifique cv. Ruggeri 333</t>
  </si>
  <si>
    <t>Vitis x interspécifique cv. Ruggeri 42</t>
  </si>
  <si>
    <t>Vitis x interspécifique cv. Ruggeri 55</t>
  </si>
  <si>
    <t>Vitis x interspécifique cv. rupestris x aestivalis</t>
  </si>
  <si>
    <t>Vitis x interspécifique cv. rupestris x aestivalis x cordifolia</t>
  </si>
  <si>
    <t>Vitis x interspécifique cv. rupestris x berlandieri</t>
  </si>
  <si>
    <t>Vitis x interspécifique cv. rupestris x candicans</t>
  </si>
  <si>
    <t>Vitis x interspécifique cv. rupestris x cordifolia</t>
  </si>
  <si>
    <t>Vitis x interspécifique cv. rupestris x vinifera</t>
  </si>
  <si>
    <t>Vitis x interspécifique cv. Sabrilong = Long 35</t>
  </si>
  <si>
    <t>Vitis x interspécifique cv. Saint-Sauveur d'Alsace = Kühlmann 65-1</t>
  </si>
  <si>
    <t>Vitis x interspécifique cv. Saint-Victor = Galibert 15-3</t>
  </si>
  <si>
    <t>Vitis x interspécifique cv. Saint-Vincent</t>
  </si>
  <si>
    <t>Vitis x interspécifique cv. Salt Creek</t>
  </si>
  <si>
    <t>Vitis x interspécifique cv. Salzmann 6-43</t>
  </si>
  <si>
    <t>Vitis x interspécifique cv. Sanson</t>
  </si>
  <si>
    <t>Vitis x interspécifique cv. Saubrians = Galibert 36-2</t>
  </si>
  <si>
    <t>Vitis x interspécifique cv. Seibel  6131</t>
  </si>
  <si>
    <t>Vitis x interspécifique cv. Seibel 1</t>
  </si>
  <si>
    <t>Vitis x interspécifique cv. Seibel 10010</t>
  </si>
  <si>
    <t>Vitis x interspécifique cv. Seibel 10020</t>
  </si>
  <si>
    <t>Vitis x interspécifique cv. Seibel 10027</t>
  </si>
  <si>
    <t>Vitis x interspécifique cv. Seibel 10033</t>
  </si>
  <si>
    <t>Vitis x interspécifique cv. Seibel 10034</t>
  </si>
  <si>
    <t>Vitis x interspécifique cv. Seibel 1004</t>
  </si>
  <si>
    <t>Vitis x interspécifique cv. Seibel 10046</t>
  </si>
  <si>
    <t>Vitis x interspécifique cv. Seibel 1007</t>
  </si>
  <si>
    <t>Vitis x interspécifique cv. Seibel 10076</t>
  </si>
  <si>
    <t>Vitis x interspécifique cv. Seibel 10078</t>
  </si>
  <si>
    <t>Vitis x interspécifique cv. Seibel 10096</t>
  </si>
  <si>
    <t>Vitis x interspécifique cv. Seibel 10114</t>
  </si>
  <si>
    <t>Vitis x interspécifique cv. Seibel 10123</t>
  </si>
  <si>
    <t>Vitis x interspécifique cv. Seibel 1013</t>
  </si>
  <si>
    <t>Vitis x interspécifique cv. Seibel 10136/2</t>
  </si>
  <si>
    <t>Vitis x interspécifique cv. Seibel 1014</t>
  </si>
  <si>
    <t>Vitis x interspécifique cv. Seibel 10146</t>
  </si>
  <si>
    <t>Vitis x interspécifique cv. Seibel 1015</t>
  </si>
  <si>
    <t>Vitis x interspécifique cv. Seibel 10172/2</t>
  </si>
  <si>
    <t>Vitis x interspécifique cv. Seibel 10186</t>
  </si>
  <si>
    <t>Vitis x interspécifique cv. Seibel 10208</t>
  </si>
  <si>
    <t>Vitis x interspécifique cv. Seibel 10215</t>
  </si>
  <si>
    <t>Vitis x interspécifique cv. Seibel 10217</t>
  </si>
  <si>
    <t>Vitis x interspécifique cv. Seibel 10230</t>
  </si>
  <si>
    <t>Vitis x interspécifique cv. Seibel 1025</t>
  </si>
  <si>
    <t>Vitis x interspécifique cv. Seibel 10259/1</t>
  </si>
  <si>
    <t>Vitis x interspécifique cv. Seibel 10267</t>
  </si>
  <si>
    <t>Vitis x interspécifique cv. Seibel 10292</t>
  </si>
  <si>
    <t>Vitis x interspécifique cv. Seibel 10295</t>
  </si>
  <si>
    <t>Vitis x interspécifique cv. Seibel 10417</t>
  </si>
  <si>
    <t>Vitis x interspécifique cv. Seibel 10420</t>
  </si>
  <si>
    <t>Vitis x interspécifique cv. Seibel 107</t>
  </si>
  <si>
    <t>Vitis x interspécifique cv. Seibel 1070</t>
  </si>
  <si>
    <t>Vitis x interspécifique cv. Seibel 10720</t>
  </si>
  <si>
    <t>Vitis x interspécifique cv. Seibel 1077</t>
  </si>
  <si>
    <t>Vitis x interspécifique cv. Seibel 10790</t>
  </si>
  <si>
    <t>Vitis x interspécifique cv. Seibel 10793</t>
  </si>
  <si>
    <t>Vitis x interspécifique cv. Seibel 10796</t>
  </si>
  <si>
    <t>Vitis x interspécifique cv. Seibel 10801</t>
  </si>
  <si>
    <t>Vitis x interspécifique cv. Seibel 10809</t>
  </si>
  <si>
    <t>Vitis x interspécifique cv. Seibel 1082</t>
  </si>
  <si>
    <t>Vitis x interspécifique cv. Seibel 10855</t>
  </si>
  <si>
    <t>Vitis x interspécifique cv. Seibel 10868</t>
  </si>
  <si>
    <t>Vitis x interspécifique cv. Seibel 10884/6</t>
  </si>
  <si>
    <t>Vitis x interspécifique cv. Seibel 110</t>
  </si>
  <si>
    <t>Vitis x interspécifique cv. Seibel 11020</t>
  </si>
  <si>
    <t>Vitis x interspécifique cv. Seibel 11023</t>
  </si>
  <si>
    <t>Vitis x interspécifique cv. Seibel 11027</t>
  </si>
  <si>
    <t>Vitis x interspécifique cv. Seibel 112</t>
  </si>
  <si>
    <t>Vitis x interspécifique cv. Seibel 11254/16</t>
  </si>
  <si>
    <t>Vitis x interspécifique cv. Seibel 11257</t>
  </si>
  <si>
    <t>Vitis x interspécifique cv. Seibel 11259</t>
  </si>
  <si>
    <t>Vitis x interspécifique cv. Seibel 11272</t>
  </si>
  <si>
    <t>Vitis x interspécifique cv. Seibel 11283</t>
  </si>
  <si>
    <t>Vitis x interspécifique cv. Seibel 11318</t>
  </si>
  <si>
    <t>Vitis x interspécifique cv. Seibel 11342</t>
  </si>
  <si>
    <t>Vitis x interspécifique cv. Seibel 114</t>
  </si>
  <si>
    <t>Vitis x interspécifique cv. Seibel 11404</t>
  </si>
  <si>
    <t>Vitis x interspécifique cv. Seibel 11431</t>
  </si>
  <si>
    <t>Vitis x interspécifique cv. Seibel 11437</t>
  </si>
  <si>
    <t>Vitis x interspécifique cv. Seibel 11486</t>
  </si>
  <si>
    <t>Vitis x interspécifique cv. Seibel 11493</t>
  </si>
  <si>
    <t>Vitis x interspécifique cv. Seibel 11670</t>
  </si>
  <si>
    <t>Vitis x interspécifique cv. Seibel 11697</t>
  </si>
  <si>
    <t>Vitis x interspécifique cv. Seibel 11701</t>
  </si>
  <si>
    <t>Vitis x interspécifique cv. Seibel 11705</t>
  </si>
  <si>
    <t>Vitis x interspécifique cv. Seibel 11729</t>
  </si>
  <si>
    <t>Vitis x interspécifique cv. Seibel 11780</t>
  </si>
  <si>
    <t>Vitis x interspécifique cv. Seibel 11815</t>
  </si>
  <si>
    <t>Vitis x interspécifique cv. Seibel 11846</t>
  </si>
  <si>
    <t>Vitis x interspécifique cv. Seibel 11875</t>
  </si>
  <si>
    <t>Vitis x interspécifique cv. Seibel 11906</t>
  </si>
  <si>
    <t>Vitis x interspécifique cv. Seibel 11929</t>
  </si>
  <si>
    <t>Vitis x interspécifique cv. Seibel 120</t>
  </si>
  <si>
    <t>Vitis x interspécifique cv. Seibel 12084</t>
  </si>
  <si>
    <t>Vitis x interspécifique cv. Seibel 12242</t>
  </si>
  <si>
    <t>Vitis x interspécifique cv. Seibel 12315</t>
  </si>
  <si>
    <t>Vitis x interspécifique cv. Seibel 12393</t>
  </si>
  <si>
    <t>Vitis x interspécifique cv. Seibel 12583</t>
  </si>
  <si>
    <t>Vitis x interspécifique cv. Seibel 126</t>
  </si>
  <si>
    <t>Vitis x interspécifique cv. Seibel 128</t>
  </si>
  <si>
    <t>Vitis x interspécifique cv. Seibel 13047</t>
  </si>
  <si>
    <t>Vitis x interspécifique cv. Seibel 13053</t>
  </si>
  <si>
    <t>Vitis x interspécifique cv. Seibel 13394</t>
  </si>
  <si>
    <t>Vitis x interspécifique cv. Seibel 13663</t>
  </si>
  <si>
    <t>Vitis x interspécifique cv. Seibel 13664</t>
  </si>
  <si>
    <t>Vitis x interspécifique cv. Seibel 13666</t>
  </si>
  <si>
    <t>Vitis x interspécifique cv. Seibel 13669</t>
  </si>
  <si>
    <t>Vitis x interspécifique cv. Seibel 13680</t>
  </si>
  <si>
    <t>Vitis x interspécifique cv. Seibel 13682</t>
  </si>
  <si>
    <t>Vitis x interspécifique cv. Seibel 13693</t>
  </si>
  <si>
    <t>Vitis x interspécifique cv. Seibel 13694</t>
  </si>
  <si>
    <t>Vitis x interspécifique cv. Seibel 13695</t>
  </si>
  <si>
    <t>Vitis x interspécifique cv. Seibel 13698</t>
  </si>
  <si>
    <t>Vitis x interspécifique cv. Seibel 13770</t>
  </si>
  <si>
    <t>Vitis x interspécifique cv. Seibel 138</t>
  </si>
  <si>
    <t>Vitis x interspécifique cv. Seibel 13846</t>
  </si>
  <si>
    <t>Vitis x interspécifique cv. Seibel 14</t>
  </si>
  <si>
    <t>Vitis x interspécifique cv. Seibel 14114</t>
  </si>
  <si>
    <t>Vitis x interspécifique cv. Seibel 14117</t>
  </si>
  <si>
    <t>Vitis x interspécifique cv. Seibel 14164</t>
  </si>
  <si>
    <t>Vitis x interspécifique cv. Seibel 14189</t>
  </si>
  <si>
    <t>Vitis x interspécifique cv. Seibel 14266</t>
  </si>
  <si>
    <t>Vitis x interspécifique cv. Seibel 14326</t>
  </si>
  <si>
    <t>Vitis x interspécifique cv. Seibel 14327</t>
  </si>
  <si>
    <t>Vitis x interspécifique cv. Seibel 14378</t>
  </si>
  <si>
    <t>Vitis x interspécifique cv. Seibel 14404</t>
  </si>
  <si>
    <t>Vitis x interspécifique cv. Seibel 14417</t>
  </si>
  <si>
    <t>Vitis x interspécifique cv. Seibel 14419</t>
  </si>
  <si>
    <t>Vitis x interspécifique cv. Seibel 14472</t>
  </si>
  <si>
    <t>Vitis x interspécifique cv. Seibel 14483</t>
  </si>
  <si>
    <t>Vitis x interspécifique cv. Seibel 14514</t>
  </si>
  <si>
    <t>Vitis x interspécifique cv. Seibel 14526</t>
  </si>
  <si>
    <t>Vitis x interspécifique cv. Seibel 14572</t>
  </si>
  <si>
    <t>Vitis x interspécifique cv. Seibel 14576</t>
  </si>
  <si>
    <t>Vitis x interspécifique cv. Seibel 14638</t>
  </si>
  <si>
    <t>Vitis x interspécifique cv. Seibel 14639</t>
  </si>
  <si>
    <t>Vitis x interspécifique cv. Seibel 14654</t>
  </si>
  <si>
    <t>Vitis x interspécifique cv. Seibel 14655</t>
  </si>
  <si>
    <t>Vitis x interspécifique cv. Seibel 14657</t>
  </si>
  <si>
    <t>Vitis x interspécifique cv. Seibel 14660</t>
  </si>
  <si>
    <t>Vitis x interspécifique cv. Seibel 14662</t>
  </si>
  <si>
    <t>Vitis x interspécifique cv. Seibel 14664</t>
  </si>
  <si>
    <t>Vitis x interspécifique cv. Seibel 14665</t>
  </si>
  <si>
    <t>Vitis x interspécifique cv. Seibel 14676</t>
  </si>
  <si>
    <t>Vitis x interspécifique cv. Seibel 14709</t>
  </si>
  <si>
    <t>Vitis x interspécifique cv. Seibel 14747</t>
  </si>
  <si>
    <t>Vitis x interspécifique cv. Seibel 14866</t>
  </si>
  <si>
    <t>Vitis x interspécifique cv. Seibel 14911</t>
  </si>
  <si>
    <t>Vitis x interspécifique cv. Seibel 14937</t>
  </si>
  <si>
    <t>Vitis x interspécifique cv. Seibel 14994</t>
  </si>
  <si>
    <t>Vitis x interspécifique cv. Seibel 14995</t>
  </si>
  <si>
    <t>Vitis x interspécifique cv. Seibel 150</t>
  </si>
  <si>
    <t>Vitis x interspécifique cv. Seibel 15024</t>
  </si>
  <si>
    <t>Vitis x interspécifique cv. Seibel 15027</t>
  </si>
  <si>
    <t>Vitis x interspécifique cv. Seibel 15051</t>
  </si>
  <si>
    <t>Vitis x interspécifique cv. Seibel 15062</t>
  </si>
  <si>
    <t>Vitis x interspécifique cv. Seibel 15074</t>
  </si>
  <si>
    <t>Vitis x interspécifique cv. Seibel 15170</t>
  </si>
  <si>
    <t>Vitis x interspécifique cv. Seibel 15245</t>
  </si>
  <si>
    <t>Vitis x interspécifique cv. Seibel 156</t>
  </si>
  <si>
    <t>Vitis x interspécifique cv. Seibel 1588</t>
  </si>
  <si>
    <t>Vitis x interspécifique cv. Seibel 15964</t>
  </si>
  <si>
    <t>Vitis x interspécifique cv. Seibel 16092</t>
  </si>
  <si>
    <t>Vitis x interspécifique cv. Seibel 16137</t>
  </si>
  <si>
    <t>Vitis x interspécifique cv. Seibel 16147</t>
  </si>
  <si>
    <t>Vitis x interspécifique cv. Seibel 16161</t>
  </si>
  <si>
    <t>Vitis x interspécifique cv. Seibel 16191</t>
  </si>
  <si>
    <t>Vitis x interspécifique cv. Seibel 16196</t>
  </si>
  <si>
    <t>Vitis x interspécifique cv. Seibel 16199</t>
  </si>
  <si>
    <t>Vitis x interspécifique cv. Seibel 16273</t>
  </si>
  <si>
    <t>Vitis x interspécifique cv. Seibel 181</t>
  </si>
  <si>
    <t>Vitis x interspécifique cv. Seibel 182</t>
  </si>
  <si>
    <t>Vitis x interspécifique cv. Seibel 2</t>
  </si>
  <si>
    <t>Vitis x interspécifique cv. Seibel 200</t>
  </si>
  <si>
    <t>Vitis x interspécifique cv. Seibel 2003</t>
  </si>
  <si>
    <t>Vitis x interspécifique cv. Seibel 2006</t>
  </si>
  <si>
    <t>Vitis x interspécifique cv. Seibel 2010</t>
  </si>
  <si>
    <t>Vitis x interspécifique cv. Seibel 2029</t>
  </si>
  <si>
    <t>Vitis x interspécifique cv. Seibel 2044</t>
  </si>
  <si>
    <t>Vitis x interspécifique cv. Seibel 206</t>
  </si>
  <si>
    <t>Vitis x interspécifique cv. Seibel 209</t>
  </si>
  <si>
    <t>Vitis x interspécifique cv. Seibel 210</t>
  </si>
  <si>
    <t>Vitis x interspécifique cv. Seibel 2120</t>
  </si>
  <si>
    <t>Vitis x interspécifique cv. Seibel 2453</t>
  </si>
  <si>
    <t>Vitis x interspécifique cv. Seibel 25</t>
  </si>
  <si>
    <t>Vitis x interspécifique cv. Seibel 2509</t>
  </si>
  <si>
    <t>Vitis x interspécifique cv. Seibel 2524</t>
  </si>
  <si>
    <t>Vitis x interspécifique cv. Seibel 2525</t>
  </si>
  <si>
    <t>Vitis x interspécifique cv. Seibel 2573</t>
  </si>
  <si>
    <t>Vitis x interspécifique cv. Seibel 2576</t>
  </si>
  <si>
    <t>Vitis x interspécifique cv. Seibel 2578</t>
  </si>
  <si>
    <t>Vitis x interspécifique cv. Seibel 2582</t>
  </si>
  <si>
    <t>Vitis x interspécifique cv. Seibel 2591</t>
  </si>
  <si>
    <t>Vitis x interspécifique cv. Seibel 2605</t>
  </si>
  <si>
    <t>Vitis x interspécifique cv. Seibel 2632</t>
  </si>
  <si>
    <t>Vitis x interspécifique cv. Seibel 2655</t>
  </si>
  <si>
    <t>Vitis x interspécifique cv. Seibel 2660</t>
  </si>
  <si>
    <t>Vitis x interspécifique cv. Seibel 2666</t>
  </si>
  <si>
    <t>Vitis x interspécifique cv. Seibel 2686</t>
  </si>
  <si>
    <t>Vitis x interspécifique cv. Seibel 270</t>
  </si>
  <si>
    <t>Vitis x interspécifique cv. Seibel 2838</t>
  </si>
  <si>
    <t>Vitis x interspécifique cv. Seibel 2859</t>
  </si>
  <si>
    <t>Vitis x interspécifique cv. Seibel 29</t>
  </si>
  <si>
    <t>Vitis x interspécifique cv. Seibel 3021</t>
  </si>
  <si>
    <t>Vitis x interspécifique cv. Seibel 36</t>
  </si>
  <si>
    <t>Vitis x interspécifique cv. Seibel 38</t>
  </si>
  <si>
    <t>Vitis x interspécifique cv. Seibel 4</t>
  </si>
  <si>
    <t>Vitis x interspécifique cv. Seibel 405</t>
  </si>
  <si>
    <t>Vitis x interspécifique cv. Seibel 41</t>
  </si>
  <si>
    <t>Vitis x interspécifique cv. Seibel 4111</t>
  </si>
  <si>
    <t>Vitis x interspécifique cv. Seibel 4121</t>
  </si>
  <si>
    <t>Vitis x interspécifique cv. Seibel 4132</t>
  </si>
  <si>
    <t>Vitis x interspécifique cv. Seibel 4464</t>
  </si>
  <si>
    <t>Vitis x interspécifique cv. Seibel 4499</t>
  </si>
  <si>
    <t>Vitis x interspécifique cv. Seibel 4504</t>
  </si>
  <si>
    <t>Vitis x interspécifique cv. Seibel 4559</t>
  </si>
  <si>
    <t>Vitis x interspécifique cv. Seibel 4589</t>
  </si>
  <si>
    <t>Vitis x interspécifique cv. Seibel 4603</t>
  </si>
  <si>
    <t>Vitis x interspécifique cv. Seibel 4605</t>
  </si>
  <si>
    <t>Vitis x interspécifique cv. Seibel 4614</t>
  </si>
  <si>
    <t>Vitis x interspécifique cv. Seibel 4615</t>
  </si>
  <si>
    <t>Vitis x interspécifique cv. Seibel 4629</t>
  </si>
  <si>
    <t>Vitis x interspécifique cv. Seibel 4633</t>
  </si>
  <si>
    <t>Vitis x interspécifique cv. Seibel 4636</t>
  </si>
  <si>
    <t>Vitis x interspécifique cv. Seibel 4638</t>
  </si>
  <si>
    <t>Vitis x interspécifique cv. Seibel 4644</t>
  </si>
  <si>
    <t>Vitis x interspécifique cv. Seibel 4648</t>
  </si>
  <si>
    <t>Vitis x interspécifique cv. Seibel 4669</t>
  </si>
  <si>
    <t>Vitis x interspécifique cv. Seibel 4672</t>
  </si>
  <si>
    <t>Vitis x interspécifique cv. Seibel 4677</t>
  </si>
  <si>
    <t>Vitis x interspécifique cv. Seibel 4681</t>
  </si>
  <si>
    <t>Vitis x interspécifique cv. Seibel 4697</t>
  </si>
  <si>
    <t>Vitis x interspécifique cv. Seibel 47</t>
  </si>
  <si>
    <t>Vitis x interspécifique cv. Seibel 4706</t>
  </si>
  <si>
    <t>Vitis x interspécifique cv. Seibel 4707</t>
  </si>
  <si>
    <t>Vitis x interspécifique cv. Seibel 4709</t>
  </si>
  <si>
    <t>Vitis x interspécifique cv. Seibel 4725</t>
  </si>
  <si>
    <t>Vitis x interspécifique cv. Seibel 4762</t>
  </si>
  <si>
    <t>Vitis x interspécifique cv. Seibel 4877 = 21 de Gléon</t>
  </si>
  <si>
    <t>Vitis x interspécifique cv. Seibel 491</t>
  </si>
  <si>
    <t>Vitis x interspécifique cv. Seibel 4955</t>
  </si>
  <si>
    <t>Vitis x interspécifique cv. Seibel 4964</t>
  </si>
  <si>
    <t>Vitis x interspécifique cv. Seibel 4982</t>
  </si>
  <si>
    <t>Vitis x interspécifique cv. Seibel 4987</t>
  </si>
  <si>
    <t>Vitis x interspécifique cv. Seibel 4989</t>
  </si>
  <si>
    <t>Vitis x interspécifique cv. Seibel 499</t>
  </si>
  <si>
    <t>Vitis x interspécifique cv. Seibel 4990</t>
  </si>
  <si>
    <t>Vitis x interspécifique cv. Seibel 4991</t>
  </si>
  <si>
    <t>Vitis x interspécifique cv. Seibel 4995</t>
  </si>
  <si>
    <t>Vitis x interspécifique cv. Seibel 5001</t>
  </si>
  <si>
    <t>Vitis x interspécifique cv. Seibel 5024</t>
  </si>
  <si>
    <t>Vitis x interspécifique cv. Seibel 5030</t>
  </si>
  <si>
    <t>Vitis x interspécifique cv. Seibel 5033</t>
  </si>
  <si>
    <t>Vitis x interspécifique cv. Seibel 5049</t>
  </si>
  <si>
    <t>Vitis x interspécifique cv. Seibel 5054</t>
  </si>
  <si>
    <t>Vitis x interspécifique cv. Seibel 5056</t>
  </si>
  <si>
    <t>Vitis x interspécifique cv. Seibel 5061</t>
  </si>
  <si>
    <t>Vitis x interspécifique cv. Seibel 5110</t>
  </si>
  <si>
    <t>Vitis x interspécifique cv. Seibel 5118</t>
  </si>
  <si>
    <t>Vitis x interspécifique cv. Seibel 5123</t>
  </si>
  <si>
    <t>Vitis x interspécifique cv. Seibel 5124</t>
  </si>
  <si>
    <t>Vitis x interspécifique cv. Seibel 5135</t>
  </si>
  <si>
    <t>Vitis x interspécifique cv. Seibel 5136</t>
  </si>
  <si>
    <t>Vitis x interspécifique cv. Seibel 5145</t>
  </si>
  <si>
    <t>Vitis x interspécifique cv. Seibel 5149</t>
  </si>
  <si>
    <t>Vitis x interspécifique cv. Seibel 5163</t>
  </si>
  <si>
    <t>Vitis x interspécifique cv. Seibel 5170</t>
  </si>
  <si>
    <t>Vitis x interspécifique cv. Seibel 5178</t>
  </si>
  <si>
    <t>Vitis x interspécifique cv. Seibel 5181</t>
  </si>
  <si>
    <t>Vitis x interspécifique cv. Seibel 5182</t>
  </si>
  <si>
    <t>Vitis x interspécifique cv. Seibel 5188</t>
  </si>
  <si>
    <t>Vitis x interspécifique cv. Seibel 5191</t>
  </si>
  <si>
    <t>Vitis x interspécifique cv. Seibel 5195</t>
  </si>
  <si>
    <t>Vitis x interspécifique cv. Seibel 5202</t>
  </si>
  <si>
    <t>Vitis x interspécifique cv. Seibel 5204</t>
  </si>
  <si>
    <t>Vitis x interspécifique cv. Seibel 5205</t>
  </si>
  <si>
    <t>Vitis x interspécifique cv. Seibel 5213</t>
  </si>
  <si>
    <t>Vitis x interspécifique cv. Seibel 5225</t>
  </si>
  <si>
    <t>Vitis x interspécifique cv. Seibel 5231</t>
  </si>
  <si>
    <t>Vitis x interspécifique cv. Seibel 5241</t>
  </si>
  <si>
    <t>Vitis x interspécifique cv. Seibel 5257</t>
  </si>
  <si>
    <t>Vitis x interspécifique cv. Seibel 5259</t>
  </si>
  <si>
    <t>Vitis x interspécifique cv. Seibel 5272</t>
  </si>
  <si>
    <t>Vitis x interspécifique cv. Seibel 5274</t>
  </si>
  <si>
    <t>Vitis x interspécifique cv. Seibel 5275</t>
  </si>
  <si>
    <t>Vitis x interspécifique cv. Seibel 5292</t>
  </si>
  <si>
    <t>Vitis x interspécifique cv. Seibel 5296</t>
  </si>
  <si>
    <t>Vitis x interspécifique cv. Seibel 5299</t>
  </si>
  <si>
    <t>Vitis x interspécifique cv. Seibel 5302</t>
  </si>
  <si>
    <t>Vitis x interspécifique cv. Seibel 5308</t>
  </si>
  <si>
    <t>Vitis x interspécifique cv. Seibel 5310</t>
  </si>
  <si>
    <t>Vitis x interspécifique cv. Seibel 5313</t>
  </si>
  <si>
    <t>Vitis x interspécifique cv. Seibel 5316</t>
  </si>
  <si>
    <t>Vitis x interspécifique cv. Seibel 5319</t>
  </si>
  <si>
    <t>Vitis x interspécifique cv. Seibel 5322</t>
  </si>
  <si>
    <t>Vitis x interspécifique cv. Seibel 5326</t>
  </si>
  <si>
    <t>Vitis x interspécifique cv. Seibel 5329</t>
  </si>
  <si>
    <t>Vitis x interspécifique cv. Seibel 5335</t>
  </si>
  <si>
    <t>Vitis x interspécifique cv. Seibel 5339</t>
  </si>
  <si>
    <t>Vitis x interspécifique cv. Seibel 5351</t>
  </si>
  <si>
    <t>Vitis x interspécifique cv. Seibel 5356</t>
  </si>
  <si>
    <t>Vitis x interspécifique cv. Seibel 5362</t>
  </si>
  <si>
    <t>Vitis x interspécifique cv. Seibel 5371</t>
  </si>
  <si>
    <t>Vitis x interspécifique cv. Seibel 5391</t>
  </si>
  <si>
    <t>Vitis x interspécifique cv. Seibel 54</t>
  </si>
  <si>
    <t>Vitis x interspécifique cv. Seibel 5405</t>
  </si>
  <si>
    <t>Vitis x interspécifique cv. Seibel 5408</t>
  </si>
  <si>
    <t>Vitis x interspécifique cv. Seibel 5409</t>
  </si>
  <si>
    <t>Vitis x interspécifique cv. Seibel 5410</t>
  </si>
  <si>
    <t>Vitis x interspécifique cv. Seibel 5412</t>
  </si>
  <si>
    <t>Vitis x interspécifique cv. Seibel 5431</t>
  </si>
  <si>
    <t>Vitis x interspécifique cv. Seibel 5437</t>
  </si>
  <si>
    <t>Vitis x interspécifique cv. Seibel 5450</t>
  </si>
  <si>
    <t>Vitis x interspécifique cv. Seibel 5466</t>
  </si>
  <si>
    <t>Vitis x interspécifique cv. Seibel 5474</t>
  </si>
  <si>
    <t>Vitis x interspécifique cv. Seibel 5484</t>
  </si>
  <si>
    <t>Vitis x interspécifique cv. Seibel 5485</t>
  </si>
  <si>
    <t>Vitis x interspécifique cv. Seibel 5486</t>
  </si>
  <si>
    <t>Vitis x interspécifique cv. Seibel 5487</t>
  </si>
  <si>
    <t>Vitis x interspécifique cv. Seibel 5504</t>
  </si>
  <si>
    <t>Vitis x interspécifique cv. Seibel 5539</t>
  </si>
  <si>
    <t>Vitis x interspécifique cv. Seibel 5551</t>
  </si>
  <si>
    <t>Vitis x interspécifique cv. Seibel 5560</t>
  </si>
  <si>
    <t>Vitis x interspécifique cv. Seibel 5561</t>
  </si>
  <si>
    <t>Vitis x interspécifique cv. Seibel 5574</t>
  </si>
  <si>
    <t>Vitis x interspécifique cv. Seibel 5580</t>
  </si>
  <si>
    <t>Vitis x interspécifique cv. Seibel 5586</t>
  </si>
  <si>
    <t>Vitis x interspécifique cv. Seibel 5593</t>
  </si>
  <si>
    <t>Vitis x interspécifique cv. Seibel 5624</t>
  </si>
  <si>
    <t>Vitis x interspécifique cv. Seibel 5632</t>
  </si>
  <si>
    <t>Vitis x interspécifique cv. Seibel 5652</t>
  </si>
  <si>
    <t>Vitis x interspécifique cv. Seibel 5653</t>
  </si>
  <si>
    <t>Vitis x interspécifique cv. Seibel 5656</t>
  </si>
  <si>
    <t>Vitis x interspécifique cv. Seibel 5658</t>
  </si>
  <si>
    <t>Vitis x interspécifique cv. Seibel 5663</t>
  </si>
  <si>
    <t>Vitis x interspécifique cv. Seibel 5683</t>
  </si>
  <si>
    <t>Vitis x interspécifique cv. Seibel 5689</t>
  </si>
  <si>
    <t>Vitis x interspécifique cv. Seibel 5717</t>
  </si>
  <si>
    <t>Vitis x interspécifique cv. Seibel 5744</t>
  </si>
  <si>
    <t>Vitis x interspécifique cv. Seibel 5757</t>
  </si>
  <si>
    <t>Vitis x interspécifique cv. Seibel 5763</t>
  </si>
  <si>
    <t>Vitis x interspécifique cv. Seibel 5773</t>
  </si>
  <si>
    <t>Vitis x interspécifique cv. Seibel 5775</t>
  </si>
  <si>
    <t>Vitis x interspécifique cv. Seibel 5778</t>
  </si>
  <si>
    <t>Vitis x interspécifique cv. Seibel 5785</t>
  </si>
  <si>
    <t>Vitis x interspécifique cv. Seibel 5810</t>
  </si>
  <si>
    <t>Vitis x interspécifique cv. Seibel 5813</t>
  </si>
  <si>
    <t>Vitis x interspécifique cv. Seibel 5815</t>
  </si>
  <si>
    <t>Vitis x interspécifique cv. Seibel 5819</t>
  </si>
  <si>
    <t>Vitis x interspécifique cv. Seibel 5820</t>
  </si>
  <si>
    <t>Vitis x interspécifique cv. Seibel 5826</t>
  </si>
  <si>
    <t>Vitis x interspécifique cv. Seibel 5839</t>
  </si>
  <si>
    <t>Vitis x interspécifique cv. Seibel 5854</t>
  </si>
  <si>
    <t>Vitis x interspécifique cv. Seibel 5860</t>
  </si>
  <si>
    <t>Vitis x interspécifique cv. Seibel 5883</t>
  </si>
  <si>
    <t>Vitis x interspécifique cv. Seibel 5889</t>
  </si>
  <si>
    <t>Vitis x interspécifique cv. Seibel 5890</t>
  </si>
  <si>
    <t>Vitis x interspécifique cv. Seibel 5891</t>
  </si>
  <si>
    <t>Vitis x interspécifique cv. Seibel 5897</t>
  </si>
  <si>
    <t>Vitis x interspécifique cv. Seibel 5900</t>
  </si>
  <si>
    <t>Vitis x interspécifique cv. Seibel 5903</t>
  </si>
  <si>
    <t>Vitis x interspécifique cv. Seibel 5907</t>
  </si>
  <si>
    <t>Vitis x interspécifique cv. Seibel 5908</t>
  </si>
  <si>
    <t>Vitis x interspécifique cv. Seibel 5912</t>
  </si>
  <si>
    <t>Vitis x interspécifique cv. Seibel 5915</t>
  </si>
  <si>
    <t>Vitis x interspécifique cv. Seibel 5916</t>
  </si>
  <si>
    <t>Vitis x interspécifique cv. Seibel 5917</t>
  </si>
  <si>
    <t>Vitis x interspécifique cv. Seibel 5937</t>
  </si>
  <si>
    <t>Vitis x interspécifique cv. Seibel 5946</t>
  </si>
  <si>
    <t>Vitis x interspécifique cv. Seibel 5952</t>
  </si>
  <si>
    <t>Vitis x interspécifique cv. Seibel 5966</t>
  </si>
  <si>
    <t>Vitis x interspécifique cv. Seibel 5979</t>
  </si>
  <si>
    <t>Vitis x interspécifique cv. Seibel 600</t>
  </si>
  <si>
    <t>Vitis x interspécifique cv. Seibel 6003</t>
  </si>
  <si>
    <t>Vitis x interspécifique cv. Seibel 6004</t>
  </si>
  <si>
    <t>Vitis x interspécifique cv. Seibel 6010</t>
  </si>
  <si>
    <t>Vitis x interspécifique cv. Seibel 6011</t>
  </si>
  <si>
    <t>Vitis x interspécifique cv. Seibel 6013</t>
  </si>
  <si>
    <t>Vitis x interspécifique cv. Seibel 6022</t>
  </si>
  <si>
    <t>Vitis x interspécifique cv. Seibel 6027</t>
  </si>
  <si>
    <t>Vitis x interspécifique cv. Seibel 6029</t>
  </si>
  <si>
    <t>Vitis x interspécifique cv. Seibel 6036</t>
  </si>
  <si>
    <t>Vitis x interspécifique cv. Seibel 6042</t>
  </si>
  <si>
    <t>Vitis x interspécifique cv. Seibel 6045</t>
  </si>
  <si>
    <t>Vitis x interspécifique cv. Seibel 6062</t>
  </si>
  <si>
    <t>Vitis x interspécifique cv. Seibel 6064</t>
  </si>
  <si>
    <t>Vitis x interspécifique cv. Seibel 6080</t>
  </si>
  <si>
    <t>Vitis x interspécifique cv. Seibel 6086</t>
  </si>
  <si>
    <t>Vitis x interspécifique cv. Seibel 6088</t>
  </si>
  <si>
    <t>Vitis x interspécifique cv. Seibel 6090</t>
  </si>
  <si>
    <t>Vitis x interspécifique cv. Seibel 6092</t>
  </si>
  <si>
    <t>Vitis x interspécifique cv. Seibel 6093</t>
  </si>
  <si>
    <t>Vitis x interspécifique cv. Seibel 6094</t>
  </si>
  <si>
    <t>Vitis x interspécifique cv. Seibel 6096</t>
  </si>
  <si>
    <t>Vitis x interspécifique cv. Seibel 6102</t>
  </si>
  <si>
    <t>Vitis x interspécifique cv. Seibel 6106</t>
  </si>
  <si>
    <t>Vitis x interspécifique cv. Seibel 6111</t>
  </si>
  <si>
    <t>Vitis x interspécifique cv. Seibel 6115</t>
  </si>
  <si>
    <t>Vitis x interspécifique cv. Seibel 6126</t>
  </si>
  <si>
    <t>Vitis x interspécifique cv. Seibel 6132</t>
  </si>
  <si>
    <t>Vitis x interspécifique cv. Seibel 6143</t>
  </si>
  <si>
    <t>Vitis x interspécifique cv. Seibel 6151</t>
  </si>
  <si>
    <t>Vitis x interspécifique cv. Seibel 6155</t>
  </si>
  <si>
    <t>Vitis x interspécifique cv. Seibel 6158</t>
  </si>
  <si>
    <t>Vitis x interspécifique cv. Seibel 6165</t>
  </si>
  <si>
    <t>Vitis x interspécifique cv. Seibel 6168</t>
  </si>
  <si>
    <t>Vitis x interspécifique cv. Seibel 6170</t>
  </si>
  <si>
    <t>Vitis x interspécifique cv. Seibel 6179</t>
  </si>
  <si>
    <t>Vitis x interspécifique cv. Seibel 6186</t>
  </si>
  <si>
    <t>Vitis x interspécifique cv. Seibel 6209</t>
  </si>
  <si>
    <t>Vitis x interspécifique cv. Seibel 6213</t>
  </si>
  <si>
    <t>Vitis x interspécifique cv. Seibel 6214</t>
  </si>
  <si>
    <t>Vitis x interspécifique cv. Seibel 6229</t>
  </si>
  <si>
    <t>Vitis x interspécifique cv. Seibel 6233</t>
  </si>
  <si>
    <t>Vitis x interspécifique cv. Seibel 6269</t>
  </si>
  <si>
    <t>Vitis x interspécifique cv. Seibel 6278</t>
  </si>
  <si>
    <t>Vitis x interspécifique cv. Seibel 6288</t>
  </si>
  <si>
    <t>Vitis x interspécifique cv. Seibel 6289</t>
  </si>
  <si>
    <t>Vitis x interspécifique cv. Seibel 6293</t>
  </si>
  <si>
    <t>Vitis x interspécifique cv. Seibel 63</t>
  </si>
  <si>
    <t>Vitis x interspécifique cv. Seibel 6318</t>
  </si>
  <si>
    <t>Vitis x interspécifique cv. Seibel 6339</t>
  </si>
  <si>
    <t>Vitis x interspécifique cv. Seibel 6350</t>
  </si>
  <si>
    <t>Vitis x interspécifique cv. Seibel 6403</t>
  </si>
  <si>
    <t>Vitis x interspécifique cv. Seibel 6419</t>
  </si>
  <si>
    <t>Vitis x interspécifique cv. Seibel 6423</t>
  </si>
  <si>
    <t>Vitis x interspécifique cv. Seibel 6425</t>
  </si>
  <si>
    <t>Vitis x interspécifique cv. Seibel 6426</t>
  </si>
  <si>
    <t>Vitis x interspécifique cv. Seibel 6439</t>
  </si>
  <si>
    <t>Vitis x interspécifique cv. Seibel 6455</t>
  </si>
  <si>
    <t>Vitis x interspécifique cv. Seibel 6460</t>
  </si>
  <si>
    <t>Vitis x interspécifique cv. Seibel 6468</t>
  </si>
  <si>
    <t>Vitis x interspécifique cv. Seibel 6478</t>
  </si>
  <si>
    <t>Vitis x interspécifique cv. Seibel 6484</t>
  </si>
  <si>
    <t>Vitis x interspécifique cv. Seibel 6488</t>
  </si>
  <si>
    <t>Vitis x interspécifique cv. Seibel 6491</t>
  </si>
  <si>
    <t>Vitis x interspécifique cv. Seibel 6496</t>
  </si>
  <si>
    <t>Vitis x interspécifique cv. Seibel 6500</t>
  </si>
  <si>
    <t>Vitis x interspécifique cv. Seibel 6572</t>
  </si>
  <si>
    <t>Vitis x interspécifique cv. Seibel 6578</t>
  </si>
  <si>
    <t>Vitis x interspécifique cv. Seibel 6605</t>
  </si>
  <si>
    <t>Vitis x interspécifique cv. Seibel 6606</t>
  </si>
  <si>
    <t>Vitis x interspécifique cv. Seibel 6623</t>
  </si>
  <si>
    <t>Vitis x interspécifique cv. Seibel 670</t>
  </si>
  <si>
    <t>Vitis x interspécifique cv. Seibel 6702</t>
  </si>
  <si>
    <t>Vitis x interspécifique cv. Seibel 6711</t>
  </si>
  <si>
    <t>Vitis x interspécifique cv. Seibel 6717</t>
  </si>
  <si>
    <t>Vitis x interspécifique cv. Seibel 6720</t>
  </si>
  <si>
    <t>Vitis x interspécifique cv. Seibel 6732</t>
  </si>
  <si>
    <t>Vitis x interspécifique cv. Seibel 6733</t>
  </si>
  <si>
    <t>Vitis x interspécifique cv. Seibel 6735</t>
  </si>
  <si>
    <t>Vitis x interspécifique cv. Seibel 6738</t>
  </si>
  <si>
    <t>Vitis x interspécifique cv. Seibel 6739</t>
  </si>
  <si>
    <t>Vitis x interspécifique cv. Seibel 6740</t>
  </si>
  <si>
    <t>Vitis x interspécifique cv. Seibel 6746</t>
  </si>
  <si>
    <t>Vitis x interspécifique cv. Seibel 6751</t>
  </si>
  <si>
    <t>Vitis x interspécifique cv. Seibel 6758</t>
  </si>
  <si>
    <t>Vitis x interspécifique cv. Seibel 6778</t>
  </si>
  <si>
    <t>Vitis x interspécifique cv. Seibel 6779</t>
  </si>
  <si>
    <t>Vitis x interspécifique cv. Seibel 6780</t>
  </si>
  <si>
    <t>Vitis x interspécifique cv. Seibel 6824</t>
  </si>
  <si>
    <t>Vitis x interspécifique cv. Seibel 6830</t>
  </si>
  <si>
    <t>Vitis x interspécifique cv. Seibel 6862</t>
  </si>
  <si>
    <t>Vitis x interspécifique cv. Seibel 6876</t>
  </si>
  <si>
    <t>Vitis x interspécifique cv. Seibel 6906</t>
  </si>
  <si>
    <t>Vitis x interspécifique cv. Seibel 6968</t>
  </si>
  <si>
    <t>Vitis x interspécifique cv. Seibel 6976</t>
  </si>
  <si>
    <t>Vitis x interspécifique cv. Seibel 6980</t>
  </si>
  <si>
    <t>Vitis x interspécifique cv. Seibel 70</t>
  </si>
  <si>
    <t>Vitis x interspécifique cv. Seibel 7000</t>
  </si>
  <si>
    <t>Vitis x interspécifique cv. Seibel 7001</t>
  </si>
  <si>
    <t>Vitis x interspécifique cv. Seibel 7005</t>
  </si>
  <si>
    <t>Vitis x interspécifique cv. Seibel 7011</t>
  </si>
  <si>
    <t>Vitis x interspécifique cv. Seibel 7016</t>
  </si>
  <si>
    <t>Vitis x interspécifique cv. Seibel 7022</t>
  </si>
  <si>
    <t>Vitis x interspécifique cv. Seibel 7033</t>
  </si>
  <si>
    <t>Vitis x interspécifique cv. Seibel 7036</t>
  </si>
  <si>
    <t>Vitis x interspécifique cv. Seibel 7042</t>
  </si>
  <si>
    <t>Vitis x interspécifique cv. Seibel 7044</t>
  </si>
  <si>
    <t>Vitis x interspécifique cv. Seibel 7046</t>
  </si>
  <si>
    <t>Vitis x interspécifique cv. Seibel 7047</t>
  </si>
  <si>
    <t>Vitis x interspécifique cv. Seibel 7052</t>
  </si>
  <si>
    <t>Vitis x interspécifique cv. Seibel 7056</t>
  </si>
  <si>
    <t>Vitis x interspécifique cv. Seibel 7071</t>
  </si>
  <si>
    <t>Vitis x interspécifique cv. Seibel 7080</t>
  </si>
  <si>
    <t>Vitis x interspécifique cv. Seibel 7082</t>
  </si>
  <si>
    <t>Vitis x interspécifique cv. Seibel 7085</t>
  </si>
  <si>
    <t>Vitis x interspécifique cv. Seibel 7090</t>
  </si>
  <si>
    <t>Vitis x interspécifique cv. Seibel 7093</t>
  </si>
  <si>
    <t>Vitis x interspécifique cv. Seibel 7099</t>
  </si>
  <si>
    <t>Vitis x interspécifique cv. Seibel 71</t>
  </si>
  <si>
    <t>Vitis x interspécifique cv. Seibel 7100</t>
  </si>
  <si>
    <t>Vitis x interspécifique cv. Seibel 7122 faux</t>
  </si>
  <si>
    <t>Vitis x interspécifique cv. Seibel 7123</t>
  </si>
  <si>
    <t>Vitis x interspécifique cv. Seibel 7130</t>
  </si>
  <si>
    <t>Vitis x interspécifique cv. Seibel 7135</t>
  </si>
  <si>
    <t>Vitis x interspécifique cv. Seibel 7136</t>
  </si>
  <si>
    <t>Vitis x interspécifique cv. Seibel 7140</t>
  </si>
  <si>
    <t>Vitis x interspécifique cv. Seibel 7144</t>
  </si>
  <si>
    <t>Vitis x interspécifique cv. Seibel 7145</t>
  </si>
  <si>
    <t>Vitis x interspécifique cv. Seibel 7157</t>
  </si>
  <si>
    <t>Vitis x interspécifique cv. Seibel 7162</t>
  </si>
  <si>
    <t>Vitis x interspécifique cv. Seibel 7181</t>
  </si>
  <si>
    <t>Vitis x interspécifique cv. Seibel 720</t>
  </si>
  <si>
    <t>Vitis x interspécifique cv. Seibel 7226</t>
  </si>
  <si>
    <t>Vitis x interspécifique cv. Seibel 7228</t>
  </si>
  <si>
    <t>Vitis x interspécifique cv. Seibel 7229</t>
  </si>
  <si>
    <t>Vitis x interspécifique cv. Seibel 7291</t>
  </si>
  <si>
    <t>Vitis x interspécifique cv. Seibel 7303</t>
  </si>
  <si>
    <t>Vitis x interspécifique cv. Seibel 7311</t>
  </si>
  <si>
    <t>Vitis x interspécifique cv. Seibel 7312</t>
  </si>
  <si>
    <t>Vitis x interspécifique cv. Seibel 7315</t>
  </si>
  <si>
    <t>Vitis x interspécifique cv. Seibel 7319</t>
  </si>
  <si>
    <t>Vitis x interspécifique cv. Seibel 7324</t>
  </si>
  <si>
    <t>Vitis x interspécifique cv. Seibel 7332</t>
  </si>
  <si>
    <t>Vitis x interspécifique cv. Seibel 7338</t>
  </si>
  <si>
    <t>Vitis x interspécifique cv. Seibel 7347</t>
  </si>
  <si>
    <t>Vitis x interspécifique cv. Seibel 7349</t>
  </si>
  <si>
    <t>Vitis x interspécifique cv. Seibel 7369</t>
  </si>
  <si>
    <t>Vitis x interspécifique cv. Seibel 7374</t>
  </si>
  <si>
    <t>Vitis x interspécifique cv. Seibel 7380</t>
  </si>
  <si>
    <t>Vitis x interspécifique cv. Seibel 7381</t>
  </si>
  <si>
    <t>Vitis x interspécifique cv. Seibel 7511</t>
  </si>
  <si>
    <t>Vitis x interspécifique cv. Seibel 7523</t>
  </si>
  <si>
    <t>Vitis x interspécifique cv. Seibel 7524</t>
  </si>
  <si>
    <t>Vitis x interspécifique cv. Seibel 753</t>
  </si>
  <si>
    <t>Vitis x interspécifique cv. Seibel 7530</t>
  </si>
  <si>
    <t>Vitis x interspécifique cv. Seibel 7545</t>
  </si>
  <si>
    <t>Vitis x interspécifique cv. Seibel 7566</t>
  </si>
  <si>
    <t>Vitis x interspécifique cv. Seibel 7568</t>
  </si>
  <si>
    <t>Vitis x interspécifique cv. Seibel 7574</t>
  </si>
  <si>
    <t>Vitis x interspécifique cv. Seibel 7584</t>
  </si>
  <si>
    <t>Vitis x interspécifique cv. Seibel 7587</t>
  </si>
  <si>
    <t>Vitis x interspécifique cv. Seibel 7598</t>
  </si>
  <si>
    <t>Vitis x interspécifique cv. Seibel 7603</t>
  </si>
  <si>
    <t>Vitis x interspécifique cv. Seibel 7606</t>
  </si>
  <si>
    <t>Vitis x interspécifique cv. Seibel 7608</t>
  </si>
  <si>
    <t>Vitis x interspécifique cv. Seibel 7609</t>
  </si>
  <si>
    <t>Vitis x interspécifique cv. Seibel 7617</t>
  </si>
  <si>
    <t>Vitis x interspécifique cv. Seibel 7620</t>
  </si>
  <si>
    <t>Vitis x interspécifique cv. Seibel 7622</t>
  </si>
  <si>
    <t>Vitis x interspécifique cv. Seibel 7632</t>
  </si>
  <si>
    <t>Vitis x interspécifique cv. Seibel 7635</t>
  </si>
  <si>
    <t>Vitis x interspécifique cv. Seibel 7668</t>
  </si>
  <si>
    <t>Vitis x interspécifique cv. Seibel 7672</t>
  </si>
  <si>
    <t>Vitis x interspécifique cv. Seibel 7673</t>
  </si>
  <si>
    <t>Vitis x interspécifique cv. Seibel 7721</t>
  </si>
  <si>
    <t>Vitis x interspécifique cv. Seibel 7787</t>
  </si>
  <si>
    <t>Vitis x interspécifique cv. Seibel 7791</t>
  </si>
  <si>
    <t>Vitis x interspécifique cv. Seibel 78</t>
  </si>
  <si>
    <t>Vitis x interspécifique cv. Seibel 7808</t>
  </si>
  <si>
    <t>Vitis x interspécifique cv. Seibel 782</t>
  </si>
  <si>
    <t>Vitis x interspécifique cv. Seibel 7822</t>
  </si>
  <si>
    <t>Vitis x interspécifique cv. Seibel 7828</t>
  </si>
  <si>
    <t>Vitis x interspécifique cv. Seibel 7833</t>
  </si>
  <si>
    <t>Vitis x interspécifique cv. Seibel 7871</t>
  </si>
  <si>
    <t>Vitis x interspécifique cv. Seibel 7882</t>
  </si>
  <si>
    <t>Vitis x interspécifique cv. Seibel 7892</t>
  </si>
  <si>
    <t>Vitis x interspécifique cv. Seibel 7905</t>
  </si>
  <si>
    <t>Vitis x interspécifique cv. Seibel 7963</t>
  </si>
  <si>
    <t>Vitis x interspécifique cv. Seibel 7984</t>
  </si>
  <si>
    <t>Vitis x interspécifique cv. Seibel 8</t>
  </si>
  <si>
    <t>Vitis x interspécifique cv. Seibel 8101</t>
  </si>
  <si>
    <t>Vitis x interspécifique cv. Seibel 8116</t>
  </si>
  <si>
    <t>Vitis x interspécifique cv. Seibel 8120</t>
  </si>
  <si>
    <t>Vitis x interspécifique cv. Seibel 8134</t>
  </si>
  <si>
    <t>Vitis x interspécifique cv. Seibel 82</t>
  </si>
  <si>
    <t>Vitis x interspécifique cv. Seibel 8203</t>
  </si>
  <si>
    <t>Vitis x interspécifique cv. Seibel 8206</t>
  </si>
  <si>
    <t>Vitis x interspécifique cv. Seibel 8209</t>
  </si>
  <si>
    <t>Vitis x interspécifique cv. Seibel 8213</t>
  </si>
  <si>
    <t>Vitis x interspécifique cv. Seibel 8214</t>
  </si>
  <si>
    <t>Vitis x interspécifique cv. Seibel 8216</t>
  </si>
  <si>
    <t>Vitis x interspécifique cv. Seibel 8217</t>
  </si>
  <si>
    <t>Vitis x interspécifique cv. Seibel 8218</t>
  </si>
  <si>
    <t>Vitis x interspécifique cv. Seibel 8219</t>
  </si>
  <si>
    <t>Vitis x interspécifique cv. Seibel 8220</t>
  </si>
  <si>
    <t>Vitis x interspécifique cv. Seibel 8223</t>
  </si>
  <si>
    <t>Vitis x interspécifique cv. Seibel 8224</t>
  </si>
  <si>
    <t>Vitis x interspécifique cv. Seibel 8225</t>
  </si>
  <si>
    <t>Vitis x interspécifique cv. Seibel 8229</t>
  </si>
  <si>
    <t>Vitis x interspécifique cv. Seibel 8231</t>
  </si>
  <si>
    <t>Vitis x interspécifique cv. Seibel 8238</t>
  </si>
  <si>
    <t>Vitis x interspécifique cv. Seibel 8239</t>
  </si>
  <si>
    <t>Vitis x interspécifique cv. Seibel 8243</t>
  </si>
  <si>
    <t>Vitis x interspécifique cv. Seibel 8259</t>
  </si>
  <si>
    <t>Vitis x interspécifique cv. Seibel 8265</t>
  </si>
  <si>
    <t>Vitis x interspécifique cv. Seibel 8336</t>
  </si>
  <si>
    <t>Vitis x interspécifique cv. Seibel 8337</t>
  </si>
  <si>
    <t>Vitis x interspécifique cv. Seibel 8343</t>
  </si>
  <si>
    <t>Vitis x interspécifique cv. Seibel 8355</t>
  </si>
  <si>
    <t>Vitis x interspécifique cv. Seibel 8361</t>
  </si>
  <si>
    <t>Vitis x interspécifique cv. Seibel 8365</t>
  </si>
  <si>
    <t>Vitis x interspécifique cv. Seibel 8376</t>
  </si>
  <si>
    <t>Vitis x interspécifique cv. Seibel 8380</t>
  </si>
  <si>
    <t>Vitis x interspécifique cv. Seibel 8382</t>
  </si>
  <si>
    <t>Vitis x interspécifique cv. Seibel 8390</t>
  </si>
  <si>
    <t>Vitis x interspécifique cv. Seibel 8392</t>
  </si>
  <si>
    <t>Vitis x interspécifique cv. Seibel 8397</t>
  </si>
  <si>
    <t>Vitis x interspécifique cv. Seibel 8402</t>
  </si>
  <si>
    <t>Vitis x interspécifique cv. Seibel 8407</t>
  </si>
  <si>
    <t>Vitis x interspécifique cv. Seibel 8418</t>
  </si>
  <si>
    <t>Vitis x interspécifique cv. Seibel 8447</t>
  </si>
  <si>
    <t>Vitis x interspécifique cv. Seibel 85</t>
  </si>
  <si>
    <t>Vitis x interspécifique cv. Seibel 8515</t>
  </si>
  <si>
    <t>Vitis x interspécifique cv. Seibel 8541</t>
  </si>
  <si>
    <t>Vitis x interspécifique cv. Seibel 8602</t>
  </si>
  <si>
    <t>Vitis x interspécifique cv. Seibel 8611</t>
  </si>
  <si>
    <t>Vitis x interspécifique cv. Seibel 8616</t>
  </si>
  <si>
    <t>Vitis x interspécifique cv. Seibel 8620</t>
  </si>
  <si>
    <t>Vitis x interspécifique cv. Seibel 8647</t>
  </si>
  <si>
    <t>Vitis x interspécifique cv. Seibel 867</t>
  </si>
  <si>
    <t>Vitis x interspécifique cv. Seibel 8675</t>
  </si>
  <si>
    <t>Vitis x interspécifique cv. Seibel 8678</t>
  </si>
  <si>
    <t>Vitis x interspécifique cv. Seibel 87</t>
  </si>
  <si>
    <t>Vitis x interspécifique cv. Seibel 8704</t>
  </si>
  <si>
    <t>Vitis x interspécifique cv. Seibel 8710</t>
  </si>
  <si>
    <t>Vitis x interspécifique cv. Seibel 8712</t>
  </si>
  <si>
    <t>Vitis x interspécifique cv. Seibel 8713</t>
  </si>
  <si>
    <t>Vitis x interspécifique cv. Seibel 8716</t>
  </si>
  <si>
    <t>Vitis x interspécifique cv. Seibel 8717</t>
  </si>
  <si>
    <t>Vitis x interspécifique cv. Seibel 8718</t>
  </si>
  <si>
    <t>Vitis x interspécifique cv. Seibel 8719</t>
  </si>
  <si>
    <t>Vitis x interspécifique cv. Seibel 8724</t>
  </si>
  <si>
    <t>Vitis x interspécifique cv. Seibel 8731</t>
  </si>
  <si>
    <t>Vitis x interspécifique cv. Seibel 8744</t>
  </si>
  <si>
    <t>Vitis x interspécifique cv. Seibel 8748</t>
  </si>
  <si>
    <t>Vitis x interspécifique cv. Seibel 8753</t>
  </si>
  <si>
    <t>Vitis x interspécifique cv. Seibel 8764</t>
  </si>
  <si>
    <t>Vitis x interspécifique cv. Seibel 877</t>
  </si>
  <si>
    <t>Vitis x interspécifique cv. Seibel 8786</t>
  </si>
  <si>
    <t>Vitis x interspécifique cv. Seibel 880</t>
  </si>
  <si>
    <t>Vitis x interspécifique cv. Seibel 8818</t>
  </si>
  <si>
    <t>Vitis x interspécifique cv. Seibel 8820</t>
  </si>
  <si>
    <t>Vitis x interspécifique cv. Seibel 8824</t>
  </si>
  <si>
    <t>Vitis x interspécifique cv. Seibel 8831</t>
  </si>
  <si>
    <t>Vitis x interspécifique cv. Seibel 8902</t>
  </si>
  <si>
    <t>Vitis x interspécifique cv. Seibel 8906</t>
  </si>
  <si>
    <t>Vitis x interspécifique cv. Seibel 8907</t>
  </si>
  <si>
    <t>Vitis x interspécifique cv. Seibel 8916</t>
  </si>
  <si>
    <t>Vitis x interspécifique cv. Seibel 8917</t>
  </si>
  <si>
    <t>Vitis x interspécifique cv. Seibel 8943</t>
  </si>
  <si>
    <t>Vitis x interspécifique cv. Seibel 8954</t>
  </si>
  <si>
    <t>Vitis x interspécifique cv. Seibel 8974</t>
  </si>
  <si>
    <t>Vitis x interspécifique cv. Seibel 9008</t>
  </si>
  <si>
    <t>Vitis x interspécifique cv. Seibel 9045</t>
  </si>
  <si>
    <t>Vitis x interspécifique cv. Seibel 9095</t>
  </si>
  <si>
    <t>Vitis x interspécifique cv. Seibel 9110</t>
  </si>
  <si>
    <t>Vitis x interspécifique cv. Seibel 9116</t>
  </si>
  <si>
    <t>Vitis x interspécifique cv. Seibel 9123</t>
  </si>
  <si>
    <t>Vitis x interspécifique cv. Seibel 9175</t>
  </si>
  <si>
    <t>Vitis x interspécifique cv. Seibel 9246</t>
  </si>
  <si>
    <t>Vitis x interspécifique cv. Seibel 9249</t>
  </si>
  <si>
    <t>Vitis x interspécifique cv. Seibel 9413</t>
  </si>
  <si>
    <t>Vitis x interspécifique cv. Seibel 9458</t>
  </si>
  <si>
    <t>Vitis x interspécifique cv. Seibel 9569</t>
  </si>
  <si>
    <t>Vitis x interspécifique cv. Seibel 9780</t>
  </si>
  <si>
    <t>Vitis x interspécifique cv. Seibel 9872</t>
  </si>
  <si>
    <t>Vitis x interspécifique cv. Seibel 9875/8</t>
  </si>
  <si>
    <t>Vitis x interspécifique cv. Seibel 9932</t>
  </si>
  <si>
    <t>Vitis x interspécifique cv. Seinoir = Seibel 8745</t>
  </si>
  <si>
    <t>Vitis x interspécifique cv. Semis de 41 B (Malleu)</t>
  </si>
  <si>
    <t>Vitis x interspécifique cv. Seyval = Seyve-Villard 5-276</t>
  </si>
  <si>
    <t>Vitis x interspécifique cv. Seyve Villard 23-23</t>
  </si>
  <si>
    <t>Vitis x interspécifique cv. Seyve-Villard 10-271</t>
  </si>
  <si>
    <t>Vitis x interspécifique cv. Seyve-Villard 10-300</t>
  </si>
  <si>
    <t>Vitis x interspécifique cv. Seyve-Villard 10-319</t>
  </si>
  <si>
    <t>Vitis x interspécifique cv. Seyve-Villard 10-347</t>
  </si>
  <si>
    <t>Vitis x interspécifique cv. Seyve-Villard 11-318</t>
  </si>
  <si>
    <t>Vitis x interspécifique cv. Seyve-Villard 12-129</t>
  </si>
  <si>
    <t>Vitis x interspécifique cv. Seyve-Villard 12-132</t>
  </si>
  <si>
    <t>Vitis x interspécifique cv. Seyve-Villard 12-259</t>
  </si>
  <si>
    <t>Vitis x interspécifique cv. Seyve-Villard 12-267</t>
  </si>
  <si>
    <t>Vitis x interspécifique cv. Seyve-Villard 12-286</t>
  </si>
  <si>
    <t>Vitis x interspécifique cv. Seyve-Villard 12-303</t>
  </si>
  <si>
    <t>Vitis x interspécifique cv. Seyve-Villard 12-308</t>
  </si>
  <si>
    <t>Vitis x interspécifique cv. Seyve-Villard 12-327</t>
  </si>
  <si>
    <t>Vitis x interspécifique cv. Seyve-Villard 12-328</t>
  </si>
  <si>
    <t>Vitis x interspécifique cv. Seyve-Villard 12-331</t>
  </si>
  <si>
    <t>Vitis x interspécifique cv. Seyve-Villard 12-347</t>
  </si>
  <si>
    <t>Vitis x interspécifique cv. Seyve-Villard 12-358</t>
  </si>
  <si>
    <t>Vitis x interspécifique cv. Seyve-Villard 12-364</t>
  </si>
  <si>
    <t>Vitis x interspécifique cv. Seyve-Villard 12-390</t>
  </si>
  <si>
    <t>Vitis x interspécifique cv. Seyve-Villard 12-391</t>
  </si>
  <si>
    <t>Vitis x interspécifique cv. Seyve-Villard 12-395</t>
  </si>
  <si>
    <t>Vitis x interspécifique cv. Seyve-Villard 12-397</t>
  </si>
  <si>
    <t>Vitis x interspécifique cv. Seyve-Villard 12-401</t>
  </si>
  <si>
    <t>Vitis x interspécifique cv. Seyve-Villard 12-413</t>
  </si>
  <si>
    <t>Vitis x interspécifique cv. Seyve-Villard 12-417</t>
  </si>
  <si>
    <t>Vitis x interspécifique cv. Seyve-Villard 12-426</t>
  </si>
  <si>
    <t>Vitis x interspécifique cv. Seyve-Villard 12-474</t>
  </si>
  <si>
    <t>Vitis x interspécifique cv. Seyve-Villard 12-481</t>
  </si>
  <si>
    <t>Vitis x interspécifique cv. Seyve-Villard 12-622</t>
  </si>
  <si>
    <t>Vitis x interspécifique cv. Seyve-Villard 12-734</t>
  </si>
  <si>
    <t>Vitis x interspécifique cv. Seyve-Villard 12-789</t>
  </si>
  <si>
    <t>Vitis x interspécifique cv. Seyve-Villard 13-359</t>
  </si>
  <si>
    <t>Vitis x interspécifique cv. Seyve-Villard 14-270</t>
  </si>
  <si>
    <t>Vitis x interspécifique cv. Seyve-Villard 14-281</t>
  </si>
  <si>
    <t>Vitis x interspécifique cv. Seyve-Villard 14-287</t>
  </si>
  <si>
    <t>Vitis x interspécifique cv. Seyve-Villard 14-472</t>
  </si>
  <si>
    <t>Vitis x interspécifique cv. Seyve-Villard 15-151</t>
  </si>
  <si>
    <t>Vitis x interspécifique cv. Seyve-Villard 15-174</t>
  </si>
  <si>
    <t>Vitis x interspécifique cv. Seyve-Villard 15-403</t>
  </si>
  <si>
    <t>Vitis x interspécifique cv. Seyve-Villard 15-505</t>
  </si>
  <si>
    <t>Vitis x interspécifique cv. Seyve-Villard 16-207</t>
  </si>
  <si>
    <t>Vitis x interspécifique cv. Seyve-Villard 1-72</t>
  </si>
  <si>
    <t>Vitis x interspécifique cv. Seyve-Villard 18-118</t>
  </si>
  <si>
    <t>Vitis x interspécifique cv. Seyve-Villard 18-304</t>
  </si>
  <si>
    <t>Vitis x interspécifique cv. Seyve-Villard 18-307</t>
  </si>
  <si>
    <t>Vitis x interspécifique cv. Seyve-Villard 18-402</t>
  </si>
  <si>
    <t>Vitis x interspécifique cv. Seyve-Villard 18-422</t>
  </si>
  <si>
    <t>Vitis x interspécifique cv. Seyve-Villard 18-425</t>
  </si>
  <si>
    <t>Vitis x interspécifique cv. Seyve-Villard 19-159</t>
  </si>
  <si>
    <t>Vitis x interspécifique cv. Seyve-Villard 19-228</t>
  </si>
  <si>
    <t>Vitis x interspécifique cv. Seyve-Villard 19-233</t>
  </si>
  <si>
    <t>Vitis x interspécifique cv. Seyve-Villard 19-275</t>
  </si>
  <si>
    <t>Vitis x interspécifique cv. Seyve-Villard 19-409</t>
  </si>
  <si>
    <t>Vitis x interspécifique cv. Seyve-Villard 19-410</t>
  </si>
  <si>
    <t>Vitis x interspécifique cv. Seyve-Villard 19-421</t>
  </si>
  <si>
    <t>Vitis x interspécifique cv. Seyve-Villard 19-439</t>
  </si>
  <si>
    <t>Vitis x interspécifique cv. Seyve-Villard 22-130</t>
  </si>
  <si>
    <t>Vitis x interspécifique cv. Seyve-Villard 22-140</t>
  </si>
  <si>
    <t>Vitis x interspécifique cv. Seyve-Villard 22-228</t>
  </si>
  <si>
    <t>Vitis x interspécifique cv. Seyve-Villard 22-25</t>
  </si>
  <si>
    <t>Vitis x interspécifique cv. Seyve-Villard 23-10</t>
  </si>
  <si>
    <t>Vitis x interspécifique cv. Seyve-Villard 23-118</t>
  </si>
  <si>
    <t>Vitis x interspécifique cv. Seyve-Villard 23120</t>
  </si>
  <si>
    <t>Vitis x interspécifique cv. Seyve-Villard 23-18</t>
  </si>
  <si>
    <t>Vitis x interspécifique cv. Seyve-Villard 23-251</t>
  </si>
  <si>
    <t>Vitis x interspécifique cv. Seyve-Villard 23-286</t>
  </si>
  <si>
    <t>Vitis x interspécifique cv. Seyve-Villard 23-296</t>
  </si>
  <si>
    <t>Vitis x interspécifique cv. Seyve-Villard 23-314</t>
  </si>
  <si>
    <t>Vitis x interspécifique cv. Seyve-Villard 23-346</t>
  </si>
  <si>
    <t>Vitis x interspécifique cv. Seyve-Villard 23-350</t>
  </si>
  <si>
    <t>Vitis x interspécifique cv. Seyve-Villard 23-353</t>
  </si>
  <si>
    <t>Vitis x interspécifique cv. Seyve-Villard 23-356</t>
  </si>
  <si>
    <t>Vitis x interspécifique cv. Seyve-Villard 23-359</t>
  </si>
  <si>
    <t>Vitis x interspécifique cv. Seyve-Villard 23-36</t>
  </si>
  <si>
    <t>Vitis x interspécifique cv. Seyve-Villard 23-369</t>
  </si>
  <si>
    <t>Vitis x interspécifique cv. Seyve-Villard 23-400</t>
  </si>
  <si>
    <t>Vitis x interspécifique cv. Seyve-Villard 23-421</t>
  </si>
  <si>
    <t>Vitis x interspécifique cv. Seyve-Villard 23-501</t>
  </si>
  <si>
    <t>Vitis x interspécifique cv. Seyve-Villard 23-502</t>
  </si>
  <si>
    <t>Vitis x interspécifique cv. Seyve-Villard 23-504</t>
  </si>
  <si>
    <t>Vitis x interspécifique cv. Seyve-Villard 23-510</t>
  </si>
  <si>
    <t>Vitis x interspécifique cv. Seyve-Villard 23-512</t>
  </si>
  <si>
    <t>Vitis x interspécifique cv. Seyve-Villard 23-519</t>
  </si>
  <si>
    <t>Vitis x interspécifique cv. Seyve-Villard 23-545</t>
  </si>
  <si>
    <t>Vitis x interspécifique cv. Seyve-Villard 23-564</t>
  </si>
  <si>
    <t>Vitis x interspécifique cv. Seyve-Villard 23-841</t>
  </si>
  <si>
    <t>Vitis x interspécifique cv. Seyve-Villard 23-898</t>
  </si>
  <si>
    <t>Vitis x interspécifique cv. Seyve-Villard 24-280</t>
  </si>
  <si>
    <t>Vitis x interspécifique cv. Seyve-Villard 24-282</t>
  </si>
  <si>
    <t>Vitis x interspécifique cv. Seyve-Villard 24-397</t>
  </si>
  <si>
    <t>Vitis x interspécifique cv. Seyve-Villard 24-418</t>
  </si>
  <si>
    <t>Vitis x interspécifique cv. Seyve-Villard 24-520</t>
  </si>
  <si>
    <t>Vitis x interspécifique cv. Seyve-Villard 24-531</t>
  </si>
  <si>
    <t>Vitis x interspécifique cv. Seyve-Villard 24-535</t>
  </si>
  <si>
    <t>Vitis x interspécifique cv. Seyve-Villard 24-614</t>
  </si>
  <si>
    <t>Vitis x interspécifique cv. Seyve-Villard 26-166</t>
  </si>
  <si>
    <t>Vitis x interspécifique cv. Seyve-Villard 26-205</t>
  </si>
  <si>
    <t>Vitis x interspécifique cv. Seyve-Villard 26-482</t>
  </si>
  <si>
    <t>Vitis x interspécifique cv. Seyve-Villard 26-490</t>
  </si>
  <si>
    <t>Vitis x interspécifique cv. Seyve-Villard 26-924</t>
  </si>
  <si>
    <t>Vitis x interspécifique cv. Seyve-Villard 27-236</t>
  </si>
  <si>
    <t>Vitis x interspécifique cv. Seyve-Villard 27-350</t>
  </si>
  <si>
    <t>Vitis x interspécifique cv. Seyve-Villard 27-531</t>
  </si>
  <si>
    <t>Vitis x interspécifique cv. Seyve-Villard 27-91</t>
  </si>
  <si>
    <t>Vitis x interspécifique cv. Seyve-Villard 28-415</t>
  </si>
  <si>
    <t>Vitis x interspécifique cv. Seyve-Villard 28-497</t>
  </si>
  <si>
    <t>Vitis x interspécifique cv. Seyve-Villard 28-527</t>
  </si>
  <si>
    <t>Vitis x interspécifique cv. Seyve-Villard 28-86</t>
  </si>
  <si>
    <t>Vitis x interspécifique cv. Seyve-Villard 29-399</t>
  </si>
  <si>
    <t>Vitis x interspécifique cv. Seyve-Villard 30-5</t>
  </si>
  <si>
    <t>Vitis x interspécifique cv. Seyve-Villard 30-56</t>
  </si>
  <si>
    <t>Vitis x interspécifique cv. Seyve-Villard 31-358</t>
  </si>
  <si>
    <t>Vitis x interspécifique cv. Seyve-Villard 3-160</t>
  </si>
  <si>
    <t>Vitis x interspécifique cv. Seyve-Villard 33-412</t>
  </si>
  <si>
    <t>Vitis x interspécifique cv. Seyve-Villard 34-211</t>
  </si>
  <si>
    <t>Vitis x interspécifique cv. Seyve-Villard 34-273</t>
  </si>
  <si>
    <t>Vitis x interspécifique cv. Seyve-Villard 36-152</t>
  </si>
  <si>
    <t>Vitis x interspécifique cv. Seyve-Villard 39-229</t>
  </si>
  <si>
    <t>Vitis x interspécifique cv. Seyve-Villard 39-522</t>
  </si>
  <si>
    <t>Vitis x interspécifique cv. Seyve-Villard 39-639</t>
  </si>
  <si>
    <t>Vitis x interspécifique cv. Seyve-Villard 41-471</t>
  </si>
  <si>
    <t>Vitis x interspécifique cv. Seyve-Villard 43-438</t>
  </si>
  <si>
    <t>Vitis x interspécifique cv. Seyve-Villard 45-440</t>
  </si>
  <si>
    <t>Vitis x interspécifique cv. Seyve-Villard 46-215</t>
  </si>
  <si>
    <t>Vitis x interspécifique cv. Seyve-Villard 46-434</t>
  </si>
  <si>
    <t>Vitis x interspécifique cv. Seyve-Villard 5-247</t>
  </si>
  <si>
    <t>Vitis x interspécifique cv. Seyve-Villard 7-111</t>
  </si>
  <si>
    <t>Vitis x interspécifique cv. Seyve-Villard 7-135</t>
  </si>
  <si>
    <t>Vitis x interspécifique cv. Seyve-Villard 7-216</t>
  </si>
  <si>
    <t>Vitis x interspécifique cv. Seyve-Villard 7-235</t>
  </si>
  <si>
    <t>Vitis x interspécifique cv. Siegfried rèbe</t>
  </si>
  <si>
    <t>Vitis x interspécifique cv. Sioux</t>
  </si>
  <si>
    <t>Vitis x interspécifique cv. Sirius</t>
  </si>
  <si>
    <t>Vitis x interspécifique cv. Solaris</t>
  </si>
  <si>
    <t>Vitis x interspécifique cv. Solonis</t>
  </si>
  <si>
    <t>Vitis x interspécifique cv. Solonis x Goldriesling</t>
  </si>
  <si>
    <t>Vitis x interspécifique cv. Sori = 353 Geisenheim</t>
  </si>
  <si>
    <t>Vitis x interspécifique cv. SO4 = Sélection Oppenheim 4</t>
  </si>
  <si>
    <t>Vitis x interspécifique cv. Staufer</t>
  </si>
  <si>
    <t>Vitis x interspécifique cv. Sulima</t>
  </si>
  <si>
    <t>Vitis x interspécifique cv. Super 99 Richter</t>
  </si>
  <si>
    <t>Vitis x interspécifique cv. Superbe</t>
  </si>
  <si>
    <t>Vitis x interspécifique cv. Surfin blanc</t>
  </si>
  <si>
    <t>Vitis x interspécifique cv. Sylvestre Warre</t>
  </si>
  <si>
    <t>Vitis x interspécifique cv. Takao</t>
  </si>
  <si>
    <t>Vitis x interspécifique cv. Tank = Couderc 4401</t>
  </si>
  <si>
    <t>Vitis x interspécifique cv. Téhère doré = Tissier Ravat 578</t>
  </si>
  <si>
    <t>Vitis x interspécifique cv. Teleki 10 A</t>
  </si>
  <si>
    <t>Vitis x interspécifique cv. Teresa Pirovano = Pirovano 192</t>
  </si>
  <si>
    <t>Vitis x interspécifique cv. Termidoro = Pirovano 33</t>
  </si>
  <si>
    <t>Vitis x interspécifique cv. Terzi 1</t>
  </si>
  <si>
    <t>Vitis x interspécifique cv. Terzi 108-6</t>
  </si>
  <si>
    <t>Vitis x interspécifique cv. Terzi 111-4</t>
  </si>
  <si>
    <t>Vitis x interspécifique cv. Terzi 1-6</t>
  </si>
  <si>
    <t>Vitis x interspécifique cv. Terzi 6-26</t>
  </si>
  <si>
    <t>Vitis x interspécifique cv. Terzi 6-6</t>
  </si>
  <si>
    <t>Vitis x interspécifique cv. Terzi 72-6</t>
  </si>
  <si>
    <t>Vitis x interspécifique cv. Terzi 78-13</t>
  </si>
  <si>
    <t>Vitis x interspécifique cv. Tinctarel n° 2 = Galibert 182-15</t>
  </si>
  <si>
    <t>Vitis x interspécifique cv. Tinctarel N°1 = Galibert 182-14</t>
  </si>
  <si>
    <t>Vitis x interspécifique cv. Tôtmur = Baco 2-16</t>
  </si>
  <si>
    <t>Vitis x interspécifique cv. Tréblanc</t>
  </si>
  <si>
    <t>Vitis x interspécifique cv. Triomphe d'Alsace = Kühlmann 319-3</t>
  </si>
  <si>
    <t>Vitis x interspécifique cv. Union Village</t>
  </si>
  <si>
    <t>Vitis x interspécifique cv. Uvade blanche n° 1 = Galibert 221-32</t>
  </si>
  <si>
    <t>Vitis x interspécifique cv. Uvade blanche n° 3 = Galibert 223-61</t>
  </si>
  <si>
    <t>Vitis x interspécifique cv. Uvade blanche n°2 = Galibert 223-59</t>
  </si>
  <si>
    <t>Vitis x interspécifique cv. Uvade blanche n°4 = Galibert 223-77</t>
  </si>
  <si>
    <t>Vitis x interspécifique cv. Uvanère</t>
  </si>
  <si>
    <t>Vitis x interspécifique cv. Uvette blanche n°1 = Galibert 239-41</t>
  </si>
  <si>
    <t>Vitis x interspécifique cv. Uvette blanche n°2 = Galibert 239-44</t>
  </si>
  <si>
    <t>Vitis x interspécifique cv. Uvette dorée n°1 = Galibert 230-91</t>
  </si>
  <si>
    <t>Vitis x interspécifique cv. Uvette dorée n°2 = Galibert 238-70</t>
  </si>
  <si>
    <t>Vitis x interspécifique cv. Uvine</t>
  </si>
  <si>
    <t>Vitis x interspécifique cv. V 15</t>
  </si>
  <si>
    <t>Vitis x interspécifique cv. Valérien = Seyve-Villard 23-410</t>
  </si>
  <si>
    <t>Vitis x interspécifique cv. Varousset = Seyve-Villard 23-657</t>
  </si>
  <si>
    <t>Vitis x interspécifique cv. Venango</t>
  </si>
  <si>
    <t>Vitis x interspécifique cv. Vialla</t>
  </si>
  <si>
    <t>Vitis x interspécifique cv. Victoire = Kühlmann 272-1</t>
  </si>
  <si>
    <t>Vitis x interspécifique cv. Vidal 254</t>
  </si>
  <si>
    <t>Vitis x interspécifique cv. Vidal 256</t>
  </si>
  <si>
    <t>Vitis x interspécifique cv. Vidal 286</t>
  </si>
  <si>
    <t>Vitis x interspécifique cv. Villard blanc = Seyve-Villard 12-375</t>
  </si>
  <si>
    <t>Vitis x interspécifique cv. Villard noir = Seyve-Villard 18-315</t>
  </si>
  <si>
    <t>Vitis x interspécifique cv. vinifera x aestivalis</t>
  </si>
  <si>
    <t>Vitis x interspécifique cv. vinifera x aestivalis x labrusca</t>
  </si>
  <si>
    <t>Vitis x interspécifique cv. vinifera x berlandieri</t>
  </si>
  <si>
    <t>Vitis x interspécifique cv. vinifera x californica</t>
  </si>
  <si>
    <t>Vitis x interspécifique cv. Vosgien</t>
  </si>
  <si>
    <t>Vitis x interspécifique cv. Wilhelma 1</t>
  </si>
  <si>
    <t>Vitis x interspécifique cv. Wilson grape = Kühlmann 252-1</t>
  </si>
  <si>
    <t>Vitis x interspécifique cv. 10-11</t>
  </si>
  <si>
    <t>Vitis x interspécifique cv. 101-14 MGT = Millardet et de Grasset 101-14</t>
  </si>
  <si>
    <t>Vitis x interspécifique cv. 102 EM</t>
  </si>
  <si>
    <t>Vitis x interspécifique cv. 10-5</t>
  </si>
  <si>
    <t>Vitis x interspécifique cv. 110 R = Richter 110</t>
  </si>
  <si>
    <t>Vitis x interspécifique cv. 1103 Pa = Paulsen 1103</t>
  </si>
  <si>
    <t>Vitis x interspécifique cv. 125 AA = Kober 125 AA</t>
  </si>
  <si>
    <t>Vitis x interspécifique cv. 136 EM</t>
  </si>
  <si>
    <t>Vitis x interspécifique cv. 140 Ru = Ruggeri 140</t>
  </si>
  <si>
    <t>Vitis x interspécifique cv. 142 EM</t>
  </si>
  <si>
    <t>Vitis x interspécifique cv. 1447 Pa = Paulsen 1447</t>
  </si>
  <si>
    <t>Vitis x interspécifique cv. 161-49 C = Couderc 161-49</t>
  </si>
  <si>
    <t>Vitis x interspécifique cv. 1616 C = Couderc 1616</t>
  </si>
  <si>
    <t>Vitis x interspécifique cv. 196-17 Cl = Castel 196-17</t>
  </si>
  <si>
    <t>Vitis x interspécifique cv. 216-3 Cl = Castel 216-3</t>
  </si>
  <si>
    <t>Vitis x interspécifique cv. 33 EM</t>
  </si>
  <si>
    <t>Vitis x interspécifique cv. 3309 C = Couderc 3309</t>
  </si>
  <si>
    <t>Vitis x interspécifique cv. 333 EM = 333 Ecole de Montpellier</t>
  </si>
  <si>
    <t>Vitis x interspécifique cv. 34 EM = 34 Ecole de Montpellier</t>
  </si>
  <si>
    <t>Vitis x interspécifique cv. 4010 Cl = Castel 4010</t>
  </si>
  <si>
    <t>Vitis x interspécifique cv. 41 B = Millardet et de Grasset 41 B</t>
  </si>
  <si>
    <t>Vitis x interspécifique cv. 420 A = Millardet et de Grasset 420 A</t>
  </si>
  <si>
    <t>Vitis x interspécifique cv. 420 Foex</t>
  </si>
  <si>
    <t>Vitis x interspécifique cv. 44-53 Ma = Malègue 44-53</t>
  </si>
  <si>
    <t>Vitis x interspécifique cv. 45 EM</t>
  </si>
  <si>
    <t>Vitis x interspécifique cv. 5 BB = Téléki sélection Kober 5 BB</t>
  </si>
  <si>
    <t>Vitis x interspécifique cv. 5 BB Evin</t>
  </si>
  <si>
    <t>Vitis x interspécifique cv. 5 BB Grimaud</t>
  </si>
  <si>
    <t>Vitis x interspécifique cv. 5 BB Tramier 2</t>
  </si>
  <si>
    <t>Vitis x interspécifique cv. 5 BB Trilobé</t>
  </si>
  <si>
    <t>Vitis x interspécifique cv. 5 C = Téléki 5 C</t>
  </si>
  <si>
    <t>Vitis x interspécifique cv. 503 Barr</t>
  </si>
  <si>
    <t>Vitis x interspécifique cv. 59 B</t>
  </si>
  <si>
    <t>Vitis x interspécifique cv. 6-23</t>
  </si>
  <si>
    <t>Vitis x interspécifique cv. 7-13</t>
  </si>
  <si>
    <t>Vitis x interspécifique cv. 7-16</t>
  </si>
  <si>
    <t>Vitis x interspécifique cv. 8 B = Téléki B</t>
  </si>
  <si>
    <t>Vitis x interspécifique cv. 8 B clone A</t>
  </si>
  <si>
    <t>Vitis x interspécifique cv. 8 B Faux</t>
  </si>
  <si>
    <t>Vitis x interspécifique cv. 8 B Femelle</t>
  </si>
  <si>
    <t>Vitis x interspécifique cv. 8 B Ferrari</t>
  </si>
  <si>
    <t>Vitis x interspécifique cv. 8-5</t>
  </si>
  <si>
    <t>Vitis x interspécifique cv. 99 R = Richter 99</t>
  </si>
  <si>
    <t>Vitis yanshanensis J.X.Chen</t>
  </si>
  <si>
    <t>Zea L.</t>
  </si>
  <si>
    <t>Zea mays L.</t>
  </si>
  <si>
    <t>Zinnia elegans</t>
  </si>
  <si>
    <t>Dugué</t>
  </si>
  <si>
    <t>Damien</t>
  </si>
  <si>
    <t>ddugue@ragt.fr</t>
  </si>
  <si>
    <t>RAGT R2n</t>
  </si>
  <si>
    <t>Dublianski</t>
  </si>
  <si>
    <t>Gaspard</t>
  </si>
  <si>
    <t>Gesunder</t>
  </si>
  <si>
    <t>Gorczanski</t>
  </si>
  <si>
    <t>Lembkes</t>
  </si>
  <si>
    <t>Major</t>
  </si>
  <si>
    <t>Markus</t>
  </si>
  <si>
    <t>Matador</t>
  </si>
  <si>
    <t>Moldavia</t>
  </si>
  <si>
    <t>Oleski</t>
  </si>
  <si>
    <t>Orléans</t>
  </si>
  <si>
    <t>Polux</t>
  </si>
  <si>
    <t>Prerouska</t>
  </si>
  <si>
    <t>Ramses</t>
  </si>
  <si>
    <t>Rapol</t>
  </si>
  <si>
    <t>Sinus</t>
  </si>
  <si>
    <t>Titus</t>
  </si>
  <si>
    <t>Tonus</t>
  </si>
  <si>
    <t>Victor</t>
  </si>
  <si>
    <t>Zeruca</t>
  </si>
  <si>
    <t>Askari</t>
  </si>
  <si>
    <t>Aztec</t>
  </si>
  <si>
    <t>Belinda</t>
  </si>
  <si>
    <t>Beryl</t>
  </si>
  <si>
    <t>Brink</t>
  </si>
  <si>
    <t>Constable</t>
  </si>
  <si>
    <t>Doral</t>
  </si>
  <si>
    <t>Emil</t>
  </si>
  <si>
    <t>Expander</t>
  </si>
  <si>
    <t>Janpol</t>
  </si>
  <si>
    <t>Korina</t>
  </si>
  <si>
    <t>Kurander</t>
  </si>
  <si>
    <t>Lesira</t>
  </si>
  <si>
    <t>Ligora</t>
  </si>
  <si>
    <t>Primor</t>
  </si>
  <si>
    <t>Rafal</t>
  </si>
  <si>
    <t>Start</t>
  </si>
  <si>
    <t>Valdor</t>
  </si>
  <si>
    <t>Adriana</t>
  </si>
  <si>
    <t>Akamar</t>
  </si>
  <si>
    <t>Alesi</t>
  </si>
  <si>
    <t>Aligator</t>
  </si>
  <si>
    <t>Amber</t>
  </si>
  <si>
    <t>Ariana</t>
  </si>
  <si>
    <t>Atlantic</t>
  </si>
  <si>
    <t>Aurum</t>
  </si>
  <si>
    <t>Bellini</t>
  </si>
  <si>
    <t>Boston</t>
  </si>
  <si>
    <t>Caddy</t>
  </si>
  <si>
    <t>Campala</t>
  </si>
  <si>
    <t>Canberra</t>
  </si>
  <si>
    <t>Cancan</t>
  </si>
  <si>
    <t>Capitol</t>
  </si>
  <si>
    <t>Capricorn</t>
  </si>
  <si>
    <t>CAPVERT</t>
  </si>
  <si>
    <t>Ceres</t>
  </si>
  <si>
    <t>Chelsi</t>
  </si>
  <si>
    <t>Cheops</t>
  </si>
  <si>
    <t>Courage</t>
  </si>
  <si>
    <t>Darmor</t>
  </si>
  <si>
    <t>Doublol</t>
  </si>
  <si>
    <t>Ecrin</t>
  </si>
  <si>
    <t>Eleonore</t>
  </si>
  <si>
    <t>Escort</t>
  </si>
  <si>
    <t>Evri</t>
  </si>
  <si>
    <t>Frederic</t>
  </si>
  <si>
    <t>Goeland</t>
  </si>
  <si>
    <t>Grizzly</t>
  </si>
  <si>
    <t>Ibex</t>
  </si>
  <si>
    <t>Idol</t>
  </si>
  <si>
    <t>Inca</t>
  </si>
  <si>
    <t>Jetton</t>
  </si>
  <si>
    <t>Kadore</t>
  </si>
  <si>
    <t>Kosto</t>
  </si>
  <si>
    <t>Lewis</t>
  </si>
  <si>
    <t>Liberator</t>
  </si>
  <si>
    <t>Licorne</t>
  </si>
  <si>
    <t>Lioness</t>
  </si>
  <si>
    <t>Liporta</t>
  </si>
  <si>
    <t>Lirabon</t>
  </si>
  <si>
    <t>Lirajet</t>
  </si>
  <si>
    <t>Madrigal</t>
  </si>
  <si>
    <t>Makila</t>
  </si>
  <si>
    <t>Mar</t>
  </si>
  <si>
    <t>Milena</t>
  </si>
  <si>
    <t>Montego</t>
  </si>
  <si>
    <t>Navajo</t>
  </si>
  <si>
    <t>Oase</t>
  </si>
  <si>
    <t>Olymp</t>
  </si>
  <si>
    <t>PAYROL</t>
  </si>
  <si>
    <t>Pollen</t>
  </si>
  <si>
    <t>Potomac</t>
  </si>
  <si>
    <t>Prince</t>
  </si>
  <si>
    <t>Recital</t>
  </si>
  <si>
    <t>Remy</t>
  </si>
  <si>
    <t>Rocket</t>
  </si>
  <si>
    <t>Roxet</t>
  </si>
  <si>
    <t>Sahara</t>
  </si>
  <si>
    <t>Salomont</t>
  </si>
  <si>
    <t>Shogun</t>
  </si>
  <si>
    <t>TAROX</t>
  </si>
  <si>
    <t>Tenor</t>
  </si>
  <si>
    <t>TOR</t>
  </si>
  <si>
    <t>Tradition</t>
  </si>
  <si>
    <t>Twister</t>
  </si>
  <si>
    <t>Zorro</t>
  </si>
  <si>
    <t>Kromerska1-DS1</t>
  </si>
  <si>
    <t>Madora2-DS3</t>
  </si>
  <si>
    <t>Madora3-DS1</t>
  </si>
  <si>
    <t>Regal2-DS1</t>
  </si>
  <si>
    <t>Sarepta</t>
  </si>
  <si>
    <t>Bristol</t>
  </si>
  <si>
    <t>Tosca</t>
  </si>
  <si>
    <t>Aviso</t>
  </si>
  <si>
    <t>Jupiter</t>
  </si>
  <si>
    <t>Quinta</t>
  </si>
  <si>
    <t>ESASTRID</t>
  </si>
  <si>
    <t>Mohican</t>
  </si>
  <si>
    <t>ESC1132</t>
  </si>
  <si>
    <t>ADRIANA</t>
  </si>
  <si>
    <t>AMILLIA</t>
  </si>
  <si>
    <t>ANGELINA</t>
  </si>
  <si>
    <t>COOPER</t>
  </si>
  <si>
    <t>LADOGA</t>
  </si>
  <si>
    <t>MANITOBA</t>
  </si>
  <si>
    <t>OKAPI</t>
  </si>
  <si>
    <t>ONTARIO</t>
  </si>
  <si>
    <t>PAMELA</t>
  </si>
  <si>
    <t>TASMAN</t>
  </si>
  <si>
    <t>Maccarena</t>
  </si>
  <si>
    <t>RAGT-01</t>
  </si>
  <si>
    <t>RAGT-02</t>
  </si>
  <si>
    <t>RAGT-03</t>
  </si>
  <si>
    <t>RAGT-04</t>
  </si>
  <si>
    <t>RAGT-05</t>
  </si>
  <si>
    <t>RAGT-06</t>
  </si>
  <si>
    <t>RAGT-07</t>
  </si>
  <si>
    <t>RAGT-08</t>
  </si>
  <si>
    <t>RAGT-09</t>
  </si>
  <si>
    <t>RAGT-10</t>
  </si>
  <si>
    <t>SYN01</t>
  </si>
  <si>
    <t>SYN02</t>
  </si>
  <si>
    <t>SYN03</t>
  </si>
  <si>
    <t>SYN04</t>
  </si>
  <si>
    <t>SYN05</t>
  </si>
  <si>
    <t>SYN06</t>
  </si>
  <si>
    <t>SYN07</t>
  </si>
  <si>
    <t>SYN08</t>
  </si>
  <si>
    <t>SYN09</t>
  </si>
  <si>
    <t>SYN10</t>
  </si>
  <si>
    <t>RAGT-13</t>
  </si>
  <si>
    <t>RAGT-14</t>
  </si>
  <si>
    <t>RAGT-15</t>
  </si>
  <si>
    <t>SYNG11</t>
  </si>
  <si>
    <t>SYNG12</t>
  </si>
  <si>
    <t>RAPSO_002</t>
  </si>
  <si>
    <t>RAPSO_006</t>
  </si>
  <si>
    <t>RAPSO_008</t>
  </si>
  <si>
    <t>RAPSO_009</t>
  </si>
  <si>
    <t>RAPSO_011</t>
  </si>
  <si>
    <t>RAPSO_013</t>
  </si>
  <si>
    <t>RAPSO_014</t>
  </si>
  <si>
    <t>RAPSO_015</t>
  </si>
  <si>
    <t>RAPSO_017</t>
  </si>
  <si>
    <t>RAPSO_023</t>
  </si>
  <si>
    <t>RAPSO_027</t>
  </si>
  <si>
    <t>RAPSO_029</t>
  </si>
  <si>
    <t>RAPSO_030</t>
  </si>
  <si>
    <t>RAPSO_033</t>
  </si>
  <si>
    <t>RAPSO_035</t>
  </si>
  <si>
    <t>RAPSO_038</t>
  </si>
  <si>
    <t>RAPSO_040</t>
  </si>
  <si>
    <t>RAPSO_041</t>
  </si>
  <si>
    <t>RAPSO_043</t>
  </si>
  <si>
    <t>RAPSO_046</t>
  </si>
  <si>
    <t>RAPSO_050</t>
  </si>
  <si>
    <t>RAPSO_051</t>
  </si>
  <si>
    <t>RAPSO_053</t>
  </si>
  <si>
    <t>RAPSO_057</t>
  </si>
  <si>
    <t>RAPSO_062</t>
  </si>
  <si>
    <t>RAPSO_063</t>
  </si>
  <si>
    <t>RAPSO_064</t>
  </si>
  <si>
    <t>RAPSO_067</t>
  </si>
  <si>
    <t>RAPSO_068</t>
  </si>
  <si>
    <t>RAPSO_070</t>
  </si>
  <si>
    <t>RAPSO_072</t>
  </si>
  <si>
    <t>RAPSO_073</t>
  </si>
  <si>
    <t>RAPSO_075</t>
  </si>
  <si>
    <t>RAPSO_076</t>
  </si>
  <si>
    <t>RAPSO_077</t>
  </si>
  <si>
    <t>RAPSO_080</t>
  </si>
  <si>
    <t>RAPSO_081</t>
  </si>
  <si>
    <t>RAPSO_084</t>
  </si>
  <si>
    <t>RAPSO_085</t>
  </si>
  <si>
    <t>RAPSO_091</t>
  </si>
  <si>
    <t>RAPSO_098</t>
  </si>
  <si>
    <t>RAPSO_099</t>
  </si>
  <si>
    <t>RAPSO_102</t>
  </si>
  <si>
    <t>RAPSO_105</t>
  </si>
  <si>
    <t>RAPSO_108</t>
  </si>
  <si>
    <t>RAPSO_112</t>
  </si>
  <si>
    <t>RAPSO_115</t>
  </si>
  <si>
    <t>RAPSO_122</t>
  </si>
  <si>
    <t>RAPSO_124</t>
  </si>
  <si>
    <t>RAPSO_125</t>
  </si>
  <si>
    <t>RAPSO_128</t>
  </si>
  <si>
    <t>RAPSO_130</t>
  </si>
  <si>
    <t>RAPSO_131</t>
  </si>
  <si>
    <t>RAPSO_132</t>
  </si>
  <si>
    <t>RAPSO_135</t>
  </si>
  <si>
    <t>RAPSO_138</t>
  </si>
  <si>
    <t>RAPSO_139</t>
  </si>
  <si>
    <t>RAPSO_140</t>
  </si>
  <si>
    <t>RAPSO_144</t>
  </si>
  <si>
    <t>RAPSO_146</t>
  </si>
  <si>
    <t>RAPSO_148</t>
  </si>
  <si>
    <t>RAPSO_152</t>
  </si>
  <si>
    <t>RAPSO_154</t>
  </si>
  <si>
    <t>RAPSO_155</t>
  </si>
  <si>
    <t>RAPSO_156</t>
  </si>
  <si>
    <t>RAPSO_158</t>
  </si>
  <si>
    <t>RAPSO_160</t>
  </si>
  <si>
    <t>RAPSO_162</t>
  </si>
  <si>
    <t>RAPSO_165</t>
  </si>
  <si>
    <t>RAPSO_167</t>
  </si>
  <si>
    <t>RAPSO_168</t>
  </si>
  <si>
    <t>RAPSO_171</t>
  </si>
  <si>
    <t>RAPSO_174</t>
  </si>
  <si>
    <t>RAPSO_175</t>
  </si>
  <si>
    <t>RAPSO_176</t>
  </si>
  <si>
    <t>RAPSO_178</t>
  </si>
  <si>
    <t>RAPSO_180</t>
  </si>
  <si>
    <t>RAPSO_181</t>
  </si>
  <si>
    <t>RAPSO_187</t>
  </si>
  <si>
    <t>RAPSO_190</t>
  </si>
  <si>
    <t>RAPSO_193</t>
  </si>
  <si>
    <t>RAPSO_199</t>
  </si>
  <si>
    <t>RAPSO_202</t>
  </si>
  <si>
    <t>RAPSO_203</t>
  </si>
  <si>
    <t>RAPSO_207</t>
  </si>
  <si>
    <t>RAPSO_208</t>
  </si>
  <si>
    <t>RAPSO_209</t>
  </si>
  <si>
    <t>RAPSO_213</t>
  </si>
  <si>
    <t>RAPSO_215</t>
  </si>
  <si>
    <t>RAPSO_216</t>
  </si>
  <si>
    <t>RAPSO_219</t>
  </si>
  <si>
    <t>RAPSO_220</t>
  </si>
  <si>
    <t>RAPSO_222</t>
  </si>
  <si>
    <t>RAPSO_226</t>
  </si>
  <si>
    <t>RAPSO_227</t>
  </si>
  <si>
    <t>RAPSO_230</t>
  </si>
  <si>
    <t>RAPSO_231</t>
  </si>
  <si>
    <t>RAPSO_232</t>
  </si>
  <si>
    <t>RAPSO_234</t>
  </si>
  <si>
    <t>RAPSO_235</t>
  </si>
  <si>
    <t>RAPSO_238</t>
  </si>
  <si>
    <t>RAPSO_243</t>
  </si>
  <si>
    <t>RAPSO_245</t>
  </si>
  <si>
    <t>RAPSO_246</t>
  </si>
  <si>
    <t>RAPSO_248</t>
  </si>
  <si>
    <t>RAPSO_251</t>
  </si>
  <si>
    <t>RAPSO_253</t>
  </si>
  <si>
    <t>RAPSO_254</t>
  </si>
  <si>
    <t>RAPSO_256</t>
  </si>
  <si>
    <t>RAPSO_258</t>
  </si>
  <si>
    <t>RAPSO_259</t>
  </si>
  <si>
    <t>RAPSO_260</t>
  </si>
  <si>
    <t>RAPSO_261</t>
  </si>
  <si>
    <t>RAPSO_263</t>
  </si>
  <si>
    <t>RAPSO_265</t>
  </si>
  <si>
    <t>RAPSO_266</t>
  </si>
  <si>
    <t>RAPSO_267</t>
  </si>
  <si>
    <t>RAPSO_270</t>
  </si>
  <si>
    <t>RAPSO_271</t>
  </si>
  <si>
    <t>RAPSO_273</t>
  </si>
  <si>
    <t>RAPSO_277</t>
  </si>
  <si>
    <t>RAPSO_278</t>
  </si>
  <si>
    <t>RAPSO_281</t>
  </si>
  <si>
    <t>RAPSO_282</t>
  </si>
  <si>
    <t>RAPSO_292</t>
  </si>
  <si>
    <t>RAPSO_335</t>
  </si>
  <si>
    <t>RAPSO_342</t>
  </si>
  <si>
    <t>RAPSO_343</t>
  </si>
  <si>
    <t>RAPSO_356</t>
  </si>
  <si>
    <t>RAPSO_363</t>
  </si>
  <si>
    <t>RAPSO_368</t>
  </si>
  <si>
    <t>RAPSO_375</t>
  </si>
  <si>
    <t>RAPSO_382</t>
  </si>
  <si>
    <t>RAPSO_387</t>
  </si>
  <si>
    <t>RAPSO_395</t>
  </si>
  <si>
    <t>RAPSO_402</t>
  </si>
  <si>
    <t>RAPSO_406</t>
  </si>
  <si>
    <t>RAPSO_411</t>
  </si>
  <si>
    <t>RAPSO_415</t>
  </si>
  <si>
    <t>RAPSO_418</t>
  </si>
  <si>
    <t>RAPSO_419</t>
  </si>
  <si>
    <t>RAPSO_430</t>
  </si>
  <si>
    <t>RAPSO_437</t>
  </si>
  <si>
    <t>RAPSO_456</t>
  </si>
  <si>
    <t>BRA_005</t>
  </si>
  <si>
    <t>BRA_006</t>
  </si>
  <si>
    <t>BRA_007</t>
  </si>
  <si>
    <t>BRA_008</t>
  </si>
  <si>
    <t>BRA_009</t>
  </si>
  <si>
    <t>BRA_010</t>
  </si>
  <si>
    <t>BRA_011</t>
  </si>
  <si>
    <t>MP001</t>
  </si>
  <si>
    <t>MP003</t>
  </si>
  <si>
    <t>RAPSO_294</t>
  </si>
  <si>
    <t>RAPSO_295</t>
  </si>
  <si>
    <t>RAPSO_296</t>
  </si>
  <si>
    <t>RAPSO_297</t>
  </si>
  <si>
    <t>RAPSO_298</t>
  </si>
  <si>
    <t>RAPSO_299</t>
  </si>
  <si>
    <t>RAPSO_300</t>
  </si>
  <si>
    <t>RAPSO_301</t>
  </si>
  <si>
    <t>RAPSO_302</t>
  </si>
  <si>
    <t>RAPSO_303</t>
  </si>
  <si>
    <t>RAPSO_304</t>
  </si>
  <si>
    <t>RAPSO_305</t>
  </si>
  <si>
    <t>RAPSO_306</t>
  </si>
  <si>
    <t>RAPSO_307</t>
  </si>
  <si>
    <t>RAPSO_308</t>
  </si>
  <si>
    <t>RAPSO_309</t>
  </si>
  <si>
    <t>RAPSO_310</t>
  </si>
  <si>
    <t>RAPSO_311</t>
  </si>
  <si>
    <t>RAPSO_312</t>
  </si>
  <si>
    <t>RAPSO_313</t>
  </si>
  <si>
    <t>RAPSO_314</t>
  </si>
  <si>
    <t>RAPSO_315</t>
  </si>
  <si>
    <t>RAPSO_316</t>
  </si>
  <si>
    <t>RAPSO_317</t>
  </si>
  <si>
    <t>RAPSO_318</t>
  </si>
  <si>
    <t>RAPSO_319</t>
  </si>
  <si>
    <t>RAPSO_320</t>
  </si>
  <si>
    <t>RAPSO_321</t>
  </si>
  <si>
    <t>RAPSO_322</t>
  </si>
  <si>
    <t>RAPSO_323</t>
  </si>
  <si>
    <t>RAPSO_324</t>
  </si>
  <si>
    <t>RAPSO_325</t>
  </si>
  <si>
    <t>RAPSO_326</t>
  </si>
  <si>
    <t>RAPSO_327</t>
  </si>
  <si>
    <t>RAPSO_328</t>
  </si>
  <si>
    <t>RAPSO_329</t>
  </si>
  <si>
    <t>RAPSO_330</t>
  </si>
  <si>
    <t>RAPSO_331</t>
  </si>
  <si>
    <t>RAPSO_332</t>
  </si>
  <si>
    <t>RAPSO_333</t>
  </si>
  <si>
    <t>RAPSO_334</t>
  </si>
  <si>
    <t>RAPSO_470</t>
  </si>
  <si>
    <t>RAPSO_471</t>
  </si>
  <si>
    <t>RAPSO_472</t>
  </si>
  <si>
    <t>RAPSO_473</t>
  </si>
  <si>
    <t>RAPSO_476</t>
  </si>
  <si>
    <t>RAPSO_477</t>
  </si>
  <si>
    <t>RAPSO_478</t>
  </si>
  <si>
    <t>RAPSO_479</t>
  </si>
  <si>
    <t>RAPSO_480</t>
  </si>
  <si>
    <t>Alsace 1360</t>
  </si>
  <si>
    <t>Fertodi elit</t>
  </si>
  <si>
    <t>Goldgelber Zarter Butter</t>
  </si>
  <si>
    <t>Gross Luzewiter</t>
  </si>
  <si>
    <t>Olquell Gulzover</t>
  </si>
  <si>
    <t>QuedLinburger Platzfester</t>
  </si>
  <si>
    <t>Bienvenu - R33</t>
  </si>
  <si>
    <t>Bolko - POH 285</t>
  </si>
  <si>
    <t>NSL 96-25</t>
  </si>
  <si>
    <t>SW Gospel</t>
  </si>
  <si>
    <t xml:space="preserve">MANSHOLTS </t>
  </si>
  <si>
    <t xml:space="preserve">BLAGODATNYI </t>
  </si>
  <si>
    <t xml:space="preserve">CETMEKI </t>
  </si>
  <si>
    <t xml:space="preserve">DEBRUDER DIPPES </t>
  </si>
  <si>
    <t xml:space="preserve">EZSTERHAZY N.ST </t>
  </si>
  <si>
    <t xml:space="preserve">HOCHZUCHT REPOLE </t>
  </si>
  <si>
    <t xml:space="preserve">KOMBI </t>
  </si>
  <si>
    <t xml:space="preserve">KORMOVOI SKRIVERSKYI </t>
  </si>
  <si>
    <t xml:space="preserve">LJUBLANA </t>
  </si>
  <si>
    <t xml:space="preserve">MYTNINSKYI-2 </t>
  </si>
  <si>
    <t xml:space="preserve">NIEDERARNBACHER </t>
  </si>
  <si>
    <t xml:space="preserve">NOVOCHARTORYISKYI </t>
  </si>
  <si>
    <t xml:space="preserve">RANGI </t>
  </si>
  <si>
    <t xml:space="preserve">SNITYNSKYI </t>
  </si>
  <si>
    <t xml:space="preserve">KRASNODARSKYI </t>
  </si>
  <si>
    <t>ES-AGATHA</t>
  </si>
  <si>
    <t>ES-ALEGRIA</t>
  </si>
  <si>
    <t>ES-ALIENOR</t>
  </si>
  <si>
    <t>ES-CENTAURE</t>
  </si>
  <si>
    <t>ES-CUBIC</t>
  </si>
  <si>
    <t>ES-ANTONIA</t>
  </si>
  <si>
    <t>ES-BRAVA</t>
  </si>
  <si>
    <t>ES-VENUS</t>
  </si>
  <si>
    <t>ES-VIPER</t>
  </si>
  <si>
    <t>LE 1</t>
  </si>
  <si>
    <t>LE 2</t>
  </si>
  <si>
    <t>ALPAGA</t>
  </si>
  <si>
    <t>Prot_Yield</t>
  </si>
  <si>
    <t>Oil_Yield</t>
  </si>
  <si>
    <t>CROP</t>
  </si>
  <si>
    <t>Crop</t>
  </si>
  <si>
    <t>Seed_Impurities</t>
  </si>
  <si>
    <t>Glucosinolates</t>
  </si>
  <si>
    <t>KRASNODARSKYI</t>
  </si>
  <si>
    <t>RANGI</t>
  </si>
  <si>
    <t>NOVOCHARTORYISKYI</t>
  </si>
  <si>
    <t>MYTNINSKYI-2</t>
  </si>
  <si>
    <t>LJUBLANA</t>
  </si>
  <si>
    <t>KOMBI</t>
  </si>
  <si>
    <t>CETMEKI</t>
  </si>
  <si>
    <t>BLAGODATNYI</t>
  </si>
  <si>
    <t>MANSHOLTS</t>
  </si>
  <si>
    <t>NIEDERARNBACHER</t>
  </si>
  <si>
    <t>SNITYNSKYI</t>
  </si>
  <si>
    <t>PLANTDENS</t>
  </si>
  <si>
    <t>Plant_Density</t>
  </si>
  <si>
    <t xml:space="preserve">Number of viable plants counted per surface unit. </t>
  </si>
  <si>
    <t>Plant nb.m-²</t>
  </si>
  <si>
    <t>Count the number of plants on linear sections defined in each sowing line at the exception of the border lines.  PLANTDENS = (Total nb of plants counted) / (Ls x Nc x E). Where Ls = length of a linear section in m (1 m or more when plant density is variable within a plot),                                                                                                                    Nc = nb of sowing lines chosen for plant counting, E = inter-line spacing.</t>
  </si>
  <si>
    <t>REGSTAND</t>
  </si>
  <si>
    <t>Regularity_Stand</t>
  </si>
  <si>
    <t>Scoring of the regularity of the plant stand.</t>
  </si>
  <si>
    <t>Note</t>
  </si>
  <si>
    <t>Visual notations (scale 0 - 9). 0 = NA, 1 = high irregular, 3 = irregular, 5 = moderately regular, 7 = regular, 9 = perfectly regular.</t>
  </si>
  <si>
    <t>PLOTHARVEST</t>
  </si>
  <si>
    <t>Plot_Harvest_Weight</t>
  </si>
  <si>
    <t>Weight (kg) of raw materials harvested by plot.</t>
  </si>
  <si>
    <t xml:space="preserve">A measurement of the amount (in kg) of raw material that was harvested per plot as determined by on-board weighing on the harvester. </t>
  </si>
  <si>
    <t>HI</t>
  </si>
  <si>
    <t>Harvest_Index</t>
  </si>
  <si>
    <t>Proportion of seed biomass respect to the total plant biomass (including shoot and root).</t>
  </si>
  <si>
    <t>Collect plants over 1 m2, separate the plants into 3 fractions as follows: shoots + pods, seeds and roots. Samples are dried at 70°C for 48 hrs and then immediately weighted to get the dry weight of each fraction.                                                                                                        HI = (Seed DW / Total DW ) x 100</t>
  </si>
  <si>
    <t>NHI</t>
  </si>
  <si>
    <t>Nitrogen_Harvest_Index</t>
  </si>
  <si>
    <t>Proportion of N accumulated in seed to N accumulated in the total plant (including shoot and root).</t>
  </si>
  <si>
    <t>Samples from HI assay are analysed for N_%DW in the different fractions.                                                                                                                               NHI = (N_%DW_Seed / N_%DW_Plant) x 100</t>
  </si>
  <si>
    <t>Oil yield per ha.</t>
  </si>
  <si>
    <t>q.ha-1</t>
  </si>
  <si>
    <t xml:space="preserve"> OY = (O x SY) </t>
  </si>
  <si>
    <t>PLOTSURF</t>
  </si>
  <si>
    <t>Plot_Surface</t>
  </si>
  <si>
    <t>Surface of the elementary experimental plot.</t>
  </si>
  <si>
    <t>Surface is determined by the experimental design.                                                              PLOTSURF = L x N x E. Where L = length of the sowing line, N = Nb of sowing lines, E = inter-line spacing.</t>
  </si>
  <si>
    <t>PODSHAT</t>
  </si>
  <si>
    <t>Pod_shattering</t>
  </si>
  <si>
    <t>Scoring of pods open just before harvest.</t>
  </si>
  <si>
    <t>Visual notations (scale 0 - 9). 0 = NA, 1 = high PODSHAT &gt; 90%, 3 = 60-90%, 5 = 30-60%, 7 = 10-30%, 9 = &lt; 10%.</t>
  </si>
  <si>
    <t>Protein yield per ha.</t>
  </si>
  <si>
    <t xml:space="preserve"> PrY = (Pr x SY) </t>
  </si>
  <si>
    <t>Seed_Nb_Surface</t>
  </si>
  <si>
    <t>Number of seeds per square meter.</t>
  </si>
  <si>
    <t>Seed nb.m-²</t>
  </si>
  <si>
    <t xml:space="preserve"> SN = (SY / TSW) x 10000</t>
  </si>
  <si>
    <t xml:space="preserve">Seed_Yield_q/ha  </t>
  </si>
  <si>
    <t>Weight (q) of seeds that was harvested per ha calculated with moisture and impurity contents at 0% each.</t>
  </si>
  <si>
    <t xml:space="preserve"> SY = (PLOTHARVEST / PLOTSURF) x (((100 - SEEDH2O_HARV or LAB)/100) x ((100 - SEEDIMPUR)/100)) x 100</t>
  </si>
  <si>
    <t>SYNORM</t>
  </si>
  <si>
    <t xml:space="preserve">Seed_Yield_Normalized_q/ha  </t>
  </si>
  <si>
    <t>Weight (q) of seeds that was harvested per ha with moisture and impurity contents standardized with commercial values at 9% (SEEDH2ONorm) and 2% (SEEDIMPURNorm) respectively.</t>
  </si>
  <si>
    <t xml:space="preserve"> SYNORM = (PLOTHARVEST / PLOTSURF) x (((100 - SEEDH2O_HARV or LAB)/(100 - SEEDH2ONorm)) x ((100 - SEEDIMPUR)/(100 - SEEDIMPURNorm))) x 100</t>
  </si>
  <si>
    <t>1000_Seed_Weight</t>
  </si>
  <si>
    <t>Determination of the weight of 1000 well-developed mature and dry seeds after harvest.</t>
  </si>
  <si>
    <t>The seed sample for SEEDH2O_LAB determination is used for seed counting (NBSEED_sample) using a precision counter.                                                                   TSW = (SEEDH2O_LAB / NBSEED_sample) x 1000</t>
  </si>
  <si>
    <t>Plant_Size</t>
  </si>
  <si>
    <t>Height of plants in an experimental plot.</t>
  </si>
  <si>
    <t xml:space="preserve">Height is measured from ground to the top of the plants using a dipstick graduated in cm.                                                              </t>
  </si>
  <si>
    <t>GRWSTG_C1</t>
  </si>
  <si>
    <t>Growth_Stage_C1</t>
  </si>
  <si>
    <t>Bolting date when the first inter-node appears, corresponds to growth stage C1 (CETIOM) or 31 (BBCH scale).</t>
  </si>
  <si>
    <t>Nb of calendar days from the 1st of January (+ or - if stage occurs in December).</t>
  </si>
  <si>
    <t xml:space="preserve">Visual notations of the day when growth stage is reached by 50% of the plants in a given plot. </t>
  </si>
  <si>
    <t>GRWSTG_F1</t>
  </si>
  <si>
    <t>Growth_Stage_F1</t>
  </si>
  <si>
    <t>First flowers are open, corresponds to growth stage F1 (CETIOM) or 60 (BBCH scale).</t>
  </si>
  <si>
    <t>Nb of calendar days from the 1st of January.</t>
  </si>
  <si>
    <t>GRWSTG_F2</t>
  </si>
  <si>
    <t>Growth_Stage_F2</t>
  </si>
  <si>
    <t>10% of the flowers are open on the main inflorescence, elongation of the main inflorescence. Corresponds to growth stage F2 (CETIOM) or 61 (BBCH scale).</t>
  </si>
  <si>
    <t>GRWSTG_FLO</t>
  </si>
  <si>
    <t>Growth_Stage_Flowering</t>
  </si>
  <si>
    <t>Additional flowering stages according to the BBCH scale (62-65).</t>
  </si>
  <si>
    <t xml:space="preserve">When GRWSTG_F1 or GWRSTG_F2 are not observed, it is possible to note additional stages according to the BBCH scale such as : 62 = 20% of flowers are open on the main inflorescence, 63 = 30% of flowers are open on the main inflorescence, 64 = 40% of flowers are open on the main inflorescence, 65 = 50% of flowers are open on the main inflorescence (full flowering). Visual notations of the day when growth stage is reached by 50% of the plants in a given plot. </t>
  </si>
  <si>
    <t>GRWSTG_ENDFLO</t>
  </si>
  <si>
    <t>Growth_Stage_End_Flowering</t>
  </si>
  <si>
    <t>End of flowering on the main inflorescence, corresponds to growth stage 69 (BBCH scale).</t>
  </si>
  <si>
    <t>GRWSTG_G1</t>
  </si>
  <si>
    <t>Growth_Stage_G1</t>
  </si>
  <si>
    <t>10% of the pods have reached their final size, flowering of secondary inflorescences. Corresponds to growth stage G1 (CETIOM) or 71 (BBCH scale).</t>
  </si>
  <si>
    <t>GRWSTG_G4</t>
  </si>
  <si>
    <t>Growth_Stage_G4</t>
  </si>
  <si>
    <t>30% of the pods have reached their final size, flowering of secondary inflorescences. Corresponds to growth stage G4 (CETIOM) or 73 (BBCH scale).</t>
  </si>
  <si>
    <t>GRWSTG_PODDEV</t>
  </si>
  <si>
    <t>Growth_Stage_Pod_Development</t>
  </si>
  <si>
    <t>Additional stages for pod development according to the BBCH scale (72-79).</t>
  </si>
  <si>
    <t xml:space="preserve">When GRWSTG_G1 or GWRSTG_G4 are not observed, it is possible to note additional stages according to the BBCH scale such as : 72 = 20% of the pods have reached their final size, 74 = 40%, 75 = 50%, 76 = 60%, 77 = 70%, 78 = 80%, 79 = almost all pods. Visual notations of the day when growth stage is reached by 50% of the plants in a given plot. </t>
  </si>
  <si>
    <t>GRWSTG_G5</t>
  </si>
  <si>
    <t>Growth_Stage_G5</t>
  </si>
  <si>
    <t>10% of the seeds have reached maturity, seeds are brown and hard. Corresponds to growth stage G5 (CETIOM) or 81 (BBCH scale).</t>
  </si>
  <si>
    <t>GRWSTG_PODMATURITY</t>
  </si>
  <si>
    <t>Growth_Stage_Pod_Maturity</t>
  </si>
  <si>
    <t>Additional stages for pod maturity according to the BBCH scale (82-99).</t>
  </si>
  <si>
    <t xml:space="preserve">When GRWSTG_G5 is not observed, it is possible to note additional stages according to the BBCH scale such as : 82 = 20% of the pods have reached maturity and seeds are brown and hard, 83 = 30%, 84 = 40%, 85 = 50%, 86 = 60%, 87 = 70%, 88 = 80%, 89 = pod maturity is complete. Visual notations of the day when growth stage is reached by 50% of the plants in a given plot. </t>
  </si>
  <si>
    <t>EMERG</t>
  </si>
  <si>
    <t>Plant_Emergence</t>
  </si>
  <si>
    <t xml:space="preserve">Percentage of seeds that emerge. </t>
  </si>
  <si>
    <t>Plant counting on a line.                                                                                     EMERG = (Number of plants obtained / Number of seeds sown) x 100</t>
  </si>
  <si>
    <t>ERUCIC</t>
  </si>
  <si>
    <t>Erucic_Acid</t>
  </si>
  <si>
    <t>Content of erucic acid in seeds determined by NIRS.</t>
  </si>
  <si>
    <t>% total fatty acids</t>
  </si>
  <si>
    <t>NIRS assay. XXX calibration.</t>
  </si>
  <si>
    <t>PALMITIC</t>
  </si>
  <si>
    <t xml:space="preserve">Palmitic_Acid </t>
  </si>
  <si>
    <t>Content of palmitic acid in seeds determined by NIRS.</t>
  </si>
  <si>
    <t>STEARIC</t>
  </si>
  <si>
    <t>Stearic_Acid</t>
  </si>
  <si>
    <t>Content of stearic acid in seeds determined by NIRS.</t>
  </si>
  <si>
    <t>OLEIC</t>
  </si>
  <si>
    <t xml:space="preserve">Oleic_Acid </t>
  </si>
  <si>
    <t>Content of oleic acid in seeds determined by NIRS.</t>
  </si>
  <si>
    <t>LINOLEIC</t>
  </si>
  <si>
    <t xml:space="preserve">Linoleic_Acid </t>
  </si>
  <si>
    <t>Content of linoleic acid in seedsdetermined by NIRS.</t>
  </si>
  <si>
    <t>LINOLENIC</t>
  </si>
  <si>
    <t xml:space="preserve">Linolenic_Acid </t>
  </si>
  <si>
    <t>Content of linolenic acid in seeds determined by NIRS.</t>
  </si>
  <si>
    <t>Oil_%</t>
  </si>
  <si>
    <t>Content of oil in seeds determined by NIRS.</t>
  </si>
  <si>
    <t>% of Seed Dry Weight</t>
  </si>
  <si>
    <t>Pr</t>
  </si>
  <si>
    <t>Protein_%</t>
  </si>
  <si>
    <t>Content of proteins in seeds determined by NIRS.</t>
  </si>
  <si>
    <t>GLS</t>
  </si>
  <si>
    <t>Content of glucosinolates in seeds determined by NIRS.</t>
  </si>
  <si>
    <t>μmol.g-1MS</t>
  </si>
  <si>
    <t>SEEDH2O_NIRS</t>
  </si>
  <si>
    <t>Seed_Moisture_NIRS</t>
  </si>
  <si>
    <t>Moisture content in a sample of seeds determined by NIRS.</t>
  </si>
  <si>
    <t>PRMEAL</t>
  </si>
  <si>
    <t>Protein_Meal_%</t>
  </si>
  <si>
    <t>Content of proteins in the meal determined by NIRS.</t>
  </si>
  <si>
    <t>SEEDH2O_HARV</t>
  </si>
  <si>
    <t>Seed_Moisture_Harvest</t>
  </si>
  <si>
    <t>Moisture content in a sample of seeds determined by humiditer.</t>
  </si>
  <si>
    <t>Humidimeter. Rapeseed calibration.</t>
  </si>
  <si>
    <t>SEEDH2O_LAB</t>
  </si>
  <si>
    <t>Seed_Moisture_Lab</t>
  </si>
  <si>
    <t>Moisture content in a sample of cleaned seeds determined by weighing.</t>
  </si>
  <si>
    <t>SEEDIMPUR</t>
  </si>
  <si>
    <t>Percentage of impurities in a sample of seeds determined by weighing.</t>
  </si>
  <si>
    <t xml:space="preserve">Differential weighing. A sample of around 200 grammes of dry mature seeds is weighted before and after cleaning using a column in order to determine the gross weight (GWg) and the net weight (NWg) respectively.                                                                         SEEDIMPUR = ((GWg – NWg) / GWg) x 100 </t>
  </si>
  <si>
    <t>BIOTIC</t>
  </si>
  <si>
    <t>Biotic_Stress</t>
  </si>
  <si>
    <t>Biotic attack during the crop cycle.</t>
  </si>
  <si>
    <t>Comment about all relevant biotic stresses.</t>
  </si>
  <si>
    <t xml:space="preserve">Visual observations. </t>
  </si>
  <si>
    <t>Crop problems during the cycle.</t>
  </si>
  <si>
    <t>Comment about all relevant pbs during the cycle.</t>
  </si>
  <si>
    <t>CLIMATIC</t>
  </si>
  <si>
    <t>Climatic_Stress</t>
  </si>
  <si>
    <t>Climatic incidents during the crop cycle</t>
  </si>
  <si>
    <t>Comment about all relevant abiotic stresses.</t>
  </si>
  <si>
    <t>LODGING</t>
  </si>
  <si>
    <t>Plant_Lodging</t>
  </si>
  <si>
    <t>Scoring of the plant lodging of the plot.</t>
  </si>
  <si>
    <t>Visual notation is attributed to the plants for each plot, taking into account the surface and the intensity of lodging   
 LODGING  =  0 : NA                                                                                                            1 : No lodging                                                                                                                       2 : Culture leaning, without impact                                                                     5 : Average loding, low impact                                                                                    7 : High lodging, serious impact                                                                              9 : Total lodging, compromised harvest</t>
  </si>
  <si>
    <t xml:space="preserve">Differential weighing. A sample of around 5 grammes of cleaned dry mature seeds is weighted before and after drying at 103°C for  15 hours in order to determine the fresh weight (FWg) and the dry weight (DWg) respectively.                                                                                              SEEDH2O_LAB = ((FWg – DWg) / FWg) x 100 </t>
  </si>
  <si>
    <t>PLANTSIZE</t>
  </si>
  <si>
    <t>PLANTDENS_value</t>
  </si>
  <si>
    <t>PLANTDENS_date</t>
  </si>
  <si>
    <t>REGSTAND_value</t>
  </si>
  <si>
    <t>REGSTAND_date</t>
  </si>
  <si>
    <t>PLOTHARVEST_value</t>
  </si>
  <si>
    <t>PLOTHARVEST_date</t>
  </si>
  <si>
    <t>HI_value</t>
  </si>
  <si>
    <t>HI_date</t>
  </si>
  <si>
    <t>NHI_value</t>
  </si>
  <si>
    <t>NHI_date</t>
  </si>
  <si>
    <t>PLOTSURF_value</t>
  </si>
  <si>
    <t>PLOTSURF_date</t>
  </si>
  <si>
    <t>PODSHAT_value</t>
  </si>
  <si>
    <t>PODSHAT_date</t>
  </si>
  <si>
    <t>SY-date</t>
  </si>
  <si>
    <t>SYNORM_value</t>
  </si>
  <si>
    <t>SYNORM_date</t>
  </si>
  <si>
    <t>PLANTSIZE_value</t>
  </si>
  <si>
    <t>PLANTSIZE_date</t>
  </si>
  <si>
    <t>GRWSTG_C1_value</t>
  </si>
  <si>
    <t>GRWSTG_C1_date</t>
  </si>
  <si>
    <t>GRWSTG_F1_value</t>
  </si>
  <si>
    <t>GRWSTG_F1_date</t>
  </si>
  <si>
    <t>GRWSTG_F2_value</t>
  </si>
  <si>
    <t>GRWSTG_F2_date</t>
  </si>
  <si>
    <t>GRWSTG_FLO_value</t>
  </si>
  <si>
    <t>GRWSTG_FLO_date</t>
  </si>
  <si>
    <t>GRWSTG_ENDFLO_value</t>
  </si>
  <si>
    <t>GRWSTG_ENDFLO_date</t>
  </si>
  <si>
    <t>GRWSTG_G1_value</t>
  </si>
  <si>
    <t>GRWSTG_G1_date</t>
  </si>
  <si>
    <t>GRWSTG_G4_value</t>
  </si>
  <si>
    <t>GRWSTG_G4_date</t>
  </si>
  <si>
    <t>GRWSTG_PODDEV_value</t>
  </si>
  <si>
    <t>GRWSTG_PODDEV_date</t>
  </si>
  <si>
    <t>GRWSTG_G5_value</t>
  </si>
  <si>
    <t>GRWSTG_G5_date</t>
  </si>
  <si>
    <t>GRWSTG_PODMATURITY_value</t>
  </si>
  <si>
    <t>GRWSTG_PODMATURITY_date</t>
  </si>
  <si>
    <t>EMERG_value</t>
  </si>
  <si>
    <t>EMERG_date</t>
  </si>
  <si>
    <t>ERUCIC_value</t>
  </si>
  <si>
    <t>ERUCIC_date</t>
  </si>
  <si>
    <t>PALMITIC_value</t>
  </si>
  <si>
    <t>PALMITIC-date</t>
  </si>
  <si>
    <t>STEARIC_value</t>
  </si>
  <si>
    <t>STEARIC_date</t>
  </si>
  <si>
    <t>OLEIC_value</t>
  </si>
  <si>
    <t>OLEIC_date</t>
  </si>
  <si>
    <t>LINOLEIC_value</t>
  </si>
  <si>
    <t>LINOLEIC_date</t>
  </si>
  <si>
    <t>LINOLENIC_value</t>
  </si>
  <si>
    <t>LINOLENIC_date</t>
  </si>
  <si>
    <t>Pr_value</t>
  </si>
  <si>
    <t>Pr_date</t>
  </si>
  <si>
    <t>GLS_value</t>
  </si>
  <si>
    <t>GLS_date</t>
  </si>
  <si>
    <t>SEEDH2O_NIRS_value</t>
  </si>
  <si>
    <t>SEEDH2O_NIRS_date</t>
  </si>
  <si>
    <t>PRMEAL_value</t>
  </si>
  <si>
    <t>PRMEAL_date</t>
  </si>
  <si>
    <t>SEEDH2O_HARV_value</t>
  </si>
  <si>
    <t>SEEDH2O_HARV_date</t>
  </si>
  <si>
    <t>SEEDH2O_LAB_value</t>
  </si>
  <si>
    <t>SEEDH2O_LAB_date</t>
  </si>
  <si>
    <t>SEEDIMPUR_value</t>
  </si>
  <si>
    <t>SEEDIMPUR_date</t>
  </si>
  <si>
    <t>LODGING_value</t>
  </si>
  <si>
    <t>LODGING_date</t>
  </si>
  <si>
    <t>DKEXSTORM</t>
  </si>
  <si>
    <t>Meteo_data</t>
  </si>
  <si>
    <t>See tab</t>
  </si>
  <si>
    <t>Excel</t>
  </si>
  <si>
    <t>Soil_data</t>
  </si>
  <si>
    <t>INN_data</t>
  </si>
  <si>
    <t>Parcellaire_data</t>
  </si>
  <si>
    <t>ITK_data</t>
  </si>
  <si>
    <t>Pas de temps</t>
  </si>
  <si>
    <t>Journalier</t>
  </si>
  <si>
    <t>Date de début</t>
  </si>
  <si>
    <t>Date de fin</t>
  </si>
  <si>
    <t>___Temperature___</t>
  </si>
  <si>
    <t>Mean</t>
  </si>
  <si>
    <t>température moyenne  de la journée</t>
  </si>
  <si>
    <t>°C</t>
  </si>
  <si>
    <t>High</t>
  </si>
  <si>
    <t>température la plus élevée  de la journée</t>
  </si>
  <si>
    <t>Low</t>
  </si>
  <si>
    <t>température la plus basse  de la journée</t>
  </si>
  <si>
    <t>RH</t>
  </si>
  <si>
    <t>humidité relative moyenne de la journée</t>
  </si>
  <si>
    <t>Solar</t>
  </si>
  <si>
    <t>W/m2</t>
  </si>
  <si>
    <t>rayonnement moyen de la journée</t>
  </si>
  <si>
    <t>wat/m2</t>
  </si>
  <si>
    <t>Wind</t>
  </si>
  <si>
    <t>Speed</t>
  </si>
  <si>
    <t>vitesse du vent moyen de la journée</t>
  </si>
  <si>
    <t>km/h</t>
  </si>
  <si>
    <t>Rain-</t>
  </si>
  <si>
    <t>Fall</t>
  </si>
  <si>
    <t>précipitation de la journée</t>
  </si>
  <si>
    <t>mm</t>
  </si>
  <si>
    <t>ET</t>
  </si>
  <si>
    <t>Ref</t>
  </si>
  <si>
    <t xml:space="preserve">évapotranspiration de référence </t>
  </si>
  <si>
    <t>évapotranspiration calculée en fonction du coef choisi pour  la culture,</t>
  </si>
  <si>
    <t>Irrig</t>
  </si>
  <si>
    <t>ation</t>
  </si>
  <si>
    <t>perte en eau  de la journée</t>
  </si>
  <si>
    <t>Net</t>
  </si>
  <si>
    <t>Water</t>
  </si>
  <si>
    <t>cumul de la perte d'eau depuis le début du calcul d'ETP</t>
  </si>
  <si>
    <t>Cum</t>
  </si>
  <si>
    <t>Action</t>
  </si>
  <si>
    <t>Produits</t>
  </si>
  <si>
    <t>Cibles</t>
  </si>
  <si>
    <t>Détails</t>
  </si>
  <si>
    <t>4/5</t>
  </si>
  <si>
    <t>1/5</t>
  </si>
  <si>
    <t>Total</t>
  </si>
  <si>
    <t>N % DUMAS Spécial Ferti</t>
  </si>
  <si>
    <t>Manip</t>
  </si>
  <si>
    <t>Modalite</t>
  </si>
  <si>
    <t>Genotype</t>
  </si>
  <si>
    <t>Stade</t>
  </si>
  <si>
    <t>Nbr</t>
  </si>
  <si>
    <t>MF (g)</t>
  </si>
  <si>
    <t>MS (g)</t>
  </si>
  <si>
    <t>% Humidité</t>
  </si>
  <si>
    <t>MF Feuilles (g)</t>
  </si>
  <si>
    <t>MF Tige (g)</t>
  </si>
  <si>
    <t>MF Aér</t>
  </si>
  <si>
    <t>MS Feuilles (g)</t>
  </si>
  <si>
    <t>MS Tige (g)</t>
  </si>
  <si>
    <t>MS Aér (g)</t>
  </si>
  <si>
    <t>MS Totale (t)</t>
  </si>
  <si>
    <t>%N critique</t>
  </si>
  <si>
    <t>Feuilles</t>
  </si>
  <si>
    <t>Tiges</t>
  </si>
  <si>
    <t>Qté N Total</t>
  </si>
  <si>
    <t>% Azote MS (1/5)</t>
  </si>
  <si>
    <t>INN</t>
  </si>
  <si>
    <t>De "Parcelle" à "Genotype" = données générales sur l'essai</t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</si>
  <si>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</si>
  <si>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</si>
  <si>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</si>
  <si>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t>Deux échantillons différents sont identifiés : 1/5 des plantes et 4/5 des plantes</t>
  </si>
  <si>
    <t xml:space="preserve">A partir des INN3, une distinction est faite entre les feuilles et le tiges pour les pesées </t>
  </si>
  <si>
    <t>et les analyses par SAS pour l'échantillon 1/5</t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</si>
  <si>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</si>
  <si>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</si>
  <si>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</si>
  <si>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</si>
  <si>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</si>
  <si>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panel_ragt15</t>
  </si>
  <si>
    <t>P15RAGT</t>
  </si>
  <si>
    <t>2014-2015</t>
  </si>
  <si>
    <t>A modifier si nécessaire</t>
  </si>
  <si>
    <t>Nom de la Station</t>
  </si>
  <si>
    <t>Infos concernant la nature du sol, sa composition, sa profondeur...</t>
  </si>
  <si>
    <t>Ne mettre que les datas brutes</t>
  </si>
  <si>
    <t>Validation</t>
  </si>
  <si>
    <t>Validation of the data</t>
  </si>
  <si>
    <t xml:space="preserve">Valide : the plant's data is ok                                                       Non valide : there was a problem due to environemental factors                                                                                                 prob_X : there was a X problem due to the genotype (sensistive to disease,,,)   </t>
  </si>
  <si>
    <t>Winter wheat</t>
  </si>
  <si>
    <t>Prémesques</t>
  </si>
  <si>
    <t>ALSACE1360</t>
  </si>
  <si>
    <t>FERTODIELIT</t>
  </si>
  <si>
    <t>GASPARD</t>
  </si>
  <si>
    <t>GESUNDER</t>
  </si>
  <si>
    <t>GOLDGELBERZARTERBUTTER</t>
  </si>
  <si>
    <t>LEMBKE</t>
  </si>
  <si>
    <t>MAJOR</t>
  </si>
  <si>
    <t>MARKUS</t>
  </si>
  <si>
    <t>MATADOR</t>
  </si>
  <si>
    <t>MOLDAVIA</t>
  </si>
  <si>
    <t>NAINDEHAMBOURG</t>
  </si>
  <si>
    <t>OLESKI</t>
  </si>
  <si>
    <t>OLQUELLGULZOVER</t>
  </si>
  <si>
    <t>ORLEANS</t>
  </si>
  <si>
    <t>POLUX</t>
  </si>
  <si>
    <t>PREROUSKA</t>
  </si>
  <si>
    <t>QUEDLINBURGERPLATZFESTER</t>
  </si>
  <si>
    <t>RAMSES</t>
  </si>
  <si>
    <t>RAPOL</t>
  </si>
  <si>
    <t>TITUS</t>
  </si>
  <si>
    <t>TONUS</t>
  </si>
  <si>
    <t>ZERUCA</t>
  </si>
  <si>
    <t>ASKARI</t>
  </si>
  <si>
    <t>AZTEC</t>
  </si>
  <si>
    <t>BELINDA</t>
  </si>
  <si>
    <t>BERYL</t>
  </si>
  <si>
    <t>BIENVENU</t>
  </si>
  <si>
    <t>BRINK</t>
  </si>
  <si>
    <t>CONSTABLE</t>
  </si>
  <si>
    <t>DORAL</t>
  </si>
  <si>
    <t>EMIL</t>
  </si>
  <si>
    <t>EXPANDER</t>
  </si>
  <si>
    <t>KURANDER</t>
  </si>
  <si>
    <t>LESIRA</t>
  </si>
  <si>
    <t>MIKADO</t>
  </si>
  <si>
    <t>RAFAL</t>
  </si>
  <si>
    <t>START</t>
  </si>
  <si>
    <t>VALDOR</t>
  </si>
  <si>
    <t>AKAMAR</t>
  </si>
  <si>
    <t>ALESI</t>
  </si>
  <si>
    <t>ALIGATOR</t>
  </si>
  <si>
    <t>AMBER</t>
  </si>
  <si>
    <t>ARIANA</t>
  </si>
  <si>
    <t>ATLANTIC</t>
  </si>
  <si>
    <t>AURUM</t>
  </si>
  <si>
    <t>BELLINI</t>
  </si>
  <si>
    <t>BOLKO</t>
  </si>
  <si>
    <t>BOSTON</t>
  </si>
  <si>
    <t>CAMPALA</t>
  </si>
  <si>
    <t>CANBERRA</t>
  </si>
  <si>
    <t>CANCAN</t>
  </si>
  <si>
    <t>CAPITOL</t>
  </si>
  <si>
    <t>CAPRICORN</t>
  </si>
  <si>
    <t>CERES</t>
  </si>
  <si>
    <t>CHELSI</t>
  </si>
  <si>
    <t>CHEOPS</t>
  </si>
  <si>
    <t>COLVERT</t>
  </si>
  <si>
    <t>COURAGE</t>
  </si>
  <si>
    <t>DARMOR</t>
  </si>
  <si>
    <t>DOUBLOL</t>
  </si>
  <si>
    <t>ECRIN</t>
  </si>
  <si>
    <t>ELEONORE</t>
  </si>
  <si>
    <t>ESCORT</t>
  </si>
  <si>
    <t>EVRI</t>
  </si>
  <si>
    <t>EXPRESS</t>
  </si>
  <si>
    <t>FREDERIC</t>
  </si>
  <si>
    <t>GOELAND</t>
  </si>
  <si>
    <t>GRIZZLY</t>
  </si>
  <si>
    <t>IBEX</t>
  </si>
  <si>
    <t>IDOL</t>
  </si>
  <si>
    <t>INCA</t>
  </si>
  <si>
    <t>JETTON</t>
  </si>
  <si>
    <t>KADORE</t>
  </si>
  <si>
    <t>KOSTO</t>
  </si>
  <si>
    <t>LEWIS</t>
  </si>
  <si>
    <t>LIBERATOR</t>
  </si>
  <si>
    <t>LICORNE</t>
  </si>
  <si>
    <t>LIONESS</t>
  </si>
  <si>
    <t>LIPORTA</t>
  </si>
  <si>
    <t>LIRABON</t>
  </si>
  <si>
    <t>LIRAJET</t>
  </si>
  <si>
    <t>MADRIGAL</t>
  </si>
  <si>
    <t>MAKILA</t>
  </si>
  <si>
    <t>MAR</t>
  </si>
  <si>
    <t>MILENA</t>
  </si>
  <si>
    <t>MONTEGO</t>
  </si>
  <si>
    <t>NAVAJO</t>
  </si>
  <si>
    <t>NSL9625</t>
  </si>
  <si>
    <t>OASE</t>
  </si>
  <si>
    <t>OLYMP</t>
  </si>
  <si>
    <t>PACIFIC</t>
  </si>
  <si>
    <t>POLLEN</t>
  </si>
  <si>
    <t>POTOMAC</t>
  </si>
  <si>
    <t>PRINCE</t>
  </si>
  <si>
    <t>RECITAL</t>
  </si>
  <si>
    <t>REMY</t>
  </si>
  <si>
    <t>ROCKET</t>
  </si>
  <si>
    <t>ROXET</t>
  </si>
  <si>
    <t>SAHARA</t>
  </si>
  <si>
    <t>SALOMONT</t>
  </si>
  <si>
    <t>SHOGUN</t>
  </si>
  <si>
    <t>SWGOSPEL</t>
  </si>
  <si>
    <t>TENOR</t>
  </si>
  <si>
    <t>TRADITION</t>
  </si>
  <si>
    <t>TWISTER</t>
  </si>
  <si>
    <t>ZORRO</t>
  </si>
  <si>
    <t>MADORA2-DS3</t>
  </si>
  <si>
    <t>MADORA3-DS1</t>
  </si>
  <si>
    <t>REGAL2-DS1</t>
  </si>
  <si>
    <t>DEBRUDERDIPPES</t>
  </si>
  <si>
    <t>HOCHZUCHTREPOLE</t>
  </si>
  <si>
    <t>KORMOVOISKRIVERSKYI</t>
  </si>
  <si>
    <t>SAREPTA</t>
  </si>
  <si>
    <t>BRISTOL</t>
  </si>
  <si>
    <t>TOSCA</t>
  </si>
  <si>
    <t>AVISO</t>
  </si>
  <si>
    <t>JUPITER</t>
  </si>
  <si>
    <t>MOHICAN</t>
  </si>
  <si>
    <t>ESAGATHA</t>
  </si>
  <si>
    <t>ESALEGRIA</t>
  </si>
  <si>
    <t>ESALIENOR</t>
  </si>
  <si>
    <t>ESCENTAURE</t>
  </si>
  <si>
    <t>ESCUBIC</t>
  </si>
  <si>
    <t>ESANTONIA</t>
  </si>
  <si>
    <t>ESBRAVA</t>
  </si>
  <si>
    <t>ESVENUS</t>
  </si>
  <si>
    <t>ESVIPER</t>
  </si>
  <si>
    <t>MACCARENA</t>
  </si>
  <si>
    <t>RAPSO_COMPL_01</t>
  </si>
  <si>
    <t>RAPSO_COMPL_02</t>
  </si>
  <si>
    <t>LE1</t>
  </si>
  <si>
    <t>LE2</t>
  </si>
  <si>
    <t>CANTICS</t>
  </si>
  <si>
    <t>CATALINA</t>
  </si>
  <si>
    <t>COLUMBUS</t>
  </si>
  <si>
    <t>CRESUS</t>
  </si>
  <si>
    <t>DANSKA</t>
  </si>
  <si>
    <t>ELEMENT</t>
  </si>
  <si>
    <t>ELLA</t>
  </si>
  <si>
    <t>ESBOURBON</t>
  </si>
  <si>
    <t>ESNECTAR</t>
  </si>
  <si>
    <t>ESPINSON</t>
  </si>
  <si>
    <t>FLORA</t>
  </si>
  <si>
    <t>GKSAVARIA</t>
  </si>
  <si>
    <t>GLACIER</t>
  </si>
  <si>
    <t>GLUMANDER</t>
  </si>
  <si>
    <t>HANSEN</t>
  </si>
  <si>
    <t>HEKTOR</t>
  </si>
  <si>
    <t>IMPALA</t>
  </si>
  <si>
    <t>JANEK</t>
  </si>
  <si>
    <t>JAZZ</t>
  </si>
  <si>
    <t>KIEVSKII216</t>
  </si>
  <si>
    <t>LAIKA</t>
  </si>
  <si>
    <t>LBN24298</t>
  </si>
  <si>
    <t>LECOR</t>
  </si>
  <si>
    <t>LEDAS</t>
  </si>
  <si>
    <t>LEDI</t>
  </si>
  <si>
    <t>LEO</t>
  </si>
  <si>
    <t>LIBOMIR</t>
  </si>
  <si>
    <t>LIMERICK</t>
  </si>
  <si>
    <t>LIPID</t>
  </si>
  <si>
    <t>LIRA</t>
  </si>
  <si>
    <t>LIRAKOTTA</t>
  </si>
  <si>
    <t>LIRANORD</t>
  </si>
  <si>
    <t>LIRANOVA</t>
  </si>
  <si>
    <t>LIRATOP00</t>
  </si>
  <si>
    <t>LSF0519</t>
  </si>
  <si>
    <t>MAGNUS</t>
  </si>
  <si>
    <t>MARATHON</t>
  </si>
  <si>
    <t>MARITA</t>
  </si>
  <si>
    <t>MIRA</t>
  </si>
  <si>
    <t>OLEANDER</t>
  </si>
  <si>
    <t>ORLANDO</t>
  </si>
  <si>
    <t>PASSAT</t>
  </si>
  <si>
    <t>PIROLA</t>
  </si>
  <si>
    <t>PIXEL</t>
  </si>
  <si>
    <t>RASANT</t>
  </si>
  <si>
    <t>SIPAL</t>
  </si>
  <si>
    <t>SKRIIKORMOVOI</t>
  </si>
  <si>
    <t>SLM0512</t>
  </si>
  <si>
    <t>SLONSKI</t>
  </si>
  <si>
    <t>SOLLUX</t>
  </si>
  <si>
    <t>STAMMG4</t>
  </si>
  <si>
    <t>TOMEKOUR182</t>
  </si>
  <si>
    <t>URANUS</t>
  </si>
  <si>
    <t>VERONA</t>
  </si>
  <si>
    <t>ZEPHIR</t>
  </si>
  <si>
    <t>EXL1265</t>
  </si>
  <si>
    <t>EXL1952</t>
  </si>
  <si>
    <t>EXL2383</t>
  </si>
  <si>
    <t>EXL2689</t>
  </si>
  <si>
    <t>EXL3193</t>
  </si>
  <si>
    <t>EXL3240</t>
  </si>
  <si>
    <t>EXL3371</t>
  </si>
  <si>
    <t>EXL3438</t>
  </si>
  <si>
    <t>EXL3514</t>
  </si>
  <si>
    <t>EXL3869</t>
  </si>
  <si>
    <t>EXL4189</t>
  </si>
  <si>
    <t>EXL4436</t>
  </si>
  <si>
    <t>EXL4499</t>
  </si>
  <si>
    <t>EXL4547</t>
  </si>
  <si>
    <t>EXL4816</t>
  </si>
  <si>
    <t>EXL5198</t>
  </si>
  <si>
    <t>EXL5293</t>
  </si>
  <si>
    <t>EXL5499</t>
  </si>
  <si>
    <t>EXL5544</t>
  </si>
  <si>
    <t>EXL5840</t>
  </si>
  <si>
    <t>EXL6436</t>
  </si>
  <si>
    <t>EXL6739</t>
  </si>
  <si>
    <t>EXL7025</t>
  </si>
  <si>
    <t>EXL7044</t>
  </si>
  <si>
    <t>EXL7092</t>
  </si>
  <si>
    <t>EXL7118</t>
  </si>
  <si>
    <t>EXL7658</t>
  </si>
  <si>
    <t>EXL8060</t>
  </si>
  <si>
    <t>EXL8756</t>
  </si>
  <si>
    <t>EXL8963</t>
  </si>
  <si>
    <t>EXL9236</t>
  </si>
  <si>
    <t>EXL9473</t>
  </si>
  <si>
    <t>EXL9521</t>
  </si>
  <si>
    <t>LE06</t>
  </si>
  <si>
    <t>LE55</t>
  </si>
  <si>
    <t>LE56</t>
  </si>
  <si>
    <t>LE58</t>
  </si>
  <si>
    <t>LE62</t>
  </si>
  <si>
    <t>LE63</t>
  </si>
  <si>
    <t>LE64</t>
  </si>
  <si>
    <t>LE65</t>
  </si>
  <si>
    <t>LE68</t>
  </si>
  <si>
    <t>LE70</t>
  </si>
  <si>
    <t>LE76</t>
  </si>
  <si>
    <t>LE77</t>
  </si>
  <si>
    <t>LE78</t>
  </si>
  <si>
    <t>LEL03</t>
  </si>
  <si>
    <t>LEL05</t>
  </si>
  <si>
    <t>LEL13</t>
  </si>
  <si>
    <t>LEL15</t>
  </si>
  <si>
    <t>LEL16</t>
  </si>
  <si>
    <t>LEL17</t>
  </si>
  <si>
    <t>LEL22</t>
  </si>
  <si>
    <t>LEL26</t>
  </si>
  <si>
    <t>LEL29</t>
  </si>
  <si>
    <t>LEL30</t>
  </si>
  <si>
    <t>LEL46</t>
  </si>
  <si>
    <t>RAGT-16</t>
  </si>
  <si>
    <t>RAGT-17</t>
  </si>
  <si>
    <t>RAGT-18</t>
  </si>
  <si>
    <t>RAGT-19</t>
  </si>
  <si>
    <t>RAGT-20</t>
  </si>
  <si>
    <t>RAGT-21</t>
  </si>
  <si>
    <t>RAGT-22</t>
  </si>
  <si>
    <t>RAGT-23</t>
  </si>
  <si>
    <t>RAGT-24</t>
  </si>
  <si>
    <t>RAGT-25</t>
  </si>
  <si>
    <t>RAGT-26</t>
  </si>
  <si>
    <t>RAGT-27</t>
  </si>
  <si>
    <t>RAGT-28</t>
  </si>
  <si>
    <t>RAGT-29</t>
  </si>
  <si>
    <t>RAGT-30</t>
  </si>
  <si>
    <t>RAGT-31</t>
  </si>
  <si>
    <t>RAGT-32</t>
  </si>
  <si>
    <t>RAGT-33</t>
  </si>
  <si>
    <t>RAGT-34</t>
  </si>
  <si>
    <t>RAGT-36</t>
  </si>
  <si>
    <t>RAGT-45</t>
  </si>
  <si>
    <t>RAGT-52</t>
  </si>
  <si>
    <t>RAGT-57</t>
  </si>
  <si>
    <t>RAGT-58</t>
  </si>
  <si>
    <t>RAGT-154</t>
  </si>
  <si>
    <t>RAGT-156</t>
  </si>
  <si>
    <t>RAGT-157</t>
  </si>
  <si>
    <t>RAGT-159</t>
  </si>
  <si>
    <t>RAGT-161</t>
  </si>
  <si>
    <t>RAGT-164</t>
  </si>
  <si>
    <t>RAGT-165</t>
  </si>
  <si>
    <t>RAGT-166</t>
  </si>
  <si>
    <t>RAGT-168</t>
  </si>
  <si>
    <t>RAGT-171</t>
  </si>
  <si>
    <t>RAGT-175</t>
  </si>
  <si>
    <t>RAGT-176</t>
  </si>
  <si>
    <t>RAGT-179</t>
  </si>
  <si>
    <t>RAGT-180</t>
  </si>
  <si>
    <t>RAGT-181</t>
  </si>
  <si>
    <t>RAGT-185</t>
  </si>
  <si>
    <t>RAGT-186</t>
  </si>
  <si>
    <t>RAGT-187</t>
  </si>
  <si>
    <t>RAGT-189</t>
  </si>
  <si>
    <t>RAGT-192</t>
  </si>
  <si>
    <t>RAGT-193</t>
  </si>
  <si>
    <t>RAGT-194</t>
  </si>
  <si>
    <t>RAGT-195</t>
  </si>
  <si>
    <t>RAGT-196</t>
  </si>
  <si>
    <t>RAGT-197</t>
  </si>
  <si>
    <t>RAGT-200</t>
  </si>
  <si>
    <t>RAGT-202</t>
  </si>
  <si>
    <t>RAGT-204</t>
  </si>
  <si>
    <t>RAGT-207</t>
  </si>
  <si>
    <t>RAGT-209</t>
  </si>
  <si>
    <t>RAGT-212</t>
  </si>
  <si>
    <t>RAGT-214</t>
  </si>
  <si>
    <t>RAGT-215</t>
  </si>
  <si>
    <t>RAGT-216</t>
  </si>
  <si>
    <t>RAGT-217</t>
  </si>
  <si>
    <t>RAGT-220</t>
  </si>
  <si>
    <t>RAGT-223</t>
  </si>
  <si>
    <t>LEL23</t>
  </si>
  <si>
    <t>DUBLIANSKI</t>
  </si>
  <si>
    <t>FORTO</t>
  </si>
  <si>
    <t>GORCZANSKI</t>
  </si>
  <si>
    <t>GROSSLUZEWITER</t>
  </si>
  <si>
    <t>SINUS</t>
  </si>
  <si>
    <t>VICTOR</t>
  </si>
  <si>
    <t>WARZANWSKI</t>
  </si>
  <si>
    <t>JANPOL</t>
  </si>
  <si>
    <t>KORINA</t>
  </si>
  <si>
    <t>LIGORA</t>
  </si>
  <si>
    <t>PRIMOR</t>
  </si>
  <si>
    <t>WIRA</t>
  </si>
  <si>
    <t>CADDY</t>
  </si>
  <si>
    <t>KROMERSKA1-DS1</t>
  </si>
  <si>
    <t>EZSTERHAZYNST</t>
  </si>
  <si>
    <t>QUINTA</t>
  </si>
  <si>
    <t>15A01</t>
  </si>
  <si>
    <t>15A02</t>
  </si>
  <si>
    <t>15A03</t>
  </si>
  <si>
    <t>CHECK2RAPSO_S14</t>
  </si>
  <si>
    <t>CHECK1RAPSO_S14</t>
  </si>
  <si>
    <t>BGA_001</t>
  </si>
  <si>
    <t>BGA_002</t>
  </si>
  <si>
    <t>BGA_003</t>
  </si>
  <si>
    <t>BGA_004</t>
  </si>
  <si>
    <t>BGA_005</t>
  </si>
  <si>
    <t>BGA_006</t>
  </si>
  <si>
    <t>BGA_007</t>
  </si>
  <si>
    <t>BGA_008</t>
  </si>
  <si>
    <t>BGA_009</t>
  </si>
  <si>
    <t>BGA_010</t>
  </si>
  <si>
    <t>BGA_011</t>
  </si>
  <si>
    <t>BGA_012</t>
  </si>
  <si>
    <t>BGA_013</t>
  </si>
  <si>
    <t>BGA_014</t>
  </si>
  <si>
    <t>BGA_015</t>
  </si>
  <si>
    <t>BGA_016</t>
  </si>
  <si>
    <t>BGA_017</t>
  </si>
  <si>
    <t>BGA_018</t>
  </si>
  <si>
    <t>BGA_019</t>
  </si>
  <si>
    <t>BGA_020</t>
  </si>
  <si>
    <t>BGA_021</t>
  </si>
  <si>
    <t>BGA_022</t>
  </si>
  <si>
    <t>BGA_023</t>
  </si>
  <si>
    <t>BGA_024</t>
  </si>
  <si>
    <t>BGA_025</t>
  </si>
  <si>
    <t>BGA_026</t>
  </si>
  <si>
    <t>BGA_027</t>
  </si>
  <si>
    <t>BGA_028</t>
  </si>
  <si>
    <t>BGA_029</t>
  </si>
  <si>
    <t>BGA_030</t>
  </si>
  <si>
    <t>BGA_031</t>
  </si>
  <si>
    <t>BGA_032</t>
  </si>
  <si>
    <t>BGA_033</t>
  </si>
  <si>
    <t>BGA_034</t>
  </si>
  <si>
    <t>BGA_035</t>
  </si>
  <si>
    <t>BGA_036</t>
  </si>
  <si>
    <t>BGA_037</t>
  </si>
  <si>
    <t>BGA_038</t>
  </si>
  <si>
    <t>BGA_039</t>
  </si>
  <si>
    <t>BGA_040</t>
  </si>
  <si>
    <t>BGA_041</t>
  </si>
  <si>
    <t>BGA_042</t>
  </si>
  <si>
    <t>BGA_043</t>
  </si>
  <si>
    <t>BGA_044</t>
  </si>
  <si>
    <t>BGA_045</t>
  </si>
  <si>
    <t>BGA_046</t>
  </si>
  <si>
    <t>BGA_047</t>
  </si>
  <si>
    <t>BGA_048</t>
  </si>
  <si>
    <t>BGA_049</t>
  </si>
  <si>
    <t>BGA_050</t>
  </si>
  <si>
    <t>BGA_051</t>
  </si>
  <si>
    <t>BGA_052</t>
  </si>
  <si>
    <t>BGA_053</t>
  </si>
  <si>
    <t>BGA_054</t>
  </si>
  <si>
    <t>BGA_055</t>
  </si>
  <si>
    <t>BGA_056</t>
  </si>
  <si>
    <t>BGA_057</t>
  </si>
  <si>
    <t>BGA_058</t>
  </si>
  <si>
    <t>BGA_059</t>
  </si>
  <si>
    <t>BGA_060</t>
  </si>
  <si>
    <t>BGA_061</t>
  </si>
  <si>
    <t>BGA_062</t>
  </si>
  <si>
    <t>BGA_063</t>
  </si>
  <si>
    <t>BGA_064</t>
  </si>
  <si>
    <t>BGA_065</t>
  </si>
  <si>
    <t>BGA_066</t>
  </si>
  <si>
    <t>BGA_067</t>
  </si>
  <si>
    <t>BGA_068</t>
  </si>
  <si>
    <t>BGA_069</t>
  </si>
  <si>
    <t>BGA_070</t>
  </si>
  <si>
    <t>BGA_071</t>
  </si>
  <si>
    <t>BGA_072</t>
  </si>
  <si>
    <t>BGA_073</t>
  </si>
  <si>
    <t>BGA_074</t>
  </si>
  <si>
    <t>BGA_075</t>
  </si>
  <si>
    <t>BGA_076</t>
  </si>
  <si>
    <t>BGA_077</t>
  </si>
  <si>
    <t>BGA_078</t>
  </si>
  <si>
    <t>BGA_079</t>
  </si>
  <si>
    <t>BGA_080</t>
  </si>
  <si>
    <t>BGA_081</t>
  </si>
  <si>
    <t>BGA_082</t>
  </si>
  <si>
    <t>BGA_083</t>
  </si>
  <si>
    <t>BGA_084</t>
  </si>
  <si>
    <t>BGA_085</t>
  </si>
  <si>
    <t>BGA_086</t>
  </si>
  <si>
    <t>BGA_087</t>
  </si>
  <si>
    <t>BGA_088</t>
  </si>
  <si>
    <t>BGA_089</t>
  </si>
  <si>
    <t>BGA_090</t>
  </si>
  <si>
    <t>BGA_091</t>
  </si>
  <si>
    <t>BGA_092</t>
  </si>
  <si>
    <t>BGA_093</t>
  </si>
  <si>
    <t>BGA_094</t>
  </si>
  <si>
    <t>BGA_095</t>
  </si>
  <si>
    <t>BGA_096</t>
  </si>
  <si>
    <t>BGA_097</t>
  </si>
  <si>
    <t>BGA_098</t>
  </si>
  <si>
    <t>BGA_099</t>
  </si>
  <si>
    <t>BGA_100</t>
  </si>
  <si>
    <t>BGA_101</t>
  </si>
  <si>
    <t>BGA_102</t>
  </si>
  <si>
    <t>BGA_103</t>
  </si>
  <si>
    <t>BGA_104</t>
  </si>
  <si>
    <t>BGA_105</t>
  </si>
  <si>
    <t>BGA_106</t>
  </si>
  <si>
    <t>BGA_107</t>
  </si>
  <si>
    <t>BGA_108</t>
  </si>
  <si>
    <t>BGA_109</t>
  </si>
  <si>
    <t>BGA_110</t>
  </si>
  <si>
    <t>BGA_111</t>
  </si>
  <si>
    <t>BGA_112</t>
  </si>
  <si>
    <t>BGA_113</t>
  </si>
  <si>
    <t>BGA_114</t>
  </si>
  <si>
    <t>BGA_115</t>
  </si>
  <si>
    <t>BGA_116</t>
  </si>
  <si>
    <t>BGA_117</t>
  </si>
  <si>
    <t>BGA_118</t>
  </si>
  <si>
    <t>BGA_119</t>
  </si>
  <si>
    <t>BGA_120</t>
  </si>
  <si>
    <t>BGA_121</t>
  </si>
  <si>
    <t>BGA_122</t>
  </si>
  <si>
    <t>BGA_123</t>
  </si>
  <si>
    <t>BGA_124</t>
  </si>
  <si>
    <t>BGA_125</t>
  </si>
  <si>
    <t>BGA_126</t>
  </si>
  <si>
    <t>BGA_127</t>
  </si>
  <si>
    <t>BGA_128</t>
  </si>
  <si>
    <t>BGA_129</t>
  </si>
  <si>
    <t>BGA_130</t>
  </si>
  <si>
    <t>BGA_131</t>
  </si>
  <si>
    <t>BGA_132</t>
  </si>
  <si>
    <t>BGA_133</t>
  </si>
  <si>
    <t>BGA_134</t>
  </si>
  <si>
    <t>BGA_135</t>
  </si>
  <si>
    <t>BGA_136</t>
  </si>
  <si>
    <t>BGA_137</t>
  </si>
  <si>
    <t>BGA_138</t>
  </si>
  <si>
    <t>BGA_139</t>
  </si>
  <si>
    <t>BGA_140</t>
  </si>
  <si>
    <t>BGA_141</t>
  </si>
  <si>
    <t>BGA_142</t>
  </si>
  <si>
    <t>BGA_143</t>
  </si>
  <si>
    <t>BGA_144</t>
  </si>
  <si>
    <t>BGA_145</t>
  </si>
  <si>
    <t>BGA_146</t>
  </si>
  <si>
    <t>BGA_147</t>
  </si>
  <si>
    <t>BGA_148</t>
  </si>
  <si>
    <t>BGA_149</t>
  </si>
  <si>
    <t>BGA_150</t>
  </si>
  <si>
    <t>BGA_151</t>
  </si>
  <si>
    <t>BGA_152</t>
  </si>
  <si>
    <t>BGA_153</t>
  </si>
  <si>
    <t>BGA_154</t>
  </si>
  <si>
    <t>BGA_155</t>
  </si>
  <si>
    <t>BGA_156</t>
  </si>
  <si>
    <t>BGA_157</t>
  </si>
  <si>
    <t>BGA_158</t>
  </si>
  <si>
    <t>BGA_159</t>
  </si>
  <si>
    <t>BGA_160</t>
  </si>
  <si>
    <t>BGA_161</t>
  </si>
  <si>
    <t>BGA_162</t>
  </si>
  <si>
    <t>BGA_163</t>
  </si>
  <si>
    <t>BGA_164</t>
  </si>
  <si>
    <t>BGA_165</t>
  </si>
  <si>
    <t>BGA_166</t>
  </si>
  <si>
    <t>BGA_167</t>
  </si>
  <si>
    <t>BGA_168</t>
  </si>
  <si>
    <t>BGA_169</t>
  </si>
  <si>
    <t>BGA_170</t>
  </si>
  <si>
    <t>BGA_171</t>
  </si>
  <si>
    <t>BGA_172</t>
  </si>
  <si>
    <t>BGA_173</t>
  </si>
  <si>
    <t>BGA_174</t>
  </si>
  <si>
    <t>CHECK4RAPSO_S14</t>
  </si>
  <si>
    <t>CHECK3RAPSO_S14</t>
  </si>
  <si>
    <t>Astrid</t>
  </si>
  <si>
    <t>RAPSO_Compl_01</t>
  </si>
  <si>
    <t>RAPSO_Compl_02</t>
  </si>
  <si>
    <t>50°39'56.52"N</t>
  </si>
  <si>
    <t>2°55'36.37"E</t>
  </si>
  <si>
    <t>Breeder</t>
  </si>
  <si>
    <t>KIESERITE</t>
  </si>
  <si>
    <r>
      <t xml:space="preserve">Fertilisation limitante </t>
    </r>
    <r>
      <rPr>
        <b/>
        <sz val="10"/>
        <rFont val="Geneva"/>
      </rPr>
      <t>(75U)</t>
    </r>
  </si>
  <si>
    <r>
      <t>Fertilisation optimale</t>
    </r>
    <r>
      <rPr>
        <b/>
        <sz val="10"/>
        <rFont val="Geneva"/>
      </rPr>
      <t xml:space="preserve"> (175U)</t>
    </r>
  </si>
  <si>
    <t>N+</t>
  </si>
  <si>
    <t>N-</t>
  </si>
  <si>
    <t xml:space="preserve"> </t>
  </si>
  <si>
    <t>pig</t>
  </si>
  <si>
    <t>HET</t>
  </si>
  <si>
    <t xml:space="preserve"> HET ML ?</t>
  </si>
  <si>
    <t xml:space="preserve">HETER++ </t>
  </si>
  <si>
    <t xml:space="preserve">HET HET </t>
  </si>
  <si>
    <t xml:space="preserve"> DEGAT PERDRIX</t>
  </si>
  <si>
    <t xml:space="preserve"> DEGAT PIGEONS</t>
  </si>
  <si>
    <t xml:space="preserve"> HET DETRUIT ANIMAUX</t>
  </si>
  <si>
    <t xml:space="preserve"> DEGAT LIEVRE</t>
  </si>
  <si>
    <t xml:space="preserve">pigeon BASSE </t>
  </si>
  <si>
    <t xml:space="preserve">pig HET </t>
  </si>
  <si>
    <t xml:space="preserve">pig HETER++ </t>
  </si>
  <si>
    <t xml:space="preserve"> ML ?</t>
  </si>
  <si>
    <t>ML BASSE ML ?</t>
  </si>
  <si>
    <t>pig ML BASSE ML ? MANGE</t>
  </si>
  <si>
    <t xml:space="preserve"> MQ 2M PB DECLENCH</t>
  </si>
  <si>
    <t>Pigeon BASSE DETRUIT ANIMAUX</t>
  </si>
  <si>
    <t xml:space="preserve"> BASSE DEGAT LIEVRE</t>
  </si>
  <si>
    <t xml:space="preserve">ml BASSE </t>
  </si>
  <si>
    <t xml:space="preserve">pig BASSE </t>
  </si>
  <si>
    <t>ML NON LEVEE DETRUIT ANIMAUX</t>
  </si>
  <si>
    <t xml:space="preserve"> PETIT DEGAT LIEVRE</t>
  </si>
  <si>
    <t xml:space="preserve">pigeon PETIT </t>
  </si>
  <si>
    <t xml:space="preserve"> PETIT DEGAT LIEVRE OUT</t>
  </si>
  <si>
    <t>pigeon PETIT DEGAT LIEVRE</t>
  </si>
  <si>
    <t>pig ML ?</t>
  </si>
  <si>
    <t>ML NON LEVEE ML ?</t>
  </si>
  <si>
    <t>pig ML ML ?</t>
  </si>
  <si>
    <t>ML</t>
  </si>
  <si>
    <t>ML ?</t>
  </si>
  <si>
    <t>HETER++</t>
  </si>
  <si>
    <t>pig HET</t>
  </si>
  <si>
    <t>Border</t>
  </si>
  <si>
    <t>Empty</t>
  </si>
  <si>
    <t>01     01</t>
  </si>
  <si>
    <t>02     02</t>
  </si>
  <si>
    <t>07     02</t>
  </si>
  <si>
    <t>09     02</t>
  </si>
  <si>
    <t>01     02</t>
  </si>
  <si>
    <t>-</t>
  </si>
  <si>
    <t>85     02</t>
  </si>
  <si>
    <t>271     02</t>
  </si>
  <si>
    <t>84     02</t>
  </si>
  <si>
    <t>185     02</t>
  </si>
  <si>
    <t>186     02</t>
  </si>
  <si>
    <t>29     02</t>
  </si>
  <si>
    <t>318     02</t>
  </si>
  <si>
    <t>34     02</t>
  </si>
  <si>
    <t>188     02</t>
  </si>
  <si>
    <t>255     02</t>
  </si>
  <si>
    <t>178     02</t>
  </si>
  <si>
    <t>201     02</t>
  </si>
  <si>
    <t>79     02</t>
  </si>
  <si>
    <t>336     02</t>
  </si>
  <si>
    <t>59     02</t>
  </si>
  <si>
    <t>243     02</t>
  </si>
  <si>
    <t>351     02</t>
  </si>
  <si>
    <t>222     02</t>
  </si>
  <si>
    <t>354     02</t>
  </si>
  <si>
    <t>280     02</t>
  </si>
  <si>
    <t>312     02</t>
  </si>
  <si>
    <t>246     02</t>
  </si>
  <si>
    <t>267     02</t>
  </si>
  <si>
    <t>232     02</t>
  </si>
  <si>
    <t>229     02</t>
  </si>
  <si>
    <t>266     02</t>
  </si>
  <si>
    <t>13     02</t>
  </si>
  <si>
    <t>12     02</t>
  </si>
  <si>
    <t>21     02</t>
  </si>
  <si>
    <t>24     02</t>
  </si>
  <si>
    <t>04     02</t>
  </si>
  <si>
    <t>332     02</t>
  </si>
  <si>
    <t>165     02</t>
  </si>
  <si>
    <t>313     02</t>
  </si>
  <si>
    <t>172     02</t>
  </si>
  <si>
    <t>277     02</t>
  </si>
  <si>
    <t>96     02</t>
  </si>
  <si>
    <t>211     02</t>
  </si>
  <si>
    <t>87     02</t>
  </si>
  <si>
    <t>206     02</t>
  </si>
  <si>
    <t>179     02</t>
  </si>
  <si>
    <t>169     02</t>
  </si>
  <si>
    <t>192     02</t>
  </si>
  <si>
    <t>252     02</t>
  </si>
  <si>
    <t>174     02</t>
  </si>
  <si>
    <t>144     02</t>
  </si>
  <si>
    <t>248     02</t>
  </si>
  <si>
    <t>265     02</t>
  </si>
  <si>
    <t>78     02</t>
  </si>
  <si>
    <t>135     02</t>
  </si>
  <si>
    <t>126     02</t>
  </si>
  <si>
    <t>215     02</t>
  </si>
  <si>
    <t>171     02</t>
  </si>
  <si>
    <t>256     02</t>
  </si>
  <si>
    <t>122     02</t>
  </si>
  <si>
    <t>331     02</t>
  </si>
  <si>
    <t>207     02</t>
  </si>
  <si>
    <t>06     02</t>
  </si>
  <si>
    <t>10     02</t>
  </si>
  <si>
    <t>18     02</t>
  </si>
  <si>
    <t>321     02</t>
  </si>
  <si>
    <t>130     02</t>
  </si>
  <si>
    <t>131     02</t>
  </si>
  <si>
    <t>180     02</t>
  </si>
  <si>
    <t>210     02</t>
  </si>
  <si>
    <t>223     02</t>
  </si>
  <si>
    <t>47     02</t>
  </si>
  <si>
    <t>302     02</t>
  </si>
  <si>
    <t>317     02</t>
  </si>
  <si>
    <t>81     02</t>
  </si>
  <si>
    <t>67     02</t>
  </si>
  <si>
    <t>360     02</t>
  </si>
  <si>
    <t>99     02</t>
  </si>
  <si>
    <t>240     02</t>
  </si>
  <si>
    <t>330     02</t>
  </si>
  <si>
    <t>97     02</t>
  </si>
  <si>
    <t>82     02</t>
  </si>
  <si>
    <t>264     02</t>
  </si>
  <si>
    <t>203     02</t>
  </si>
  <si>
    <t>349     02</t>
  </si>
  <si>
    <t>121     02</t>
  </si>
  <si>
    <t>56     02</t>
  </si>
  <si>
    <t>150     02</t>
  </si>
  <si>
    <t>46     02</t>
  </si>
  <si>
    <t>33     02</t>
  </si>
  <si>
    <t>230     02</t>
  </si>
  <si>
    <t>133     02</t>
  </si>
  <si>
    <t>11     02</t>
  </si>
  <si>
    <t>19     02</t>
  </si>
  <si>
    <t>23     02</t>
  </si>
  <si>
    <t>08     02</t>
  </si>
  <si>
    <t>03     02</t>
  </si>
  <si>
    <t>63     02</t>
  </si>
  <si>
    <t>141     02</t>
  </si>
  <si>
    <t>43     02</t>
  </si>
  <si>
    <t>125     02</t>
  </si>
  <si>
    <t>339     02</t>
  </si>
  <si>
    <t>304     02</t>
  </si>
  <si>
    <t>132     02</t>
  </si>
  <si>
    <t>325     02</t>
  </si>
  <si>
    <t>234     02</t>
  </si>
  <si>
    <t>324     02</t>
  </si>
  <si>
    <t>175     02</t>
  </si>
  <si>
    <t>77     02</t>
  </si>
  <si>
    <t>52     02</t>
  </si>
  <si>
    <t>275     02</t>
  </si>
  <si>
    <t>212     02</t>
  </si>
  <si>
    <t>28     02</t>
  </si>
  <si>
    <t>109     02</t>
  </si>
  <si>
    <t>315     02</t>
  </si>
  <si>
    <t>340     02</t>
  </si>
  <si>
    <t>294     02</t>
  </si>
  <si>
    <t>39     02</t>
  </si>
  <si>
    <t>289     02</t>
  </si>
  <si>
    <t>128     02</t>
  </si>
  <si>
    <t>91     02</t>
  </si>
  <si>
    <t>194     02</t>
  </si>
  <si>
    <t>282     02</t>
  </si>
  <si>
    <t>22     02</t>
  </si>
  <si>
    <t>14     02</t>
  </si>
  <si>
    <t>17     02</t>
  </si>
  <si>
    <t>20     02</t>
  </si>
  <si>
    <t>38     02</t>
  </si>
  <si>
    <t>119     02</t>
  </si>
  <si>
    <t>236     02</t>
  </si>
  <si>
    <t>115     02</t>
  </si>
  <si>
    <t>107     02</t>
  </si>
  <si>
    <t>117     02</t>
  </si>
  <si>
    <t>27     02</t>
  </si>
  <si>
    <t>114     02</t>
  </si>
  <si>
    <t>145     02</t>
  </si>
  <si>
    <t>116     02</t>
  </si>
  <si>
    <t>153     02</t>
  </si>
  <si>
    <t>69     02</t>
  </si>
  <si>
    <t>48     02</t>
  </si>
  <si>
    <t>214     02</t>
  </si>
  <si>
    <t>233     02</t>
  </si>
  <si>
    <t>241     02</t>
  </si>
  <si>
    <t>40     02</t>
  </si>
  <si>
    <t>250     02</t>
  </si>
  <si>
    <t>334     02</t>
  </si>
  <si>
    <t>129     02</t>
  </si>
  <si>
    <t>335     02</t>
  </si>
  <si>
    <t>127     02</t>
  </si>
  <si>
    <t>322     02</t>
  </si>
  <si>
    <t>15     02</t>
  </si>
  <si>
    <t>16     02</t>
  </si>
  <si>
    <t>05     02</t>
  </si>
  <si>
    <t>291     02</t>
  </si>
  <si>
    <t>42     02</t>
  </si>
  <si>
    <t>338     02</t>
  </si>
  <si>
    <t>138     02</t>
  </si>
  <si>
    <t>254     02</t>
  </si>
  <si>
    <t>143     02</t>
  </si>
  <si>
    <t>106     02</t>
  </si>
  <si>
    <t>306     02</t>
  </si>
  <si>
    <t>310     02</t>
  </si>
  <si>
    <t>286     02</t>
  </si>
  <si>
    <t>296     02</t>
  </si>
  <si>
    <t>55     02</t>
  </si>
  <si>
    <t>244     02</t>
  </si>
  <si>
    <t>140     02</t>
  </si>
  <si>
    <t>64     02</t>
  </si>
  <si>
    <t>219     02</t>
  </si>
  <si>
    <t>260     02</t>
  </si>
  <si>
    <t>105     02</t>
  </si>
  <si>
    <t>279     02</t>
  </si>
  <si>
    <t>53     02</t>
  </si>
  <si>
    <t>90     02</t>
  </si>
  <si>
    <t>151     02</t>
  </si>
  <si>
    <t>314     02</t>
  </si>
  <si>
    <t>251     02</t>
  </si>
  <si>
    <t>17     01</t>
  </si>
  <si>
    <t>23     01</t>
  </si>
  <si>
    <t>16     01</t>
  </si>
  <si>
    <t>15     01</t>
  </si>
  <si>
    <t>26     01</t>
  </si>
  <si>
    <t>164     01</t>
  </si>
  <si>
    <t>216     01</t>
  </si>
  <si>
    <t>177     01</t>
  </si>
  <si>
    <t>110     01</t>
  </si>
  <si>
    <t>205     01</t>
  </si>
  <si>
    <t>35     01</t>
  </si>
  <si>
    <t>61     01</t>
  </si>
  <si>
    <t>344     01</t>
  </si>
  <si>
    <t>30     01</t>
  </si>
  <si>
    <t>157     01</t>
  </si>
  <si>
    <t>350     01</t>
  </si>
  <si>
    <t>68     01</t>
  </si>
  <si>
    <t>218     01</t>
  </si>
  <si>
    <t>32     01</t>
  </si>
  <si>
    <t>168     01</t>
  </si>
  <si>
    <t>65     01</t>
  </si>
  <si>
    <t>305     01</t>
  </si>
  <si>
    <t>156     01</t>
  </si>
  <si>
    <t>220     01</t>
  </si>
  <si>
    <t>76     01</t>
  </si>
  <si>
    <t>247     01</t>
  </si>
  <si>
    <t>226     01</t>
  </si>
  <si>
    <t>209     01</t>
  </si>
  <si>
    <t>03     01</t>
  </si>
  <si>
    <t>70     01</t>
  </si>
  <si>
    <t>120     01</t>
  </si>
  <si>
    <t>11     01</t>
  </si>
  <si>
    <t>14     01</t>
  </si>
  <si>
    <t>19     01</t>
  </si>
  <si>
    <t>04     01</t>
  </si>
  <si>
    <t>290     01</t>
  </si>
  <si>
    <t>273     01</t>
  </si>
  <si>
    <t>316     01</t>
  </si>
  <si>
    <t>283     01</t>
  </si>
  <si>
    <t>308     01</t>
  </si>
  <si>
    <t>134     01</t>
  </si>
  <si>
    <t>195     01</t>
  </si>
  <si>
    <t>36     01</t>
  </si>
  <si>
    <t>242     01</t>
  </si>
  <si>
    <t>235     01</t>
  </si>
  <si>
    <t>136     01</t>
  </si>
  <si>
    <t>187     01</t>
  </si>
  <si>
    <t>198     01</t>
  </si>
  <si>
    <t>297     01</t>
  </si>
  <si>
    <t>307     01</t>
  </si>
  <si>
    <t>93     01</t>
  </si>
  <si>
    <t>146     01</t>
  </si>
  <si>
    <t>89     01</t>
  </si>
  <si>
    <t>213     01</t>
  </si>
  <si>
    <t>259     01</t>
  </si>
  <si>
    <t>224     01</t>
  </si>
  <si>
    <t>60     01</t>
  </si>
  <si>
    <t>94     01</t>
  </si>
  <si>
    <t>54     01</t>
  </si>
  <si>
    <t>269     01</t>
  </si>
  <si>
    <t>263     01</t>
  </si>
  <si>
    <t>22     01</t>
  </si>
  <si>
    <t>20     01</t>
  </si>
  <si>
    <t>08     01</t>
  </si>
  <si>
    <t>05     01</t>
  </si>
  <si>
    <t>337     01</t>
  </si>
  <si>
    <t>95     01</t>
  </si>
  <si>
    <t>346     01</t>
  </si>
  <si>
    <t>86     01</t>
  </si>
  <si>
    <t>24     01</t>
  </si>
  <si>
    <t>113     01</t>
  </si>
  <si>
    <t>295     01</t>
  </si>
  <si>
    <t>301     01</t>
  </si>
  <si>
    <t>359     01</t>
  </si>
  <si>
    <t>104     01</t>
  </si>
  <si>
    <t>163     01</t>
  </si>
  <si>
    <t>25     01</t>
  </si>
  <si>
    <t>299     01</t>
  </si>
  <si>
    <t>101     01</t>
  </si>
  <si>
    <t>343     01</t>
  </si>
  <si>
    <t>31     01</t>
  </si>
  <si>
    <t>221     01</t>
  </si>
  <si>
    <t>293     01</t>
  </si>
  <si>
    <t>341     01</t>
  </si>
  <si>
    <t>80     01</t>
  </si>
  <si>
    <t>159     01</t>
  </si>
  <si>
    <t>189     01</t>
  </si>
  <si>
    <t>111     01</t>
  </si>
  <si>
    <t>287     01</t>
  </si>
  <si>
    <t>257     01</t>
  </si>
  <si>
    <t>278     01</t>
  </si>
  <si>
    <t>07     01</t>
  </si>
  <si>
    <t>10     01</t>
  </si>
  <si>
    <t>02     01</t>
  </si>
  <si>
    <t>21     01</t>
  </si>
  <si>
    <t>238     01</t>
  </si>
  <si>
    <t>66     01</t>
  </si>
  <si>
    <t>41     01</t>
  </si>
  <si>
    <t>217     01</t>
  </si>
  <si>
    <t>176     01</t>
  </si>
  <si>
    <t>162     01</t>
  </si>
  <si>
    <t>183     01</t>
  </si>
  <si>
    <t>298     01</t>
  </si>
  <si>
    <t>196     01</t>
  </si>
  <si>
    <t>284     01</t>
  </si>
  <si>
    <t>342     01</t>
  </si>
  <si>
    <t>155     01</t>
  </si>
  <si>
    <t>167     01</t>
  </si>
  <si>
    <t>49     01</t>
  </si>
  <si>
    <t>12     01</t>
  </si>
  <si>
    <t>245     01</t>
  </si>
  <si>
    <t>58     01</t>
  </si>
  <si>
    <t>71     01</t>
  </si>
  <si>
    <t>100     01</t>
  </si>
  <si>
    <t>190     01</t>
  </si>
  <si>
    <t>74     01</t>
  </si>
  <si>
    <t>57     01</t>
  </si>
  <si>
    <t>51     01</t>
  </si>
  <si>
    <t>261     01</t>
  </si>
  <si>
    <t>72     01</t>
  </si>
  <si>
    <t>09     01</t>
  </si>
  <si>
    <t>18     01</t>
  </si>
  <si>
    <t>13     01</t>
  </si>
  <si>
    <t>108     01</t>
  </si>
  <si>
    <t>160     01</t>
  </si>
  <si>
    <t>142     01</t>
  </si>
  <si>
    <t>173     01</t>
  </si>
  <si>
    <t>345     01</t>
  </si>
  <si>
    <t>333     01</t>
  </si>
  <si>
    <t>228     01</t>
  </si>
  <si>
    <t>204     01</t>
  </si>
  <si>
    <t>166     01</t>
  </si>
  <si>
    <t>184     01</t>
  </si>
  <si>
    <t>200     01</t>
  </si>
  <si>
    <t>327     01</t>
  </si>
  <si>
    <t>231     01</t>
  </si>
  <si>
    <t>102     01</t>
  </si>
  <si>
    <t>274     01</t>
  </si>
  <si>
    <t>123     01</t>
  </si>
  <si>
    <t>44     01</t>
  </si>
  <si>
    <t>88     01</t>
  </si>
  <si>
    <t>225     01</t>
  </si>
  <si>
    <t>319     01</t>
  </si>
  <si>
    <t>309     01</t>
  </si>
  <si>
    <t>161     01</t>
  </si>
  <si>
    <t>197     01</t>
  </si>
  <si>
    <t>355     01</t>
  </si>
  <si>
    <t>357     01</t>
  </si>
  <si>
    <t>170     01</t>
  </si>
  <si>
    <t>06     01</t>
  </si>
  <si>
    <t>292     01</t>
  </si>
  <si>
    <t>118     01</t>
  </si>
  <si>
    <t>103     01</t>
  </si>
  <si>
    <t>239     01</t>
  </si>
  <si>
    <t>347     01</t>
  </si>
  <si>
    <t>311     01</t>
  </si>
  <si>
    <t>202     01</t>
  </si>
  <si>
    <t>352     01</t>
  </si>
  <si>
    <t>154     01</t>
  </si>
  <si>
    <t>253     01</t>
  </si>
  <si>
    <t>262     01</t>
  </si>
  <si>
    <t>182     01</t>
  </si>
  <si>
    <t>353     01</t>
  </si>
  <si>
    <t>208     01</t>
  </si>
  <si>
    <t>152     01</t>
  </si>
  <si>
    <t>276     01</t>
  </si>
  <si>
    <t>323     01</t>
  </si>
  <si>
    <t>37     01</t>
  </si>
  <si>
    <t>358     01</t>
  </si>
  <si>
    <t>45     01</t>
  </si>
  <si>
    <t>227     01</t>
  </si>
  <si>
    <t>300     01</t>
  </si>
  <si>
    <t>270     01</t>
  </si>
  <si>
    <t>258     01</t>
  </si>
  <si>
    <t>83     02</t>
  </si>
  <si>
    <t>124     02</t>
  </si>
  <si>
    <t>249     02</t>
  </si>
  <si>
    <t>245     02</t>
  </si>
  <si>
    <t>70     02</t>
  </si>
  <si>
    <t>37     02</t>
  </si>
  <si>
    <t>146     02</t>
  </si>
  <si>
    <t>148     02</t>
  </si>
  <si>
    <t>167     02</t>
  </si>
  <si>
    <t>350     02</t>
  </si>
  <si>
    <t>283     02</t>
  </si>
  <si>
    <t>359     02</t>
  </si>
  <si>
    <t>300     02</t>
  </si>
  <si>
    <t>213     02</t>
  </si>
  <si>
    <t>161     02</t>
  </si>
  <si>
    <t>72     02</t>
  </si>
  <si>
    <t>103     02</t>
  </si>
  <si>
    <t>208     02</t>
  </si>
  <si>
    <t>290     02</t>
  </si>
  <si>
    <t>348     02</t>
  </si>
  <si>
    <t>113     02</t>
  </si>
  <si>
    <t>57     02</t>
  </si>
  <si>
    <t>301     02</t>
  </si>
  <si>
    <t>276     02</t>
  </si>
  <si>
    <t>308     02</t>
  </si>
  <si>
    <t>231     02</t>
  </si>
  <si>
    <t>309     02</t>
  </si>
  <si>
    <t>273     02</t>
  </si>
  <si>
    <t>184     02</t>
  </si>
  <si>
    <t>32     02</t>
  </si>
  <si>
    <t>281     02</t>
  </si>
  <si>
    <t>166     02</t>
  </si>
  <si>
    <t>181     02</t>
  </si>
  <si>
    <t>356     02</t>
  </si>
  <si>
    <t>98     02</t>
  </si>
  <si>
    <t>355     02</t>
  </si>
  <si>
    <t>142     02</t>
  </si>
  <si>
    <t>227     02</t>
  </si>
  <si>
    <t>80     02</t>
  </si>
  <si>
    <t>136     02</t>
  </si>
  <si>
    <t>202     02</t>
  </si>
  <si>
    <t>149     02</t>
  </si>
  <si>
    <t>45     02</t>
  </si>
  <si>
    <t>93     02</t>
  </si>
  <si>
    <t>357     02</t>
  </si>
  <si>
    <t>44     02</t>
  </si>
  <si>
    <t>168     02</t>
  </si>
  <si>
    <t>204     02</t>
  </si>
  <si>
    <t>319     02</t>
  </si>
  <si>
    <t>183     02</t>
  </si>
  <si>
    <t>163     02</t>
  </si>
  <si>
    <t>345     02</t>
  </si>
  <si>
    <t>341     02</t>
  </si>
  <si>
    <t>358     02</t>
  </si>
  <si>
    <t>173     02</t>
  </si>
  <si>
    <t>278     02</t>
  </si>
  <si>
    <t>164     02</t>
  </si>
  <si>
    <t>68     02</t>
  </si>
  <si>
    <t>218     02</t>
  </si>
  <si>
    <t>284     02</t>
  </si>
  <si>
    <t>162     02</t>
  </si>
  <si>
    <t>292     02</t>
  </si>
  <si>
    <t>92     02</t>
  </si>
  <si>
    <t>193     02</t>
  </si>
  <si>
    <t>326     02</t>
  </si>
  <si>
    <t>62     02</t>
  </si>
  <si>
    <t>111     02</t>
  </si>
  <si>
    <t>205     02</t>
  </si>
  <si>
    <t>228     02</t>
  </si>
  <si>
    <t>26     02</t>
  </si>
  <si>
    <t>329     02</t>
  </si>
  <si>
    <t>123     02</t>
  </si>
  <si>
    <t>160     02</t>
  </si>
  <si>
    <t>187     02</t>
  </si>
  <si>
    <t>220     02</t>
  </si>
  <si>
    <t>110     02</t>
  </si>
  <si>
    <t>196     02</t>
  </si>
  <si>
    <t>262     02</t>
  </si>
  <si>
    <t>89     02</t>
  </si>
  <si>
    <t>50     02</t>
  </si>
  <si>
    <t>346     02</t>
  </si>
  <si>
    <t>152     02</t>
  </si>
  <si>
    <t>263     02</t>
  </si>
  <si>
    <t>36     02</t>
  </si>
  <si>
    <t>242     02</t>
  </si>
  <si>
    <t>287     02</t>
  </si>
  <si>
    <t>353     02</t>
  </si>
  <si>
    <t>257     02</t>
  </si>
  <si>
    <t>297     02</t>
  </si>
  <si>
    <t>253     02</t>
  </si>
  <si>
    <t>239     02</t>
  </si>
  <si>
    <t>157     02</t>
  </si>
  <si>
    <t>320     02</t>
  </si>
  <si>
    <t>328     02</t>
  </si>
  <si>
    <t>158     02</t>
  </si>
  <si>
    <t>295     02</t>
  </si>
  <si>
    <t>54     02</t>
  </si>
  <si>
    <t>225     02</t>
  </si>
  <si>
    <t>344     02</t>
  </si>
  <si>
    <t>198     02</t>
  </si>
  <si>
    <t>352     02</t>
  </si>
  <si>
    <t>134     02</t>
  </si>
  <si>
    <t>216     02</t>
  </si>
  <si>
    <t>327     02</t>
  </si>
  <si>
    <t>209     02</t>
  </si>
  <si>
    <t>238     02</t>
  </si>
  <si>
    <t>118     02</t>
  </si>
  <si>
    <t>177     02</t>
  </si>
  <si>
    <t>342     02</t>
  </si>
  <si>
    <t>159     02</t>
  </si>
  <si>
    <t>200     02</t>
  </si>
  <si>
    <t>58     02</t>
  </si>
  <si>
    <t>156     02</t>
  </si>
  <si>
    <t>268     02</t>
  </si>
  <si>
    <t>305     02</t>
  </si>
  <si>
    <t>307     02</t>
  </si>
  <si>
    <t>102     02</t>
  </si>
  <si>
    <t>189     02</t>
  </si>
  <si>
    <t>311     02</t>
  </si>
  <si>
    <t>112     02</t>
  </si>
  <si>
    <t>170     02</t>
  </si>
  <si>
    <t>259     02</t>
  </si>
  <si>
    <t>261     02</t>
  </si>
  <si>
    <t>137     02</t>
  </si>
  <si>
    <t>75     02</t>
  </si>
  <si>
    <t>237     02</t>
  </si>
  <si>
    <t>224     02</t>
  </si>
  <si>
    <t>176     02</t>
  </si>
  <si>
    <t>25     02</t>
  </si>
  <si>
    <t>139     02</t>
  </si>
  <si>
    <t>258     02</t>
  </si>
  <si>
    <t>101     02</t>
  </si>
  <si>
    <t>86     02</t>
  </si>
  <si>
    <t>104     02</t>
  </si>
  <si>
    <t>108     02</t>
  </si>
  <si>
    <t>41     02</t>
  </si>
  <si>
    <t>235     02</t>
  </si>
  <si>
    <t>270     02</t>
  </si>
  <si>
    <t>195     02</t>
  </si>
  <si>
    <t>31     02</t>
  </si>
  <si>
    <t>272     02</t>
  </si>
  <si>
    <t>61     02</t>
  </si>
  <si>
    <t>66     02</t>
  </si>
  <si>
    <t>182     02</t>
  </si>
  <si>
    <t>197     02</t>
  </si>
  <si>
    <t>190     02</t>
  </si>
  <si>
    <t>76     02</t>
  </si>
  <si>
    <t>347     02</t>
  </si>
  <si>
    <t>71     02</t>
  </si>
  <si>
    <t>100     02</t>
  </si>
  <si>
    <t>288     02</t>
  </si>
  <si>
    <t>299     02</t>
  </si>
  <si>
    <t>221     02</t>
  </si>
  <si>
    <t>60     02</t>
  </si>
  <si>
    <t>73     02</t>
  </si>
  <si>
    <t>191     02</t>
  </si>
  <si>
    <t>147     02</t>
  </si>
  <si>
    <t>154     02</t>
  </si>
  <si>
    <t>316     02</t>
  </si>
  <si>
    <t>217     02</t>
  </si>
  <si>
    <t>51     02</t>
  </si>
  <si>
    <t>120     02</t>
  </si>
  <si>
    <t>298     02</t>
  </si>
  <si>
    <t>155     02</t>
  </si>
  <si>
    <t>199     02</t>
  </si>
  <si>
    <t>343     02</t>
  </si>
  <si>
    <t>303     02</t>
  </si>
  <si>
    <t>95     02</t>
  </si>
  <si>
    <t>337     02</t>
  </si>
  <si>
    <t>247     02</t>
  </si>
  <si>
    <t>30     02</t>
  </si>
  <si>
    <t>285     02</t>
  </si>
  <si>
    <t>274     02</t>
  </si>
  <si>
    <t>323     02</t>
  </si>
  <si>
    <t>226     02</t>
  </si>
  <si>
    <t>74     02</t>
  </si>
  <si>
    <t>35     02</t>
  </si>
  <si>
    <t>49     02</t>
  </si>
  <si>
    <t>269     02</t>
  </si>
  <si>
    <t>94     02</t>
  </si>
  <si>
    <t>333     02</t>
  </si>
  <si>
    <t>65     02</t>
  </si>
  <si>
    <t>88     02</t>
  </si>
  <si>
    <t>293     02</t>
  </si>
  <si>
    <t>62     01</t>
  </si>
  <si>
    <t>149     01</t>
  </si>
  <si>
    <t>281     01</t>
  </si>
  <si>
    <t>246     01</t>
  </si>
  <si>
    <t>106     01</t>
  </si>
  <si>
    <t>124     01</t>
  </si>
  <si>
    <t>236     01</t>
  </si>
  <si>
    <t>34     01</t>
  </si>
  <si>
    <t>38     01</t>
  </si>
  <si>
    <t>334     01</t>
  </si>
  <si>
    <t>322     01</t>
  </si>
  <si>
    <t>223     01</t>
  </si>
  <si>
    <t>188     01</t>
  </si>
  <si>
    <t>241     01</t>
  </si>
  <si>
    <t>252     01</t>
  </si>
  <si>
    <t>237     01</t>
  </si>
  <si>
    <t>91     01</t>
  </si>
  <si>
    <t>77     01</t>
  </si>
  <si>
    <t>186     01</t>
  </si>
  <si>
    <t>349     01</t>
  </si>
  <si>
    <t>267     01</t>
  </si>
  <si>
    <t>255     01</t>
  </si>
  <si>
    <t>175     01</t>
  </si>
  <si>
    <t>121     01</t>
  </si>
  <si>
    <t>180     01</t>
  </si>
  <si>
    <t>165     01</t>
  </si>
  <si>
    <t>181     01</t>
  </si>
  <si>
    <t>314     01</t>
  </si>
  <si>
    <t>144     01</t>
  </si>
  <si>
    <t>135     01</t>
  </si>
  <si>
    <t>272     01</t>
  </si>
  <si>
    <t>348     01</t>
  </si>
  <si>
    <t>147     01</t>
  </si>
  <si>
    <t>82     01</t>
  </si>
  <si>
    <t>275     01</t>
  </si>
  <si>
    <t>78     01</t>
  </si>
  <si>
    <t>33     01</t>
  </si>
  <si>
    <t>63     01</t>
  </si>
  <si>
    <t>132     01</t>
  </si>
  <si>
    <t>73     01</t>
  </si>
  <si>
    <t>131     01</t>
  </si>
  <si>
    <t>203     01</t>
  </si>
  <si>
    <t>356     01</t>
  </si>
  <si>
    <t>340     01</t>
  </si>
  <si>
    <t>330     01</t>
  </si>
  <si>
    <t>29     01</t>
  </si>
  <si>
    <t>215     01</t>
  </si>
  <si>
    <t>169     01</t>
  </si>
  <si>
    <t>172     01</t>
  </si>
  <si>
    <t>331     01</t>
  </si>
  <si>
    <t>248     01</t>
  </si>
  <si>
    <t>296     01</t>
  </si>
  <si>
    <t>39     01</t>
  </si>
  <si>
    <t>107     01</t>
  </si>
  <si>
    <t>42     01</t>
  </si>
  <si>
    <t>129     01</t>
  </si>
  <si>
    <t>325     01</t>
  </si>
  <si>
    <t>145     01</t>
  </si>
  <si>
    <t>266     01</t>
  </si>
  <si>
    <t>116     01</t>
  </si>
  <si>
    <t>335     01</t>
  </si>
  <si>
    <t>303     01</t>
  </si>
  <si>
    <t>139     01</t>
  </si>
  <si>
    <t>288     01</t>
  </si>
  <si>
    <t>210     01</t>
  </si>
  <si>
    <t>310     01</t>
  </si>
  <si>
    <t>207     01</t>
  </si>
  <si>
    <t>130     01</t>
  </si>
  <si>
    <t>90     01</t>
  </si>
  <si>
    <t>122     01</t>
  </si>
  <si>
    <t>317     01</t>
  </si>
  <si>
    <t>280     01</t>
  </si>
  <si>
    <t>229     01</t>
  </si>
  <si>
    <t>192     01</t>
  </si>
  <si>
    <t>294     01</t>
  </si>
  <si>
    <t>304     01</t>
  </si>
  <si>
    <t>92     01</t>
  </si>
  <si>
    <t>125     01</t>
  </si>
  <si>
    <t>84     01</t>
  </si>
  <si>
    <t>59     01</t>
  </si>
  <si>
    <t>233     01</t>
  </si>
  <si>
    <t>191     01</t>
  </si>
  <si>
    <t>336     01</t>
  </si>
  <si>
    <t>211     01</t>
  </si>
  <si>
    <t>64     01</t>
  </si>
  <si>
    <t>79     01</t>
  </si>
  <si>
    <t>171     01</t>
  </si>
  <si>
    <t>98     01</t>
  </si>
  <si>
    <t>178     01</t>
  </si>
  <si>
    <t>315     01</t>
  </si>
  <si>
    <t>302     01</t>
  </si>
  <si>
    <t>291     01</t>
  </si>
  <si>
    <t>289     01</t>
  </si>
  <si>
    <t>199     01</t>
  </si>
  <si>
    <t>50     01</t>
  </si>
  <si>
    <t>313     01</t>
  </si>
  <si>
    <t>109     01</t>
  </si>
  <si>
    <t>214     01</t>
  </si>
  <si>
    <t>251     01</t>
  </si>
  <si>
    <t>243     01</t>
  </si>
  <si>
    <t>219     01</t>
  </si>
  <si>
    <t>360     01</t>
  </si>
  <si>
    <t>28     01</t>
  </si>
  <si>
    <t>324     01</t>
  </si>
  <si>
    <t>126     01</t>
  </si>
  <si>
    <t>326     01</t>
  </si>
  <si>
    <t>312     01</t>
  </si>
  <si>
    <t>271     01</t>
  </si>
  <si>
    <t>256     01</t>
  </si>
  <si>
    <t>320     01</t>
  </si>
  <si>
    <t>47     01</t>
  </si>
  <si>
    <t>232     01</t>
  </si>
  <si>
    <t>234     01</t>
  </si>
  <si>
    <t>114     01</t>
  </si>
  <si>
    <t>339     01</t>
  </si>
  <si>
    <t>153     01</t>
  </si>
  <si>
    <t>143     01</t>
  </si>
  <si>
    <t>85     01</t>
  </si>
  <si>
    <t>328     01</t>
  </si>
  <si>
    <t>230     01</t>
  </si>
  <si>
    <t>99     01</t>
  </si>
  <si>
    <t>174     01</t>
  </si>
  <si>
    <t>56     01</t>
  </si>
  <si>
    <t>185     01</t>
  </si>
  <si>
    <t>148     01</t>
  </si>
  <si>
    <t>329     01</t>
  </si>
  <si>
    <t>268     01</t>
  </si>
  <si>
    <t>83     01</t>
  </si>
  <si>
    <t>69     01</t>
  </si>
  <si>
    <t>249     01</t>
  </si>
  <si>
    <t>250     01</t>
  </si>
  <si>
    <t>194     01</t>
  </si>
  <si>
    <t>81     01</t>
  </si>
  <si>
    <t>354     01</t>
  </si>
  <si>
    <t>43     01</t>
  </si>
  <si>
    <t>138     01</t>
  </si>
  <si>
    <t>127     01</t>
  </si>
  <si>
    <t>265     01</t>
  </si>
  <si>
    <t>75     01</t>
  </si>
  <si>
    <t>306     01</t>
  </si>
  <si>
    <t>264     01</t>
  </si>
  <si>
    <t>55     01</t>
  </si>
  <si>
    <t>286     01</t>
  </si>
  <si>
    <t>150     01</t>
  </si>
  <si>
    <t>128     01</t>
  </si>
  <si>
    <t>321     01</t>
  </si>
  <si>
    <t>96     01</t>
  </si>
  <si>
    <t>97     01</t>
  </si>
  <si>
    <t>212     01</t>
  </si>
  <si>
    <t>254     01</t>
  </si>
  <si>
    <t>48     01</t>
  </si>
  <si>
    <t>318     01</t>
  </si>
  <si>
    <t>119     01</t>
  </si>
  <si>
    <t>282     01</t>
  </si>
  <si>
    <t>279     01</t>
  </si>
  <si>
    <t>112     01</t>
  </si>
  <si>
    <t>285     01</t>
  </si>
  <si>
    <t>141     01</t>
  </si>
  <si>
    <t>206     01</t>
  </si>
  <si>
    <t>193     01</t>
  </si>
  <si>
    <t>52     01</t>
  </si>
  <si>
    <t>277     01</t>
  </si>
  <si>
    <t>115     01</t>
  </si>
  <si>
    <t>140     01</t>
  </si>
  <si>
    <t>332     01</t>
  </si>
  <si>
    <t>87     01</t>
  </si>
  <si>
    <t>222     01</t>
  </si>
  <si>
    <t>260     01</t>
  </si>
  <si>
    <t>151     01</t>
  </si>
  <si>
    <t>105     01</t>
  </si>
  <si>
    <t>67     01</t>
  </si>
  <si>
    <t>117     01</t>
  </si>
  <si>
    <t>137     01</t>
  </si>
  <si>
    <t>46     01</t>
  </si>
  <si>
    <t>40     01</t>
  </si>
  <si>
    <t>53     01</t>
  </si>
  <si>
    <t>133     01</t>
  </si>
  <si>
    <t>179     01</t>
  </si>
  <si>
    <t>27     01</t>
  </si>
  <si>
    <t>201     01</t>
  </si>
  <si>
    <t>338     01</t>
  </si>
  <si>
    <t>244     01</t>
  </si>
  <si>
    <t>158     01</t>
  </si>
  <si>
    <t>351     01</t>
  </si>
  <si>
    <t>240     01</t>
  </si>
  <si>
    <t>153     04</t>
  </si>
  <si>
    <t>306     04</t>
  </si>
  <si>
    <t>150     04</t>
  </si>
  <si>
    <t>322     04</t>
  </si>
  <si>
    <t>220     04</t>
  </si>
  <si>
    <t>119     04</t>
  </si>
  <si>
    <t>199     04</t>
  </si>
  <si>
    <t>134     04</t>
  </si>
  <si>
    <t>160     04</t>
  </si>
  <si>
    <t>95     04</t>
  </si>
  <si>
    <t>105     04</t>
  </si>
  <si>
    <t>82     04</t>
  </si>
  <si>
    <t>63     04</t>
  </si>
  <si>
    <t>60     04</t>
  </si>
  <si>
    <t>313     04</t>
  </si>
  <si>
    <t>124     04</t>
  </si>
  <si>
    <t>221     04</t>
  </si>
  <si>
    <t>66     04</t>
  </si>
  <si>
    <t>242     04</t>
  </si>
  <si>
    <t>226     04</t>
  </si>
  <si>
    <t>230     04</t>
  </si>
  <si>
    <t>354     04</t>
  </si>
  <si>
    <t>87     04</t>
  </si>
  <si>
    <t>285     04</t>
  </si>
  <si>
    <t>102     04</t>
  </si>
  <si>
    <t>178     04</t>
  </si>
  <si>
    <t>76     04</t>
  </si>
  <si>
    <t>337     04</t>
  </si>
  <si>
    <t>100     04</t>
  </si>
  <si>
    <t>170     04</t>
  </si>
  <si>
    <t>300     04</t>
  </si>
  <si>
    <t>234     04</t>
  </si>
  <si>
    <t>01     04</t>
  </si>
  <si>
    <t>227     04</t>
  </si>
  <si>
    <t>308     04</t>
  </si>
  <si>
    <t>314     04</t>
  </si>
  <si>
    <t>162     04</t>
  </si>
  <si>
    <t>267     04</t>
  </si>
  <si>
    <t>210     04</t>
  </si>
  <si>
    <t>168     04</t>
  </si>
  <si>
    <t>166     04</t>
  </si>
  <si>
    <t>129     04</t>
  </si>
  <si>
    <t>149     04</t>
  </si>
  <si>
    <t>136     04</t>
  </si>
  <si>
    <t>319     04</t>
  </si>
  <si>
    <t>09     04</t>
  </si>
  <si>
    <t>19     04</t>
  </si>
  <si>
    <t>235     04</t>
  </si>
  <si>
    <t>215     04</t>
  </si>
  <si>
    <t>52     04</t>
  </si>
  <si>
    <t>48     04</t>
  </si>
  <si>
    <t>291     04</t>
  </si>
  <si>
    <t>07     04</t>
  </si>
  <si>
    <t>304     04</t>
  </si>
  <si>
    <t>77     04</t>
  </si>
  <si>
    <t>147     04</t>
  </si>
  <si>
    <t>154     04</t>
  </si>
  <si>
    <t>80     04</t>
  </si>
  <si>
    <t>164     04</t>
  </si>
  <si>
    <t>196     04</t>
  </si>
  <si>
    <t>161     04</t>
  </si>
  <si>
    <t>16     04</t>
  </si>
  <si>
    <t>135     04</t>
  </si>
  <si>
    <t>73     04</t>
  </si>
  <si>
    <t>358     04</t>
  </si>
  <si>
    <t>237     04</t>
  </si>
  <si>
    <t>98     04</t>
  </si>
  <si>
    <t>79     04</t>
  </si>
  <si>
    <t>311     04</t>
  </si>
  <si>
    <t>165     04</t>
  </si>
  <si>
    <t>336     04</t>
  </si>
  <si>
    <t>29     04</t>
  </si>
  <si>
    <t>202     04</t>
  </si>
  <si>
    <t>353     04</t>
  </si>
  <si>
    <t>94     04</t>
  </si>
  <si>
    <t>81     04</t>
  </si>
  <si>
    <t>05     04</t>
  </si>
  <si>
    <t>301     04</t>
  </si>
  <si>
    <t>108     04</t>
  </si>
  <si>
    <t>323     04</t>
  </si>
  <si>
    <t>23     04</t>
  </si>
  <si>
    <t>104     04</t>
  </si>
  <si>
    <t>250     04</t>
  </si>
  <si>
    <t>68     04</t>
  </si>
  <si>
    <t>174     04</t>
  </si>
  <si>
    <t>191     04</t>
  </si>
  <si>
    <t>243     04</t>
  </si>
  <si>
    <t>181     04</t>
  </si>
  <si>
    <t>310     04</t>
  </si>
  <si>
    <t>317     04</t>
  </si>
  <si>
    <t>330     04</t>
  </si>
  <si>
    <t>158     04</t>
  </si>
  <si>
    <t>286     04</t>
  </si>
  <si>
    <t>173     04</t>
  </si>
  <si>
    <t>302     04</t>
  </si>
  <si>
    <t>284     04</t>
  </si>
  <si>
    <t>172     04</t>
  </si>
  <si>
    <t>334     04</t>
  </si>
  <si>
    <t>331     04</t>
  </si>
  <si>
    <t>296     04</t>
  </si>
  <si>
    <t>231     04</t>
  </si>
  <si>
    <t>50     04</t>
  </si>
  <si>
    <t>252     04</t>
  </si>
  <si>
    <t>339     04</t>
  </si>
  <si>
    <t>61     04</t>
  </si>
  <si>
    <t>324     04</t>
  </si>
  <si>
    <t>36     04</t>
  </si>
  <si>
    <t>248     04</t>
  </si>
  <si>
    <t>204     04</t>
  </si>
  <si>
    <t>187     04</t>
  </si>
  <si>
    <t>315     04</t>
  </si>
  <si>
    <t>340     04</t>
  </si>
  <si>
    <t>111     04</t>
  </si>
  <si>
    <t>268     04</t>
  </si>
  <si>
    <t>251     04</t>
  </si>
  <si>
    <t>39     04</t>
  </si>
  <si>
    <t>208     04</t>
  </si>
  <si>
    <t>44     04</t>
  </si>
  <si>
    <t>209     04</t>
  </si>
  <si>
    <t>146     04</t>
  </si>
  <si>
    <t>97     04</t>
  </si>
  <si>
    <t>70     04</t>
  </si>
  <si>
    <t>211     04</t>
  </si>
  <si>
    <t>272     04</t>
  </si>
  <si>
    <t>25     04</t>
  </si>
  <si>
    <t>163     04</t>
  </si>
  <si>
    <t>51     04</t>
  </si>
  <si>
    <t>142     04</t>
  </si>
  <si>
    <t>18     04</t>
  </si>
  <si>
    <t>312     04</t>
  </si>
  <si>
    <t>21     04</t>
  </si>
  <si>
    <t>293     04</t>
  </si>
  <si>
    <t>180     04</t>
  </si>
  <si>
    <t>10     04</t>
  </si>
  <si>
    <t>117     04</t>
  </si>
  <si>
    <t>282     04</t>
  </si>
  <si>
    <t>30     04</t>
  </si>
  <si>
    <t>212     04</t>
  </si>
  <si>
    <t>241     04</t>
  </si>
  <si>
    <t>58     04</t>
  </si>
  <si>
    <t>03     04</t>
  </si>
  <si>
    <t>254     04</t>
  </si>
  <si>
    <t>203     04</t>
  </si>
  <si>
    <t>49     04</t>
  </si>
  <si>
    <t>145     04</t>
  </si>
  <si>
    <t>224     04</t>
  </si>
  <si>
    <t>47     04</t>
  </si>
  <si>
    <t>245     04</t>
  </si>
  <si>
    <t>157     04</t>
  </si>
  <si>
    <t>338     04</t>
  </si>
  <si>
    <t>276     04</t>
  </si>
  <si>
    <t>04     04</t>
  </si>
  <si>
    <t>278     04</t>
  </si>
  <si>
    <t>228     04</t>
  </si>
  <si>
    <t>156     04</t>
  </si>
  <si>
    <t>266     04</t>
  </si>
  <si>
    <t>256     04</t>
  </si>
  <si>
    <t>287     04</t>
  </si>
  <si>
    <t>64     04</t>
  </si>
  <si>
    <t>253     04</t>
  </si>
  <si>
    <t>236     04</t>
  </si>
  <si>
    <t>238     04</t>
  </si>
  <si>
    <t>200     04</t>
  </si>
  <si>
    <t>342     04</t>
  </si>
  <si>
    <t>34     04</t>
  </si>
  <si>
    <t>294     04</t>
  </si>
  <si>
    <t>69     04</t>
  </si>
  <si>
    <t>06     04</t>
  </si>
  <si>
    <t>42     04</t>
  </si>
  <si>
    <t>110     04</t>
  </si>
  <si>
    <t>96     04</t>
  </si>
  <si>
    <t>24     04</t>
  </si>
  <si>
    <t>127     04</t>
  </si>
  <si>
    <t>122     04</t>
  </si>
  <si>
    <t>184     04</t>
  </si>
  <si>
    <t>258     04</t>
  </si>
  <si>
    <t>270     04</t>
  </si>
  <si>
    <t>02     04</t>
  </si>
  <si>
    <t>321     04</t>
  </si>
  <si>
    <t>347     04</t>
  </si>
  <si>
    <t>240     04</t>
  </si>
  <si>
    <t>357     04</t>
  </si>
  <si>
    <t>31     04</t>
  </si>
  <si>
    <t>116     04</t>
  </si>
  <si>
    <t>344     04</t>
  </si>
  <si>
    <t>130     04</t>
  </si>
  <si>
    <t>86     04</t>
  </si>
  <si>
    <t>198     04</t>
  </si>
  <si>
    <t>103     04</t>
  </si>
  <si>
    <t>229     04</t>
  </si>
  <si>
    <t>214     04</t>
  </si>
  <si>
    <t>333     04</t>
  </si>
  <si>
    <t>346     04</t>
  </si>
  <si>
    <t>175     04</t>
  </si>
  <si>
    <t>179     04</t>
  </si>
  <si>
    <t>08     04</t>
  </si>
  <si>
    <t>205     04</t>
  </si>
  <si>
    <t>290     04</t>
  </si>
  <si>
    <t>90     04</t>
  </si>
  <si>
    <t>11     04</t>
  </si>
  <si>
    <t>128     04</t>
  </si>
  <si>
    <t>343     04</t>
  </si>
  <si>
    <t>140     04</t>
  </si>
  <si>
    <t>239     04</t>
  </si>
  <si>
    <t>217     03</t>
  </si>
  <si>
    <t>98     03</t>
  </si>
  <si>
    <t>279     03</t>
  </si>
  <si>
    <t>246     03</t>
  </si>
  <si>
    <t>305     03</t>
  </si>
  <si>
    <t>295     03</t>
  </si>
  <si>
    <t>26     03</t>
  </si>
  <si>
    <t>113     03</t>
  </si>
  <si>
    <t>218     03</t>
  </si>
  <si>
    <t>83     03</t>
  </si>
  <si>
    <t>112     03</t>
  </si>
  <si>
    <t>335     03</t>
  </si>
  <si>
    <t>227     03</t>
  </si>
  <si>
    <t>273     03</t>
  </si>
  <si>
    <t>12     03</t>
  </si>
  <si>
    <t>356     03</t>
  </si>
  <si>
    <t>260     03</t>
  </si>
  <si>
    <t>201     03</t>
  </si>
  <si>
    <t>59     03</t>
  </si>
  <si>
    <t>359     03</t>
  </si>
  <si>
    <t>360     03</t>
  </si>
  <si>
    <t>234     03</t>
  </si>
  <si>
    <t>171     03</t>
  </si>
  <si>
    <t>109     03</t>
  </si>
  <si>
    <t>106     03</t>
  </si>
  <si>
    <t>38     03</t>
  </si>
  <si>
    <t>180     03</t>
  </si>
  <si>
    <t>43     03</t>
  </si>
  <si>
    <t>137     03</t>
  </si>
  <si>
    <t>280     03</t>
  </si>
  <si>
    <t>308     03</t>
  </si>
  <si>
    <t>319     03</t>
  </si>
  <si>
    <t>315     03</t>
  </si>
  <si>
    <t>250     03</t>
  </si>
  <si>
    <t>296     03</t>
  </si>
  <si>
    <t>123     03</t>
  </si>
  <si>
    <t>99     03</t>
  </si>
  <si>
    <t>45     03</t>
  </si>
  <si>
    <t>255     03</t>
  </si>
  <si>
    <t>35     03</t>
  </si>
  <si>
    <t>69     03</t>
  </si>
  <si>
    <t>195     03</t>
  </si>
  <si>
    <t>148     03</t>
  </si>
  <si>
    <t>271     03</t>
  </si>
  <si>
    <t>01     03</t>
  </si>
  <si>
    <t>46     03</t>
  </si>
  <si>
    <t>14     03</t>
  </si>
  <si>
    <t>299     03</t>
  </si>
  <si>
    <t>249     03</t>
  </si>
  <si>
    <t>185     03</t>
  </si>
  <si>
    <t>318     03</t>
  </si>
  <si>
    <t>188     03</t>
  </si>
  <si>
    <t>55     03</t>
  </si>
  <si>
    <t>88     03</t>
  </si>
  <si>
    <t>244     03</t>
  </si>
  <si>
    <t>176     03</t>
  </si>
  <si>
    <t>91     03</t>
  </si>
  <si>
    <t>110     03</t>
  </si>
  <si>
    <t>328     03</t>
  </si>
  <si>
    <t>159     03</t>
  </si>
  <si>
    <t>186     03</t>
  </si>
  <si>
    <t>332     03</t>
  </si>
  <si>
    <t>233     03</t>
  </si>
  <si>
    <t>262     03</t>
  </si>
  <si>
    <t>220     03</t>
  </si>
  <si>
    <t>252     03</t>
  </si>
  <si>
    <t>103     03</t>
  </si>
  <si>
    <t>111     03</t>
  </si>
  <si>
    <t>37     03</t>
  </si>
  <si>
    <t>288     03</t>
  </si>
  <si>
    <t>54     03</t>
  </si>
  <si>
    <t>350     03</t>
  </si>
  <si>
    <t>277     03</t>
  </si>
  <si>
    <t>231     03</t>
  </si>
  <si>
    <t>53     03</t>
  </si>
  <si>
    <t>349     03</t>
  </si>
  <si>
    <t>132     03</t>
  </si>
  <si>
    <t>358     03</t>
  </si>
  <si>
    <t>13     03</t>
  </si>
  <si>
    <t>232     03</t>
  </si>
  <si>
    <t>75     03</t>
  </si>
  <si>
    <t>143     03</t>
  </si>
  <si>
    <t>282     03</t>
  </si>
  <si>
    <t>41     03</t>
  </si>
  <si>
    <t>247     03</t>
  </si>
  <si>
    <t>197     03</t>
  </si>
  <si>
    <t>22     03</t>
  </si>
  <si>
    <t>107     03</t>
  </si>
  <si>
    <t>265     03</t>
  </si>
  <si>
    <t>15     03</t>
  </si>
  <si>
    <t>120     03</t>
  </si>
  <si>
    <t>89     03</t>
  </si>
  <si>
    <t>141     03</t>
  </si>
  <si>
    <t>213     03</t>
  </si>
  <si>
    <t>237     03</t>
  </si>
  <si>
    <t>355     03</t>
  </si>
  <si>
    <t>307     03</t>
  </si>
  <si>
    <t>316     03</t>
  </si>
  <si>
    <t>229     03</t>
  </si>
  <si>
    <t>286     03</t>
  </si>
  <si>
    <t>77     03</t>
  </si>
  <si>
    <t>357     03</t>
  </si>
  <si>
    <t>298     03</t>
  </si>
  <si>
    <t>222     03</t>
  </si>
  <si>
    <t>144     03</t>
  </si>
  <si>
    <t>261     03</t>
  </si>
  <si>
    <t>128     03</t>
  </si>
  <si>
    <t>219     03</t>
  </si>
  <si>
    <t>343     03</t>
  </si>
  <si>
    <t>223     03</t>
  </si>
  <si>
    <t>329     03</t>
  </si>
  <si>
    <t>33     03</t>
  </si>
  <si>
    <t>190     03</t>
  </si>
  <si>
    <t>297     03</t>
  </si>
  <si>
    <t>151     03</t>
  </si>
  <si>
    <t>84     03</t>
  </si>
  <si>
    <t>28     03</t>
  </si>
  <si>
    <t>257     03</t>
  </si>
  <si>
    <t>79     03</t>
  </si>
  <si>
    <t>169     03</t>
  </si>
  <si>
    <t>194     03</t>
  </si>
  <si>
    <t>125     03</t>
  </si>
  <si>
    <t>131     03</t>
  </si>
  <si>
    <t>121     03</t>
  </si>
  <si>
    <t>348     03</t>
  </si>
  <si>
    <t>140     03</t>
  </si>
  <si>
    <t>326     03</t>
  </si>
  <si>
    <t>65     03</t>
  </si>
  <si>
    <t>292     03</t>
  </si>
  <si>
    <t>17     03</t>
  </si>
  <si>
    <t>92     03</t>
  </si>
  <si>
    <t>281     03</t>
  </si>
  <si>
    <t>317     03</t>
  </si>
  <si>
    <t>86     03</t>
  </si>
  <si>
    <t>30     03</t>
  </si>
  <si>
    <t>306     03</t>
  </si>
  <si>
    <t>351     03</t>
  </si>
  <si>
    <t>275     03</t>
  </si>
  <si>
    <t>177     03</t>
  </si>
  <si>
    <t>06     03</t>
  </si>
  <si>
    <t>352     03</t>
  </si>
  <si>
    <t>139     03</t>
  </si>
  <si>
    <t>20     03</t>
  </si>
  <si>
    <t>239     03</t>
  </si>
  <si>
    <t>72     03</t>
  </si>
  <si>
    <t>341     03</t>
  </si>
  <si>
    <t>269     03</t>
  </si>
  <si>
    <t>206     03</t>
  </si>
  <si>
    <t>320     03</t>
  </si>
  <si>
    <t>56     03</t>
  </si>
  <si>
    <t>183     03</t>
  </si>
  <si>
    <t>259     03</t>
  </si>
  <si>
    <t>115     03</t>
  </si>
  <si>
    <t>263     03</t>
  </si>
  <si>
    <t>345     03</t>
  </si>
  <si>
    <t>117     03</t>
  </si>
  <si>
    <t>155     03</t>
  </si>
  <si>
    <t>78     03</t>
  </si>
  <si>
    <t>216     03</t>
  </si>
  <si>
    <t>74     03</t>
  </si>
  <si>
    <t>309     03</t>
  </si>
  <si>
    <t>101     03</t>
  </si>
  <si>
    <t>207     03</t>
  </si>
  <si>
    <t>283     03</t>
  </si>
  <si>
    <t>331     03</t>
  </si>
  <si>
    <t>62     03</t>
  </si>
  <si>
    <t>145     03</t>
  </si>
  <si>
    <t>354     03</t>
  </si>
  <si>
    <t>82     03</t>
  </si>
  <si>
    <t>200     03</t>
  </si>
  <si>
    <t>27     03</t>
  </si>
  <si>
    <t>126     03</t>
  </si>
  <si>
    <t>133     03</t>
  </si>
  <si>
    <t>167     03</t>
  </si>
  <si>
    <t>118     03</t>
  </si>
  <si>
    <t>71     03</t>
  </si>
  <si>
    <t>114     03</t>
  </si>
  <si>
    <t>93     03</t>
  </si>
  <si>
    <t>192     03</t>
  </si>
  <si>
    <t>67     03</t>
  </si>
  <si>
    <t>264     03</t>
  </si>
  <si>
    <t>300     03</t>
  </si>
  <si>
    <t>57     03</t>
  </si>
  <si>
    <t>182     03</t>
  </si>
  <si>
    <t>138     03</t>
  </si>
  <si>
    <t>42     03</t>
  </si>
  <si>
    <t>303     03</t>
  </si>
  <si>
    <t>327     03</t>
  </si>
  <si>
    <t>193     03</t>
  </si>
  <si>
    <t>152     03</t>
  </si>
  <si>
    <t>274     03</t>
  </si>
  <si>
    <t>325     03</t>
  </si>
  <si>
    <t>225     03</t>
  </si>
  <si>
    <t>10     03</t>
  </si>
  <si>
    <t>40     03</t>
  </si>
  <si>
    <t>289     03</t>
  </si>
  <si>
    <t>85     03</t>
  </si>
  <si>
    <t>32     03</t>
  </si>
  <si>
    <t>189     03</t>
  </si>
  <si>
    <t>50     03</t>
  </si>
  <si>
    <t>142     03</t>
  </si>
  <si>
    <t>342     03</t>
  </si>
  <si>
    <t>181     03</t>
  </si>
  <si>
    <t>267     03</t>
  </si>
  <si>
    <t>155     04</t>
  </si>
  <si>
    <t>213     04</t>
  </si>
  <si>
    <t>107     04</t>
  </si>
  <si>
    <t>59     04</t>
  </si>
  <si>
    <t>32     04</t>
  </si>
  <si>
    <t>277     04</t>
  </si>
  <si>
    <t>263     04</t>
  </si>
  <si>
    <t>35     04</t>
  </si>
  <si>
    <t>89     04</t>
  </si>
  <si>
    <t>348     04</t>
  </si>
  <si>
    <t>67     04</t>
  </si>
  <si>
    <t>56     04</t>
  </si>
  <si>
    <t>195     04</t>
  </si>
  <si>
    <t>356     04</t>
  </si>
  <si>
    <t>189     04</t>
  </si>
  <si>
    <t>222     04</t>
  </si>
  <si>
    <t>132     04</t>
  </si>
  <si>
    <t>27     04</t>
  </si>
  <si>
    <t>45     04</t>
  </si>
  <si>
    <t>144     04</t>
  </si>
  <si>
    <t>26     04</t>
  </si>
  <si>
    <t>186     04</t>
  </si>
  <si>
    <t>183     04</t>
  </si>
  <si>
    <t>328     04</t>
  </si>
  <si>
    <t>303     04</t>
  </si>
  <si>
    <t>281     04</t>
  </si>
  <si>
    <t>17     04</t>
  </si>
  <si>
    <t>359     04</t>
  </si>
  <si>
    <t>131     04</t>
  </si>
  <si>
    <t>101     04</t>
  </si>
  <si>
    <t>92     04</t>
  </si>
  <si>
    <t>335     04</t>
  </si>
  <si>
    <t>320     04</t>
  </si>
  <si>
    <t>182     04</t>
  </si>
  <si>
    <t>349     04</t>
  </si>
  <si>
    <t>114     04</t>
  </si>
  <si>
    <t>325     04</t>
  </si>
  <si>
    <t>249     04</t>
  </si>
  <si>
    <t>55     04</t>
  </si>
  <si>
    <t>139     04</t>
  </si>
  <si>
    <t>355     04</t>
  </si>
  <si>
    <t>352     04</t>
  </si>
  <si>
    <t>327     04</t>
  </si>
  <si>
    <t>40     04</t>
  </si>
  <si>
    <t>259     04</t>
  </si>
  <si>
    <t>190     04</t>
  </si>
  <si>
    <t>72     04</t>
  </si>
  <si>
    <t>262     04</t>
  </si>
  <si>
    <t>351     04</t>
  </si>
  <si>
    <t>171     04</t>
  </si>
  <si>
    <t>279     04</t>
  </si>
  <si>
    <t>261     04</t>
  </si>
  <si>
    <t>74     04</t>
  </si>
  <si>
    <t>12     04</t>
  </si>
  <si>
    <t>22     04</t>
  </si>
  <si>
    <t>185     04</t>
  </si>
  <si>
    <t>46     04</t>
  </si>
  <si>
    <t>192     04</t>
  </si>
  <si>
    <t>167     04</t>
  </si>
  <si>
    <t>269     04</t>
  </si>
  <si>
    <t>113     04</t>
  </si>
  <si>
    <t>14     04</t>
  </si>
  <si>
    <t>125     04</t>
  </si>
  <si>
    <t>188     04</t>
  </si>
  <si>
    <t>177     04</t>
  </si>
  <si>
    <t>360     04</t>
  </si>
  <si>
    <t>326     04</t>
  </si>
  <si>
    <t>38     04</t>
  </si>
  <si>
    <t>299     04</t>
  </si>
  <si>
    <t>121     04</t>
  </si>
  <si>
    <t>20     04</t>
  </si>
  <si>
    <t>275     04</t>
  </si>
  <si>
    <t>271     04</t>
  </si>
  <si>
    <t>283     04</t>
  </si>
  <si>
    <t>305     04</t>
  </si>
  <si>
    <t>292     04</t>
  </si>
  <si>
    <t>247     04</t>
  </si>
  <si>
    <t>193     04</t>
  </si>
  <si>
    <t>120     04</t>
  </si>
  <si>
    <t>109     04</t>
  </si>
  <si>
    <t>143     04</t>
  </si>
  <si>
    <t>118     04</t>
  </si>
  <si>
    <t>298     04</t>
  </si>
  <si>
    <t>141     04</t>
  </si>
  <si>
    <t>99     04</t>
  </si>
  <si>
    <t>33     04</t>
  </si>
  <si>
    <t>13     04</t>
  </si>
  <si>
    <t>246     04</t>
  </si>
  <si>
    <t>223     04</t>
  </si>
  <si>
    <t>244     04</t>
  </si>
  <si>
    <t>65     04</t>
  </si>
  <si>
    <t>53     04</t>
  </si>
  <si>
    <t>15     04</t>
  </si>
  <si>
    <t>71     04</t>
  </si>
  <si>
    <t>123     04</t>
  </si>
  <si>
    <t>260     04</t>
  </si>
  <si>
    <t>257     04</t>
  </si>
  <si>
    <t>218     04</t>
  </si>
  <si>
    <t>316     04</t>
  </si>
  <si>
    <t>332     04</t>
  </si>
  <si>
    <t>216     04</t>
  </si>
  <si>
    <t>169     04</t>
  </si>
  <si>
    <t>75     04</t>
  </si>
  <si>
    <t>206     04</t>
  </si>
  <si>
    <t>233     04</t>
  </si>
  <si>
    <t>225     04</t>
  </si>
  <si>
    <t>345     04</t>
  </si>
  <si>
    <t>255     04</t>
  </si>
  <si>
    <t>207     04</t>
  </si>
  <si>
    <t>329     04</t>
  </si>
  <si>
    <t>176     04</t>
  </si>
  <si>
    <t>217     04</t>
  </si>
  <si>
    <t>62     04</t>
  </si>
  <si>
    <t>137     04</t>
  </si>
  <si>
    <t>201     04</t>
  </si>
  <si>
    <t>309     04</t>
  </si>
  <si>
    <t>112     04</t>
  </si>
  <si>
    <t>28     04</t>
  </si>
  <si>
    <t>265     04</t>
  </si>
  <si>
    <t>54     04</t>
  </si>
  <si>
    <t>295     04</t>
  </si>
  <si>
    <t>297     04</t>
  </si>
  <si>
    <t>273     04</t>
  </si>
  <si>
    <t>152     04</t>
  </si>
  <si>
    <t>57     04</t>
  </si>
  <si>
    <t>93     04</t>
  </si>
  <si>
    <t>318     04</t>
  </si>
  <si>
    <t>289     04</t>
  </si>
  <si>
    <t>341     04</t>
  </si>
  <si>
    <t>288     04</t>
  </si>
  <si>
    <t>151     04</t>
  </si>
  <si>
    <t>280     04</t>
  </si>
  <si>
    <t>43     04</t>
  </si>
  <si>
    <t>91     04</t>
  </si>
  <si>
    <t>41     04</t>
  </si>
  <si>
    <t>274     04</t>
  </si>
  <si>
    <t>194     04</t>
  </si>
  <si>
    <t>133     04</t>
  </si>
  <si>
    <t>115     04</t>
  </si>
  <si>
    <t>232     04</t>
  </si>
  <si>
    <t>350     04</t>
  </si>
  <si>
    <t>85     04</t>
  </si>
  <si>
    <t>126     04</t>
  </si>
  <si>
    <t>78     04</t>
  </si>
  <si>
    <t>106     04</t>
  </si>
  <si>
    <t>148     04</t>
  </si>
  <si>
    <t>88     04</t>
  </si>
  <si>
    <t>197     04</t>
  </si>
  <si>
    <t>138     04</t>
  </si>
  <si>
    <t>307     04</t>
  </si>
  <si>
    <t>37     04</t>
  </si>
  <si>
    <t>83     04</t>
  </si>
  <si>
    <t>219     04</t>
  </si>
  <si>
    <t>84     04</t>
  </si>
  <si>
    <t>159     04</t>
  </si>
  <si>
    <t>264     04</t>
  </si>
  <si>
    <t>236     03</t>
  </si>
  <si>
    <t>21     03</t>
  </si>
  <si>
    <t>154     03</t>
  </si>
  <si>
    <t>294     03</t>
  </si>
  <si>
    <t>199     03</t>
  </si>
  <si>
    <t>76     03</t>
  </si>
  <si>
    <t>09     03</t>
  </si>
  <si>
    <t>127     03</t>
  </si>
  <si>
    <t>08     03</t>
  </si>
  <si>
    <t>184     03</t>
  </si>
  <si>
    <t>68     03</t>
  </si>
  <si>
    <t>251     03</t>
  </si>
  <si>
    <t>337     03</t>
  </si>
  <si>
    <t>226     03</t>
  </si>
  <si>
    <t>228     03</t>
  </si>
  <si>
    <t>211     03</t>
  </si>
  <si>
    <t>243     03</t>
  </si>
  <si>
    <t>347     03</t>
  </si>
  <si>
    <t>122     03</t>
  </si>
  <si>
    <t>165     03</t>
  </si>
  <si>
    <t>175     03</t>
  </si>
  <si>
    <t>187     03</t>
  </si>
  <si>
    <t>333     03</t>
  </si>
  <si>
    <t>168     03</t>
  </si>
  <si>
    <t>60     03</t>
  </si>
  <si>
    <t>209     03</t>
  </si>
  <si>
    <t>18     03</t>
  </si>
  <si>
    <t>19     03</t>
  </si>
  <si>
    <t>16     03</t>
  </si>
  <si>
    <t>03     03</t>
  </si>
  <si>
    <t>52     03</t>
  </si>
  <si>
    <t>313     03</t>
  </si>
  <si>
    <t>302     03</t>
  </si>
  <si>
    <t>70     03</t>
  </si>
  <si>
    <t>212     03</t>
  </si>
  <si>
    <t>90     03</t>
  </si>
  <si>
    <t>147     03</t>
  </si>
  <si>
    <t>254     03</t>
  </si>
  <si>
    <t>224     03</t>
  </si>
  <si>
    <t>51     03</t>
  </si>
  <si>
    <t>245     03</t>
  </si>
  <si>
    <t>174     03</t>
  </si>
  <si>
    <t>11     03</t>
  </si>
  <si>
    <t>198     03</t>
  </si>
  <si>
    <t>61     03</t>
  </si>
  <si>
    <t>235     03</t>
  </si>
  <si>
    <t>25     03</t>
  </si>
  <si>
    <t>134     03</t>
  </si>
  <si>
    <t>322     03</t>
  </si>
  <si>
    <t>149     03</t>
  </si>
  <si>
    <t>256     03</t>
  </si>
  <si>
    <t>178     03</t>
  </si>
  <si>
    <t>203     03</t>
  </si>
  <si>
    <t>80     03</t>
  </si>
  <si>
    <t>04     03</t>
  </si>
  <si>
    <t>66     03</t>
  </si>
  <si>
    <t>29     03</t>
  </si>
  <si>
    <t>240     03</t>
  </si>
  <si>
    <t>119     03</t>
  </si>
  <si>
    <t>241     03</t>
  </si>
  <si>
    <t>130     03</t>
  </si>
  <si>
    <t>301     03</t>
  </si>
  <si>
    <t>94     03</t>
  </si>
  <si>
    <t>284     03</t>
  </si>
  <si>
    <t>100     03</t>
  </si>
  <si>
    <t>07     03</t>
  </si>
  <si>
    <t>210     03</t>
  </si>
  <si>
    <t>157     03</t>
  </si>
  <si>
    <t>208     03</t>
  </si>
  <si>
    <t>153     03</t>
  </si>
  <si>
    <t>314     03</t>
  </si>
  <si>
    <t>73     03</t>
  </si>
  <si>
    <t>278     03</t>
  </si>
  <si>
    <t>49     03</t>
  </si>
  <si>
    <t>253     03</t>
  </si>
  <si>
    <t>287     03</t>
  </si>
  <si>
    <t>116     03</t>
  </si>
  <si>
    <t>87     03</t>
  </si>
  <si>
    <t>05     03</t>
  </si>
  <si>
    <t>161     03</t>
  </si>
  <si>
    <t>173     03</t>
  </si>
  <si>
    <t>02     03</t>
  </si>
  <si>
    <t>205     03</t>
  </si>
  <si>
    <t>230     03</t>
  </si>
  <si>
    <t>166     03</t>
  </si>
  <si>
    <t>23     03</t>
  </si>
  <si>
    <t>312     03</t>
  </si>
  <si>
    <t>242     03</t>
  </si>
  <si>
    <t>248     03</t>
  </si>
  <si>
    <t>160     03</t>
  </si>
  <si>
    <t>158     03</t>
  </si>
  <si>
    <t>47     03</t>
  </si>
  <si>
    <t>304     03</t>
  </si>
  <si>
    <t>202     03</t>
  </si>
  <si>
    <t>196     03</t>
  </si>
  <si>
    <t>323     03</t>
  </si>
  <si>
    <t>338     03</t>
  </si>
  <si>
    <t>170     03</t>
  </si>
  <si>
    <t>102     03</t>
  </si>
  <si>
    <t>136     03</t>
  </si>
  <si>
    <t>191     03</t>
  </si>
  <si>
    <t>64     03</t>
  </si>
  <si>
    <t>162     03</t>
  </si>
  <si>
    <t>276     03</t>
  </si>
  <si>
    <t>324     03</t>
  </si>
  <si>
    <t>34     03</t>
  </si>
  <si>
    <t>340     03</t>
  </si>
  <si>
    <t>179     03</t>
  </si>
  <si>
    <t>97     03</t>
  </si>
  <si>
    <t>146     03</t>
  </si>
  <si>
    <t>24     03</t>
  </si>
  <si>
    <t>48     03</t>
  </si>
  <si>
    <t>238     03</t>
  </si>
  <si>
    <t>266     03</t>
  </si>
  <si>
    <t>204     03</t>
  </si>
  <si>
    <t>215     03</t>
  </si>
  <si>
    <t>346     03</t>
  </si>
  <si>
    <t>105     03</t>
  </si>
  <si>
    <t>258     03</t>
  </si>
  <si>
    <t>290     03</t>
  </si>
  <si>
    <t>172     03</t>
  </si>
  <si>
    <t>58     03</t>
  </si>
  <si>
    <t>96     03</t>
  </si>
  <si>
    <t>163     03</t>
  </si>
  <si>
    <t>310     03</t>
  </si>
  <si>
    <t>36     03</t>
  </si>
  <si>
    <t>39     03</t>
  </si>
  <si>
    <t>150     03</t>
  </si>
  <si>
    <t>81     03</t>
  </si>
  <si>
    <t>31     03</t>
  </si>
  <si>
    <t>334     03</t>
  </si>
  <si>
    <t>124     03</t>
  </si>
  <si>
    <t>104     03</t>
  </si>
  <si>
    <t>336     03</t>
  </si>
  <si>
    <t>321     03</t>
  </si>
  <si>
    <t>129     03</t>
  </si>
  <si>
    <t>108     03</t>
  </si>
  <si>
    <t>339     03</t>
  </si>
  <si>
    <t>95     03</t>
  </si>
  <si>
    <t>291     03</t>
  </si>
  <si>
    <t>44     03</t>
  </si>
  <si>
    <t>221     03</t>
  </si>
  <si>
    <t>353     03</t>
  </si>
  <si>
    <t>293     03</t>
  </si>
  <si>
    <t>156     03</t>
  </si>
  <si>
    <t>272     03</t>
  </si>
  <si>
    <t>285     03</t>
  </si>
  <si>
    <t>63     03</t>
  </si>
  <si>
    <t>330     03</t>
  </si>
  <si>
    <t>135     03</t>
  </si>
  <si>
    <t>270     03</t>
  </si>
  <si>
    <t>164     03</t>
  </si>
  <si>
    <t>311     03</t>
  </si>
  <si>
    <t>268     03</t>
  </si>
  <si>
    <t>214     03</t>
  </si>
  <si>
    <t>344     03</t>
  </si>
  <si>
    <t>DESHERBAGES</t>
  </si>
  <si>
    <t>NOVALL</t>
  </si>
  <si>
    <t>FONGICIDES</t>
  </si>
  <si>
    <t>PICTOR PRO</t>
  </si>
  <si>
    <t>0,5KG</t>
  </si>
  <si>
    <t>JANTIL</t>
  </si>
  <si>
    <t>0,7L</t>
  </si>
  <si>
    <t>INSECTICIDES</t>
  </si>
  <si>
    <t>MESUROL</t>
  </si>
  <si>
    <t>3KG</t>
  </si>
  <si>
    <t>KARATE ZEON</t>
  </si>
  <si>
    <t>0,0625L</t>
  </si>
  <si>
    <t>N- et N+</t>
  </si>
  <si>
    <t>souffre 50% (70U, 140Kg)</t>
  </si>
  <si>
    <t>N 27% (75U, 280Kg)</t>
  </si>
  <si>
    <t>APPORT D'ENGRAIS SOUFFRE</t>
  </si>
  <si>
    <t xml:space="preserve">APPORT D'ENGRAIS 1ER APPORT AZOTE </t>
  </si>
  <si>
    <t>APPORT D'ENGRAIS 2EME APPORT AZOTE</t>
  </si>
  <si>
    <t>AMONITRATE</t>
  </si>
  <si>
    <t>N 27% (100U, 370Kg)</t>
  </si>
  <si>
    <t>2.5L/Ha</t>
  </si>
  <si>
    <t>Phoma</t>
  </si>
  <si>
    <t>sclero</t>
  </si>
  <si>
    <t>Altise</t>
  </si>
  <si>
    <t>Limace</t>
  </si>
  <si>
    <t>Mhs</t>
  </si>
  <si>
    <t>SESAME</t>
  </si>
  <si>
    <t>DENOMVAR</t>
  </si>
  <si>
    <t>01        01</t>
  </si>
  <si>
    <t>08        02</t>
  </si>
  <si>
    <t>01        02</t>
  </si>
  <si>
    <t>03        02</t>
  </si>
  <si>
    <t>05        02</t>
  </si>
  <si>
    <t>07        02</t>
  </si>
  <si>
    <t>09        02</t>
  </si>
  <si>
    <t>10        02</t>
  </si>
  <si>
    <t>12        02</t>
  </si>
  <si>
    <t>02        02</t>
  </si>
  <si>
    <t>04        02</t>
  </si>
  <si>
    <t>06        02</t>
  </si>
  <si>
    <t>11        02</t>
  </si>
  <si>
    <t>12        01</t>
  </si>
  <si>
    <t>06        01</t>
  </si>
  <si>
    <t>02        01</t>
  </si>
  <si>
    <t>10        01</t>
  </si>
  <si>
    <t>11        01</t>
  </si>
  <si>
    <t>04        01</t>
  </si>
  <si>
    <t>07        01</t>
  </si>
  <si>
    <t>05        01</t>
  </si>
  <si>
    <t>08        01</t>
  </si>
  <si>
    <t>09        01</t>
  </si>
  <si>
    <t>03        01</t>
  </si>
  <si>
    <t>21        01</t>
  </si>
  <si>
    <t>18        01</t>
  </si>
  <si>
    <t>20        01</t>
  </si>
  <si>
    <t>13        01</t>
  </si>
  <si>
    <t>16        01</t>
  </si>
  <si>
    <t>17        01</t>
  </si>
  <si>
    <t>14        01</t>
  </si>
  <si>
    <t>24        01</t>
  </si>
  <si>
    <t>23        01</t>
  </si>
  <si>
    <t>15        01</t>
  </si>
  <si>
    <t>19        01</t>
  </si>
  <si>
    <t>22        01</t>
  </si>
  <si>
    <t>24        02</t>
  </si>
  <si>
    <t>13        02</t>
  </si>
  <si>
    <t>14        02</t>
  </si>
  <si>
    <t>19        02</t>
  </si>
  <si>
    <t>20        02</t>
  </si>
  <si>
    <t>21        02</t>
  </si>
  <si>
    <t>22        02</t>
  </si>
  <si>
    <t>16        02</t>
  </si>
  <si>
    <t>15        02</t>
  </si>
  <si>
    <t>17        02</t>
  </si>
  <si>
    <t>18        02</t>
  </si>
  <si>
    <t>23        02</t>
  </si>
  <si>
    <t>09        03</t>
  </si>
  <si>
    <t>06        03</t>
  </si>
  <si>
    <t>05        03</t>
  </si>
  <si>
    <t>08        03</t>
  </si>
  <si>
    <t>10        03</t>
  </si>
  <si>
    <t>12        03</t>
  </si>
  <si>
    <t>18        03</t>
  </si>
  <si>
    <t>04        03</t>
  </si>
  <si>
    <t>03        03</t>
  </si>
  <si>
    <t>13        03</t>
  </si>
  <si>
    <t>11        03</t>
  </si>
  <si>
    <t>14        03</t>
  </si>
  <si>
    <t>01        03</t>
  </si>
  <si>
    <t>02        03</t>
  </si>
  <si>
    <t>07        03</t>
  </si>
  <si>
    <t>20        03</t>
  </si>
  <si>
    <t>19        03</t>
  </si>
  <si>
    <t>21        03</t>
  </si>
  <si>
    <t>24        03</t>
  </si>
  <si>
    <t>16        03</t>
  </si>
  <si>
    <t>23        03</t>
  </si>
  <si>
    <t>22        03</t>
  </si>
  <si>
    <t>17        03</t>
  </si>
  <si>
    <t>15        03</t>
  </si>
  <si>
    <t>CV2010-01</t>
  </si>
  <si>
    <t>25        03</t>
  </si>
  <si>
    <t>27        03</t>
  </si>
  <si>
    <t>26        03</t>
  </si>
  <si>
    <t>29        03</t>
  </si>
  <si>
    <t>30        03</t>
  </si>
  <si>
    <t>28        03</t>
  </si>
  <si>
    <t>26        02</t>
  </si>
  <si>
    <t>30        02</t>
  </si>
  <si>
    <t>29        02</t>
  </si>
  <si>
    <t>28        02</t>
  </si>
  <si>
    <t>25        02</t>
  </si>
  <si>
    <t>27        02</t>
  </si>
  <si>
    <t>25        01</t>
  </si>
  <si>
    <t>27        01</t>
  </si>
  <si>
    <t>30        01</t>
  </si>
  <si>
    <t>28        01</t>
  </si>
  <si>
    <t>26        01</t>
  </si>
  <si>
    <t>29        01</t>
  </si>
  <si>
    <t>01        04</t>
  </si>
  <si>
    <t>29        04</t>
  </si>
  <si>
    <t>16        04</t>
  </si>
  <si>
    <t>25        04</t>
  </si>
  <si>
    <t>06        04</t>
  </si>
  <si>
    <t>26        04</t>
  </si>
  <si>
    <t>36        04</t>
  </si>
  <si>
    <t>30        04</t>
  </si>
  <si>
    <t>32        04</t>
  </si>
  <si>
    <t>12        04</t>
  </si>
  <si>
    <t>34        04</t>
  </si>
  <si>
    <t>35        04</t>
  </si>
  <si>
    <t>05        04</t>
  </si>
  <si>
    <t>15        04</t>
  </si>
  <si>
    <t>13        04</t>
  </si>
  <si>
    <t>24        04</t>
  </si>
  <si>
    <t>17        04</t>
  </si>
  <si>
    <t>19        04</t>
  </si>
  <si>
    <t>04        04</t>
  </si>
  <si>
    <t>02        04</t>
  </si>
  <si>
    <t>21        04</t>
  </si>
  <si>
    <t>31        04</t>
  </si>
  <si>
    <t>28        04</t>
  </si>
  <si>
    <t>18        04</t>
  </si>
  <si>
    <t>11        04</t>
  </si>
  <si>
    <t>14        04</t>
  </si>
  <si>
    <t>09        04</t>
  </si>
  <si>
    <t>10        04</t>
  </si>
  <si>
    <t>33        04</t>
  </si>
  <si>
    <t>03        04</t>
  </si>
  <si>
    <t>27        04</t>
  </si>
  <si>
    <t>22        04</t>
  </si>
  <si>
    <t>07        04</t>
  </si>
  <si>
    <t>23        04</t>
  </si>
  <si>
    <t>08        04</t>
  </si>
  <si>
    <t>20        04</t>
  </si>
  <si>
    <t>32        03</t>
  </si>
  <si>
    <t>36        03</t>
  </si>
  <si>
    <t>33        03</t>
  </si>
  <si>
    <t>34        03</t>
  </si>
  <si>
    <t>31        03</t>
  </si>
  <si>
    <t>35        03</t>
  </si>
  <si>
    <t>32        02</t>
  </si>
  <si>
    <t>36        02</t>
  </si>
  <si>
    <t>35        02</t>
  </si>
  <si>
    <t>33        02</t>
  </si>
  <si>
    <t>34        02</t>
  </si>
  <si>
    <t>31        02</t>
  </si>
  <si>
    <t>31        01</t>
  </si>
  <si>
    <t>36        01</t>
  </si>
  <si>
    <t>35        01</t>
  </si>
  <si>
    <t>34        01</t>
  </si>
  <si>
    <t>33        01</t>
  </si>
  <si>
    <t>32        01</t>
  </si>
  <si>
    <t>85        02</t>
  </si>
  <si>
    <t>271        02</t>
  </si>
  <si>
    <t>84        02</t>
  </si>
  <si>
    <t>185        02</t>
  </si>
  <si>
    <t>186        02</t>
  </si>
  <si>
    <t>318        02</t>
  </si>
  <si>
    <t>188        02</t>
  </si>
  <si>
    <t>255        02</t>
  </si>
  <si>
    <t>178        02</t>
  </si>
  <si>
    <t>201        02</t>
  </si>
  <si>
    <t>79        02</t>
  </si>
  <si>
    <t>336        02</t>
  </si>
  <si>
    <t>59        02</t>
  </si>
  <si>
    <t>243        02</t>
  </si>
  <si>
    <t>351        02</t>
  </si>
  <si>
    <t>222        02</t>
  </si>
  <si>
    <t>354        02</t>
  </si>
  <si>
    <t>280        02</t>
  </si>
  <si>
    <t>312        02</t>
  </si>
  <si>
    <t>246        02</t>
  </si>
  <si>
    <t>267        02</t>
  </si>
  <si>
    <t>232        02</t>
  </si>
  <si>
    <t>229        02</t>
  </si>
  <si>
    <t>266        02</t>
  </si>
  <si>
    <t>83        02</t>
  </si>
  <si>
    <t>124        02</t>
  </si>
  <si>
    <t>249        02</t>
  </si>
  <si>
    <t>245        02</t>
  </si>
  <si>
    <t>70        02</t>
  </si>
  <si>
    <t>37        02</t>
  </si>
  <si>
    <t>146        02</t>
  </si>
  <si>
    <t>148        02</t>
  </si>
  <si>
    <t>167        02</t>
  </si>
  <si>
    <t>350        02</t>
  </si>
  <si>
    <t>283        02</t>
  </si>
  <si>
    <t>359        02</t>
  </si>
  <si>
    <t>300        02</t>
  </si>
  <si>
    <t>213        02</t>
  </si>
  <si>
    <t>161        02</t>
  </si>
  <si>
    <t>72        02</t>
  </si>
  <si>
    <t>103        02</t>
  </si>
  <si>
    <t>208        02</t>
  </si>
  <si>
    <t>290        02</t>
  </si>
  <si>
    <t>348        02</t>
  </si>
  <si>
    <t>345        02</t>
  </si>
  <si>
    <t>57        02</t>
  </si>
  <si>
    <t>301        02</t>
  </si>
  <si>
    <t>276        02</t>
  </si>
  <si>
    <t>308        02</t>
  </si>
  <si>
    <t>231        02</t>
  </si>
  <si>
    <t>309        02</t>
  </si>
  <si>
    <t>273        02</t>
  </si>
  <si>
    <t>184        02</t>
  </si>
  <si>
    <t>281        02</t>
  </si>
  <si>
    <t>166        02</t>
  </si>
  <si>
    <t>153        04</t>
  </si>
  <si>
    <t>306        04</t>
  </si>
  <si>
    <t>150        04</t>
  </si>
  <si>
    <t>322        04</t>
  </si>
  <si>
    <t>220        04</t>
  </si>
  <si>
    <t>119        04</t>
  </si>
  <si>
    <t>199        04</t>
  </si>
  <si>
    <t>134        04</t>
  </si>
  <si>
    <t>160        04</t>
  </si>
  <si>
    <t>95        04</t>
  </si>
  <si>
    <t>105        04</t>
  </si>
  <si>
    <t>82        04</t>
  </si>
  <si>
    <t>63        04</t>
  </si>
  <si>
    <t>60        04</t>
  </si>
  <si>
    <t>313        04</t>
  </si>
  <si>
    <t>124        04</t>
  </si>
  <si>
    <t>221        04</t>
  </si>
  <si>
    <t>66        04</t>
  </si>
  <si>
    <t>242        04</t>
  </si>
  <si>
    <t>226        04</t>
  </si>
  <si>
    <t>230        04</t>
  </si>
  <si>
    <t>354        04</t>
  </si>
  <si>
    <t>87        04</t>
  </si>
  <si>
    <t>285        04</t>
  </si>
  <si>
    <t>102        04</t>
  </si>
  <si>
    <t>178        04</t>
  </si>
  <si>
    <t>76        04</t>
  </si>
  <si>
    <t>337        04</t>
  </si>
  <si>
    <t>100        04</t>
  </si>
  <si>
    <t>170        04</t>
  </si>
  <si>
    <t>300        04</t>
  </si>
  <si>
    <t>234        04</t>
  </si>
  <si>
    <t>227        04</t>
  </si>
  <si>
    <t>155        04</t>
  </si>
  <si>
    <t>213        04</t>
  </si>
  <si>
    <t>107        04</t>
  </si>
  <si>
    <t>59        04</t>
  </si>
  <si>
    <t>277        04</t>
  </si>
  <si>
    <t>263        04</t>
  </si>
  <si>
    <t>89        04</t>
  </si>
  <si>
    <t>348        04</t>
  </si>
  <si>
    <t>67        04</t>
  </si>
  <si>
    <t>56        04</t>
  </si>
  <si>
    <t>195        04</t>
  </si>
  <si>
    <t>356        04</t>
  </si>
  <si>
    <t>189        04</t>
  </si>
  <si>
    <t>222        04</t>
  </si>
  <si>
    <t>132        04</t>
  </si>
  <si>
    <t>45        04</t>
  </si>
  <si>
    <t>144        04</t>
  </si>
  <si>
    <t>186        04</t>
  </si>
  <si>
    <t>183        04</t>
  </si>
  <si>
    <t>328        04</t>
  </si>
  <si>
    <t>303        04</t>
  </si>
  <si>
    <t>281        04</t>
  </si>
  <si>
    <t>332        02</t>
  </si>
  <si>
    <t>165        02</t>
  </si>
  <si>
    <t>313        02</t>
  </si>
  <si>
    <t>172        02</t>
  </si>
  <si>
    <t>277        02</t>
  </si>
  <si>
    <t>96        02</t>
  </si>
  <si>
    <t>211        02</t>
  </si>
  <si>
    <t>87        02</t>
  </si>
  <si>
    <t>206        02</t>
  </si>
  <si>
    <t>179        02</t>
  </si>
  <si>
    <t>169        02</t>
  </si>
  <si>
    <t>192        02</t>
  </si>
  <si>
    <t>252        02</t>
  </si>
  <si>
    <t>174        02</t>
  </si>
  <si>
    <t>144        02</t>
  </si>
  <si>
    <t>248        02</t>
  </si>
  <si>
    <t>265        02</t>
  </si>
  <si>
    <t>78        02</t>
  </si>
  <si>
    <t>135        02</t>
  </si>
  <si>
    <t>126        02</t>
  </si>
  <si>
    <t>215        02</t>
  </si>
  <si>
    <t>171        02</t>
  </si>
  <si>
    <t>256        02</t>
  </si>
  <si>
    <t>122        02</t>
  </si>
  <si>
    <t>331        02</t>
  </si>
  <si>
    <t>207        02</t>
  </si>
  <si>
    <t>181        02</t>
  </si>
  <si>
    <t>356        02</t>
  </si>
  <si>
    <t>98        02</t>
  </si>
  <si>
    <t>355        02</t>
  </si>
  <si>
    <t>142        02</t>
  </si>
  <si>
    <t>227        02</t>
  </si>
  <si>
    <t>80        02</t>
  </si>
  <si>
    <t>136        02</t>
  </si>
  <si>
    <t>202        02</t>
  </si>
  <si>
    <t>149        02</t>
  </si>
  <si>
    <t>45        02</t>
  </si>
  <si>
    <t>93        02</t>
  </si>
  <si>
    <t>357        02</t>
  </si>
  <si>
    <t>44        02</t>
  </si>
  <si>
    <t>168        02</t>
  </si>
  <si>
    <t>204        02</t>
  </si>
  <si>
    <t>319        02</t>
  </si>
  <si>
    <t>183        02</t>
  </si>
  <si>
    <t>163        02</t>
  </si>
  <si>
    <t>263        02</t>
  </si>
  <si>
    <t>341        02</t>
  </si>
  <si>
    <t>358        02</t>
  </si>
  <si>
    <t>173        02</t>
  </si>
  <si>
    <t>278        02</t>
  </si>
  <si>
    <t>164        02</t>
  </si>
  <si>
    <t>68        02</t>
  </si>
  <si>
    <t>218        02</t>
  </si>
  <si>
    <t>284        02</t>
  </si>
  <si>
    <t>162        02</t>
  </si>
  <si>
    <t>292        02</t>
  </si>
  <si>
    <t>308        04</t>
  </si>
  <si>
    <t>314        04</t>
  </si>
  <si>
    <t>162        04</t>
  </si>
  <si>
    <t>267        04</t>
  </si>
  <si>
    <t>210        04</t>
  </si>
  <si>
    <t>168        04</t>
  </si>
  <si>
    <t>166        04</t>
  </si>
  <si>
    <t>129        04</t>
  </si>
  <si>
    <t>149        04</t>
  </si>
  <si>
    <t>136        04</t>
  </si>
  <si>
    <t>319        04</t>
  </si>
  <si>
    <t>235        04</t>
  </si>
  <si>
    <t>215        04</t>
  </si>
  <si>
    <t>52        04</t>
  </si>
  <si>
    <t>48        04</t>
  </si>
  <si>
    <t>291        04</t>
  </si>
  <si>
    <t>304        04</t>
  </si>
  <si>
    <t>77        04</t>
  </si>
  <si>
    <t>147        04</t>
  </si>
  <si>
    <t>154        04</t>
  </si>
  <si>
    <t>80        04</t>
  </si>
  <si>
    <t>164        04</t>
  </si>
  <si>
    <t>196        04</t>
  </si>
  <si>
    <t>161        04</t>
  </si>
  <si>
    <t>135        04</t>
  </si>
  <si>
    <t>73        04</t>
  </si>
  <si>
    <t>358        04</t>
  </si>
  <si>
    <t>237        04</t>
  </si>
  <si>
    <t>98        04</t>
  </si>
  <si>
    <t>79        04</t>
  </si>
  <si>
    <t>359        04</t>
  </si>
  <si>
    <t>131        04</t>
  </si>
  <si>
    <t>101        04</t>
  </si>
  <si>
    <t>92        04</t>
  </si>
  <si>
    <t>335        04</t>
  </si>
  <si>
    <t>320        04</t>
  </si>
  <si>
    <t>182        04</t>
  </si>
  <si>
    <t>349        04</t>
  </si>
  <si>
    <t>114        04</t>
  </si>
  <si>
    <t>325        04</t>
  </si>
  <si>
    <t>249        04</t>
  </si>
  <si>
    <t>55        04</t>
  </si>
  <si>
    <t>139        04</t>
  </si>
  <si>
    <t>355        04</t>
  </si>
  <si>
    <t>352        04</t>
  </si>
  <si>
    <t>327        04</t>
  </si>
  <si>
    <t>40        04</t>
  </si>
  <si>
    <t>259        04</t>
  </si>
  <si>
    <t>190        04</t>
  </si>
  <si>
    <t>72        04</t>
  </si>
  <si>
    <t>262        04</t>
  </si>
  <si>
    <t>351        04</t>
  </si>
  <si>
    <t>171        04</t>
  </si>
  <si>
    <t>279        04</t>
  </si>
  <si>
    <t>261        04</t>
  </si>
  <si>
    <t>74        04</t>
  </si>
  <si>
    <t>321        02</t>
  </si>
  <si>
    <t>130        02</t>
  </si>
  <si>
    <t>131        02</t>
  </si>
  <si>
    <t>180        02</t>
  </si>
  <si>
    <t>210        02</t>
  </si>
  <si>
    <t>223        02</t>
  </si>
  <si>
    <t>47        02</t>
  </si>
  <si>
    <t>302        02</t>
  </si>
  <si>
    <t>317        02</t>
  </si>
  <si>
    <t>81        02</t>
  </si>
  <si>
    <t>67        02</t>
  </si>
  <si>
    <t>360        02</t>
  </si>
  <si>
    <t>99        02</t>
  </si>
  <si>
    <t>240        02</t>
  </si>
  <si>
    <t>330        02</t>
  </si>
  <si>
    <t>97        02</t>
  </si>
  <si>
    <t>82        02</t>
  </si>
  <si>
    <t>264        02</t>
  </si>
  <si>
    <t>203        02</t>
  </si>
  <si>
    <t>349        02</t>
  </si>
  <si>
    <t>121        02</t>
  </si>
  <si>
    <t>56        02</t>
  </si>
  <si>
    <t>150        02</t>
  </si>
  <si>
    <t>46        02</t>
  </si>
  <si>
    <t>230        02</t>
  </si>
  <si>
    <t>133        02</t>
  </si>
  <si>
    <t>92        02</t>
  </si>
  <si>
    <t>193        02</t>
  </si>
  <si>
    <t>326        02</t>
  </si>
  <si>
    <t>62        02</t>
  </si>
  <si>
    <t>111        02</t>
  </si>
  <si>
    <t>205        02</t>
  </si>
  <si>
    <t>228        02</t>
  </si>
  <si>
    <t>329        02</t>
  </si>
  <si>
    <t>123        02</t>
  </si>
  <si>
    <t>160        02</t>
  </si>
  <si>
    <t>187        02</t>
  </si>
  <si>
    <t>220        02</t>
  </si>
  <si>
    <t>110        02</t>
  </si>
  <si>
    <t>196        02</t>
  </si>
  <si>
    <t>262        02</t>
  </si>
  <si>
    <t>89        02</t>
  </si>
  <si>
    <t>50        02</t>
  </si>
  <si>
    <t>346        02</t>
  </si>
  <si>
    <t>152        02</t>
  </si>
  <si>
    <t>156        02</t>
  </si>
  <si>
    <t>242        02</t>
  </si>
  <si>
    <t>287        02</t>
  </si>
  <si>
    <t>353        02</t>
  </si>
  <si>
    <t>257        02</t>
  </si>
  <si>
    <t>297        02</t>
  </si>
  <si>
    <t>253        02</t>
  </si>
  <si>
    <t>239        02</t>
  </si>
  <si>
    <t>157        02</t>
  </si>
  <si>
    <t>311        04</t>
  </si>
  <si>
    <t>165        04</t>
  </si>
  <si>
    <t>336        04</t>
  </si>
  <si>
    <t>202        04</t>
  </si>
  <si>
    <t>353        04</t>
  </si>
  <si>
    <t>94        04</t>
  </si>
  <si>
    <t>81        04</t>
  </si>
  <si>
    <t>301        04</t>
  </si>
  <si>
    <t>108        04</t>
  </si>
  <si>
    <t>323        04</t>
  </si>
  <si>
    <t>104        04</t>
  </si>
  <si>
    <t>250        04</t>
  </si>
  <si>
    <t>68        04</t>
  </si>
  <si>
    <t>174        04</t>
  </si>
  <si>
    <t>191        04</t>
  </si>
  <si>
    <t>243        04</t>
  </si>
  <si>
    <t>181        04</t>
  </si>
  <si>
    <t>310        04</t>
  </si>
  <si>
    <t>317        04</t>
  </si>
  <si>
    <t>330        04</t>
  </si>
  <si>
    <t>158        04</t>
  </si>
  <si>
    <t>286        04</t>
  </si>
  <si>
    <t>173        04</t>
  </si>
  <si>
    <t>302        04</t>
  </si>
  <si>
    <t>284        04</t>
  </si>
  <si>
    <t>172        04</t>
  </si>
  <si>
    <t>334        04</t>
  </si>
  <si>
    <t>331        04</t>
  </si>
  <si>
    <t>296        04</t>
  </si>
  <si>
    <t>231        04</t>
  </si>
  <si>
    <t>50        04</t>
  </si>
  <si>
    <t>185        04</t>
  </si>
  <si>
    <t>46        04</t>
  </si>
  <si>
    <t>192        04</t>
  </si>
  <si>
    <t>167        04</t>
  </si>
  <si>
    <t>269        04</t>
  </si>
  <si>
    <t>113        04</t>
  </si>
  <si>
    <t>125        04</t>
  </si>
  <si>
    <t>188        04</t>
  </si>
  <si>
    <t>177        04</t>
  </si>
  <si>
    <t>360        04</t>
  </si>
  <si>
    <t>326        04</t>
  </si>
  <si>
    <t>38        04</t>
  </si>
  <si>
    <t>299        04</t>
  </si>
  <si>
    <t>121        04</t>
  </si>
  <si>
    <t>275        04</t>
  </si>
  <si>
    <t>271        04</t>
  </si>
  <si>
    <t>283        04</t>
  </si>
  <si>
    <t>305        04</t>
  </si>
  <si>
    <t>292        04</t>
  </si>
  <si>
    <t>247        04</t>
  </si>
  <si>
    <t>193        04</t>
  </si>
  <si>
    <t>120        04</t>
  </si>
  <si>
    <t>109        04</t>
  </si>
  <si>
    <t>63        02</t>
  </si>
  <si>
    <t>141        02</t>
  </si>
  <si>
    <t>43        02</t>
  </si>
  <si>
    <t>125        02</t>
  </si>
  <si>
    <t>339        02</t>
  </si>
  <si>
    <t>304        02</t>
  </si>
  <si>
    <t>132        02</t>
  </si>
  <si>
    <t>325        02</t>
  </si>
  <si>
    <t>234        02</t>
  </si>
  <si>
    <t>324        02</t>
  </si>
  <si>
    <t>175        02</t>
  </si>
  <si>
    <t>77        02</t>
  </si>
  <si>
    <t>52        02</t>
  </si>
  <si>
    <t>275        02</t>
  </si>
  <si>
    <t>212        02</t>
  </si>
  <si>
    <t>109        02</t>
  </si>
  <si>
    <t>315        02</t>
  </si>
  <si>
    <t>340        02</t>
  </si>
  <si>
    <t>294        02</t>
  </si>
  <si>
    <t>39        02</t>
  </si>
  <si>
    <t>289        02</t>
  </si>
  <si>
    <t>128        02</t>
  </si>
  <si>
    <t>91        02</t>
  </si>
  <si>
    <t>194        02</t>
  </si>
  <si>
    <t>282        02</t>
  </si>
  <si>
    <t>320        02</t>
  </si>
  <si>
    <t>328        02</t>
  </si>
  <si>
    <t>158        02</t>
  </si>
  <si>
    <t>295        02</t>
  </si>
  <si>
    <t>54        02</t>
  </si>
  <si>
    <t>225        02</t>
  </si>
  <si>
    <t>344        02</t>
  </si>
  <si>
    <t>198        02</t>
  </si>
  <si>
    <t>352        02</t>
  </si>
  <si>
    <t>134        02</t>
  </si>
  <si>
    <t>216        02</t>
  </si>
  <si>
    <t>327        02</t>
  </si>
  <si>
    <t>209        02</t>
  </si>
  <si>
    <t>238        02</t>
  </si>
  <si>
    <t>118        02</t>
  </si>
  <si>
    <t>177        02</t>
  </si>
  <si>
    <t>342        02</t>
  </si>
  <si>
    <t>159        02</t>
  </si>
  <si>
    <t>200        02</t>
  </si>
  <si>
    <t>58        02</t>
  </si>
  <si>
    <t>66        02</t>
  </si>
  <si>
    <t>268        02</t>
  </si>
  <si>
    <t>305        02</t>
  </si>
  <si>
    <t>307        02</t>
  </si>
  <si>
    <t>102        02</t>
  </si>
  <si>
    <t>189        02</t>
  </si>
  <si>
    <t>311        02</t>
  </si>
  <si>
    <t>112        02</t>
  </si>
  <si>
    <t>170        02</t>
  </si>
  <si>
    <t>259        02</t>
  </si>
  <si>
    <t>261        02</t>
  </si>
  <si>
    <t>252        04</t>
  </si>
  <si>
    <t>339        04</t>
  </si>
  <si>
    <t>61        04</t>
  </si>
  <si>
    <t>324        04</t>
  </si>
  <si>
    <t>248        04</t>
  </si>
  <si>
    <t>204        04</t>
  </si>
  <si>
    <t>187        04</t>
  </si>
  <si>
    <t>315        04</t>
  </si>
  <si>
    <t>340        04</t>
  </si>
  <si>
    <t>111        04</t>
  </si>
  <si>
    <t>268        04</t>
  </si>
  <si>
    <t>251        04</t>
  </si>
  <si>
    <t>39        04</t>
  </si>
  <si>
    <t>208        04</t>
  </si>
  <si>
    <t>44        04</t>
  </si>
  <si>
    <t>209        04</t>
  </si>
  <si>
    <t>146        04</t>
  </si>
  <si>
    <t>97        04</t>
  </si>
  <si>
    <t>70        04</t>
  </si>
  <si>
    <t>211        04</t>
  </si>
  <si>
    <t>272        04</t>
  </si>
  <si>
    <t>163        04</t>
  </si>
  <si>
    <t>51        04</t>
  </si>
  <si>
    <t>142        04</t>
  </si>
  <si>
    <t>312        04</t>
  </si>
  <si>
    <t>293        04</t>
  </si>
  <si>
    <t>180        04</t>
  </si>
  <si>
    <t>117        04</t>
  </si>
  <si>
    <t>282        04</t>
  </si>
  <si>
    <t>143        04</t>
  </si>
  <si>
    <t>118        04</t>
  </si>
  <si>
    <t>298        04</t>
  </si>
  <si>
    <t>141        04</t>
  </si>
  <si>
    <t>99        04</t>
  </si>
  <si>
    <t>246        04</t>
  </si>
  <si>
    <t>223        04</t>
  </si>
  <si>
    <t>244        04</t>
  </si>
  <si>
    <t>65        04</t>
  </si>
  <si>
    <t>53        04</t>
  </si>
  <si>
    <t>71        04</t>
  </si>
  <si>
    <t>123        04</t>
  </si>
  <si>
    <t>260        04</t>
  </si>
  <si>
    <t>257        04</t>
  </si>
  <si>
    <t>218        04</t>
  </si>
  <si>
    <t>316        04</t>
  </si>
  <si>
    <t>332        04</t>
  </si>
  <si>
    <t>216        04</t>
  </si>
  <si>
    <t>169        04</t>
  </si>
  <si>
    <t>75        04</t>
  </si>
  <si>
    <t>206        04</t>
  </si>
  <si>
    <t>233        04</t>
  </si>
  <si>
    <t>38        02</t>
  </si>
  <si>
    <t>119        02</t>
  </si>
  <si>
    <t>236        02</t>
  </si>
  <si>
    <t>115        02</t>
  </si>
  <si>
    <t>107        02</t>
  </si>
  <si>
    <t>117        02</t>
  </si>
  <si>
    <t>114        02</t>
  </si>
  <si>
    <t>145        02</t>
  </si>
  <si>
    <t>116        02</t>
  </si>
  <si>
    <t>153        02</t>
  </si>
  <si>
    <t>69        02</t>
  </si>
  <si>
    <t>48        02</t>
  </si>
  <si>
    <t>214        02</t>
  </si>
  <si>
    <t>233        02</t>
  </si>
  <si>
    <t>241        02</t>
  </si>
  <si>
    <t>40        02</t>
  </si>
  <si>
    <t>250        02</t>
  </si>
  <si>
    <t>334        02</t>
  </si>
  <si>
    <t>129        02</t>
  </si>
  <si>
    <t>335        02</t>
  </si>
  <si>
    <t>127        02</t>
  </si>
  <si>
    <t>322        02</t>
  </si>
  <si>
    <t>137        02</t>
  </si>
  <si>
    <t>75        02</t>
  </si>
  <si>
    <t>237        02</t>
  </si>
  <si>
    <t>224        02</t>
  </si>
  <si>
    <t>176        02</t>
  </si>
  <si>
    <t>139        02</t>
  </si>
  <si>
    <t>258        02</t>
  </si>
  <si>
    <t>101        02</t>
  </si>
  <si>
    <t>86        02</t>
  </si>
  <si>
    <t>104        02</t>
  </si>
  <si>
    <t>108        02</t>
  </si>
  <si>
    <t>41        02</t>
  </si>
  <si>
    <t>235        02</t>
  </si>
  <si>
    <t>270        02</t>
  </si>
  <si>
    <t>195        02</t>
  </si>
  <si>
    <t>272        02</t>
  </si>
  <si>
    <t>61        02</t>
  </si>
  <si>
    <t>323        02</t>
  </si>
  <si>
    <t>182        02</t>
  </si>
  <si>
    <t>197        02</t>
  </si>
  <si>
    <t>190        02</t>
  </si>
  <si>
    <t>76        02</t>
  </si>
  <si>
    <t>347        02</t>
  </si>
  <si>
    <t>71        02</t>
  </si>
  <si>
    <t>100        02</t>
  </si>
  <si>
    <t>288        02</t>
  </si>
  <si>
    <t>299        02</t>
  </si>
  <si>
    <t>221        02</t>
  </si>
  <si>
    <t>60        02</t>
  </si>
  <si>
    <t>212        04</t>
  </si>
  <si>
    <t>241        04</t>
  </si>
  <si>
    <t>58        04</t>
  </si>
  <si>
    <t>254        04</t>
  </si>
  <si>
    <t>203        04</t>
  </si>
  <si>
    <t>49        04</t>
  </si>
  <si>
    <t>145        04</t>
  </si>
  <si>
    <t>224        04</t>
  </si>
  <si>
    <t>47        04</t>
  </si>
  <si>
    <t>245        04</t>
  </si>
  <si>
    <t>157        04</t>
  </si>
  <si>
    <t>338        04</t>
  </si>
  <si>
    <t>276        04</t>
  </si>
  <si>
    <t>278        04</t>
  </si>
  <si>
    <t>228        04</t>
  </si>
  <si>
    <t>156        04</t>
  </si>
  <si>
    <t>266        04</t>
  </si>
  <si>
    <t>256        04</t>
  </si>
  <si>
    <t>287        04</t>
  </si>
  <si>
    <t>64        04</t>
  </si>
  <si>
    <t>253        04</t>
  </si>
  <si>
    <t>236        04</t>
  </si>
  <si>
    <t>238        04</t>
  </si>
  <si>
    <t>200        04</t>
  </si>
  <si>
    <t>342        04</t>
  </si>
  <si>
    <t>294        04</t>
  </si>
  <si>
    <t>69        04</t>
  </si>
  <si>
    <t>42        04</t>
  </si>
  <si>
    <t>110        04</t>
  </si>
  <si>
    <t>225        04</t>
  </si>
  <si>
    <t>345        04</t>
  </si>
  <si>
    <t>255        04</t>
  </si>
  <si>
    <t>207        04</t>
  </si>
  <si>
    <t>329        04</t>
  </si>
  <si>
    <t>176        04</t>
  </si>
  <si>
    <t>217        04</t>
  </si>
  <si>
    <t>62        04</t>
  </si>
  <si>
    <t>137        04</t>
  </si>
  <si>
    <t>201        04</t>
  </si>
  <si>
    <t>309        04</t>
  </si>
  <si>
    <t>112        04</t>
  </si>
  <si>
    <t>265        04</t>
  </si>
  <si>
    <t>54        04</t>
  </si>
  <si>
    <t>295        04</t>
  </si>
  <si>
    <t>297        04</t>
  </si>
  <si>
    <t>273        04</t>
  </si>
  <si>
    <t>152        04</t>
  </si>
  <si>
    <t>57        04</t>
  </si>
  <si>
    <t>93        04</t>
  </si>
  <si>
    <t>318        04</t>
  </si>
  <si>
    <t>289        04</t>
  </si>
  <si>
    <t>341        04</t>
  </si>
  <si>
    <t>288        04</t>
  </si>
  <si>
    <t>291        02</t>
  </si>
  <si>
    <t>42        02</t>
  </si>
  <si>
    <t>338        02</t>
  </si>
  <si>
    <t>138        02</t>
  </si>
  <si>
    <t>254        02</t>
  </si>
  <si>
    <t>143        02</t>
  </si>
  <si>
    <t>106        02</t>
  </si>
  <si>
    <t>306        02</t>
  </si>
  <si>
    <t>310        02</t>
  </si>
  <si>
    <t>286        02</t>
  </si>
  <si>
    <t>296        02</t>
  </si>
  <si>
    <t>55        02</t>
  </si>
  <si>
    <t>244        02</t>
  </si>
  <si>
    <t>140        02</t>
  </si>
  <si>
    <t>64        02</t>
  </si>
  <si>
    <t>219        02</t>
  </si>
  <si>
    <t>260        02</t>
  </si>
  <si>
    <t>105        02</t>
  </si>
  <si>
    <t>279        02</t>
  </si>
  <si>
    <t>53        02</t>
  </si>
  <si>
    <t>90        02</t>
  </si>
  <si>
    <t>151        02</t>
  </si>
  <si>
    <t>314        02</t>
  </si>
  <si>
    <t>251        02</t>
  </si>
  <si>
    <t>73        02</t>
  </si>
  <si>
    <t>191        02</t>
  </si>
  <si>
    <t>147        02</t>
  </si>
  <si>
    <t>154        02</t>
  </si>
  <si>
    <t>316        02</t>
  </si>
  <si>
    <t>217        02</t>
  </si>
  <si>
    <t>51        02</t>
  </si>
  <si>
    <t>120        02</t>
  </si>
  <si>
    <t>298        02</t>
  </si>
  <si>
    <t>155        02</t>
  </si>
  <si>
    <t>199        02</t>
  </si>
  <si>
    <t>343        02</t>
  </si>
  <si>
    <t>303        02</t>
  </si>
  <si>
    <t>95        02</t>
  </si>
  <si>
    <t>337        02</t>
  </si>
  <si>
    <t>247        02</t>
  </si>
  <si>
    <t>285        02</t>
  </si>
  <si>
    <t>274        02</t>
  </si>
  <si>
    <t>186        01</t>
  </si>
  <si>
    <t>226        02</t>
  </si>
  <si>
    <t>74        02</t>
  </si>
  <si>
    <t>49        02</t>
  </si>
  <si>
    <t>269        02</t>
  </si>
  <si>
    <t>94        02</t>
  </si>
  <si>
    <t>333        02</t>
  </si>
  <si>
    <t>65        02</t>
  </si>
  <si>
    <t>88        02</t>
  </si>
  <si>
    <t>293        02</t>
  </si>
  <si>
    <t>96        04</t>
  </si>
  <si>
    <t>127        04</t>
  </si>
  <si>
    <t>122        04</t>
  </si>
  <si>
    <t>184        04</t>
  </si>
  <si>
    <t>258        04</t>
  </si>
  <si>
    <t>270        04</t>
  </si>
  <si>
    <t>321        04</t>
  </si>
  <si>
    <t>347        04</t>
  </si>
  <si>
    <t>240        04</t>
  </si>
  <si>
    <t>357        04</t>
  </si>
  <si>
    <t>116        04</t>
  </si>
  <si>
    <t>344        04</t>
  </si>
  <si>
    <t>130        04</t>
  </si>
  <si>
    <t>86        04</t>
  </si>
  <si>
    <t>198        04</t>
  </si>
  <si>
    <t>103        04</t>
  </si>
  <si>
    <t>229        04</t>
  </si>
  <si>
    <t>214        04</t>
  </si>
  <si>
    <t>333        04</t>
  </si>
  <si>
    <t>346        04</t>
  </si>
  <si>
    <t>175        04</t>
  </si>
  <si>
    <t>179        04</t>
  </si>
  <si>
    <t>205        04</t>
  </si>
  <si>
    <t>290        04</t>
  </si>
  <si>
    <t>90        04</t>
  </si>
  <si>
    <t>128        04</t>
  </si>
  <si>
    <t>343        04</t>
  </si>
  <si>
    <t>140        04</t>
  </si>
  <si>
    <t>239        04</t>
  </si>
  <si>
    <t>151        04</t>
  </si>
  <si>
    <t>280        04</t>
  </si>
  <si>
    <t>43        04</t>
  </si>
  <si>
    <t>91        04</t>
  </si>
  <si>
    <t>41        04</t>
  </si>
  <si>
    <t>274        04</t>
  </si>
  <si>
    <t>194        04</t>
  </si>
  <si>
    <t>133        04</t>
  </si>
  <si>
    <t>115        04</t>
  </si>
  <si>
    <t>232        04</t>
  </si>
  <si>
    <t>350        04</t>
  </si>
  <si>
    <t>85        04</t>
  </si>
  <si>
    <t>126        04</t>
  </si>
  <si>
    <t>78        04</t>
  </si>
  <si>
    <t>106        04</t>
  </si>
  <si>
    <t>148        04</t>
  </si>
  <si>
    <t>88        04</t>
  </si>
  <si>
    <t>197        04</t>
  </si>
  <si>
    <t>138        04</t>
  </si>
  <si>
    <t>307        04</t>
  </si>
  <si>
    <t>37        04</t>
  </si>
  <si>
    <t>83        04</t>
  </si>
  <si>
    <t>219        04</t>
  </si>
  <si>
    <t>84        04</t>
  </si>
  <si>
    <t>159        04</t>
  </si>
  <si>
    <t>264        04</t>
  </si>
  <si>
    <t>164        01</t>
  </si>
  <si>
    <t>216        01</t>
  </si>
  <si>
    <t>177        01</t>
  </si>
  <si>
    <t>110        01</t>
  </si>
  <si>
    <t>205        01</t>
  </si>
  <si>
    <t>61        01</t>
  </si>
  <si>
    <t>344        01</t>
  </si>
  <si>
    <t>157        01</t>
  </si>
  <si>
    <t>350        01</t>
  </si>
  <si>
    <t>68        01</t>
  </si>
  <si>
    <t>218        01</t>
  </si>
  <si>
    <t>168        01</t>
  </si>
  <si>
    <t>65        01</t>
  </si>
  <si>
    <t>305        01</t>
  </si>
  <si>
    <t>156        01</t>
  </si>
  <si>
    <t>220        01</t>
  </si>
  <si>
    <t>76        01</t>
  </si>
  <si>
    <t>247        01</t>
  </si>
  <si>
    <t>226        01</t>
  </si>
  <si>
    <t>209        01</t>
  </si>
  <si>
    <t>70        01</t>
  </si>
  <si>
    <t>120        01</t>
  </si>
  <si>
    <t>62        01</t>
  </si>
  <si>
    <t>149        01</t>
  </si>
  <si>
    <t>281        01</t>
  </si>
  <si>
    <t>246        01</t>
  </si>
  <si>
    <t>106        01</t>
  </si>
  <si>
    <t>124        01</t>
  </si>
  <si>
    <t>236        01</t>
  </si>
  <si>
    <t>38        01</t>
  </si>
  <si>
    <t>334        01</t>
  </si>
  <si>
    <t>322        01</t>
  </si>
  <si>
    <t>223        01</t>
  </si>
  <si>
    <t>188        01</t>
  </si>
  <si>
    <t>241        01</t>
  </si>
  <si>
    <t>252        01</t>
  </si>
  <si>
    <t>237        01</t>
  </si>
  <si>
    <t>91        01</t>
  </si>
  <si>
    <t>77        01</t>
  </si>
  <si>
    <t>113        02</t>
  </si>
  <si>
    <t>349        01</t>
  </si>
  <si>
    <t>267        01</t>
  </si>
  <si>
    <t>255        01</t>
  </si>
  <si>
    <t>175        01</t>
  </si>
  <si>
    <t>121        01</t>
  </si>
  <si>
    <t>180        01</t>
  </si>
  <si>
    <t>165        01</t>
  </si>
  <si>
    <t>181        01</t>
  </si>
  <si>
    <t>314        01</t>
  </si>
  <si>
    <t>144        01</t>
  </si>
  <si>
    <t>135        01</t>
  </si>
  <si>
    <t>217        03</t>
  </si>
  <si>
    <t>98        03</t>
  </si>
  <si>
    <t>279        03</t>
  </si>
  <si>
    <t>246        03</t>
  </si>
  <si>
    <t>305        03</t>
  </si>
  <si>
    <t>295        03</t>
  </si>
  <si>
    <t>113        03</t>
  </si>
  <si>
    <t>218        03</t>
  </si>
  <si>
    <t>83        03</t>
  </si>
  <si>
    <t>112        03</t>
  </si>
  <si>
    <t>335        03</t>
  </si>
  <si>
    <t>227        03</t>
  </si>
  <si>
    <t>273        03</t>
  </si>
  <si>
    <t>356        03</t>
  </si>
  <si>
    <t>260        03</t>
  </si>
  <si>
    <t>201        03</t>
  </si>
  <si>
    <t>59        03</t>
  </si>
  <si>
    <t>359        03</t>
  </si>
  <si>
    <t>360        03</t>
  </si>
  <si>
    <t>234        03</t>
  </si>
  <si>
    <t>171        03</t>
  </si>
  <si>
    <t>109        03</t>
  </si>
  <si>
    <t>106        03</t>
  </si>
  <si>
    <t>38        03</t>
  </si>
  <si>
    <t>180        03</t>
  </si>
  <si>
    <t>43        03</t>
  </si>
  <si>
    <t>137        03</t>
  </si>
  <si>
    <t>280        03</t>
  </si>
  <si>
    <t>308        03</t>
  </si>
  <si>
    <t>319        03</t>
  </si>
  <si>
    <t>315        03</t>
  </si>
  <si>
    <t>250        03</t>
  </si>
  <si>
    <t>236        03</t>
  </si>
  <si>
    <t>154        03</t>
  </si>
  <si>
    <t>294        03</t>
  </si>
  <si>
    <t>199        03</t>
  </si>
  <si>
    <t>76        03</t>
  </si>
  <si>
    <t>127        03</t>
  </si>
  <si>
    <t>184        03</t>
  </si>
  <si>
    <t>68        03</t>
  </si>
  <si>
    <t>251        03</t>
  </si>
  <si>
    <t>337        03</t>
  </si>
  <si>
    <t>226        03</t>
  </si>
  <si>
    <t>228        03</t>
  </si>
  <si>
    <t>211        03</t>
  </si>
  <si>
    <t>243        03</t>
  </si>
  <si>
    <t>347        03</t>
  </si>
  <si>
    <t>122        03</t>
  </si>
  <si>
    <t>165        03</t>
  </si>
  <si>
    <t>175        03</t>
  </si>
  <si>
    <t>187        03</t>
  </si>
  <si>
    <t>333        03</t>
  </si>
  <si>
    <t>168        03</t>
  </si>
  <si>
    <t>60        03</t>
  </si>
  <si>
    <t>209        03</t>
  </si>
  <si>
    <t>290        01</t>
  </si>
  <si>
    <t>273        01</t>
  </si>
  <si>
    <t>316        01</t>
  </si>
  <si>
    <t>283        01</t>
  </si>
  <si>
    <t>308        01</t>
  </si>
  <si>
    <t>134        01</t>
  </si>
  <si>
    <t>195        01</t>
  </si>
  <si>
    <t>242        01</t>
  </si>
  <si>
    <t>235        01</t>
  </si>
  <si>
    <t>136        01</t>
  </si>
  <si>
    <t>187        01</t>
  </si>
  <si>
    <t>198        01</t>
  </si>
  <si>
    <t>297        01</t>
  </si>
  <si>
    <t>307        01</t>
  </si>
  <si>
    <t>93        01</t>
  </si>
  <si>
    <t>146        01</t>
  </si>
  <si>
    <t>89        01</t>
  </si>
  <si>
    <t>213        01</t>
  </si>
  <si>
    <t>259        01</t>
  </si>
  <si>
    <t>224        01</t>
  </si>
  <si>
    <t>60        01</t>
  </si>
  <si>
    <t>94        01</t>
  </si>
  <si>
    <t>54        01</t>
  </si>
  <si>
    <t>269        01</t>
  </si>
  <si>
    <t>263        01</t>
  </si>
  <si>
    <t>272        01</t>
  </si>
  <si>
    <t>348        01</t>
  </si>
  <si>
    <t>147        01</t>
  </si>
  <si>
    <t>82        01</t>
  </si>
  <si>
    <t>275        01</t>
  </si>
  <si>
    <t>78        01</t>
  </si>
  <si>
    <t>63        01</t>
  </si>
  <si>
    <t>132        01</t>
  </si>
  <si>
    <t>73        01</t>
  </si>
  <si>
    <t>131        01</t>
  </si>
  <si>
    <t>203        01</t>
  </si>
  <si>
    <t>356        01</t>
  </si>
  <si>
    <t>340        01</t>
  </si>
  <si>
    <t>330        01</t>
  </si>
  <si>
    <t>215        01</t>
  </si>
  <si>
    <t>169        01</t>
  </si>
  <si>
    <t>172        01</t>
  </si>
  <si>
    <t>331        01</t>
  </si>
  <si>
    <t>248        01</t>
  </si>
  <si>
    <t>296        01</t>
  </si>
  <si>
    <t>39        01</t>
  </si>
  <si>
    <t>107        01</t>
  </si>
  <si>
    <t>42        01</t>
  </si>
  <si>
    <t>129        01</t>
  </si>
  <si>
    <t>325        01</t>
  </si>
  <si>
    <t>145        01</t>
  </si>
  <si>
    <t>266        01</t>
  </si>
  <si>
    <t>116        01</t>
  </si>
  <si>
    <t>335        01</t>
  </si>
  <si>
    <t>296        03</t>
  </si>
  <si>
    <t>123        03</t>
  </si>
  <si>
    <t>99        03</t>
  </si>
  <si>
    <t>45        03</t>
  </si>
  <si>
    <t>255        03</t>
  </si>
  <si>
    <t>69        03</t>
  </si>
  <si>
    <t>195        03</t>
  </si>
  <si>
    <t>148        03</t>
  </si>
  <si>
    <t>271        03</t>
  </si>
  <si>
    <t>46        03</t>
  </si>
  <si>
    <t>299        03</t>
  </si>
  <si>
    <t>249        03</t>
  </si>
  <si>
    <t>185        03</t>
  </si>
  <si>
    <t>318        03</t>
  </si>
  <si>
    <t>188        03</t>
  </si>
  <si>
    <t>55        03</t>
  </si>
  <si>
    <t>88        03</t>
  </si>
  <si>
    <t>244        03</t>
  </si>
  <si>
    <t>176        03</t>
  </si>
  <si>
    <t>91        03</t>
  </si>
  <si>
    <t>110        03</t>
  </si>
  <si>
    <t>328        03</t>
  </si>
  <si>
    <t>159        03</t>
  </si>
  <si>
    <t>186        03</t>
  </si>
  <si>
    <t>332        03</t>
  </si>
  <si>
    <t>233        03</t>
  </si>
  <si>
    <t>262        03</t>
  </si>
  <si>
    <t>220        03</t>
  </si>
  <si>
    <t>252        03</t>
  </si>
  <si>
    <t>103        03</t>
  </si>
  <si>
    <t>111        03</t>
  </si>
  <si>
    <t>52        03</t>
  </si>
  <si>
    <t>313        03</t>
  </si>
  <si>
    <t>302        03</t>
  </si>
  <si>
    <t>70        03</t>
  </si>
  <si>
    <t>212        03</t>
  </si>
  <si>
    <t>90        03</t>
  </si>
  <si>
    <t>147        03</t>
  </si>
  <si>
    <t>254        03</t>
  </si>
  <si>
    <t>224        03</t>
  </si>
  <si>
    <t>51        03</t>
  </si>
  <si>
    <t>245        03</t>
  </si>
  <si>
    <t>174        03</t>
  </si>
  <si>
    <t>198        03</t>
  </si>
  <si>
    <t>61        03</t>
  </si>
  <si>
    <t>235        03</t>
  </si>
  <si>
    <t>134        03</t>
  </si>
  <si>
    <t>322        03</t>
  </si>
  <si>
    <t>149        03</t>
  </si>
  <si>
    <t>256        03</t>
  </si>
  <si>
    <t>178        03</t>
  </si>
  <si>
    <t>203        03</t>
  </si>
  <si>
    <t>80        03</t>
  </si>
  <si>
    <t>337        01</t>
  </si>
  <si>
    <t>95        01</t>
  </si>
  <si>
    <t>346        01</t>
  </si>
  <si>
    <t>86        01</t>
  </si>
  <si>
    <t>113        01</t>
  </si>
  <si>
    <t>295        01</t>
  </si>
  <si>
    <t>301        01</t>
  </si>
  <si>
    <t>359        01</t>
  </si>
  <si>
    <t>104        01</t>
  </si>
  <si>
    <t>163        01</t>
  </si>
  <si>
    <t>299        01</t>
  </si>
  <si>
    <t>101        01</t>
  </si>
  <si>
    <t>343        01</t>
  </si>
  <si>
    <t>221        01</t>
  </si>
  <si>
    <t>293        01</t>
  </si>
  <si>
    <t>341        01</t>
  </si>
  <si>
    <t>80        01</t>
  </si>
  <si>
    <t>159        01</t>
  </si>
  <si>
    <t>189        01</t>
  </si>
  <si>
    <t>111        01</t>
  </si>
  <si>
    <t>287        01</t>
  </si>
  <si>
    <t>257        01</t>
  </si>
  <si>
    <t>278        01</t>
  </si>
  <si>
    <t>303        01</t>
  </si>
  <si>
    <t>139        01</t>
  </si>
  <si>
    <t>288        01</t>
  </si>
  <si>
    <t>210        01</t>
  </si>
  <si>
    <t>310        01</t>
  </si>
  <si>
    <t>207        01</t>
  </si>
  <si>
    <t>130        01</t>
  </si>
  <si>
    <t>90        01</t>
  </si>
  <si>
    <t>122        01</t>
  </si>
  <si>
    <t>317        01</t>
  </si>
  <si>
    <t>280        01</t>
  </si>
  <si>
    <t>229        01</t>
  </si>
  <si>
    <t>192        01</t>
  </si>
  <si>
    <t>294        01</t>
  </si>
  <si>
    <t>304        01</t>
  </si>
  <si>
    <t>92        01</t>
  </si>
  <si>
    <t>125        01</t>
  </si>
  <si>
    <t>84        01</t>
  </si>
  <si>
    <t>59        01</t>
  </si>
  <si>
    <t>233        01</t>
  </si>
  <si>
    <t>191        01</t>
  </si>
  <si>
    <t>336        01</t>
  </si>
  <si>
    <t>211        01</t>
  </si>
  <si>
    <t>64        01</t>
  </si>
  <si>
    <t>79        01</t>
  </si>
  <si>
    <t>171        01</t>
  </si>
  <si>
    <t>98        01</t>
  </si>
  <si>
    <t>178        01</t>
  </si>
  <si>
    <t>315        01</t>
  </si>
  <si>
    <t>302        01</t>
  </si>
  <si>
    <t>291        01</t>
  </si>
  <si>
    <t>289        01</t>
  </si>
  <si>
    <t>37        03</t>
  </si>
  <si>
    <t>288        03</t>
  </si>
  <si>
    <t>54        03</t>
  </si>
  <si>
    <t>350        03</t>
  </si>
  <si>
    <t>277        03</t>
  </si>
  <si>
    <t>231        03</t>
  </si>
  <si>
    <t>53        03</t>
  </si>
  <si>
    <t>349        03</t>
  </si>
  <si>
    <t>132        03</t>
  </si>
  <si>
    <t>358        03</t>
  </si>
  <si>
    <t>232        03</t>
  </si>
  <si>
    <t>75        03</t>
  </si>
  <si>
    <t>143        03</t>
  </si>
  <si>
    <t>282        03</t>
  </si>
  <si>
    <t>41        03</t>
  </si>
  <si>
    <t>247        03</t>
  </si>
  <si>
    <t>197        03</t>
  </si>
  <si>
    <t>107        03</t>
  </si>
  <si>
    <t>265        03</t>
  </si>
  <si>
    <t>120        03</t>
  </si>
  <si>
    <t>89        03</t>
  </si>
  <si>
    <t>141        03</t>
  </si>
  <si>
    <t>213        03</t>
  </si>
  <si>
    <t>237        03</t>
  </si>
  <si>
    <t>355        03</t>
  </si>
  <si>
    <t>307        03</t>
  </si>
  <si>
    <t>316        03</t>
  </si>
  <si>
    <t>229        03</t>
  </si>
  <si>
    <t>286        03</t>
  </si>
  <si>
    <t>77        03</t>
  </si>
  <si>
    <t>357        03</t>
  </si>
  <si>
    <t>66        03</t>
  </si>
  <si>
    <t>240        03</t>
  </si>
  <si>
    <t>119        03</t>
  </si>
  <si>
    <t>241        03</t>
  </si>
  <si>
    <t>130        03</t>
  </si>
  <si>
    <t>301        03</t>
  </si>
  <si>
    <t>94        03</t>
  </si>
  <si>
    <t>284        03</t>
  </si>
  <si>
    <t>100        03</t>
  </si>
  <si>
    <t>210        03</t>
  </si>
  <si>
    <t>157        03</t>
  </si>
  <si>
    <t>208        03</t>
  </si>
  <si>
    <t>153        03</t>
  </si>
  <si>
    <t>314        03</t>
  </si>
  <si>
    <t>73        03</t>
  </si>
  <si>
    <t>278        03</t>
  </si>
  <si>
    <t>49        03</t>
  </si>
  <si>
    <t>253        03</t>
  </si>
  <si>
    <t>287        03</t>
  </si>
  <si>
    <t>116        03</t>
  </si>
  <si>
    <t>87        03</t>
  </si>
  <si>
    <t>161        03</t>
  </si>
  <si>
    <t>173        03</t>
  </si>
  <si>
    <t>238        01</t>
  </si>
  <si>
    <t>66        01</t>
  </si>
  <si>
    <t>41        01</t>
  </si>
  <si>
    <t>217        01</t>
  </si>
  <si>
    <t>176        01</t>
  </si>
  <si>
    <t>162        01</t>
  </si>
  <si>
    <t>183        01</t>
  </si>
  <si>
    <t>298        01</t>
  </si>
  <si>
    <t>196        01</t>
  </si>
  <si>
    <t>284        01</t>
  </si>
  <si>
    <t>342        01</t>
  </si>
  <si>
    <t>155        01</t>
  </si>
  <si>
    <t>167        01</t>
  </si>
  <si>
    <t>49        01</t>
  </si>
  <si>
    <t>245        01</t>
  </si>
  <si>
    <t>58        01</t>
  </si>
  <si>
    <t>71        01</t>
  </si>
  <si>
    <t>100        01</t>
  </si>
  <si>
    <t>190        01</t>
  </si>
  <si>
    <t>74        01</t>
  </si>
  <si>
    <t>57        01</t>
  </si>
  <si>
    <t>51        01</t>
  </si>
  <si>
    <t>261        01</t>
  </si>
  <si>
    <t>72        01</t>
  </si>
  <si>
    <t>199        01</t>
  </si>
  <si>
    <t>50        01</t>
  </si>
  <si>
    <t>313        01</t>
  </si>
  <si>
    <t>109        01</t>
  </si>
  <si>
    <t>214        01</t>
  </si>
  <si>
    <t>251        01</t>
  </si>
  <si>
    <t>243        01</t>
  </si>
  <si>
    <t>219        01</t>
  </si>
  <si>
    <t>360        01</t>
  </si>
  <si>
    <t>324        01</t>
  </si>
  <si>
    <t>126        01</t>
  </si>
  <si>
    <t>326        01</t>
  </si>
  <si>
    <t>312        01</t>
  </si>
  <si>
    <t>271        01</t>
  </si>
  <si>
    <t>256        01</t>
  </si>
  <si>
    <t>320        01</t>
  </si>
  <si>
    <t>47        01</t>
  </si>
  <si>
    <t>232        01</t>
  </si>
  <si>
    <t>234        01</t>
  </si>
  <si>
    <t>114        01</t>
  </si>
  <si>
    <t>339        01</t>
  </si>
  <si>
    <t>153        01</t>
  </si>
  <si>
    <t>143        01</t>
  </si>
  <si>
    <t>85        01</t>
  </si>
  <si>
    <t>328        01</t>
  </si>
  <si>
    <t>230        01</t>
  </si>
  <si>
    <t>99        01</t>
  </si>
  <si>
    <t>174        01</t>
  </si>
  <si>
    <t>56        01</t>
  </si>
  <si>
    <t>185        01</t>
  </si>
  <si>
    <t>298        03</t>
  </si>
  <si>
    <t>222        03</t>
  </si>
  <si>
    <t>144        03</t>
  </si>
  <si>
    <t>261        03</t>
  </si>
  <si>
    <t>128        03</t>
  </si>
  <si>
    <t>219        03</t>
  </si>
  <si>
    <t>343        03</t>
  </si>
  <si>
    <t>223        03</t>
  </si>
  <si>
    <t>329        03</t>
  </si>
  <si>
    <t>190        03</t>
  </si>
  <si>
    <t>297        03</t>
  </si>
  <si>
    <t>151        03</t>
  </si>
  <si>
    <t>84        03</t>
  </si>
  <si>
    <t>257        03</t>
  </si>
  <si>
    <t>79        03</t>
  </si>
  <si>
    <t>169        03</t>
  </si>
  <si>
    <t>194        03</t>
  </si>
  <si>
    <t>125        03</t>
  </si>
  <si>
    <t>131        03</t>
  </si>
  <si>
    <t>121        03</t>
  </si>
  <si>
    <t>348        03</t>
  </si>
  <si>
    <t>140        03</t>
  </si>
  <si>
    <t>326        03</t>
  </si>
  <si>
    <t>65        03</t>
  </si>
  <si>
    <t>292        03</t>
  </si>
  <si>
    <t>92        03</t>
  </si>
  <si>
    <t>281        03</t>
  </si>
  <si>
    <t>317        03</t>
  </si>
  <si>
    <t>86        03</t>
  </si>
  <si>
    <t>306        03</t>
  </si>
  <si>
    <t>205        03</t>
  </si>
  <si>
    <t>230        03</t>
  </si>
  <si>
    <t>166        03</t>
  </si>
  <si>
    <t>312        03</t>
  </si>
  <si>
    <t>242        03</t>
  </si>
  <si>
    <t>248        03</t>
  </si>
  <si>
    <t>160        03</t>
  </si>
  <si>
    <t>158        03</t>
  </si>
  <si>
    <t>47        03</t>
  </si>
  <si>
    <t>304        03</t>
  </si>
  <si>
    <t>202        03</t>
  </si>
  <si>
    <t>196        03</t>
  </si>
  <si>
    <t>323        03</t>
  </si>
  <si>
    <t>338        03</t>
  </si>
  <si>
    <t>170        03</t>
  </si>
  <si>
    <t>102        03</t>
  </si>
  <si>
    <t>136        03</t>
  </si>
  <si>
    <t>191        03</t>
  </si>
  <si>
    <t>64        03</t>
  </si>
  <si>
    <t>162        03</t>
  </si>
  <si>
    <t>276        03</t>
  </si>
  <si>
    <t>324        03</t>
  </si>
  <si>
    <t>108        01</t>
  </si>
  <si>
    <t>160        01</t>
  </si>
  <si>
    <t>142        01</t>
  </si>
  <si>
    <t>173        01</t>
  </si>
  <si>
    <t>345        01</t>
  </si>
  <si>
    <t>333        01</t>
  </si>
  <si>
    <t>228        01</t>
  </si>
  <si>
    <t>204        01</t>
  </si>
  <si>
    <t>166        01</t>
  </si>
  <si>
    <t>184        01</t>
  </si>
  <si>
    <t>200        01</t>
  </si>
  <si>
    <t>327        01</t>
  </si>
  <si>
    <t>231        01</t>
  </si>
  <si>
    <t>102        01</t>
  </si>
  <si>
    <t>274        01</t>
  </si>
  <si>
    <t>123        01</t>
  </si>
  <si>
    <t>44        01</t>
  </si>
  <si>
    <t>88        01</t>
  </si>
  <si>
    <t>225        01</t>
  </si>
  <si>
    <t>319        01</t>
  </si>
  <si>
    <t>309        01</t>
  </si>
  <si>
    <t>161        01</t>
  </si>
  <si>
    <t>197        01</t>
  </si>
  <si>
    <t>355        01</t>
  </si>
  <si>
    <t>357        01</t>
  </si>
  <si>
    <t>170        01</t>
  </si>
  <si>
    <t>148        01</t>
  </si>
  <si>
    <t>329        01</t>
  </si>
  <si>
    <t>268        01</t>
  </si>
  <si>
    <t>83        01</t>
  </si>
  <si>
    <t>69        01</t>
  </si>
  <si>
    <t>249        01</t>
  </si>
  <si>
    <t>250        01</t>
  </si>
  <si>
    <t>194        01</t>
  </si>
  <si>
    <t>81        01</t>
  </si>
  <si>
    <t>354        01</t>
  </si>
  <si>
    <t>43        01</t>
  </si>
  <si>
    <t>138        01</t>
  </si>
  <si>
    <t>127        01</t>
  </si>
  <si>
    <t>265        01</t>
  </si>
  <si>
    <t>75        01</t>
  </si>
  <si>
    <t>306        01</t>
  </si>
  <si>
    <t>264        01</t>
  </si>
  <si>
    <t>55        01</t>
  </si>
  <si>
    <t>286        01</t>
  </si>
  <si>
    <t>150        01</t>
  </si>
  <si>
    <t>128        01</t>
  </si>
  <si>
    <t>321        01</t>
  </si>
  <si>
    <t>96        01</t>
  </si>
  <si>
    <t>97        01</t>
  </si>
  <si>
    <t>212        01</t>
  </si>
  <si>
    <t>254        01</t>
  </si>
  <si>
    <t>48        01</t>
  </si>
  <si>
    <t>318        01</t>
  </si>
  <si>
    <t>119        01</t>
  </si>
  <si>
    <t>282        01</t>
  </si>
  <si>
    <t>279        01</t>
  </si>
  <si>
    <t>351        03</t>
  </si>
  <si>
    <t>275        03</t>
  </si>
  <si>
    <t>177        03</t>
  </si>
  <si>
    <t>352        03</t>
  </si>
  <si>
    <t>139        03</t>
  </si>
  <si>
    <t>239        03</t>
  </si>
  <si>
    <t>72        03</t>
  </si>
  <si>
    <t>341        03</t>
  </si>
  <si>
    <t>269        03</t>
  </si>
  <si>
    <t>206        03</t>
  </si>
  <si>
    <t>320        03</t>
  </si>
  <si>
    <t>56        03</t>
  </si>
  <si>
    <t>183        03</t>
  </si>
  <si>
    <t>259        03</t>
  </si>
  <si>
    <t>115        03</t>
  </si>
  <si>
    <t>263        03</t>
  </si>
  <si>
    <t>345        03</t>
  </si>
  <si>
    <t>117        03</t>
  </si>
  <si>
    <t>155        03</t>
  </si>
  <si>
    <t>78        03</t>
  </si>
  <si>
    <t>216        03</t>
  </si>
  <si>
    <t>74        03</t>
  </si>
  <si>
    <t>309        03</t>
  </si>
  <si>
    <t>101        03</t>
  </si>
  <si>
    <t>207        03</t>
  </si>
  <si>
    <t>283        03</t>
  </si>
  <si>
    <t>331        03</t>
  </si>
  <si>
    <t>62        03</t>
  </si>
  <si>
    <t>145        03</t>
  </si>
  <si>
    <t>354        03</t>
  </si>
  <si>
    <t>82        03</t>
  </si>
  <si>
    <t>200        03</t>
  </si>
  <si>
    <t>340        03</t>
  </si>
  <si>
    <t>179        03</t>
  </si>
  <si>
    <t>97        03</t>
  </si>
  <si>
    <t>146        03</t>
  </si>
  <si>
    <t>48        03</t>
  </si>
  <si>
    <t>238        03</t>
  </si>
  <si>
    <t>266        03</t>
  </si>
  <si>
    <t>204        03</t>
  </si>
  <si>
    <t>215        03</t>
  </si>
  <si>
    <t>346        03</t>
  </si>
  <si>
    <t>105        03</t>
  </si>
  <si>
    <t>258        03</t>
  </si>
  <si>
    <t>290        03</t>
  </si>
  <si>
    <t>172        03</t>
  </si>
  <si>
    <t>58        03</t>
  </si>
  <si>
    <t>96        03</t>
  </si>
  <si>
    <t>163        03</t>
  </si>
  <si>
    <t>310        03</t>
  </si>
  <si>
    <t>39        03</t>
  </si>
  <si>
    <t>150        03</t>
  </si>
  <si>
    <t>81        03</t>
  </si>
  <si>
    <t>334        03</t>
  </si>
  <si>
    <t>124        03</t>
  </si>
  <si>
    <t>292        01</t>
  </si>
  <si>
    <t>118        01</t>
  </si>
  <si>
    <t>103        01</t>
  </si>
  <si>
    <t>239        01</t>
  </si>
  <si>
    <t>347        01</t>
  </si>
  <si>
    <t>311        01</t>
  </si>
  <si>
    <t>202        01</t>
  </si>
  <si>
    <t>352        01</t>
  </si>
  <si>
    <t>154        01</t>
  </si>
  <si>
    <t>253        01</t>
  </si>
  <si>
    <t>262        01</t>
  </si>
  <si>
    <t>182        01</t>
  </si>
  <si>
    <t>353        01</t>
  </si>
  <si>
    <t>208        01</t>
  </si>
  <si>
    <t>152        01</t>
  </si>
  <si>
    <t>276        01</t>
  </si>
  <si>
    <t>323        01</t>
  </si>
  <si>
    <t>37        01</t>
  </si>
  <si>
    <t>358        01</t>
  </si>
  <si>
    <t>45        01</t>
  </si>
  <si>
    <t>227        01</t>
  </si>
  <si>
    <t>300        01</t>
  </si>
  <si>
    <t>270        01</t>
  </si>
  <si>
    <t>258        01</t>
  </si>
  <si>
    <t>112        01</t>
  </si>
  <si>
    <t>285        01</t>
  </si>
  <si>
    <t>141        01</t>
  </si>
  <si>
    <t>206        01</t>
  </si>
  <si>
    <t>193        01</t>
  </si>
  <si>
    <t>52        01</t>
  </si>
  <si>
    <t>277        01</t>
  </si>
  <si>
    <t>115        01</t>
  </si>
  <si>
    <t>140        01</t>
  </si>
  <si>
    <t>332        01</t>
  </si>
  <si>
    <t>87        01</t>
  </si>
  <si>
    <t>222        01</t>
  </si>
  <si>
    <t>260        01</t>
  </si>
  <si>
    <t>151        01</t>
  </si>
  <si>
    <t>105        01</t>
  </si>
  <si>
    <t>67        01</t>
  </si>
  <si>
    <t>117        01</t>
  </si>
  <si>
    <t>137        01</t>
  </si>
  <si>
    <t>46        01</t>
  </si>
  <si>
    <t>40        01</t>
  </si>
  <si>
    <t>53        01</t>
  </si>
  <si>
    <t>133        01</t>
  </si>
  <si>
    <t>179        01</t>
  </si>
  <si>
    <t>201        01</t>
  </si>
  <si>
    <t>338        01</t>
  </si>
  <si>
    <t>244        01</t>
  </si>
  <si>
    <t>158        01</t>
  </si>
  <si>
    <t>351        01</t>
  </si>
  <si>
    <t>240        01</t>
  </si>
  <si>
    <t>126        03</t>
  </si>
  <si>
    <t>133        03</t>
  </si>
  <si>
    <t>167        03</t>
  </si>
  <si>
    <t>118        03</t>
  </si>
  <si>
    <t>71        03</t>
  </si>
  <si>
    <t>114        03</t>
  </si>
  <si>
    <t>93        03</t>
  </si>
  <si>
    <t>192        03</t>
  </si>
  <si>
    <t>67        03</t>
  </si>
  <si>
    <t>264        03</t>
  </si>
  <si>
    <t>300        03</t>
  </si>
  <si>
    <t>57        03</t>
  </si>
  <si>
    <t>182        03</t>
  </si>
  <si>
    <t>138        03</t>
  </si>
  <si>
    <t>42        03</t>
  </si>
  <si>
    <t>303        03</t>
  </si>
  <si>
    <t>327        03</t>
  </si>
  <si>
    <t>193        03</t>
  </si>
  <si>
    <t>152        03</t>
  </si>
  <si>
    <t>274        03</t>
  </si>
  <si>
    <t>325        03</t>
  </si>
  <si>
    <t>225        03</t>
  </si>
  <si>
    <t>40        03</t>
  </si>
  <si>
    <t>289        03</t>
  </si>
  <si>
    <t>85        03</t>
  </si>
  <si>
    <t>189        03</t>
  </si>
  <si>
    <t>50        03</t>
  </si>
  <si>
    <t>142        03</t>
  </si>
  <si>
    <t>342        03</t>
  </si>
  <si>
    <t>181        03</t>
  </si>
  <si>
    <t>267        03</t>
  </si>
  <si>
    <t>104        03</t>
  </si>
  <si>
    <t>336        03</t>
  </si>
  <si>
    <t>321        03</t>
  </si>
  <si>
    <t>129        03</t>
  </si>
  <si>
    <t>108        03</t>
  </si>
  <si>
    <t>339        03</t>
  </si>
  <si>
    <t>95        03</t>
  </si>
  <si>
    <t>291        03</t>
  </si>
  <si>
    <t>44        03</t>
  </si>
  <si>
    <t>221        03</t>
  </si>
  <si>
    <t>353        03</t>
  </si>
  <si>
    <t>293        03</t>
  </si>
  <si>
    <t>156        03</t>
  </si>
  <si>
    <t>272        03</t>
  </si>
  <si>
    <t>285        03</t>
  </si>
  <si>
    <t>63        03</t>
  </si>
  <si>
    <t>330        03</t>
  </si>
  <si>
    <t>135        03</t>
  </si>
  <si>
    <t>270        03</t>
  </si>
  <si>
    <t>164        03</t>
  </si>
  <si>
    <t>311        03</t>
  </si>
  <si>
    <t>268        03</t>
  </si>
  <si>
    <t>214        03</t>
  </si>
  <si>
    <t>344        03</t>
  </si>
  <si>
    <t>Azote N-</t>
  </si>
  <si>
    <t>Azote N+</t>
  </si>
  <si>
    <t>essai</t>
  </si>
  <si>
    <t>entree     rep</t>
  </si>
  <si>
    <t>15A02 (genotype à pbs)</t>
  </si>
  <si>
    <t>nom de l'essai</t>
  </si>
  <si>
    <t>15A03 (INN)</t>
  </si>
  <si>
    <t>INN1</t>
  </si>
  <si>
    <t>BBCH16-18</t>
  </si>
  <si>
    <t>essai INN 15A03 (cf feuille "Parcellaire_data")</t>
  </si>
  <si>
    <t>BBCH21</t>
  </si>
  <si>
    <t>INN2</t>
  </si>
  <si>
    <t>BBCH65</t>
  </si>
  <si>
    <t>INN3</t>
  </si>
  <si>
    <t>INN4</t>
  </si>
  <si>
    <t>BBCH83</t>
  </si>
  <si>
    <t>essais</t>
  </si>
  <si>
    <t>decode</t>
  </si>
  <si>
    <t>dégâts pigeon</t>
  </si>
  <si>
    <t>heterogène</t>
  </si>
  <si>
    <t>heterogene mal levée</t>
  </si>
  <si>
    <t>tres heterogene</t>
  </si>
  <si>
    <t>dégâts pigeon, implantation tres heterogene</t>
  </si>
  <si>
    <t>mal levée</t>
  </si>
  <si>
    <t>degat pigeon Mal levée, basse mangé par gibier</t>
  </si>
  <si>
    <t>mq 2m de semis, pb declenchement</t>
  </si>
  <si>
    <t>mal levée, basse</t>
  </si>
  <si>
    <t>mal levée pigeon</t>
  </si>
  <si>
    <t>non levée</t>
  </si>
  <si>
    <t>degat pigeon implantation hétérogène</t>
  </si>
  <si>
    <t>Code champ_2014/2015</t>
  </si>
  <si>
    <t>ID_RAPSODYN</t>
  </si>
  <si>
    <t>Accession_INRA</t>
  </si>
  <si>
    <t>Verse marquée</t>
  </si>
  <si>
    <t>non validée</t>
  </si>
  <si>
    <t>validée</t>
  </si>
  <si>
    <t>erreur épandage N (N+ au lieu de N-)</t>
  </si>
  <si>
    <t>erreur épandage N (N+ au lieu de N-)_Verse marquée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</si>
</sst>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dd/mm/yy"/>
    <numFmt numFmtId="165" formatCode="d/mm/yyyy;@"/>
    <numFmt numFmtId="166" formatCode="0.0000"/>
    <numFmt numFmtId="167" formatCode="0.0"/>
    <numFmt numFmtId="168" formatCode="d/m/yy;@"/>
  </numFmts>
  <fonts count="61">
    <font>
      <sz val="9"/>
      <name val="Geneva"/>
      <family val="2"/>
      <charset val="1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  <charset val="1"/>
    </font>
    <font>
      <u/>
      <sz val="11"/>
      <color indexed="12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Calibri"/>
      <family val="2"/>
      <charset val="238"/>
    </font>
    <font>
      <b/>
      <sz val="8"/>
      <name val="Arial"/>
      <family val="2"/>
      <charset val="1"/>
    </font>
    <font>
      <b/>
      <sz val="10"/>
      <name val="Arial"/>
      <family val="2"/>
      <charset val="1"/>
    </font>
    <font>
      <b/>
      <sz val="10"/>
      <color indexed="10"/>
      <name val="Arial"/>
      <family val="2"/>
      <charset val="1"/>
    </font>
    <font>
      <b/>
      <sz val="10"/>
      <color indexed="12"/>
      <name val="Arial"/>
      <family val="2"/>
      <charset val="1"/>
    </font>
    <font>
      <sz val="10"/>
      <color indexed="40"/>
      <name val="Arial"/>
      <family val="2"/>
      <charset val="1"/>
    </font>
    <font>
      <sz val="10"/>
      <color indexed="49"/>
      <name val="Arial"/>
      <family val="2"/>
      <charset val="1"/>
    </font>
    <font>
      <b/>
      <sz val="10"/>
      <color indexed="8"/>
      <name val="Arial"/>
      <family val="2"/>
      <charset val="1"/>
    </font>
    <font>
      <b/>
      <sz val="9"/>
      <name val="Geneva"/>
      <family val="2"/>
      <charset val="1"/>
    </font>
    <font>
      <b/>
      <sz val="9"/>
      <color indexed="10"/>
      <name val="Geneva"/>
      <family val="2"/>
      <charset val="1"/>
    </font>
    <font>
      <sz val="10"/>
      <color indexed="12"/>
      <name val="Arial"/>
      <family val="2"/>
      <charset val="1"/>
    </font>
    <font>
      <sz val="10"/>
      <color indexed="8"/>
      <name val="Arial"/>
      <family val="2"/>
      <charset val="1"/>
    </font>
    <font>
      <b/>
      <sz val="9"/>
      <color indexed="8"/>
      <name val="Tahoma"/>
      <family val="2"/>
      <charset val="1"/>
    </font>
    <font>
      <sz val="9"/>
      <color indexed="8"/>
      <name val="Tahoma"/>
      <family val="2"/>
      <charset val="1"/>
    </font>
    <font>
      <i/>
      <u/>
      <sz val="10"/>
      <name val="Arial"/>
      <family val="2"/>
      <charset val="1"/>
    </font>
    <font>
      <i/>
      <sz val="10"/>
      <name val="Arial"/>
      <family val="2"/>
      <charset val="1"/>
    </font>
    <font>
      <sz val="10"/>
      <color indexed="16"/>
      <name val="Arial"/>
      <family val="2"/>
      <charset val="1"/>
    </font>
    <font>
      <sz val="9"/>
      <name val="Geneva"/>
      <family val="2"/>
    </font>
    <font>
      <sz val="8"/>
      <color indexed="8"/>
      <name val="Calibri"/>
      <family val="2"/>
      <charset val="1"/>
    </font>
    <font>
      <sz val="10"/>
      <color indexed="8"/>
      <name val="Arial"/>
      <family val="2"/>
    </font>
    <font>
      <sz val="9"/>
      <name val="Arial"/>
      <family val="2"/>
      <charset val="1"/>
    </font>
    <font>
      <sz val="10"/>
      <name val="Arial"/>
      <family val="2"/>
    </font>
    <font>
      <sz val="9"/>
      <name val="Arial"/>
      <family val="2"/>
    </font>
    <font>
      <sz val="10"/>
      <color indexed="56"/>
      <name val="Arial"/>
      <family val="2"/>
      <charset val="1"/>
    </font>
    <font>
      <sz val="9"/>
      <name val="Geneva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Arial"/>
      <family val="2"/>
      <charset val="1"/>
    </font>
    <font>
      <sz val="9"/>
      <color rgb="FFFF0000"/>
      <name val="Geneva"/>
      <family val="2"/>
      <charset val="1"/>
    </font>
    <font>
      <sz val="9"/>
      <color rgb="FFFF0000"/>
      <name val="Arial"/>
      <family val="2"/>
      <charset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Geneva"/>
    </font>
    <font>
      <b/>
      <sz val="10"/>
      <name val="Arial"/>
      <family val="2"/>
    </font>
    <font>
      <sz val="8"/>
      <color indexed="8"/>
      <name val="Arial"/>
      <family val="2"/>
    </font>
    <font>
      <b/>
      <sz val="10"/>
      <color indexed="10"/>
      <name val="Arial"/>
      <family val="2"/>
    </font>
    <font>
      <sz val="11"/>
      <name val="Calibri"/>
      <family val="2"/>
    </font>
    <font>
      <b/>
      <sz val="10"/>
      <name val="Geneva"/>
    </font>
    <font>
      <sz val="16"/>
      <name val="Arial"/>
      <family val="2"/>
      <charset val="1"/>
    </font>
    <font>
      <sz val="18"/>
      <color theme="1"/>
      <name val="Calibri"/>
      <family val="2"/>
      <scheme val="minor"/>
    </font>
    <font>
      <sz val="14"/>
      <name val="Arial"/>
      <family val="2"/>
    </font>
    <font>
      <sz val="10"/>
      <color theme="1"/>
      <name val="Arial"/>
      <family val="2"/>
      <charset val="1"/>
    </font>
    <font>
      <sz val="9"/>
      <color theme="1"/>
      <name val="Geneva"/>
      <family val="2"/>
      <charset val="1"/>
    </font>
    <font>
      <sz val="9"/>
      <color theme="1"/>
      <name val="Arial"/>
      <family val="2"/>
    </font>
    <font>
      <sz val="9"/>
      <color theme="1"/>
      <name val="Arial"/>
      <family val="2"/>
      <charset val="1"/>
    </font>
    <font>
      <b/>
      <sz val="10"/>
      <color indexed="8"/>
      <name val="Arial"/>
      <family val="2"/>
    </font>
    <font>
      <sz val="10"/>
      <color rgb="FF000000"/>
      <name val="Microsoft Sans Serif"/>
      <family val="2"/>
    </font>
    <font>
      <b/>
      <sz val="10"/>
      <color rgb="FF000000"/>
      <name val="Microsoft Sans Serif"/>
      <family val="2"/>
    </font>
    <font>
      <sz val="10"/>
      <color theme="1"/>
      <name val="Arial"/>
      <family val="2"/>
    </font>
    <font>
      <sz val="8.25"/>
      <color rgb="FF000000"/>
      <name val="Microsoft Sans Serif"/>
      <family val="2"/>
    </font>
    <font>
      <sz val="8"/>
      <color rgb="FF000000"/>
      <name val="Microsoft Sans Serif"/>
      <family val="2"/>
    </font>
    <font>
      <b/>
      <sz val="8"/>
      <color rgb="FF000000"/>
      <name val="Microsoft Sans Serif"/>
      <family val="2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7"/>
      </patternFill>
    </fill>
    <fill>
      <patternFill patternType="solid">
        <fgColor indexed="26"/>
        <bgColor indexed="47"/>
      </patternFill>
    </fill>
    <fill>
      <patternFill patternType="solid">
        <fgColor indexed="22"/>
        <bgColor indexed="47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6D6D6"/>
        <bgColor rgb="FFD6D6D6"/>
      </patternFill>
    </fill>
    <fill>
      <patternFill patternType="solid">
        <fgColor rgb="FFFFFF00"/>
        <bgColor rgb="FFD6D6D6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D6D6D6"/>
      </patternFill>
    </fill>
  </fills>
  <borders count="9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3"/>
      </left>
      <right/>
      <top/>
      <bottom/>
      <diagonal/>
    </border>
    <border>
      <left style="medium">
        <color indexed="63"/>
      </left>
      <right style="thin">
        <color indexed="63"/>
      </right>
      <top style="thin">
        <color indexed="8"/>
      </top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63"/>
      </left>
      <right/>
      <top style="hair">
        <color indexed="63"/>
      </top>
      <bottom style="hair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/>
      <top style="double">
        <color indexed="64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double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double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dashed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dashed">
        <color auto="1"/>
      </right>
      <top/>
      <bottom/>
      <diagonal/>
    </border>
    <border>
      <left/>
      <right style="dashed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hair">
        <color indexed="63"/>
      </left>
      <right style="hair">
        <color indexed="63"/>
      </right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indexed="64"/>
      </top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double">
        <color indexed="64"/>
      </left>
      <right style="thin">
        <color rgb="FF000000"/>
      </right>
      <top style="double">
        <color indexed="64"/>
      </top>
      <bottom style="thin">
        <color rgb="FF000000"/>
      </bottom>
      <diagonal/>
    </border>
    <border>
      <left style="double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indexed="64"/>
      </left>
      <right/>
      <top style="thin">
        <color indexed="64"/>
      </top>
      <bottom style="double">
        <color rgb="FF000000"/>
      </bottom>
      <diagonal/>
    </border>
    <border>
      <left style="double">
        <color indexed="64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</borders>
  <cellStyleXfs count="17">
    <xf numFmtId="0" fontId="0" fillId="0" borderId="0"/>
    <xf numFmtId="0" fontId="2" fillId="0" borderId="0" applyNumberFormat="0" applyFill="0" applyBorder="0" applyProtection="0"/>
    <xf numFmtId="0" fontId="2" fillId="0" borderId="0" applyNumberFormat="0" applyFill="0" applyBorder="0" applyProtection="0"/>
    <xf numFmtId="0" fontId="3" fillId="0" borderId="0" applyNumberFormat="0" applyFill="0" applyBorder="0" applyProtection="0"/>
    <xf numFmtId="0" fontId="2" fillId="0" borderId="0" applyNumberFormat="0" applyFill="0" applyBorder="0" applyProtection="0"/>
    <xf numFmtId="0" fontId="4" fillId="0" borderId="0"/>
    <xf numFmtId="0" fontId="30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6" fillId="0" borderId="0"/>
    <xf numFmtId="0" fontId="27" fillId="0" borderId="0" applyNumberFormat="0" applyFont="0" applyFill="0" applyBorder="0" applyAlignment="0" applyProtection="0"/>
    <xf numFmtId="0" fontId="23" fillId="0" borderId="0"/>
    <xf numFmtId="0" fontId="27" fillId="0" borderId="0"/>
    <xf numFmtId="0" fontId="1" fillId="0" borderId="0"/>
    <xf numFmtId="0" fontId="45" fillId="0" borderId="0"/>
  </cellStyleXfs>
  <cellXfs count="527">
    <xf numFmtId="0" fontId="0" fillId="0" borderId="0" xfId="0"/>
    <xf numFmtId="0" fontId="4" fillId="0" borderId="0" xfId="0" applyFont="1" applyAlignment="1">
      <alignment horizontal="left"/>
    </xf>
    <xf numFmtId="0" fontId="7" fillId="0" borderId="0" xfId="6" applyFont="1" applyAlignment="1">
      <alignment horizontal="left"/>
    </xf>
    <xf numFmtId="164" fontId="7" fillId="0" borderId="0" xfId="6" applyNumberFormat="1" applyFont="1" applyAlignment="1">
      <alignment horizontal="left"/>
    </xf>
    <xf numFmtId="0" fontId="8" fillId="0" borderId="0" xfId="6" applyFont="1" applyAlignment="1">
      <alignment horizontal="left"/>
    </xf>
    <xf numFmtId="0" fontId="4" fillId="0" borderId="0" xfId="9" applyFont="1" applyAlignment="1">
      <alignment horizontal="left"/>
    </xf>
    <xf numFmtId="164" fontId="8" fillId="0" borderId="0" xfId="6" applyNumberFormat="1" applyFont="1" applyAlignment="1">
      <alignment horizontal="left"/>
    </xf>
    <xf numFmtId="0" fontId="4" fillId="0" borderId="0" xfId="6" applyFont="1" applyAlignment="1">
      <alignment horizontal="left"/>
    </xf>
    <xf numFmtId="0" fontId="4" fillId="0" borderId="0" xfId="9" applyFont="1" applyBorder="1" applyAlignment="1">
      <alignment horizontal="left"/>
    </xf>
    <xf numFmtId="0" fontId="12" fillId="0" borderId="0" xfId="9" applyFont="1" applyBorder="1" applyAlignment="1">
      <alignment horizontal="left"/>
    </xf>
    <xf numFmtId="0" fontId="8" fillId="0" borderId="0" xfId="9" applyFont="1" applyAlignment="1">
      <alignment horizontal="left"/>
    </xf>
    <xf numFmtId="0" fontId="10" fillId="0" borderId="0" xfId="9" applyFont="1" applyAlignment="1">
      <alignment horizontal="left"/>
    </xf>
    <xf numFmtId="0" fontId="9" fillId="0" borderId="0" xfId="9" applyFont="1" applyFill="1" applyAlignment="1">
      <alignment horizontal="left"/>
    </xf>
    <xf numFmtId="0" fontId="8" fillId="2" borderId="1" xfId="9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49" fontId="13" fillId="2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8" fillId="0" borderId="1" xfId="9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" xfId="9" applyFont="1" applyFill="1" applyBorder="1" applyAlignment="1">
      <alignment horizontal="left" vertical="center" wrapText="1"/>
    </xf>
    <xf numFmtId="0" fontId="4" fillId="0" borderId="1" xfId="5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5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8" fillId="0" borderId="1" xfId="9" applyFont="1" applyBorder="1" applyAlignment="1">
      <alignment horizontal="left" vertical="center" wrapText="1"/>
    </xf>
    <xf numFmtId="0" fontId="4" fillId="0" borderId="1" xfId="0" applyFont="1" applyFill="1" applyBorder="1" applyAlignment="1" applyProtection="1">
      <alignment horizontal="left" vertical="center" wrapText="1"/>
      <protection locked="0"/>
    </xf>
    <xf numFmtId="49" fontId="4" fillId="0" borderId="1" xfId="0" applyNumberFormat="1" applyFont="1" applyFill="1" applyBorder="1" applyAlignment="1">
      <alignment horizontal="left" vertical="center" wrapText="1"/>
    </xf>
    <xf numFmtId="0" fontId="4" fillId="0" borderId="7" xfId="0" applyFont="1" applyFill="1" applyBorder="1" applyAlignment="1" applyProtection="1">
      <alignment horizontal="left" vertical="center" wrapText="1"/>
      <protection locked="0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9" applyFont="1" applyFill="1" applyBorder="1" applyAlignment="1">
      <alignment horizontal="center" vertical="center" wrapText="1"/>
    </xf>
    <xf numFmtId="0" fontId="4" fillId="0" borderId="1" xfId="9" applyFont="1" applyBorder="1" applyAlignment="1">
      <alignment horizontal="left" vertical="center" wrapText="1"/>
    </xf>
    <xf numFmtId="0" fontId="4" fillId="0" borderId="7" xfId="9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0" fontId="4" fillId="0" borderId="0" xfId="9" applyFont="1" applyBorder="1" applyAlignment="1">
      <alignment horizontal="left" vertical="center" wrapText="1"/>
    </xf>
    <xf numFmtId="0" fontId="4" fillId="0" borderId="0" xfId="9" applyFont="1" applyBorder="1" applyAlignment="1">
      <alignment horizontal="left" wrapText="1"/>
    </xf>
    <xf numFmtId="0" fontId="4" fillId="0" borderId="8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9" fillId="0" borderId="8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2" borderId="1" xfId="9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0" fontId="8" fillId="0" borderId="2" xfId="9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3" fillId="0" borderId="2" xfId="9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4" fillId="0" borderId="1" xfId="9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left" wrapText="1"/>
    </xf>
    <xf numFmtId="0" fontId="4" fillId="0" borderId="0" xfId="9" applyFont="1" applyBorder="1" applyAlignment="1">
      <alignment horizontal="left" vertical="center"/>
    </xf>
    <xf numFmtId="0" fontId="9" fillId="0" borderId="0" xfId="9" applyFont="1" applyFill="1" applyBorder="1" applyAlignment="1">
      <alignment horizontal="left"/>
    </xf>
    <xf numFmtId="0" fontId="9" fillId="2" borderId="1" xfId="9" applyFont="1" applyFill="1" applyBorder="1" applyAlignment="1">
      <alignment horizontal="left"/>
    </xf>
    <xf numFmtId="0" fontId="13" fillId="2" borderId="1" xfId="9" applyFont="1" applyFill="1" applyBorder="1" applyAlignment="1">
      <alignment horizontal="left"/>
    </xf>
    <xf numFmtId="0" fontId="16" fillId="0" borderId="1" xfId="9" applyFont="1" applyBorder="1" applyAlignment="1">
      <alignment horizontal="left" vertical="center" wrapText="1"/>
    </xf>
    <xf numFmtId="0" fontId="4" fillId="0" borderId="1" xfId="9" applyFont="1" applyBorder="1" applyAlignment="1">
      <alignment horizontal="left"/>
    </xf>
    <xf numFmtId="0" fontId="4" fillId="0" borderId="0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/>
    </xf>
    <xf numFmtId="0" fontId="8" fillId="0" borderId="0" xfId="9" applyFont="1" applyBorder="1" applyAlignment="1">
      <alignment horizontal="left" vertical="center" wrapText="1"/>
    </xf>
    <xf numFmtId="0" fontId="9" fillId="0" borderId="0" xfId="9" applyFont="1" applyBorder="1" applyAlignment="1">
      <alignment horizontal="left" vertical="center" wrapText="1"/>
    </xf>
    <xf numFmtId="0" fontId="8" fillId="0" borderId="0" xfId="9" applyFont="1" applyBorder="1" applyAlignment="1">
      <alignment horizontal="left" vertical="center"/>
    </xf>
    <xf numFmtId="0" fontId="8" fillId="0" borderId="0" xfId="9" applyFont="1" applyFill="1" applyBorder="1" applyAlignment="1">
      <alignment horizontal="left" vertical="center"/>
    </xf>
    <xf numFmtId="0" fontId="9" fillId="2" borderId="1" xfId="0" applyFont="1" applyFill="1" applyBorder="1" applyAlignment="1" applyProtection="1">
      <alignment horizontal="left"/>
    </xf>
    <xf numFmtId="0" fontId="13" fillId="2" borderId="1" xfId="0" applyFont="1" applyFill="1" applyBorder="1" applyAlignment="1" applyProtection="1">
      <alignment horizontal="left"/>
    </xf>
    <xf numFmtId="0" fontId="13" fillId="2" borderId="7" xfId="0" applyFont="1" applyFill="1" applyBorder="1" applyAlignment="1" applyProtection="1">
      <alignment horizontal="left"/>
    </xf>
    <xf numFmtId="0" fontId="4" fillId="0" borderId="5" xfId="0" applyFont="1" applyBorder="1" applyAlignment="1">
      <alignment horizontal="left" wrapText="1"/>
    </xf>
    <xf numFmtId="0" fontId="8" fillId="0" borderId="6" xfId="0" applyFont="1" applyBorder="1" applyAlignment="1">
      <alignment horizontal="left" vertical="center" wrapText="1"/>
    </xf>
    <xf numFmtId="0" fontId="4" fillId="0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2" fillId="0" borderId="7" xfId="1" applyNumberFormat="1" applyFont="1" applyFill="1" applyBorder="1" applyAlignment="1" applyProtection="1">
      <alignment horizontal="left" vertical="center" wrapText="1"/>
    </xf>
    <xf numFmtId="0" fontId="9" fillId="2" borderId="1" xfId="10" applyFont="1" applyFill="1" applyBorder="1" applyAlignment="1">
      <alignment horizontal="left"/>
    </xf>
    <xf numFmtId="0" fontId="8" fillId="2" borderId="1" xfId="10" applyFont="1" applyFill="1" applyBorder="1" applyAlignment="1">
      <alignment horizontal="left"/>
    </xf>
    <xf numFmtId="0" fontId="4" fillId="0" borderId="1" xfId="1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8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/>
    </xf>
    <xf numFmtId="49" fontId="9" fillId="2" borderId="1" xfId="0" applyNumberFormat="1" applyFont="1" applyFill="1" applyBorder="1" applyAlignment="1" applyProtection="1">
      <alignment horizontal="left"/>
    </xf>
    <xf numFmtId="49" fontId="13" fillId="2" borderId="1" xfId="0" applyNumberFormat="1" applyFont="1" applyFill="1" applyBorder="1" applyAlignment="1" applyProtection="1">
      <alignment horizontal="left"/>
    </xf>
    <xf numFmtId="0" fontId="10" fillId="2" borderId="1" xfId="0" applyFont="1" applyFill="1" applyBorder="1" applyAlignment="1" applyProtection="1">
      <alignment horizontal="left"/>
      <protection locked="0"/>
    </xf>
    <xf numFmtId="0" fontId="13" fillId="2" borderId="6" xfId="0" applyFont="1" applyFill="1" applyBorder="1" applyAlignment="1">
      <alignment horizontal="left"/>
    </xf>
    <xf numFmtId="49" fontId="20" fillId="0" borderId="1" xfId="0" applyNumberFormat="1" applyFont="1" applyFill="1" applyBorder="1" applyAlignment="1" applyProtection="1">
      <alignment horizontal="left" vertical="center" wrapText="1"/>
    </xf>
    <xf numFmtId="49" fontId="20" fillId="0" borderId="1" xfId="0" applyNumberFormat="1" applyFont="1" applyFill="1" applyBorder="1" applyAlignment="1" applyProtection="1">
      <alignment horizontal="left" wrapText="1"/>
    </xf>
    <xf numFmtId="0" fontId="4" fillId="0" borderId="0" xfId="0" applyFont="1" applyFill="1" applyBorder="1" applyAlignment="1">
      <alignment horizontal="left"/>
    </xf>
    <xf numFmtId="0" fontId="20" fillId="0" borderId="1" xfId="9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/>
    </xf>
    <xf numFmtId="0" fontId="8" fillId="0" borderId="0" xfId="0" applyFont="1"/>
    <xf numFmtId="0" fontId="0" fillId="2" borderId="1" xfId="0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2" fillId="0" borderId="1" xfId="3" applyNumberFormat="1" applyFont="1" applyFill="1" applyBorder="1" applyAlignment="1" applyProtection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2" borderId="1" xfId="0" applyFont="1" applyFill="1" applyBorder="1"/>
    <xf numFmtId="0" fontId="4" fillId="0" borderId="1" xfId="0" applyFont="1" applyFill="1" applyBorder="1" applyAlignment="1" applyProtection="1">
      <alignment horizontal="center"/>
      <protection locked="0"/>
    </xf>
    <xf numFmtId="0" fontId="22" fillId="3" borderId="11" xfId="0" applyFont="1" applyFill="1" applyBorder="1" applyAlignment="1">
      <alignment vertical="center"/>
    </xf>
    <xf numFmtId="0" fontId="0" fillId="0" borderId="12" xfId="0" applyFill="1" applyBorder="1"/>
    <xf numFmtId="0" fontId="17" fillId="4" borderId="12" xfId="0" applyFont="1" applyFill="1" applyBorder="1"/>
    <xf numFmtId="0" fontId="9" fillId="3" borderId="13" xfId="0" applyFont="1" applyFill="1" applyBorder="1" applyAlignment="1">
      <alignment horizontal="center" vertical="center"/>
    </xf>
    <xf numFmtId="0" fontId="13" fillId="0" borderId="14" xfId="9" applyFont="1" applyFill="1" applyBorder="1" applyAlignment="1">
      <alignment horizontal="center"/>
    </xf>
    <xf numFmtId="0" fontId="10" fillId="4" borderId="14" xfId="0" applyFont="1" applyFill="1" applyBorder="1" applyAlignment="1">
      <alignment horizontal="center"/>
    </xf>
    <xf numFmtId="0" fontId="17" fillId="3" borderId="15" xfId="0" applyFont="1" applyFill="1" applyBorder="1" applyAlignment="1">
      <alignment vertical="center"/>
    </xf>
    <xf numFmtId="0" fontId="0" fillId="0" borderId="12" xfId="0" applyBorder="1"/>
    <xf numFmtId="0" fontId="9" fillId="3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Fill="1" applyBorder="1"/>
    <xf numFmtId="0" fontId="13" fillId="0" borderId="1" xfId="9" applyFont="1" applyFill="1" applyBorder="1" applyAlignment="1">
      <alignment horizontal="center"/>
    </xf>
    <xf numFmtId="0" fontId="24" fillId="0" borderId="1" xfId="0" applyFont="1" applyBorder="1"/>
    <xf numFmtId="0" fontId="17" fillId="3" borderId="11" xfId="0" applyFont="1" applyFill="1" applyBorder="1" applyAlignment="1">
      <alignment vertical="center"/>
    </xf>
    <xf numFmtId="0" fontId="13" fillId="0" borderId="14" xfId="9" applyFont="1" applyBorder="1" applyAlignment="1">
      <alignment horizontal="center" vertical="center"/>
    </xf>
    <xf numFmtId="0" fontId="17" fillId="3" borderId="16" xfId="0" applyFont="1" applyFill="1" applyBorder="1" applyAlignment="1">
      <alignment vertical="center"/>
    </xf>
    <xf numFmtId="0" fontId="4" fillId="0" borderId="0" xfId="0" applyFont="1" applyAlignment="1" applyProtection="1">
      <protection locked="0"/>
    </xf>
    <xf numFmtId="0" fontId="8" fillId="0" borderId="0" xfId="0" applyFont="1" applyAlignment="1" applyProtection="1"/>
    <xf numFmtId="0" fontId="4" fillId="5" borderId="11" xfId="0" applyFont="1" applyFill="1" applyBorder="1" applyAlignment="1">
      <alignment vertical="center"/>
    </xf>
    <xf numFmtId="0" fontId="4" fillId="0" borderId="0" xfId="0" applyFont="1" applyProtection="1">
      <protection locked="0"/>
    </xf>
    <xf numFmtId="0" fontId="8" fillId="5" borderId="13" xfId="0" applyFont="1" applyFill="1" applyBorder="1" applyAlignment="1">
      <alignment horizontal="center" vertical="center"/>
    </xf>
    <xf numFmtId="0" fontId="8" fillId="0" borderId="0" xfId="0" applyFont="1" applyProtection="1"/>
    <xf numFmtId="0" fontId="23" fillId="3" borderId="16" xfId="0" applyFont="1" applyFill="1" applyBorder="1" applyAlignment="1">
      <alignment vertical="center"/>
    </xf>
    <xf numFmtId="0" fontId="4" fillId="5" borderId="16" xfId="0" applyFont="1" applyFill="1" applyBorder="1" applyAlignment="1">
      <alignment vertical="center"/>
    </xf>
    <xf numFmtId="0" fontId="25" fillId="3" borderId="11" xfId="0" applyFont="1" applyFill="1" applyBorder="1" applyAlignment="1">
      <alignment vertical="center"/>
    </xf>
    <xf numFmtId="0" fontId="25" fillId="0" borderId="12" xfId="0" applyFont="1" applyFill="1" applyBorder="1"/>
    <xf numFmtId="0" fontId="26" fillId="0" borderId="0" xfId="0" applyFont="1" applyAlignment="1">
      <alignment horizontal="right"/>
    </xf>
    <xf numFmtId="0" fontId="26" fillId="0" borderId="0" xfId="0" applyFont="1"/>
    <xf numFmtId="0" fontId="22" fillId="6" borderId="12" xfId="5" applyFont="1" applyFill="1" applyBorder="1"/>
    <xf numFmtId="0" fontId="29" fillId="0" borderId="12" xfId="5" applyFont="1" applyFill="1" applyBorder="1"/>
    <xf numFmtId="0" fontId="4" fillId="0" borderId="12" xfId="5" applyBorder="1"/>
    <xf numFmtId="0" fontId="4" fillId="0" borderId="0" xfId="5"/>
    <xf numFmtId="0" fontId="9" fillId="6" borderId="1" xfId="5" applyFont="1" applyFill="1" applyBorder="1"/>
    <xf numFmtId="0" fontId="8" fillId="0" borderId="1" xfId="5" applyFont="1" applyFill="1" applyBorder="1"/>
    <xf numFmtId="0" fontId="8" fillId="0" borderId="1" xfId="5" applyFont="1" applyBorder="1"/>
    <xf numFmtId="0" fontId="0" fillId="7" borderId="12" xfId="0" applyFill="1" applyBorder="1"/>
    <xf numFmtId="0" fontId="15" fillId="7" borderId="1" xfId="0" applyFont="1" applyFill="1" applyBorder="1"/>
    <xf numFmtId="0" fontId="14" fillId="0" borderId="0" xfId="0" applyFont="1"/>
    <xf numFmtId="0" fontId="0" fillId="0" borderId="0" xfId="0" applyFont="1"/>
    <xf numFmtId="0" fontId="23" fillId="0" borderId="0" xfId="0" applyFont="1"/>
    <xf numFmtId="14" fontId="0" fillId="0" borderId="12" xfId="0" applyNumberFormat="1" applyFill="1" applyBorder="1"/>
    <xf numFmtId="0" fontId="2" fillId="3" borderId="11" xfId="1" applyFill="1" applyBorder="1"/>
    <xf numFmtId="165" fontId="26" fillId="0" borderId="0" xfId="0" applyNumberFormat="1" applyFont="1" applyAlignment="1">
      <alignment horizontal="right"/>
    </xf>
    <xf numFmtId="0" fontId="17" fillId="3" borderId="0" xfId="0" applyFont="1" applyFill="1" applyBorder="1" applyAlignment="1">
      <alignment vertical="center"/>
    </xf>
    <xf numFmtId="0" fontId="9" fillId="3" borderId="18" xfId="0" applyFont="1" applyFill="1" applyBorder="1" applyAlignment="1">
      <alignment horizontal="center" vertical="center"/>
    </xf>
    <xf numFmtId="0" fontId="13" fillId="0" borderId="2" xfId="9" applyFont="1" applyFill="1" applyBorder="1" applyAlignment="1">
      <alignment horizontal="center" vertical="center"/>
    </xf>
    <xf numFmtId="0" fontId="13" fillId="0" borderId="2" xfId="9" applyFont="1" applyFill="1" applyBorder="1" applyAlignment="1">
      <alignment horizontal="center" vertical="center" wrapText="1"/>
    </xf>
    <xf numFmtId="0" fontId="13" fillId="0" borderId="14" xfId="9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 wrapText="1"/>
    </xf>
    <xf numFmtId="0" fontId="33" fillId="0" borderId="17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165" fontId="0" fillId="0" borderId="12" xfId="0" applyNumberFormat="1" applyFill="1" applyBorder="1" applyAlignment="1">
      <alignment horizontal="center" vertical="center"/>
    </xf>
    <xf numFmtId="0" fontId="0" fillId="0" borderId="17" xfId="6" applyFont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 wrapText="1"/>
    </xf>
    <xf numFmtId="0" fontId="34" fillId="0" borderId="17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26" fillId="0" borderId="0" xfId="0" applyFont="1" applyFill="1" applyAlignment="1">
      <alignment textRotation="90" wrapText="1"/>
    </xf>
    <xf numFmtId="165" fontId="28" fillId="0" borderId="0" xfId="0" applyNumberFormat="1" applyFont="1"/>
    <xf numFmtId="0" fontId="35" fillId="3" borderId="0" xfId="0" applyFont="1" applyFill="1" applyBorder="1" applyAlignment="1">
      <alignment vertical="center"/>
    </xf>
    <xf numFmtId="0" fontId="36" fillId="0" borderId="12" xfId="0" applyFont="1" applyFill="1" applyBorder="1"/>
    <xf numFmtId="0" fontId="35" fillId="4" borderId="12" xfId="0" applyFont="1" applyFill="1" applyBorder="1"/>
    <xf numFmtId="0" fontId="37" fillId="0" borderId="0" xfId="0" applyFont="1" applyAlignment="1">
      <alignment horizontal="right"/>
    </xf>
    <xf numFmtId="165" fontId="37" fillId="0" borderId="0" xfId="0" applyNumberFormat="1" applyFont="1" applyAlignment="1">
      <alignment horizontal="right"/>
    </xf>
    <xf numFmtId="0" fontId="37" fillId="0" borderId="0" xfId="0" applyFont="1"/>
    <xf numFmtId="0" fontId="27" fillId="0" borderId="0" xfId="12" applyNumberFormat="1" applyFont="1" applyFill="1" applyBorder="1" applyAlignment="1">
      <alignment horizontal="center"/>
    </xf>
    <xf numFmtId="0" fontId="23" fillId="0" borderId="0" xfId="13" applyAlignment="1">
      <alignment horizontal="center"/>
    </xf>
    <xf numFmtId="0" fontId="23" fillId="0" borderId="0" xfId="13"/>
    <xf numFmtId="14" fontId="27" fillId="0" borderId="0" xfId="12" applyNumberFormat="1" applyFont="1" applyFill="1" applyBorder="1" applyAlignment="1">
      <alignment horizontal="center"/>
    </xf>
    <xf numFmtId="0" fontId="23" fillId="0" borderId="0" xfId="13" applyBorder="1" applyAlignment="1">
      <alignment horizontal="center"/>
    </xf>
    <xf numFmtId="0" fontId="33" fillId="0" borderId="0" xfId="13" applyFont="1" applyBorder="1" applyAlignment="1">
      <alignment horizontal="center"/>
    </xf>
    <xf numFmtId="0" fontId="33" fillId="0" borderId="0" xfId="13" applyFont="1" applyFill="1" applyBorder="1" applyAlignment="1">
      <alignment horizontal="center"/>
    </xf>
    <xf numFmtId="0" fontId="27" fillId="0" borderId="0" xfId="14"/>
    <xf numFmtId="0" fontId="27" fillId="0" borderId="0" xfId="14" applyAlignment="1">
      <alignment horizontal="center"/>
    </xf>
    <xf numFmtId="0" fontId="23" fillId="0" borderId="17" xfId="13" applyBorder="1"/>
    <xf numFmtId="0" fontId="42" fillId="8" borderId="28" xfId="14" applyFont="1" applyFill="1" applyBorder="1" applyAlignment="1">
      <alignment horizontal="center"/>
    </xf>
    <xf numFmtId="0" fontId="42" fillId="8" borderId="29" xfId="14" applyFont="1" applyFill="1" applyBorder="1" applyAlignment="1">
      <alignment horizontal="center"/>
    </xf>
    <xf numFmtId="0" fontId="42" fillId="8" borderId="30" xfId="14" applyFont="1" applyFill="1" applyBorder="1" applyAlignment="1">
      <alignment horizontal="center"/>
    </xf>
    <xf numFmtId="0" fontId="42" fillId="8" borderId="31" xfId="14" applyFont="1" applyFill="1" applyBorder="1" applyAlignment="1">
      <alignment horizontal="center"/>
    </xf>
    <xf numFmtId="0" fontId="42" fillId="8" borderId="32" xfId="14" applyFont="1" applyFill="1" applyBorder="1" applyAlignment="1">
      <alignment horizontal="center"/>
    </xf>
    <xf numFmtId="0" fontId="42" fillId="8" borderId="33" xfId="14" applyFont="1" applyFill="1" applyBorder="1" applyAlignment="1">
      <alignment horizontal="center"/>
    </xf>
    <xf numFmtId="0" fontId="42" fillId="8" borderId="34" xfId="14" applyFont="1" applyFill="1" applyBorder="1" applyAlignment="1">
      <alignment horizontal="center"/>
    </xf>
    <xf numFmtId="0" fontId="42" fillId="8" borderId="35" xfId="14" applyFont="1" applyFill="1" applyBorder="1" applyAlignment="1">
      <alignment horizontal="center"/>
    </xf>
    <xf numFmtId="0" fontId="42" fillId="8" borderId="17" xfId="14" applyFont="1" applyFill="1" applyBorder="1" applyAlignment="1">
      <alignment horizontal="center"/>
    </xf>
    <xf numFmtId="0" fontId="42" fillId="10" borderId="17" xfId="14" applyFont="1" applyFill="1" applyBorder="1" applyAlignment="1">
      <alignment horizontal="center"/>
    </xf>
    <xf numFmtId="0" fontId="27" fillId="0" borderId="28" xfId="14" applyFont="1" applyBorder="1" applyAlignment="1">
      <alignment horizontal="center"/>
    </xf>
    <xf numFmtId="0" fontId="27" fillId="0" borderId="28" xfId="14" applyNumberFormat="1" applyBorder="1" applyAlignment="1">
      <alignment horizontal="center"/>
    </xf>
    <xf numFmtId="0" fontId="27" fillId="0" borderId="28" xfId="14" applyBorder="1" applyAlignment="1">
      <alignment horizontal="center"/>
    </xf>
    <xf numFmtId="0" fontId="27" fillId="0" borderId="22" xfId="14" applyBorder="1" applyAlignment="1">
      <alignment horizontal="center"/>
    </xf>
    <xf numFmtId="0" fontId="27" fillId="0" borderId="29" xfId="14" applyBorder="1" applyAlignment="1">
      <alignment horizontal="center"/>
    </xf>
    <xf numFmtId="0" fontId="27" fillId="0" borderId="17" xfId="14" applyBorder="1" applyAlignment="1">
      <alignment horizontal="center"/>
    </xf>
    <xf numFmtId="166" fontId="23" fillId="0" borderId="17" xfId="13" applyNumberFormat="1" applyBorder="1" applyAlignment="1">
      <alignment horizontal="center"/>
    </xf>
    <xf numFmtId="0" fontId="27" fillId="0" borderId="38" xfId="14" applyBorder="1" applyAlignment="1">
      <alignment horizontal="center"/>
    </xf>
    <xf numFmtId="0" fontId="42" fillId="0" borderId="0" xfId="14" applyFont="1"/>
    <xf numFmtId="0" fontId="27" fillId="0" borderId="0" xfId="14" applyFont="1"/>
    <xf numFmtId="0" fontId="27" fillId="0" borderId="38" xfId="14" applyFont="1" applyBorder="1" applyAlignment="1">
      <alignment horizontal="center"/>
    </xf>
    <xf numFmtId="0" fontId="27" fillId="0" borderId="38" xfId="14" applyNumberFormat="1" applyBorder="1" applyAlignment="1">
      <alignment horizontal="center"/>
    </xf>
    <xf numFmtId="0" fontId="27" fillId="0" borderId="40" xfId="14" applyBorder="1" applyAlignment="1">
      <alignment horizontal="center"/>
    </xf>
    <xf numFmtId="0" fontId="27" fillId="0" borderId="41" xfId="14" applyBorder="1" applyAlignment="1">
      <alignment horizontal="center"/>
    </xf>
    <xf numFmtId="0" fontId="27" fillId="0" borderId="20" xfId="14" applyBorder="1" applyAlignment="1">
      <alignment horizontal="center"/>
    </xf>
    <xf numFmtId="166" fontId="23" fillId="0" borderId="20" xfId="13" applyNumberFormat="1" applyBorder="1" applyAlignment="1">
      <alignment horizontal="center"/>
    </xf>
    <xf numFmtId="1" fontId="25" fillId="0" borderId="17" xfId="0" applyNumberFormat="1" applyFont="1" applyFill="1" applyBorder="1" applyAlignment="1">
      <alignment horizontal="center" wrapText="1"/>
    </xf>
    <xf numFmtId="1" fontId="25" fillId="0" borderId="20" xfId="0" applyNumberFormat="1" applyFont="1" applyFill="1" applyBorder="1" applyAlignment="1">
      <alignment horizontal="center" wrapText="1"/>
    </xf>
    <xf numFmtId="0" fontId="27" fillId="0" borderId="17" xfId="14" applyFont="1" applyBorder="1" applyAlignment="1">
      <alignment horizontal="center"/>
    </xf>
    <xf numFmtId="0" fontId="27" fillId="0" borderId="17" xfId="14" applyNumberFormat="1" applyBorder="1" applyAlignment="1">
      <alignment horizontal="center"/>
    </xf>
    <xf numFmtId="2" fontId="27" fillId="0" borderId="17" xfId="14" applyNumberFormat="1" applyBorder="1" applyAlignment="1">
      <alignment horizontal="center"/>
    </xf>
    <xf numFmtId="0" fontId="27" fillId="0" borderId="0" xfId="14" applyFont="1" applyBorder="1" applyAlignment="1">
      <alignment horizontal="center"/>
    </xf>
    <xf numFmtId="14" fontId="25" fillId="0" borderId="0" xfId="0" applyNumberFormat="1" applyFont="1" applyFill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27" fillId="12" borderId="28" xfId="14" applyFont="1" applyFill="1" applyBorder="1" applyAlignment="1">
      <alignment horizontal="center"/>
    </xf>
    <xf numFmtId="0" fontId="27" fillId="12" borderId="28" xfId="14" applyNumberFormat="1" applyFill="1" applyBorder="1" applyAlignment="1">
      <alignment horizontal="center"/>
    </xf>
    <xf numFmtId="0" fontId="27" fillId="12" borderId="28" xfId="14" applyFill="1" applyBorder="1" applyAlignment="1">
      <alignment horizontal="center"/>
    </xf>
    <xf numFmtId="0" fontId="27" fillId="12" borderId="22" xfId="14" applyFill="1" applyBorder="1" applyAlignment="1">
      <alignment horizontal="center"/>
    </xf>
    <xf numFmtId="0" fontId="27" fillId="12" borderId="29" xfId="14" applyFill="1" applyBorder="1" applyAlignment="1">
      <alignment horizontal="center"/>
    </xf>
    <xf numFmtId="1" fontId="25" fillId="12" borderId="17" xfId="0" applyNumberFormat="1" applyFont="1" applyFill="1" applyBorder="1" applyAlignment="1">
      <alignment horizontal="center" wrapText="1"/>
    </xf>
    <xf numFmtId="0" fontId="27" fillId="12" borderId="17" xfId="14" applyFill="1" applyBorder="1" applyAlignment="1">
      <alignment horizontal="center"/>
    </xf>
    <xf numFmtId="2" fontId="27" fillId="12" borderId="36" xfId="14" applyNumberFormat="1" applyFill="1" applyBorder="1" applyAlignment="1">
      <alignment horizontal="center"/>
    </xf>
    <xf numFmtId="2" fontId="27" fillId="12" borderId="28" xfId="14" applyNumberFormat="1" applyFill="1" applyBorder="1" applyAlignment="1">
      <alignment horizontal="center"/>
    </xf>
    <xf numFmtId="166" fontId="23" fillId="12" borderId="17" xfId="13" applyNumberFormat="1" applyFill="1" applyBorder="1" applyAlignment="1">
      <alignment horizontal="center"/>
    </xf>
    <xf numFmtId="0" fontId="27" fillId="12" borderId="44" xfId="14" applyFill="1" applyBorder="1" applyAlignment="1">
      <alignment horizontal="center"/>
    </xf>
    <xf numFmtId="0" fontId="27" fillId="12" borderId="43" xfId="14" applyFill="1" applyBorder="1" applyAlignment="1">
      <alignment horizontal="center"/>
    </xf>
    <xf numFmtId="2" fontId="27" fillId="12" borderId="45" xfId="14" applyNumberFormat="1" applyFill="1" applyBorder="1" applyAlignment="1">
      <alignment horizontal="center"/>
    </xf>
    <xf numFmtId="166" fontId="23" fillId="12" borderId="43" xfId="13" applyNumberFormat="1" applyFill="1" applyBorder="1" applyAlignment="1">
      <alignment horizontal="center"/>
    </xf>
    <xf numFmtId="0" fontId="27" fillId="12" borderId="38" xfId="14" applyFont="1" applyFill="1" applyBorder="1" applyAlignment="1">
      <alignment horizontal="center"/>
    </xf>
    <xf numFmtId="0" fontId="27" fillId="12" borderId="38" xfId="14" applyFill="1" applyBorder="1" applyAlignment="1">
      <alignment horizontal="center"/>
    </xf>
    <xf numFmtId="0" fontId="27" fillId="12" borderId="41" xfId="14" applyFill="1" applyBorder="1" applyAlignment="1">
      <alignment horizontal="center"/>
    </xf>
    <xf numFmtId="0" fontId="27" fillId="12" borderId="40" xfId="14" applyFill="1" applyBorder="1" applyAlignment="1">
      <alignment horizontal="center"/>
    </xf>
    <xf numFmtId="2" fontId="27" fillId="12" borderId="42" xfId="14" applyNumberFormat="1" applyFill="1" applyBorder="1" applyAlignment="1">
      <alignment horizontal="center"/>
    </xf>
    <xf numFmtId="2" fontId="27" fillId="12" borderId="38" xfId="14" applyNumberFormat="1" applyFill="1" applyBorder="1" applyAlignment="1">
      <alignment horizontal="center"/>
    </xf>
    <xf numFmtId="166" fontId="23" fillId="12" borderId="20" xfId="13" applyNumberFormat="1" applyFill="1" applyBorder="1" applyAlignment="1">
      <alignment horizontal="center"/>
    </xf>
    <xf numFmtId="0" fontId="27" fillId="12" borderId="31" xfId="14" applyFill="1" applyBorder="1" applyAlignment="1">
      <alignment horizontal="center"/>
    </xf>
    <xf numFmtId="0" fontId="27" fillId="12" borderId="22" xfId="14" applyFont="1" applyFill="1" applyBorder="1" applyAlignment="1">
      <alignment horizontal="center"/>
    </xf>
    <xf numFmtId="0" fontId="27" fillId="12" borderId="36" xfId="14" applyFill="1" applyBorder="1" applyAlignment="1">
      <alignment horizontal="center"/>
    </xf>
    <xf numFmtId="0" fontId="27" fillId="12" borderId="23" xfId="14" applyFill="1" applyBorder="1" applyAlignment="1">
      <alignment horizontal="center"/>
    </xf>
    <xf numFmtId="0" fontId="27" fillId="12" borderId="31" xfId="14" applyFont="1" applyFill="1" applyBorder="1" applyAlignment="1">
      <alignment horizontal="center"/>
    </xf>
    <xf numFmtId="0" fontId="27" fillId="12" borderId="31" xfId="14" applyNumberFormat="1" applyFill="1" applyBorder="1" applyAlignment="1">
      <alignment horizontal="center"/>
    </xf>
    <xf numFmtId="0" fontId="27" fillId="12" borderId="37" xfId="14" applyFont="1" applyFill="1" applyBorder="1" applyAlignment="1">
      <alignment horizontal="center"/>
    </xf>
    <xf numFmtId="0" fontId="27" fillId="12" borderId="33" xfId="14" applyFill="1" applyBorder="1" applyAlignment="1">
      <alignment horizontal="center"/>
    </xf>
    <xf numFmtId="0" fontId="27" fillId="12" borderId="32" xfId="14" applyFill="1" applyBorder="1" applyAlignment="1">
      <alignment horizontal="center"/>
    </xf>
    <xf numFmtId="0" fontId="27" fillId="12" borderId="51" xfId="14" applyFill="1" applyBorder="1" applyAlignment="1">
      <alignment horizontal="center"/>
    </xf>
    <xf numFmtId="2" fontId="27" fillId="12" borderId="33" xfId="14" applyNumberFormat="1" applyFill="1" applyBorder="1" applyAlignment="1">
      <alignment horizontal="center"/>
    </xf>
    <xf numFmtId="166" fontId="23" fillId="12" borderId="21" xfId="13" applyNumberFormat="1" applyFill="1" applyBorder="1" applyAlignment="1">
      <alignment horizontal="center"/>
    </xf>
    <xf numFmtId="0" fontId="27" fillId="12" borderId="43" xfId="14" applyFont="1" applyFill="1" applyBorder="1" applyAlignment="1">
      <alignment horizontal="center"/>
    </xf>
    <xf numFmtId="0" fontId="27" fillId="12" borderId="43" xfId="14" applyNumberFormat="1" applyFill="1" applyBorder="1" applyAlignment="1">
      <alignment horizontal="center"/>
    </xf>
    <xf numFmtId="0" fontId="27" fillId="12" borderId="53" xfId="14" applyFill="1" applyBorder="1" applyAlignment="1">
      <alignment horizontal="center"/>
    </xf>
    <xf numFmtId="2" fontId="27" fillId="12" borderId="43" xfId="14" applyNumberFormat="1" applyFill="1" applyBorder="1" applyAlignment="1">
      <alignment horizontal="center"/>
    </xf>
    <xf numFmtId="0" fontId="27" fillId="0" borderId="20" xfId="14" applyFont="1" applyBorder="1" applyAlignment="1">
      <alignment horizontal="center"/>
    </xf>
    <xf numFmtId="0" fontId="27" fillId="0" borderId="20" xfId="14" applyNumberFormat="1" applyBorder="1" applyAlignment="1">
      <alignment horizontal="center"/>
    </xf>
    <xf numFmtId="2" fontId="27" fillId="0" borderId="20" xfId="14" applyNumberFormat="1" applyBorder="1" applyAlignment="1">
      <alignment horizontal="center"/>
    </xf>
    <xf numFmtId="0" fontId="27" fillId="12" borderId="38" xfId="14" applyNumberFormat="1" applyFill="1" applyBorder="1" applyAlignment="1">
      <alignment horizontal="center"/>
    </xf>
    <xf numFmtId="1" fontId="25" fillId="12" borderId="20" xfId="0" applyNumberFormat="1" applyFont="1" applyFill="1" applyBorder="1" applyAlignment="1">
      <alignment horizontal="center" wrapText="1"/>
    </xf>
    <xf numFmtId="2" fontId="27" fillId="12" borderId="54" xfId="14" applyNumberFormat="1" applyFill="1" applyBorder="1" applyAlignment="1">
      <alignment horizontal="center"/>
    </xf>
    <xf numFmtId="2" fontId="27" fillId="12" borderId="55" xfId="14" applyNumberFormat="1" applyFill="1" applyBorder="1" applyAlignment="1">
      <alignment horizontal="center"/>
    </xf>
    <xf numFmtId="0" fontId="25" fillId="0" borderId="20" xfId="0" applyFont="1" applyFill="1" applyBorder="1" applyAlignment="1">
      <alignment horizontal="center" wrapText="1"/>
    </xf>
    <xf numFmtId="166" fontId="23" fillId="11" borderId="20" xfId="13" applyNumberFormat="1" applyFill="1" applyBorder="1" applyAlignment="1">
      <alignment horizontal="center"/>
    </xf>
    <xf numFmtId="166" fontId="23" fillId="11" borderId="17" xfId="13" applyNumberFormat="1" applyFill="1" applyBorder="1" applyAlignment="1">
      <alignment horizontal="center"/>
    </xf>
    <xf numFmtId="14" fontId="0" fillId="0" borderId="0" xfId="0" applyNumberFormat="1" applyFill="1"/>
    <xf numFmtId="167" fontId="0" fillId="0" borderId="0" xfId="0" applyNumberFormat="1"/>
    <xf numFmtId="0" fontId="39" fillId="8" borderId="17" xfId="13" applyFont="1" applyFill="1" applyBorder="1" applyAlignment="1">
      <alignment horizontal="center" vertical="center"/>
    </xf>
    <xf numFmtId="0" fontId="27" fillId="0" borderId="17" xfId="14" applyFont="1" applyBorder="1" applyAlignment="1">
      <alignment horizontal="center" vertical="center"/>
    </xf>
    <xf numFmtId="0" fontId="42" fillId="0" borderId="17" xfId="14" applyFont="1" applyBorder="1" applyAlignment="1">
      <alignment horizontal="center" vertical="center"/>
    </xf>
    <xf numFmtId="14" fontId="39" fillId="9" borderId="17" xfId="13" applyNumberFormat="1" applyFont="1" applyFill="1" applyBorder="1" applyAlignment="1">
      <alignment horizontal="center" vertical="center"/>
    </xf>
    <xf numFmtId="0" fontId="0" fillId="0" borderId="56" xfId="0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27" fillId="0" borderId="0" xfId="0" applyFont="1" applyAlignment="1" applyProtection="1">
      <protection locked="0"/>
    </xf>
    <xf numFmtId="2" fontId="27" fillId="0" borderId="0" xfId="0" applyNumberFormat="1" applyFont="1" applyAlignment="1" applyProtection="1">
      <protection locked="0"/>
    </xf>
    <xf numFmtId="0" fontId="26" fillId="0" borderId="0" xfId="0" applyFont="1" applyFill="1" applyAlignment="1">
      <alignment textRotation="90"/>
    </xf>
    <xf numFmtId="0" fontId="25" fillId="0" borderId="17" xfId="0" applyFont="1" applyFill="1" applyBorder="1" applyAlignment="1">
      <alignment horizontal="center" wrapText="1"/>
    </xf>
    <xf numFmtId="0" fontId="25" fillId="12" borderId="43" xfId="0" applyFont="1" applyFill="1" applyBorder="1" applyAlignment="1">
      <alignment horizontal="center" wrapText="1"/>
    </xf>
    <xf numFmtId="0" fontId="25" fillId="12" borderId="17" xfId="0" applyFont="1" applyFill="1" applyBorder="1" applyAlignment="1">
      <alignment horizontal="center" wrapText="1"/>
    </xf>
    <xf numFmtId="0" fontId="25" fillId="12" borderId="21" xfId="0" applyFont="1" applyFill="1" applyBorder="1" applyAlignment="1">
      <alignment horizontal="center" wrapText="1"/>
    </xf>
    <xf numFmtId="167" fontId="25" fillId="0" borderId="17" xfId="0" applyNumberFormat="1" applyFont="1" applyFill="1" applyBorder="1" applyAlignment="1">
      <alignment horizontal="center" wrapText="1"/>
    </xf>
    <xf numFmtId="1" fontId="25" fillId="12" borderId="43" xfId="0" applyNumberFormat="1" applyFont="1" applyFill="1" applyBorder="1" applyAlignment="1">
      <alignment horizontal="center" wrapText="1"/>
    </xf>
    <xf numFmtId="0" fontId="17" fillId="3" borderId="16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" fontId="44" fillId="0" borderId="0" xfId="0" applyNumberFormat="1" applyFont="1" applyAlignment="1">
      <alignment horizontal="center"/>
    </xf>
    <xf numFmtId="0" fontId="4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27" fillId="0" borderId="0" xfId="0" applyFont="1" applyAlignment="1" applyProtection="1">
      <alignment horizontal="center"/>
      <protection locked="0"/>
    </xf>
    <xf numFmtId="0" fontId="36" fillId="0" borderId="0" xfId="0" applyFont="1" applyAlignment="1">
      <alignment horizontal="center"/>
    </xf>
    <xf numFmtId="0" fontId="0" fillId="0" borderId="12" xfId="0" applyFill="1" applyBorder="1" applyAlignment="1">
      <alignment horizontal="center"/>
    </xf>
    <xf numFmtId="0" fontId="50" fillId="3" borderId="0" xfId="0" applyFont="1" applyFill="1" applyBorder="1" applyAlignment="1">
      <alignment vertical="center"/>
    </xf>
    <xf numFmtId="0" fontId="51" fillId="0" borderId="12" xfId="0" applyFont="1" applyFill="1" applyBorder="1"/>
    <xf numFmtId="0" fontId="51" fillId="0" borderId="0" xfId="0" applyFont="1" applyFill="1" applyBorder="1"/>
    <xf numFmtId="0" fontId="50" fillId="4" borderId="12" xfId="0" applyFont="1" applyFill="1" applyBorder="1"/>
    <xf numFmtId="0" fontId="51" fillId="0" borderId="0" xfId="0" applyFont="1" applyAlignment="1">
      <alignment horizontal="center"/>
    </xf>
    <xf numFmtId="165" fontId="52" fillId="0" borderId="0" xfId="0" applyNumberFormat="1" applyFont="1"/>
    <xf numFmtId="0" fontId="53" fillId="0" borderId="0" xfId="0" applyFont="1" applyAlignment="1">
      <alignment horizontal="right"/>
    </xf>
    <xf numFmtId="165" fontId="53" fillId="0" borderId="0" xfId="0" applyNumberFormat="1" applyFont="1" applyAlignment="1">
      <alignment horizontal="right"/>
    </xf>
    <xf numFmtId="0" fontId="53" fillId="0" borderId="0" xfId="0" applyFont="1"/>
    <xf numFmtId="0" fontId="52" fillId="0" borderId="0" xfId="0" applyFont="1" applyBorder="1"/>
    <xf numFmtId="0" fontId="52" fillId="0" borderId="0" xfId="0" applyFont="1" applyAlignment="1">
      <alignment horizontal="right"/>
    </xf>
    <xf numFmtId="0" fontId="52" fillId="0" borderId="0" xfId="0" applyFont="1"/>
    <xf numFmtId="0" fontId="52" fillId="0" borderId="12" xfId="0" applyFont="1" applyBorder="1"/>
    <xf numFmtId="0" fontId="54" fillId="3" borderId="17" xfId="0" applyFont="1" applyFill="1" applyBorder="1" applyAlignment="1">
      <alignment horizontal="center" vertical="center"/>
    </xf>
    <xf numFmtId="0" fontId="51" fillId="0" borderId="57" xfId="0" applyFont="1" applyFill="1" applyBorder="1"/>
    <xf numFmtId="14" fontId="0" fillId="0" borderId="0" xfId="0" applyNumberFormat="1"/>
    <xf numFmtId="0" fontId="55" fillId="13" borderId="59" xfId="6" applyFont="1" applyFill="1" applyBorder="1" applyAlignment="1">
      <alignment horizontal="center" vertical="center"/>
    </xf>
    <xf numFmtId="0" fontId="55" fillId="13" borderId="64" xfId="6" applyFont="1" applyFill="1" applyBorder="1" applyAlignment="1">
      <alignment horizontal="center" vertical="center"/>
    </xf>
    <xf numFmtId="0" fontId="55" fillId="13" borderId="65" xfId="6" applyFont="1" applyFill="1" applyBorder="1" applyAlignment="1">
      <alignment horizontal="center" vertical="center"/>
    </xf>
    <xf numFmtId="0" fontId="55" fillId="0" borderId="0" xfId="6" applyFont="1" applyBorder="1" applyAlignment="1">
      <alignment horizontal="left" vertical="top"/>
    </xf>
    <xf numFmtId="0" fontId="55" fillId="0" borderId="0" xfId="6" applyFont="1" applyAlignment="1">
      <alignment horizontal="center" vertical="center"/>
    </xf>
    <xf numFmtId="0" fontId="55" fillId="13" borderId="62" xfId="6" applyFont="1" applyFill="1" applyBorder="1" applyAlignment="1">
      <alignment horizontal="center" vertical="center"/>
    </xf>
    <xf numFmtId="0" fontId="27" fillId="0" borderId="0" xfId="0" applyFont="1" applyAlignment="1">
      <alignment horizontal="center"/>
    </xf>
    <xf numFmtId="14" fontId="39" fillId="9" borderId="70" xfId="13" applyNumberFormat="1" applyFont="1" applyFill="1" applyBorder="1" applyAlignment="1">
      <alignment vertical="center"/>
    </xf>
    <xf numFmtId="0" fontId="27" fillId="0" borderId="70" xfId="0" applyFont="1" applyBorder="1" applyAlignment="1">
      <alignment horizontal="center"/>
    </xf>
    <xf numFmtId="14" fontId="57" fillId="0" borderId="17" xfId="13" applyNumberFormat="1" applyFont="1" applyBorder="1" applyAlignment="1">
      <alignment horizontal="center" vertical="center"/>
    </xf>
    <xf numFmtId="0" fontId="57" fillId="0" borderId="17" xfId="13" applyFont="1" applyBorder="1" applyAlignment="1">
      <alignment horizontal="center" vertical="center"/>
    </xf>
    <xf numFmtId="14" fontId="57" fillId="0" borderId="70" xfId="13" applyNumberFormat="1" applyFont="1" applyBorder="1" applyAlignment="1">
      <alignment vertical="center"/>
    </xf>
    <xf numFmtId="0" fontId="27" fillId="0" borderId="17" xfId="13" applyFont="1" applyBorder="1" applyAlignment="1">
      <alignment horizontal="center" vertical="center"/>
    </xf>
    <xf numFmtId="14" fontId="57" fillId="0" borderId="20" xfId="13" applyNumberFormat="1" applyFont="1" applyBorder="1" applyAlignment="1">
      <alignment vertical="center"/>
    </xf>
    <xf numFmtId="16" fontId="0" fillId="0" borderId="70" xfId="0" applyNumberFormat="1" applyBorder="1" applyAlignment="1">
      <alignment horizontal="center"/>
    </xf>
    <xf numFmtId="3" fontId="27" fillId="0" borderId="17" xfId="14" applyNumberFormat="1" applyFont="1" applyBorder="1" applyAlignment="1">
      <alignment horizontal="center" vertical="center"/>
    </xf>
    <xf numFmtId="0" fontId="59" fillId="0" borderId="59" xfId="16" applyFont="1" applyBorder="1" applyAlignment="1">
      <alignment horizontal="center" vertical="center"/>
    </xf>
    <xf numFmtId="0" fontId="59" fillId="0" borderId="65" xfId="16" applyFont="1" applyBorder="1" applyAlignment="1">
      <alignment horizontal="center" vertical="center"/>
    </xf>
    <xf numFmtId="0" fontId="59" fillId="0" borderId="62" xfId="16" applyFont="1" applyBorder="1" applyAlignment="1">
      <alignment horizontal="center" vertical="center"/>
    </xf>
    <xf numFmtId="0" fontId="59" fillId="0" borderId="64" xfId="16" applyFont="1" applyBorder="1" applyAlignment="1">
      <alignment horizontal="center" vertical="center"/>
    </xf>
    <xf numFmtId="0" fontId="55" fillId="11" borderId="65" xfId="6" applyFont="1" applyFill="1" applyBorder="1" applyAlignment="1">
      <alignment horizontal="center" vertical="center"/>
    </xf>
    <xf numFmtId="0" fontId="55" fillId="11" borderId="66" xfId="6" applyFont="1" applyFill="1" applyBorder="1" applyAlignment="1">
      <alignment horizontal="center" vertical="center"/>
    </xf>
    <xf numFmtId="0" fontId="55" fillId="14" borderId="65" xfId="6" applyFont="1" applyFill="1" applyBorder="1" applyAlignment="1">
      <alignment horizontal="center" vertical="center"/>
    </xf>
    <xf numFmtId="0" fontId="55" fillId="11" borderId="62" xfId="6" applyFont="1" applyFill="1" applyBorder="1" applyAlignment="1">
      <alignment horizontal="center" vertical="center"/>
    </xf>
    <xf numFmtId="0" fontId="55" fillId="11" borderId="63" xfId="6" applyFont="1" applyFill="1" applyBorder="1" applyAlignment="1">
      <alignment horizontal="center" vertical="center"/>
    </xf>
    <xf numFmtId="0" fontId="55" fillId="14" borderId="64" xfId="6" applyFont="1" applyFill="1" applyBorder="1" applyAlignment="1">
      <alignment horizontal="center" vertical="center"/>
    </xf>
    <xf numFmtId="0" fontId="56" fillId="11" borderId="66" xfId="6" applyFont="1" applyFill="1" applyBorder="1" applyAlignment="1">
      <alignment horizontal="center" vertical="center"/>
    </xf>
    <xf numFmtId="0" fontId="56" fillId="11" borderId="63" xfId="6" applyFont="1" applyFill="1" applyBorder="1" applyAlignment="1">
      <alignment horizontal="center" vertical="center"/>
    </xf>
    <xf numFmtId="0" fontId="55" fillId="11" borderId="64" xfId="6" applyFont="1" applyFill="1" applyBorder="1" applyAlignment="1">
      <alignment horizontal="center" vertical="center"/>
    </xf>
    <xf numFmtId="0" fontId="55" fillId="11" borderId="67" xfId="6" applyFont="1" applyFill="1" applyBorder="1" applyAlignment="1">
      <alignment horizontal="center" vertical="center"/>
    </xf>
    <xf numFmtId="0" fontId="56" fillId="11" borderId="67" xfId="6" applyFont="1" applyFill="1" applyBorder="1" applyAlignment="1">
      <alignment horizontal="center" vertical="center"/>
    </xf>
    <xf numFmtId="0" fontId="55" fillId="11" borderId="59" xfId="6" applyFont="1" applyFill="1" applyBorder="1" applyAlignment="1">
      <alignment horizontal="center" vertical="center"/>
    </xf>
    <xf numFmtId="0" fontId="55" fillId="11" borderId="60" xfId="6" applyFont="1" applyFill="1" applyBorder="1" applyAlignment="1">
      <alignment horizontal="center" vertical="center"/>
    </xf>
    <xf numFmtId="0" fontId="56" fillId="11" borderId="60" xfId="6" applyFont="1" applyFill="1" applyBorder="1" applyAlignment="1">
      <alignment horizontal="center" vertical="center"/>
    </xf>
    <xf numFmtId="0" fontId="55" fillId="14" borderId="59" xfId="6" applyFont="1" applyFill="1" applyBorder="1" applyAlignment="1">
      <alignment horizontal="center" vertical="center"/>
    </xf>
    <xf numFmtId="0" fontId="55" fillId="15" borderId="59" xfId="6" applyFont="1" applyFill="1" applyBorder="1" applyAlignment="1">
      <alignment horizontal="center" vertical="center"/>
    </xf>
    <xf numFmtId="0" fontId="55" fillId="15" borderId="60" xfId="6" applyFont="1" applyFill="1" applyBorder="1" applyAlignment="1">
      <alignment horizontal="center" vertical="center"/>
    </xf>
    <xf numFmtId="0" fontId="55" fillId="16" borderId="59" xfId="6" applyFont="1" applyFill="1" applyBorder="1" applyAlignment="1">
      <alignment horizontal="center" vertical="center"/>
    </xf>
    <xf numFmtId="0" fontId="56" fillId="15" borderId="60" xfId="6" applyFont="1" applyFill="1" applyBorder="1" applyAlignment="1">
      <alignment horizontal="center" vertical="center"/>
    </xf>
    <xf numFmtId="0" fontId="55" fillId="15" borderId="62" xfId="6" applyFont="1" applyFill="1" applyBorder="1" applyAlignment="1">
      <alignment horizontal="center" vertical="center"/>
    </xf>
    <xf numFmtId="0" fontId="55" fillId="15" borderId="63" xfId="6" applyFont="1" applyFill="1" applyBorder="1" applyAlignment="1">
      <alignment horizontal="center" vertical="center"/>
    </xf>
    <xf numFmtId="0" fontId="55" fillId="16" borderId="64" xfId="6" applyFont="1" applyFill="1" applyBorder="1" applyAlignment="1">
      <alignment horizontal="center" vertical="center"/>
    </xf>
    <xf numFmtId="0" fontId="56" fillId="15" borderId="63" xfId="6" applyFont="1" applyFill="1" applyBorder="1" applyAlignment="1">
      <alignment horizontal="center" vertical="center"/>
    </xf>
    <xf numFmtId="0" fontId="55" fillId="15" borderId="65" xfId="6" applyFont="1" applyFill="1" applyBorder="1" applyAlignment="1">
      <alignment horizontal="center" vertical="center"/>
    </xf>
    <xf numFmtId="0" fontId="55" fillId="15" borderId="66" xfId="6" applyFont="1" applyFill="1" applyBorder="1" applyAlignment="1">
      <alignment horizontal="center" vertical="center"/>
    </xf>
    <xf numFmtId="0" fontId="56" fillId="15" borderId="65" xfId="6" applyFont="1" applyFill="1" applyBorder="1" applyAlignment="1">
      <alignment horizontal="center" vertical="center"/>
    </xf>
    <xf numFmtId="0" fontId="56" fillId="15" borderId="66" xfId="6" applyFont="1" applyFill="1" applyBorder="1" applyAlignment="1">
      <alignment horizontal="center" vertical="center"/>
    </xf>
    <xf numFmtId="0" fontId="56" fillId="15" borderId="62" xfId="6" applyFont="1" applyFill="1" applyBorder="1" applyAlignment="1">
      <alignment horizontal="center" vertical="center"/>
    </xf>
    <xf numFmtId="0" fontId="55" fillId="15" borderId="64" xfId="6" applyFont="1" applyFill="1" applyBorder="1" applyAlignment="1">
      <alignment horizontal="center" vertical="center"/>
    </xf>
    <xf numFmtId="0" fontId="55" fillId="16" borderId="65" xfId="6" applyFont="1" applyFill="1" applyBorder="1" applyAlignment="1">
      <alignment horizontal="center" vertical="center"/>
    </xf>
    <xf numFmtId="0" fontId="55" fillId="15" borderId="67" xfId="6" applyFont="1" applyFill="1" applyBorder="1" applyAlignment="1">
      <alignment horizontal="center" vertical="center"/>
    </xf>
    <xf numFmtId="0" fontId="56" fillId="15" borderId="67" xfId="6" applyFont="1" applyFill="1" applyBorder="1" applyAlignment="1">
      <alignment horizontal="center" vertical="center"/>
    </xf>
    <xf numFmtId="0" fontId="59" fillId="15" borderId="59" xfId="16" applyFont="1" applyFill="1" applyBorder="1" applyAlignment="1">
      <alignment horizontal="center" vertical="center"/>
    </xf>
    <xf numFmtId="0" fontId="59" fillId="15" borderId="60" xfId="16" applyFont="1" applyFill="1" applyBorder="1" applyAlignment="1">
      <alignment horizontal="center" vertical="center"/>
    </xf>
    <xf numFmtId="0" fontId="60" fillId="15" borderId="60" xfId="16" applyFont="1" applyFill="1" applyBorder="1" applyAlignment="1">
      <alignment horizontal="center" vertical="center"/>
    </xf>
    <xf numFmtId="0" fontId="59" fillId="15" borderId="65" xfId="16" applyFont="1" applyFill="1" applyBorder="1" applyAlignment="1">
      <alignment horizontal="center" vertical="center"/>
    </xf>
    <xf numFmtId="0" fontId="59" fillId="15" borderId="66" xfId="16" applyFont="1" applyFill="1" applyBorder="1" applyAlignment="1">
      <alignment horizontal="center" vertical="center"/>
    </xf>
    <xf numFmtId="0" fontId="60" fillId="15" borderId="66" xfId="16" applyFont="1" applyFill="1" applyBorder="1" applyAlignment="1">
      <alignment horizontal="center" vertical="center"/>
    </xf>
    <xf numFmtId="0" fontId="59" fillId="15" borderId="62" xfId="16" applyFont="1" applyFill="1" applyBorder="1" applyAlignment="1">
      <alignment horizontal="center" vertical="center"/>
    </xf>
    <xf numFmtId="0" fontId="59" fillId="15" borderId="63" xfId="16" applyFont="1" applyFill="1" applyBorder="1" applyAlignment="1">
      <alignment horizontal="center" vertical="center"/>
    </xf>
    <xf numFmtId="0" fontId="59" fillId="15" borderId="64" xfId="16" applyFont="1" applyFill="1" applyBorder="1" applyAlignment="1">
      <alignment horizontal="center" vertical="center"/>
    </xf>
    <xf numFmtId="0" fontId="60" fillId="15" borderId="63" xfId="16" applyFont="1" applyFill="1" applyBorder="1" applyAlignment="1">
      <alignment horizontal="center" vertical="center"/>
    </xf>
    <xf numFmtId="0" fontId="60" fillId="15" borderId="65" xfId="16" applyFont="1" applyFill="1" applyBorder="1" applyAlignment="1">
      <alignment horizontal="center" vertical="center"/>
    </xf>
    <xf numFmtId="0" fontId="60" fillId="15" borderId="62" xfId="16" applyFont="1" applyFill="1" applyBorder="1" applyAlignment="1">
      <alignment horizontal="center" vertical="center"/>
    </xf>
    <xf numFmtId="0" fontId="59" fillId="15" borderId="67" xfId="16" applyFont="1" applyFill="1" applyBorder="1" applyAlignment="1">
      <alignment horizontal="center" vertical="center"/>
    </xf>
    <xf numFmtId="0" fontId="60" fillId="15" borderId="67" xfId="16" applyFont="1" applyFill="1" applyBorder="1" applyAlignment="1">
      <alignment horizontal="center" vertical="center"/>
    </xf>
    <xf numFmtId="0" fontId="59" fillId="11" borderId="59" xfId="16" applyFont="1" applyFill="1" applyBorder="1" applyAlignment="1">
      <alignment horizontal="center" vertical="center"/>
    </xf>
    <xf numFmtId="0" fontId="59" fillId="11" borderId="60" xfId="16" applyFont="1" applyFill="1" applyBorder="1" applyAlignment="1">
      <alignment horizontal="center" vertical="center"/>
    </xf>
    <xf numFmtId="0" fontId="60" fillId="11" borderId="60" xfId="16" applyFont="1" applyFill="1" applyBorder="1" applyAlignment="1">
      <alignment horizontal="center" vertical="center"/>
    </xf>
    <xf numFmtId="0" fontId="59" fillId="11" borderId="65" xfId="16" applyFont="1" applyFill="1" applyBorder="1" applyAlignment="1">
      <alignment horizontal="center" vertical="center"/>
    </xf>
    <xf numFmtId="0" fontId="59" fillId="11" borderId="66" xfId="16" applyFont="1" applyFill="1" applyBorder="1" applyAlignment="1">
      <alignment horizontal="center" vertical="center"/>
    </xf>
    <xf numFmtId="0" fontId="60" fillId="11" borderId="66" xfId="16" applyFont="1" applyFill="1" applyBorder="1" applyAlignment="1">
      <alignment horizontal="center" vertical="center"/>
    </xf>
    <xf numFmtId="0" fontId="59" fillId="11" borderId="62" xfId="16" applyFont="1" applyFill="1" applyBorder="1" applyAlignment="1">
      <alignment horizontal="center" vertical="center"/>
    </xf>
    <xf numFmtId="0" fontId="59" fillId="11" borderId="63" xfId="16" applyFont="1" applyFill="1" applyBorder="1" applyAlignment="1">
      <alignment horizontal="center" vertical="center"/>
    </xf>
    <xf numFmtId="0" fontId="60" fillId="11" borderId="63" xfId="16" applyFont="1" applyFill="1" applyBorder="1" applyAlignment="1">
      <alignment horizontal="center" vertical="center"/>
    </xf>
    <xf numFmtId="0" fontId="59" fillId="11" borderId="64" xfId="16" applyFont="1" applyFill="1" applyBorder="1" applyAlignment="1">
      <alignment horizontal="center" vertical="center"/>
    </xf>
    <xf numFmtId="0" fontId="59" fillId="11" borderId="67" xfId="16" applyFont="1" applyFill="1" applyBorder="1" applyAlignment="1">
      <alignment horizontal="center" vertical="center"/>
    </xf>
    <xf numFmtId="0" fontId="60" fillId="11" borderId="67" xfId="16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vertical="center"/>
    </xf>
    <xf numFmtId="0" fontId="17" fillId="3" borderId="71" xfId="0" applyFont="1" applyFill="1" applyBorder="1" applyAlignment="1">
      <alignment vertical="center"/>
    </xf>
    <xf numFmtId="0" fontId="17" fillId="3" borderId="72" xfId="0" applyFont="1" applyFill="1" applyBorder="1" applyAlignment="1">
      <alignment vertical="center"/>
    </xf>
    <xf numFmtId="0" fontId="17" fillId="3" borderId="70" xfId="0" applyFont="1" applyFill="1" applyBorder="1" applyAlignment="1">
      <alignment vertical="center"/>
    </xf>
    <xf numFmtId="1" fontId="25" fillId="0" borderId="73" xfId="0" applyNumberFormat="1" applyFont="1" applyFill="1" applyBorder="1" applyAlignment="1">
      <alignment horizontal="center" wrapText="1"/>
    </xf>
    <xf numFmtId="0" fontId="25" fillId="0" borderId="74" xfId="0" applyFont="1" applyFill="1" applyBorder="1" applyAlignment="1">
      <alignment horizontal="center" wrapText="1"/>
    </xf>
    <xf numFmtId="166" fontId="23" fillId="0" borderId="73" xfId="13" applyNumberFormat="1" applyBorder="1" applyAlignment="1">
      <alignment horizontal="center"/>
    </xf>
    <xf numFmtId="1" fontId="25" fillId="0" borderId="75" xfId="0" applyNumberFormat="1" applyFont="1" applyFill="1" applyBorder="1" applyAlignment="1">
      <alignment horizontal="center" wrapText="1"/>
    </xf>
    <xf numFmtId="0" fontId="25" fillId="0" borderId="75" xfId="0" applyFont="1" applyFill="1" applyBorder="1" applyAlignment="1">
      <alignment horizontal="center" wrapText="1"/>
    </xf>
    <xf numFmtId="166" fontId="23" fillId="0" borderId="75" xfId="13" applyNumberFormat="1" applyBorder="1" applyAlignment="1">
      <alignment horizontal="center"/>
    </xf>
    <xf numFmtId="167" fontId="25" fillId="0" borderId="73" xfId="0" applyNumberFormat="1" applyFont="1" applyFill="1" applyBorder="1" applyAlignment="1">
      <alignment wrapText="1"/>
    </xf>
    <xf numFmtId="167" fontId="25" fillId="0" borderId="75" xfId="0" applyNumberFormat="1" applyFont="1" applyFill="1" applyBorder="1" applyAlignment="1">
      <alignment wrapText="1"/>
    </xf>
    <xf numFmtId="14" fontId="43" fillId="12" borderId="17" xfId="14" applyNumberFormat="1" applyFont="1" applyFill="1" applyBorder="1" applyAlignment="1">
      <alignment horizontal="center"/>
    </xf>
    <xf numFmtId="0" fontId="23" fillId="12" borderId="0" xfId="13" applyFill="1" applyAlignment="1">
      <alignment horizontal="center"/>
    </xf>
    <xf numFmtId="14" fontId="43" fillId="0" borderId="17" xfId="14" applyNumberFormat="1" applyFont="1" applyFill="1" applyBorder="1" applyAlignment="1">
      <alignment horizontal="center"/>
    </xf>
    <xf numFmtId="168" fontId="25" fillId="0" borderId="17" xfId="0" applyNumberFormat="1" applyFont="1" applyFill="1" applyBorder="1" applyAlignment="1">
      <alignment horizontal="center" wrapText="1"/>
    </xf>
    <xf numFmtId="0" fontId="25" fillId="0" borderId="17" xfId="14" applyFont="1" applyBorder="1" applyAlignment="1">
      <alignment horizontal="center"/>
    </xf>
    <xf numFmtId="168" fontId="25" fillId="0" borderId="73" xfId="0" applyNumberFormat="1" applyFont="1" applyFill="1" applyBorder="1" applyAlignment="1">
      <alignment horizontal="center" wrapText="1"/>
    </xf>
    <xf numFmtId="0" fontId="23" fillId="0" borderId="26" xfId="13" applyBorder="1" applyAlignment="1">
      <alignment horizontal="center"/>
    </xf>
    <xf numFmtId="168" fontId="25" fillId="0" borderId="75" xfId="0" applyNumberFormat="1" applyFont="1" applyFill="1" applyBorder="1" applyAlignment="1">
      <alignment horizontal="center" wrapText="1"/>
    </xf>
    <xf numFmtId="0" fontId="23" fillId="0" borderId="51" xfId="13" applyBorder="1" applyAlignment="1">
      <alignment horizontal="center"/>
    </xf>
    <xf numFmtId="0" fontId="23" fillId="0" borderId="46" xfId="13" applyBorder="1" applyAlignment="1">
      <alignment horizontal="center"/>
    </xf>
    <xf numFmtId="14" fontId="43" fillId="12" borderId="20" xfId="14" applyNumberFormat="1" applyFont="1" applyFill="1" applyBorder="1" applyAlignment="1">
      <alignment horizontal="center"/>
    </xf>
    <xf numFmtId="0" fontId="23" fillId="12" borderId="0" xfId="13" applyFill="1" applyBorder="1" applyAlignment="1">
      <alignment horizontal="center"/>
    </xf>
    <xf numFmtId="0" fontId="0" fillId="12" borderId="0" xfId="0" applyFill="1" applyBorder="1" applyAlignment="1">
      <alignment horizontal="center"/>
    </xf>
    <xf numFmtId="0" fontId="0" fillId="12" borderId="43" xfId="0" applyFill="1" applyBorder="1" applyAlignment="1">
      <alignment horizontal="center"/>
    </xf>
    <xf numFmtId="0" fontId="0" fillId="0" borderId="20" xfId="0" applyBorder="1" applyAlignment="1">
      <alignment horizontal="center"/>
    </xf>
    <xf numFmtId="167" fontId="25" fillId="0" borderId="70" xfId="0" applyNumberFormat="1" applyFont="1" applyFill="1" applyBorder="1" applyAlignment="1">
      <alignment wrapText="1"/>
    </xf>
    <xf numFmtId="1" fontId="25" fillId="0" borderId="79" xfId="0" applyNumberFormat="1" applyFont="1" applyFill="1" applyBorder="1" applyAlignment="1">
      <alignment horizontal="center" wrapText="1"/>
    </xf>
    <xf numFmtId="1" fontId="25" fillId="0" borderId="70" xfId="0" applyNumberFormat="1" applyFont="1" applyFill="1" applyBorder="1" applyAlignment="1">
      <alignment horizontal="center" wrapText="1"/>
    </xf>
    <xf numFmtId="1" fontId="27" fillId="12" borderId="41" xfId="14" applyNumberFormat="1" applyFill="1" applyBorder="1" applyAlignment="1">
      <alignment horizontal="center"/>
    </xf>
    <xf numFmtId="14" fontId="43" fillId="0" borderId="69" xfId="14" applyNumberFormat="1" applyFont="1" applyFill="1" applyBorder="1" applyAlignment="1">
      <alignment horizontal="center"/>
    </xf>
    <xf numFmtId="168" fontId="25" fillId="0" borderId="69" xfId="0" applyNumberFormat="1" applyFont="1" applyFill="1" applyBorder="1" applyAlignment="1">
      <alignment horizontal="center" wrapText="1"/>
    </xf>
    <xf numFmtId="0" fontId="25" fillId="0" borderId="69" xfId="14" applyFont="1" applyBorder="1" applyAlignment="1">
      <alignment horizontal="center"/>
    </xf>
    <xf numFmtId="1" fontId="25" fillId="0" borderId="69" xfId="0" applyNumberFormat="1" applyFont="1" applyFill="1" applyBorder="1" applyAlignment="1">
      <alignment horizontal="center" wrapText="1"/>
    </xf>
    <xf numFmtId="167" fontId="25" fillId="0" borderId="69" xfId="0" applyNumberFormat="1" applyFont="1" applyFill="1" applyBorder="1" applyAlignment="1">
      <alignment wrapText="1"/>
    </xf>
    <xf numFmtId="0" fontId="27" fillId="12" borderId="80" xfId="14" applyFont="1" applyFill="1" applyBorder="1" applyAlignment="1">
      <alignment horizontal="center"/>
    </xf>
    <xf numFmtId="14" fontId="43" fillId="12" borderId="81" xfId="14" applyNumberFormat="1" applyFont="1" applyFill="1" applyBorder="1" applyAlignment="1">
      <alignment horizontal="center"/>
    </xf>
    <xf numFmtId="0" fontId="27" fillId="12" borderId="80" xfId="14" applyNumberFormat="1" applyFill="1" applyBorder="1" applyAlignment="1">
      <alignment horizontal="center"/>
    </xf>
    <xf numFmtId="0" fontId="27" fillId="12" borderId="80" xfId="14" applyFill="1" applyBorder="1" applyAlignment="1">
      <alignment horizontal="center"/>
    </xf>
    <xf numFmtId="0" fontId="27" fillId="12" borderId="82" xfId="14" applyFill="1" applyBorder="1" applyAlignment="1">
      <alignment horizontal="center"/>
    </xf>
    <xf numFmtId="0" fontId="27" fillId="12" borderId="83" xfId="14" applyFill="1" applyBorder="1" applyAlignment="1">
      <alignment horizontal="center"/>
    </xf>
    <xf numFmtId="1" fontId="25" fillId="12" borderId="84" xfId="0" applyNumberFormat="1" applyFont="1" applyFill="1" applyBorder="1" applyAlignment="1">
      <alignment horizontal="center" wrapText="1"/>
    </xf>
    <xf numFmtId="0" fontId="27" fillId="12" borderId="85" xfId="14" applyFill="1" applyBorder="1" applyAlignment="1">
      <alignment horizontal="center"/>
    </xf>
    <xf numFmtId="1" fontId="25" fillId="0" borderId="19" xfId="0" applyNumberFormat="1" applyFont="1" applyFill="1" applyBorder="1" applyAlignment="1">
      <alignment horizontal="center" wrapText="1"/>
    </xf>
    <xf numFmtId="1" fontId="25" fillId="0" borderId="78" xfId="0" applyNumberFormat="1" applyFont="1" applyFill="1" applyBorder="1" applyAlignment="1">
      <alignment horizontal="center" wrapText="1"/>
    </xf>
    <xf numFmtId="1" fontId="25" fillId="0" borderId="77" xfId="0" applyNumberFormat="1" applyFont="1" applyFill="1" applyBorder="1" applyAlignment="1">
      <alignment horizontal="center" wrapText="1"/>
    </xf>
    <xf numFmtId="2" fontId="27" fillId="0" borderId="86" xfId="14" applyNumberFormat="1" applyBorder="1" applyAlignment="1">
      <alignment horizontal="center"/>
    </xf>
    <xf numFmtId="2" fontId="27" fillId="0" borderId="87" xfId="14" applyNumberFormat="1" applyBorder="1" applyAlignment="1">
      <alignment horizontal="center"/>
    </xf>
    <xf numFmtId="0" fontId="27" fillId="0" borderId="88" xfId="14" applyFont="1" applyBorder="1" applyAlignment="1">
      <alignment horizontal="center"/>
    </xf>
    <xf numFmtId="14" fontId="43" fillId="0" borderId="81" xfId="14" applyNumberFormat="1" applyFont="1" applyFill="1" applyBorder="1" applyAlignment="1">
      <alignment horizontal="center"/>
    </xf>
    <xf numFmtId="0" fontId="27" fillId="0" borderId="80" xfId="14" applyNumberFormat="1" applyBorder="1" applyAlignment="1">
      <alignment horizontal="center"/>
    </xf>
    <xf numFmtId="168" fontId="25" fillId="0" borderId="81" xfId="0" applyNumberFormat="1" applyFont="1" applyFill="1" applyBorder="1" applyAlignment="1">
      <alignment horizontal="center" wrapText="1"/>
    </xf>
    <xf numFmtId="0" fontId="25" fillId="0" borderId="81" xfId="14" applyFont="1" applyBorder="1" applyAlignment="1">
      <alignment horizontal="center"/>
    </xf>
    <xf numFmtId="0" fontId="27" fillId="0" borderId="80" xfId="14" applyBorder="1" applyAlignment="1">
      <alignment horizontal="center"/>
    </xf>
    <xf numFmtId="0" fontId="27" fillId="0" borderId="82" xfId="14" applyBorder="1" applyAlignment="1">
      <alignment horizontal="center"/>
    </xf>
    <xf numFmtId="0" fontId="27" fillId="0" borderId="83" xfId="14" applyBorder="1" applyAlignment="1">
      <alignment horizontal="center"/>
    </xf>
    <xf numFmtId="1" fontId="25" fillId="0" borderId="81" xfId="0" applyNumberFormat="1" applyFont="1" applyFill="1" applyBorder="1" applyAlignment="1">
      <alignment horizontal="center" wrapText="1"/>
    </xf>
    <xf numFmtId="167" fontId="25" fillId="0" borderId="81" xfId="0" applyNumberFormat="1" applyFont="1" applyFill="1" applyBorder="1" applyAlignment="1">
      <alignment wrapText="1"/>
    </xf>
    <xf numFmtId="1" fontId="25" fillId="0" borderId="89" xfId="0" applyNumberFormat="1" applyFont="1" applyFill="1" applyBorder="1" applyAlignment="1">
      <alignment horizontal="center" wrapText="1"/>
    </xf>
    <xf numFmtId="2" fontId="27" fillId="0" borderId="90" xfId="14" applyNumberFormat="1" applyBorder="1" applyAlignment="1">
      <alignment horizontal="center"/>
    </xf>
    <xf numFmtId="0" fontId="25" fillId="0" borderId="91" xfId="0" applyFont="1" applyFill="1" applyBorder="1" applyAlignment="1">
      <alignment horizontal="center" wrapText="1"/>
    </xf>
    <xf numFmtId="166" fontId="23" fillId="0" borderId="81" xfId="13" applyNumberFormat="1" applyBorder="1" applyAlignment="1">
      <alignment horizontal="center"/>
    </xf>
    <xf numFmtId="1" fontId="25" fillId="12" borderId="21" xfId="0" applyNumberFormat="1" applyFont="1" applyFill="1" applyBorder="1" applyAlignment="1">
      <alignment horizontal="center" wrapText="1"/>
    </xf>
    <xf numFmtId="1" fontId="27" fillId="12" borderId="20" xfId="14" applyNumberFormat="1" applyFill="1" applyBorder="1" applyAlignment="1">
      <alignment horizontal="center"/>
    </xf>
    <xf numFmtId="1" fontId="27" fillId="12" borderId="29" xfId="14" applyNumberFormat="1" applyFill="1" applyBorder="1" applyAlignment="1">
      <alignment horizontal="center"/>
    </xf>
    <xf numFmtId="1" fontId="27" fillId="12" borderId="24" xfId="14" applyNumberFormat="1" applyFill="1" applyBorder="1" applyAlignment="1">
      <alignment horizontal="center"/>
    </xf>
    <xf numFmtId="1" fontId="27" fillId="12" borderId="50" xfId="14" applyNumberFormat="1" applyFill="1" applyBorder="1" applyAlignment="1">
      <alignment horizontal="center"/>
    </xf>
    <xf numFmtId="1" fontId="27" fillId="12" borderId="52" xfId="14" applyNumberFormat="1" applyFill="1" applyBorder="1" applyAlignment="1">
      <alignment horizontal="center"/>
    </xf>
    <xf numFmtId="14" fontId="43" fillId="0" borderId="20" xfId="14" applyNumberFormat="1" applyFont="1" applyFill="1" applyBorder="1" applyAlignment="1">
      <alignment horizontal="center"/>
    </xf>
    <xf numFmtId="0" fontId="27" fillId="12" borderId="88" xfId="14" applyFont="1" applyFill="1" applyBorder="1" applyAlignment="1">
      <alignment horizontal="center"/>
    </xf>
    <xf numFmtId="14" fontId="43" fillId="12" borderId="92" xfId="14" applyNumberFormat="1" applyFont="1" applyFill="1" applyBorder="1" applyAlignment="1">
      <alignment horizontal="center"/>
    </xf>
    <xf numFmtId="0" fontId="27" fillId="12" borderId="55" xfId="14" applyFill="1" applyBorder="1" applyAlignment="1">
      <alignment horizontal="center"/>
    </xf>
    <xf numFmtId="0" fontId="53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13" fillId="0" borderId="14" xfId="9" applyFont="1" applyFill="1" applyBorder="1" applyAlignment="1">
      <alignment horizontal="left"/>
    </xf>
    <xf numFmtId="0" fontId="51" fillId="10" borderId="12" xfId="0" applyFont="1" applyFill="1" applyBorder="1"/>
    <xf numFmtId="0" fontId="4" fillId="0" borderId="1" xfId="0" applyFont="1" applyFill="1" applyBorder="1" applyAlignment="1" applyProtection="1">
      <alignment horizontal="left" vertical="center" wrapText="1"/>
      <protection locked="0"/>
    </xf>
    <xf numFmtId="0" fontId="8" fillId="0" borderId="0" xfId="9" applyFont="1" applyBorder="1" applyAlignment="1">
      <alignment horizontal="left"/>
    </xf>
    <xf numFmtId="0" fontId="8" fillId="0" borderId="1" xfId="9" applyFont="1" applyBorder="1" applyAlignment="1">
      <alignment horizontal="left" vertical="center"/>
    </xf>
    <xf numFmtId="0" fontId="9" fillId="0" borderId="2" xfId="9" applyFont="1" applyBorder="1" applyAlignment="1">
      <alignment horizontal="left"/>
    </xf>
    <xf numFmtId="0" fontId="8" fillId="0" borderId="3" xfId="9" applyFont="1" applyBorder="1" applyAlignment="1">
      <alignment horizontal="left"/>
    </xf>
    <xf numFmtId="0" fontId="10" fillId="0" borderId="4" xfId="9" applyFont="1" applyBorder="1" applyAlignment="1">
      <alignment horizontal="left"/>
    </xf>
    <xf numFmtId="0" fontId="13" fillId="0" borderId="1" xfId="9" applyFont="1" applyBorder="1" applyAlignment="1">
      <alignment horizontal="left" vertical="center" wrapText="1"/>
    </xf>
    <xf numFmtId="0" fontId="8" fillId="0" borderId="1" xfId="9" applyFont="1" applyFill="1" applyBorder="1" applyAlignment="1">
      <alignment horizontal="left" vertical="center" wrapText="1"/>
    </xf>
    <xf numFmtId="0" fontId="4" fillId="0" borderId="1" xfId="9" applyFont="1" applyFill="1" applyBorder="1" applyAlignment="1">
      <alignment horizontal="left" vertical="center" wrapText="1"/>
    </xf>
    <xf numFmtId="0" fontId="47" fillId="11" borderId="0" xfId="0" applyFont="1" applyFill="1" applyAlignment="1" applyProtection="1">
      <alignment horizontal="center"/>
      <protection locked="0"/>
    </xf>
    <xf numFmtId="0" fontId="23" fillId="0" borderId="0" xfId="13" applyAlignment="1">
      <alignment horizontal="center"/>
    </xf>
    <xf numFmtId="0" fontId="33" fillId="0" borderId="0" xfId="13" applyFont="1" applyBorder="1" applyAlignment="1">
      <alignment horizontal="center"/>
    </xf>
    <xf numFmtId="0" fontId="23" fillId="0" borderId="0" xfId="13" applyBorder="1" applyAlignment="1">
      <alignment horizontal="center" vertical="center"/>
    </xf>
    <xf numFmtId="0" fontId="48" fillId="11" borderId="0" xfId="15" applyFont="1" applyFill="1" applyAlignment="1">
      <alignment horizontal="center" wrapText="1"/>
    </xf>
    <xf numFmtId="0" fontId="25" fillId="0" borderId="17" xfId="0" applyFont="1" applyFill="1" applyBorder="1" applyAlignment="1">
      <alignment horizontal="center" wrapText="1"/>
    </xf>
    <xf numFmtId="0" fontId="25" fillId="0" borderId="37" xfId="0" applyFont="1" applyFill="1" applyBorder="1" applyAlignment="1">
      <alignment horizontal="center" wrapText="1"/>
    </xf>
    <xf numFmtId="0" fontId="25" fillId="0" borderId="76" xfId="0" applyFont="1" applyFill="1" applyBorder="1" applyAlignment="1">
      <alignment horizontal="center" wrapText="1"/>
    </xf>
    <xf numFmtId="0" fontId="25" fillId="0" borderId="47" xfId="0" applyFont="1" applyFill="1" applyBorder="1" applyAlignment="1">
      <alignment horizontal="center" wrapText="1"/>
    </xf>
    <xf numFmtId="0" fontId="25" fillId="0" borderId="48" xfId="0" applyFont="1" applyFill="1" applyBorder="1" applyAlignment="1">
      <alignment horizontal="center" wrapText="1"/>
    </xf>
    <xf numFmtId="0" fontId="25" fillId="12" borderId="43" xfId="0" applyFont="1" applyFill="1" applyBorder="1" applyAlignment="1">
      <alignment horizontal="center" wrapText="1"/>
    </xf>
    <xf numFmtId="0" fontId="25" fillId="12" borderId="35" xfId="0" applyFont="1" applyFill="1" applyBorder="1" applyAlignment="1">
      <alignment horizontal="center" wrapText="1"/>
    </xf>
    <xf numFmtId="0" fontId="25" fillId="12" borderId="39" xfId="0" applyFont="1" applyFill="1" applyBorder="1" applyAlignment="1">
      <alignment horizontal="center" wrapText="1"/>
    </xf>
    <xf numFmtId="0" fontId="25" fillId="12" borderId="17" xfId="0" applyFont="1" applyFill="1" applyBorder="1" applyAlignment="1">
      <alignment horizontal="center" wrapText="1"/>
    </xf>
    <xf numFmtId="0" fontId="25" fillId="12" borderId="21" xfId="0" applyFont="1" applyFill="1" applyBorder="1" applyAlignment="1">
      <alignment horizontal="center" wrapText="1"/>
    </xf>
    <xf numFmtId="0" fontId="25" fillId="0" borderId="81" xfId="0" applyFont="1" applyFill="1" applyBorder="1" applyAlignment="1">
      <alignment horizontal="center" wrapText="1"/>
    </xf>
    <xf numFmtId="0" fontId="23" fillId="12" borderId="17" xfId="13" applyFill="1" applyBorder="1" applyAlignment="1">
      <alignment horizontal="center"/>
    </xf>
    <xf numFmtId="0" fontId="23" fillId="12" borderId="43" xfId="13" applyFill="1" applyBorder="1" applyAlignment="1">
      <alignment horizontal="center"/>
    </xf>
    <xf numFmtId="0" fontId="49" fillId="11" borderId="0" xfId="14" applyFont="1" applyFill="1" applyAlignment="1">
      <alignment horizontal="center" vertical="center"/>
    </xf>
    <xf numFmtId="49" fontId="40" fillId="9" borderId="22" xfId="14" applyNumberFormat="1" applyFont="1" applyFill="1" applyBorder="1" applyAlignment="1">
      <alignment horizontal="center"/>
    </xf>
    <xf numFmtId="49" fontId="40" fillId="9" borderId="23" xfId="14" applyNumberFormat="1" applyFont="1" applyFill="1" applyBorder="1" applyAlignment="1">
      <alignment horizontal="center"/>
    </xf>
    <xf numFmtId="49" fontId="40" fillId="9" borderId="24" xfId="14" applyNumberFormat="1" applyFont="1" applyFill="1" applyBorder="1" applyAlignment="1">
      <alignment horizontal="center"/>
    </xf>
    <xf numFmtId="49" fontId="40" fillId="9" borderId="25" xfId="14" applyNumberFormat="1" applyFont="1" applyFill="1" applyBorder="1" applyAlignment="1">
      <alignment horizontal="center"/>
    </xf>
    <xf numFmtId="0" fontId="41" fillId="9" borderId="26" xfId="13" applyFont="1" applyFill="1" applyBorder="1" applyAlignment="1">
      <alignment horizontal="center"/>
    </xf>
    <xf numFmtId="0" fontId="41" fillId="9" borderId="27" xfId="13" applyFont="1" applyFill="1" applyBorder="1" applyAlignment="1">
      <alignment horizontal="center"/>
    </xf>
    <xf numFmtId="0" fontId="38" fillId="9" borderId="17" xfId="13" applyFont="1" applyFill="1" applyBorder="1" applyAlignment="1">
      <alignment horizontal="center"/>
    </xf>
    <xf numFmtId="0" fontId="38" fillId="9" borderId="19" xfId="13" applyFont="1" applyFill="1" applyBorder="1" applyAlignment="1">
      <alignment horizontal="center"/>
    </xf>
    <xf numFmtId="0" fontId="25" fillId="0" borderId="73" xfId="0" applyFont="1" applyFill="1" applyBorder="1" applyAlignment="1">
      <alignment horizontal="center" wrapText="1"/>
    </xf>
    <xf numFmtId="0" fontId="25" fillId="0" borderId="49" xfId="0" applyFont="1" applyFill="1" applyBorder="1" applyAlignment="1">
      <alignment horizontal="center" wrapText="1"/>
    </xf>
    <xf numFmtId="0" fontId="55" fillId="0" borderId="61" xfId="6" applyFont="1" applyBorder="1" applyAlignment="1">
      <alignment horizontal="center" vertical="center"/>
    </xf>
    <xf numFmtId="0" fontId="55" fillId="0" borderId="61" xfId="6" applyFont="1" applyBorder="1" applyAlignment="1">
      <alignment horizontal="left" vertical="top"/>
    </xf>
    <xf numFmtId="0" fontId="55" fillId="0" borderId="58" xfId="6" applyFont="1" applyBorder="1" applyAlignment="1">
      <alignment horizontal="center" vertical="center"/>
    </xf>
    <xf numFmtId="0" fontId="55" fillId="0" borderId="68" xfId="6" applyFont="1" applyBorder="1" applyAlignment="1">
      <alignment horizontal="center" vertical="center"/>
    </xf>
    <xf numFmtId="0" fontId="55" fillId="0" borderId="68" xfId="6" applyFont="1" applyBorder="1" applyAlignment="1">
      <alignment horizontal="left" vertical="top"/>
    </xf>
    <xf numFmtId="0" fontId="55" fillId="0" borderId="20" xfId="6" applyFont="1" applyBorder="1" applyAlignment="1">
      <alignment horizontal="center" vertical="center"/>
    </xf>
    <xf numFmtId="0" fontId="55" fillId="0" borderId="69" xfId="6" applyFont="1" applyBorder="1" applyAlignment="1">
      <alignment horizontal="left" vertical="top"/>
    </xf>
    <xf numFmtId="0" fontId="58" fillId="0" borderId="61" xfId="16" applyFont="1" applyBorder="1" applyAlignment="1">
      <alignment horizontal="center" vertical="center"/>
    </xf>
    <xf numFmtId="0" fontId="58" fillId="0" borderId="61" xfId="16" applyFont="1" applyBorder="1" applyAlignment="1">
      <alignment horizontal="left" vertical="top"/>
    </xf>
    <xf numFmtId="0" fontId="58" fillId="0" borderId="58" xfId="16" applyFont="1" applyBorder="1" applyAlignment="1">
      <alignment horizontal="center" vertical="center"/>
    </xf>
    <xf numFmtId="0" fontId="58" fillId="0" borderId="20" xfId="16" applyFont="1" applyBorder="1" applyAlignment="1">
      <alignment horizontal="center" vertical="center"/>
    </xf>
    <xf numFmtId="0" fontId="58" fillId="0" borderId="20" xfId="16" applyFont="1" applyBorder="1" applyAlignment="1">
      <alignment horizontal="left" vertical="top"/>
    </xf>
    <xf numFmtId="0" fontId="58" fillId="0" borderId="68" xfId="16" applyFont="1" applyBorder="1" applyAlignment="1">
      <alignment horizontal="center" vertical="center"/>
    </xf>
    <xf numFmtId="0" fontId="58" fillId="0" borderId="68" xfId="16" applyFont="1" applyBorder="1" applyAlignment="1">
      <alignment horizontal="left" vertical="top"/>
    </xf>
    <xf numFmtId="16" fontId="44" fillId="0" borderId="0" xfId="14" applyNumberFormat="1" applyFont="1" applyAlignment="1">
      <alignment horizontal="center" vertical="center"/>
    </xf>
    <xf numFmtId="0" fontId="27" fillId="0" borderId="0" xfId="0" applyNumberFormat="1" applyFont="1" applyAlignment="1" applyProtection="1">
      <protection locked="0"/>
    </xf>
    <xf numFmtId="0" fontId="53" fillId="0" borderId="0" xfId="0" applyNumberFormat="1" applyFont="1" applyAlignment="1">
      <alignment horizontal="right"/>
    </xf>
    <xf numFmtId="0" fontId="26" fillId="0" borderId="0" xfId="0" applyNumberFormat="1" applyFont="1" applyAlignment="1">
      <alignment horizontal="right"/>
    </xf>
    <xf numFmtId="0" fontId="17" fillId="3" borderId="0" xfId="0" applyFont="1" applyFill="1" applyBorder="1" applyAlignment="1">
      <alignment horizontal="center" vertical="center"/>
    </xf>
    <xf numFmtId="0" fontId="53" fillId="0" borderId="11" xfId="0" applyFont="1" applyBorder="1" applyAlignment="1">
      <alignment horizontal="center"/>
    </xf>
    <xf numFmtId="0" fontId="50" fillId="3" borderId="11" xfId="0" applyFont="1" applyFill="1" applyBorder="1" applyAlignment="1">
      <alignment vertical="center"/>
    </xf>
    <xf numFmtId="0" fontId="36" fillId="0" borderId="0" xfId="0" applyFont="1" applyFill="1" applyBorder="1"/>
  </cellXfs>
  <cellStyles count="17">
    <cellStyle name="Lien hypertexte" xfId="1" builtinId="8"/>
    <cellStyle name="Lien hypertexte 2" xfId="2"/>
    <cellStyle name="Lien hypertexte 3" xfId="3"/>
    <cellStyle name="Lien hypertexte 4" xfId="4"/>
    <cellStyle name="Normal" xfId="0" builtinId="0"/>
    <cellStyle name="Normal 10" xfId="5"/>
    <cellStyle name="Normal 2" xfId="6"/>
    <cellStyle name="Normal 2 2" xfId="14"/>
    <cellStyle name="Normal 2_Parcellaire_data" xfId="16"/>
    <cellStyle name="Normal 3" xfId="7"/>
    <cellStyle name="Normal 3 2" xfId="8"/>
    <cellStyle name="Normal 4" xfId="9"/>
    <cellStyle name="Normal 5" xfId="10"/>
    <cellStyle name="Normal 6" xfId="13"/>
    <cellStyle name="Normal 7" xfId="12"/>
    <cellStyle name="Normal 8 2" xfId="15"/>
    <cellStyle name="Normalny 2" xfId="1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FAC090"/>
      <rgbColor rgb="00808080"/>
      <rgbColor rgb="009999FF"/>
      <rgbColor rgb="00993366"/>
      <rgbColor rgb="00FCD5B5"/>
      <rgbColor rgb="00DCE6F2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00B0F0"/>
      <rgbColor rgb="0099CC00"/>
      <rgbColor rgb="00FFCC00"/>
      <rgbColor rgb="00FF9900"/>
      <rgbColor rgb="00FF6600"/>
      <rgbColor rgb="00666699"/>
      <rgbColor rgb="00969696"/>
      <rgbColor rgb="0017375E"/>
      <rgbColor rgb="00339966"/>
      <rgbColor rgb="00003300"/>
      <rgbColor rgb="00333300"/>
      <rgbColor rgb="00993300"/>
      <rgbColor rgb="00993366"/>
      <rgbColor rgb="00333399"/>
      <rgbColor rgb="001A1A1A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urgi.versailles.inra.fr/Species/Wheat/Sequence-Repository" TargetMode="External"/><Relationship Id="rId1" Type="http://schemas.openxmlformats.org/officeDocument/2006/relationships/hyperlink" Target="mailto:jacques.dupond@email.com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ddugue@ragt.fr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IV95"/>
  <sheetViews>
    <sheetView topLeftCell="A58" zoomScale="95" zoomScaleNormal="95" workbookViewId="0">
      <selection activeCell="A75" sqref="A75:XFD79"/>
    </sheetView>
  </sheetViews>
  <sheetFormatPr baseColWidth="10" defaultRowHeight="12.75"/>
  <cols>
    <col min="1" max="1" width="31.140625" style="1" customWidth="1"/>
    <col min="2" max="2" width="28.42578125" style="1" customWidth="1"/>
    <col min="3" max="3" width="35" style="1" customWidth="1"/>
    <col min="4" max="4" width="36.28515625" style="1" customWidth="1"/>
    <col min="5" max="5" width="31" style="1" customWidth="1"/>
    <col min="6" max="6" width="26.5703125" style="1" customWidth="1"/>
    <col min="7" max="7" width="24.85546875" style="1" customWidth="1"/>
    <col min="8" max="8" width="37.7109375" style="1" customWidth="1"/>
    <col min="9" max="9" width="21.140625" style="1" customWidth="1"/>
    <col min="10" max="10" width="19" style="1" customWidth="1"/>
    <col min="11" max="11" width="18" style="1" customWidth="1"/>
    <col min="12" max="12" width="20.7109375" style="1" customWidth="1"/>
    <col min="13" max="13" width="23.85546875" style="1" customWidth="1"/>
    <col min="14" max="14" width="27.7109375" style="1" customWidth="1"/>
    <col min="15" max="15" width="28" style="1" customWidth="1"/>
    <col min="16" max="16" width="15.28515625" style="1" customWidth="1"/>
    <col min="17" max="17" width="17.42578125" style="1" customWidth="1"/>
    <col min="18" max="18" width="26.42578125" style="1" customWidth="1"/>
    <col min="19" max="19" width="15.5703125" style="1" customWidth="1"/>
    <col min="20" max="20" width="13.5703125" style="1" customWidth="1"/>
    <col min="21" max="21" width="15.85546875" style="1" customWidth="1"/>
    <col min="22" max="23" width="12.5703125" style="1" customWidth="1"/>
    <col min="24" max="24" width="11.42578125" style="1"/>
    <col min="25" max="25" width="12.5703125" style="1" customWidth="1"/>
    <col min="26" max="16384" width="11.42578125" style="1"/>
  </cols>
  <sheetData>
    <row r="1" spans="1:256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>
      <c r="A2" s="2" t="s">
        <v>2</v>
      </c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3" spans="1:256">
      <c r="A3" s="2" t="s">
        <v>3</v>
      </c>
      <c r="B3" s="3" t="s">
        <v>4</v>
      </c>
      <c r="C3" s="4"/>
      <c r="D3" s="5"/>
      <c r="E3" s="5"/>
      <c r="F3" s="5"/>
      <c r="G3" s="5"/>
      <c r="H3" s="5"/>
      <c r="I3" s="5"/>
      <c r="J3" s="5"/>
      <c r="K3" s="5"/>
      <c r="L3" s="5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</row>
    <row r="4" spans="1:256">
      <c r="A4" s="4"/>
      <c r="B4" s="6"/>
      <c r="C4" s="7"/>
      <c r="D4" s="5"/>
      <c r="E4" s="5"/>
      <c r="F4" s="5"/>
      <c r="G4" s="5"/>
      <c r="H4" s="5"/>
      <c r="I4" s="5"/>
      <c r="J4" s="5"/>
      <c r="K4" s="5"/>
      <c r="L4" s="5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</row>
    <row r="5" spans="1:256">
      <c r="A5" s="468" t="s">
        <v>5</v>
      </c>
      <c r="B5" s="468"/>
      <c r="C5" s="468"/>
      <c r="D5" s="468"/>
      <c r="E5" s="468"/>
      <c r="F5" s="8"/>
      <c r="G5" s="8"/>
      <c r="H5" s="8"/>
      <c r="I5" s="8"/>
      <c r="J5" s="5"/>
      <c r="K5" s="5"/>
      <c r="L5" s="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6">
      <c r="A6" s="5"/>
      <c r="B6" s="5"/>
      <c r="C6" s="5"/>
      <c r="D6" s="5"/>
      <c r="E6" s="5"/>
      <c r="F6" s="8"/>
      <c r="G6" s="8"/>
      <c r="H6" s="8"/>
      <c r="I6" s="8"/>
      <c r="J6" s="5"/>
      <c r="K6" s="5"/>
      <c r="L6" s="5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6">
      <c r="A7" s="469" t="s">
        <v>6</v>
      </c>
      <c r="B7" s="470" t="s">
        <v>7</v>
      </c>
      <c r="C7" s="470"/>
      <c r="D7" s="470"/>
      <c r="E7" s="470"/>
      <c r="F7" s="8"/>
      <c r="G7" s="8"/>
      <c r="H7" s="8"/>
      <c r="I7" s="8"/>
      <c r="J7" s="5"/>
      <c r="K7" s="5"/>
      <c r="L7" s="5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</row>
    <row r="8" spans="1:256">
      <c r="A8" s="469"/>
      <c r="B8" s="471" t="s">
        <v>8</v>
      </c>
      <c r="C8" s="471"/>
      <c r="D8" s="471"/>
      <c r="E8" s="471"/>
      <c r="F8" s="8"/>
      <c r="G8" s="8"/>
      <c r="H8" s="8"/>
      <c r="I8" s="8"/>
      <c r="J8" s="5"/>
      <c r="K8" s="5"/>
      <c r="L8" s="5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</row>
    <row r="9" spans="1:256">
      <c r="A9" s="469"/>
      <c r="B9" s="472" t="s">
        <v>9</v>
      </c>
      <c r="C9" s="472"/>
      <c r="D9" s="472"/>
      <c r="E9" s="472"/>
      <c r="F9" s="9"/>
      <c r="G9" s="9"/>
      <c r="H9" s="9"/>
      <c r="I9" s="8"/>
      <c r="J9" s="5"/>
      <c r="K9" s="5"/>
      <c r="L9" s="5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>
      <c r="A10" s="5"/>
      <c r="B10" s="5"/>
      <c r="C10" s="5"/>
      <c r="D10" s="5"/>
      <c r="E10" s="5"/>
      <c r="F10" s="8"/>
      <c r="G10" s="8"/>
      <c r="H10" s="8"/>
      <c r="I10" s="8"/>
      <c r="J10" s="5"/>
      <c r="K10" s="5"/>
      <c r="L10" s="5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>
      <c r="A11" s="10" t="s">
        <v>10</v>
      </c>
      <c r="B11" s="5"/>
      <c r="C11" s="5"/>
      <c r="D11" s="5"/>
      <c r="E11" s="5"/>
      <c r="F11" s="8"/>
      <c r="G11" s="8"/>
      <c r="H11" s="8"/>
      <c r="I11" s="8"/>
      <c r="J11" s="5"/>
      <c r="K11" s="5"/>
      <c r="L11" s="5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</row>
    <row r="12" spans="1:256">
      <c r="A12" s="10"/>
      <c r="B12" s="5"/>
      <c r="C12" s="5"/>
      <c r="D12" s="5"/>
      <c r="E12" s="5"/>
      <c r="F12" s="8"/>
      <c r="G12" s="8"/>
      <c r="H12" s="8"/>
      <c r="I12" s="8"/>
      <c r="J12" s="5"/>
      <c r="K12" s="5"/>
      <c r="L12" s="5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</row>
    <row r="13" spans="1:256">
      <c r="A13" s="1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</row>
    <row r="14" spans="1:256">
      <c r="A14" s="12" t="s">
        <v>11</v>
      </c>
      <c r="B14" s="10" t="s">
        <v>12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</row>
    <row r="15" spans="1:256">
      <c r="A15" s="13"/>
      <c r="B15" s="14" t="s">
        <v>13</v>
      </c>
      <c r="C15" s="14" t="s">
        <v>14</v>
      </c>
      <c r="D15" s="15" t="s">
        <v>15</v>
      </c>
      <c r="E15" s="15" t="s">
        <v>16</v>
      </c>
      <c r="F15" s="15" t="s">
        <v>17</v>
      </c>
      <c r="G15" s="15" t="s">
        <v>18</v>
      </c>
      <c r="H15" s="15" t="s">
        <v>19</v>
      </c>
      <c r="I15" s="16" t="s">
        <v>20</v>
      </c>
      <c r="J15" s="17" t="s">
        <v>21</v>
      </c>
      <c r="K15" s="17" t="s">
        <v>22</v>
      </c>
      <c r="L15" s="15" t="s">
        <v>23</v>
      </c>
      <c r="M15" s="15" t="s">
        <v>24</v>
      </c>
      <c r="N15" s="15" t="s">
        <v>25</v>
      </c>
      <c r="O15" s="15" t="s">
        <v>26</v>
      </c>
      <c r="P15" s="15" t="s">
        <v>27</v>
      </c>
      <c r="Q15" s="15" t="s">
        <v>28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</row>
    <row r="16" spans="1:256" s="25" customFormat="1" ht="70.5" customHeight="1">
      <c r="A16" s="18" t="s">
        <v>29</v>
      </c>
      <c r="B16" s="19" t="s">
        <v>30</v>
      </c>
      <c r="C16" s="19" t="s">
        <v>31</v>
      </c>
      <c r="D16" s="20" t="s">
        <v>32</v>
      </c>
      <c r="E16" s="20" t="s">
        <v>33</v>
      </c>
      <c r="F16" s="21" t="s">
        <v>34</v>
      </c>
      <c r="G16" s="19" t="s">
        <v>35</v>
      </c>
      <c r="H16" s="22" t="s">
        <v>36</v>
      </c>
      <c r="I16" s="23" t="s">
        <v>37</v>
      </c>
      <c r="J16" s="23" t="s">
        <v>38</v>
      </c>
      <c r="K16" s="23" t="s">
        <v>39</v>
      </c>
      <c r="L16" s="23" t="s">
        <v>40</v>
      </c>
      <c r="M16" s="23" t="s">
        <v>41</v>
      </c>
      <c r="N16" s="24" t="s">
        <v>42</v>
      </c>
      <c r="O16" s="23" t="s">
        <v>43</v>
      </c>
      <c r="P16" s="23" t="s">
        <v>44</v>
      </c>
      <c r="Q16" s="23" t="s">
        <v>45</v>
      </c>
    </row>
    <row r="17" spans="1:256" ht="25.5">
      <c r="A17" s="26" t="s">
        <v>46</v>
      </c>
      <c r="B17" s="27" t="s">
        <v>47</v>
      </c>
      <c r="C17" s="27" t="s">
        <v>48</v>
      </c>
      <c r="D17" s="28" t="s">
        <v>49</v>
      </c>
      <c r="E17" s="28" t="s">
        <v>50</v>
      </c>
      <c r="F17" s="28" t="s">
        <v>51</v>
      </c>
      <c r="G17" s="27" t="s">
        <v>52</v>
      </c>
      <c r="H17" s="29">
        <v>2012</v>
      </c>
      <c r="I17" s="28" t="s">
        <v>53</v>
      </c>
      <c r="J17" s="30" t="s">
        <v>54</v>
      </c>
      <c r="K17" s="30" t="s">
        <v>55</v>
      </c>
      <c r="L17" s="30"/>
      <c r="M17" s="30"/>
      <c r="N17" s="31" t="s">
        <v>56</v>
      </c>
      <c r="O17" s="30"/>
      <c r="P17" s="30" t="s">
        <v>57</v>
      </c>
      <c r="Q17" s="30" t="s">
        <v>58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</row>
    <row r="18" spans="1:256" s="35" customFormat="1" ht="38.25">
      <c r="A18" s="26" t="s">
        <v>59</v>
      </c>
      <c r="B18" s="32" t="s">
        <v>60</v>
      </c>
      <c r="C18" s="32" t="s">
        <v>60</v>
      </c>
      <c r="D18" s="32" t="s">
        <v>61</v>
      </c>
      <c r="E18" s="32" t="s">
        <v>61</v>
      </c>
      <c r="F18" s="32" t="s">
        <v>60</v>
      </c>
      <c r="G18" s="32" t="s">
        <v>60</v>
      </c>
      <c r="H18" s="33" t="s">
        <v>60</v>
      </c>
      <c r="I18" s="32" t="s">
        <v>62</v>
      </c>
      <c r="J18" s="32" t="s">
        <v>60</v>
      </c>
      <c r="K18" s="32" t="s">
        <v>60</v>
      </c>
      <c r="L18" s="34" t="s">
        <v>60</v>
      </c>
      <c r="M18" s="34" t="s">
        <v>60</v>
      </c>
      <c r="N18" s="34" t="s">
        <v>60</v>
      </c>
      <c r="O18" s="34" t="s">
        <v>60</v>
      </c>
      <c r="P18" s="34" t="s">
        <v>60</v>
      </c>
      <c r="Q18" s="34" t="s">
        <v>60</v>
      </c>
    </row>
    <row r="19" spans="1:256">
      <c r="A19" s="36"/>
      <c r="B19" s="37"/>
      <c r="C19" s="37"/>
      <c r="D19" s="37"/>
      <c r="E19" s="37"/>
      <c r="F19" s="37"/>
      <c r="G19" s="37"/>
      <c r="H19" s="37"/>
      <c r="I19" s="38"/>
      <c r="J19" s="38"/>
      <c r="K19" s="38"/>
      <c r="L19" s="38"/>
      <c r="M19" s="38"/>
      <c r="N19" s="38"/>
      <c r="O19" s="38"/>
      <c r="P19" s="8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</row>
    <row r="20" spans="1:256">
      <c r="A20" s="39"/>
      <c r="B20" s="40"/>
      <c r="C20" s="40"/>
      <c r="D20" s="40"/>
      <c r="E20" s="40"/>
      <c r="F20" s="4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</row>
    <row r="21" spans="1:256" s="44" customFormat="1" ht="12.75" customHeight="1">
      <c r="A21" s="41" t="s">
        <v>63</v>
      </c>
      <c r="B21" s="42" t="s">
        <v>64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56">
      <c r="A22" s="45"/>
      <c r="B22" s="14" t="s">
        <v>65</v>
      </c>
      <c r="C22" s="15" t="s">
        <v>66</v>
      </c>
      <c r="D22" s="15" t="s">
        <v>67</v>
      </c>
      <c r="E22" s="15" t="s">
        <v>68</v>
      </c>
      <c r="F22" s="46" t="s">
        <v>69</v>
      </c>
      <c r="G22" s="46" t="s">
        <v>70</v>
      </c>
      <c r="H22" s="47" t="s">
        <v>71</v>
      </c>
      <c r="I22" s="15" t="s">
        <v>72</v>
      </c>
      <c r="J22" s="15" t="s">
        <v>73</v>
      </c>
      <c r="K22" s="15" t="s">
        <v>74</v>
      </c>
      <c r="L22" s="15" t="s">
        <v>75</v>
      </c>
      <c r="M22" s="15" t="s">
        <v>76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</row>
    <row r="23" spans="1:256" ht="63.75">
      <c r="A23" s="48" t="s">
        <v>29</v>
      </c>
      <c r="B23" s="19" t="s">
        <v>77</v>
      </c>
      <c r="C23" s="23" t="s">
        <v>78</v>
      </c>
      <c r="D23" s="23" t="s">
        <v>79</v>
      </c>
      <c r="E23" s="23" t="s">
        <v>80</v>
      </c>
      <c r="F23" s="49" t="s">
        <v>81</v>
      </c>
      <c r="G23" s="49" t="s">
        <v>82</v>
      </c>
      <c r="H23" s="49" t="s">
        <v>83</v>
      </c>
      <c r="I23" s="23" t="s">
        <v>84</v>
      </c>
      <c r="J23" s="23" t="s">
        <v>85</v>
      </c>
      <c r="K23" s="23" t="s">
        <v>86</v>
      </c>
      <c r="L23" s="20" t="s">
        <v>87</v>
      </c>
      <c r="M23" s="23" t="s">
        <v>88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</row>
    <row r="24" spans="1:256">
      <c r="A24" s="50" t="s">
        <v>89</v>
      </c>
      <c r="B24" s="27" t="s">
        <v>90</v>
      </c>
      <c r="C24" s="30"/>
      <c r="D24" s="30"/>
      <c r="E24" s="30"/>
      <c r="F24" s="51"/>
      <c r="G24" s="51"/>
      <c r="H24" s="51" t="s">
        <v>91</v>
      </c>
      <c r="I24" s="30" t="s">
        <v>92</v>
      </c>
      <c r="J24" s="30" t="s">
        <v>93</v>
      </c>
      <c r="K24" s="30"/>
      <c r="L24" s="30"/>
      <c r="M24" s="30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</row>
    <row r="25" spans="1:256" ht="51">
      <c r="A25" s="26" t="s">
        <v>59</v>
      </c>
      <c r="B25" s="32" t="s">
        <v>60</v>
      </c>
      <c r="C25" s="32" t="s">
        <v>62</v>
      </c>
      <c r="D25" s="32" t="s">
        <v>62</v>
      </c>
      <c r="E25" s="52" t="s">
        <v>62</v>
      </c>
      <c r="F25" s="53" t="s">
        <v>60</v>
      </c>
      <c r="G25" s="53" t="s">
        <v>60</v>
      </c>
      <c r="H25" s="53" t="s">
        <v>60</v>
      </c>
      <c r="I25" s="32" t="s">
        <v>94</v>
      </c>
      <c r="J25" s="52" t="s">
        <v>60</v>
      </c>
      <c r="K25" s="52" t="s">
        <v>60</v>
      </c>
      <c r="L25" s="32" t="s">
        <v>60</v>
      </c>
      <c r="M25" s="32" t="s">
        <v>60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</row>
    <row r="26" spans="1:256">
      <c r="A26" s="36"/>
      <c r="B26" s="43"/>
      <c r="C26" s="40"/>
      <c r="D26" s="54"/>
      <c r="E26" s="40"/>
      <c r="F26" s="40"/>
      <c r="G26" s="40"/>
      <c r="H26" s="40"/>
      <c r="I26" s="40"/>
      <c r="J26" s="40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</row>
    <row r="27" spans="1:256">
      <c r="A27" s="8"/>
      <c r="B27" s="55"/>
      <c r="C27" s="8"/>
      <c r="D27" s="5"/>
      <c r="E27" s="5"/>
      <c r="F27" s="5"/>
      <c r="G27" s="5"/>
      <c r="H27" s="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</row>
    <row r="28" spans="1:256">
      <c r="A28" s="56" t="s">
        <v>95</v>
      </c>
      <c r="B28" s="10" t="s">
        <v>96</v>
      </c>
      <c r="C28" s="8"/>
      <c r="D28" s="5"/>
      <c r="E28" s="5"/>
      <c r="F28" s="5"/>
      <c r="G28" s="5"/>
      <c r="H28" s="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</row>
    <row r="29" spans="1:256">
      <c r="A29" s="45"/>
      <c r="B29" s="57" t="s">
        <v>97</v>
      </c>
      <c r="C29" s="57" t="s">
        <v>98</v>
      </c>
      <c r="D29" s="57" t="s">
        <v>99</v>
      </c>
      <c r="E29" s="58" t="s">
        <v>100</v>
      </c>
      <c r="F29" s="58" t="s">
        <v>101</v>
      </c>
      <c r="G29" s="57" t="s">
        <v>102</v>
      </c>
      <c r="H29" s="57" t="s">
        <v>103</v>
      </c>
      <c r="I29" s="58" t="s">
        <v>104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</row>
    <row r="30" spans="1:256" ht="63.75" customHeight="1">
      <c r="A30" s="18" t="s">
        <v>29</v>
      </c>
      <c r="B30" s="20" t="s">
        <v>105</v>
      </c>
      <c r="C30" s="20" t="s">
        <v>106</v>
      </c>
      <c r="D30" s="20" t="s">
        <v>107</v>
      </c>
      <c r="E30" s="20" t="s">
        <v>108</v>
      </c>
      <c r="F30" s="20" t="s">
        <v>109</v>
      </c>
      <c r="G30" s="20" t="s">
        <v>110</v>
      </c>
      <c r="H30" s="20" t="s">
        <v>111</v>
      </c>
      <c r="I30" s="20" t="s">
        <v>112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 spans="1:256" ht="12.75" customHeight="1">
      <c r="A31" s="50" t="s">
        <v>89</v>
      </c>
      <c r="B31" s="32" t="s">
        <v>113</v>
      </c>
      <c r="C31" s="32" t="s">
        <v>114</v>
      </c>
      <c r="D31" s="32" t="s">
        <v>115</v>
      </c>
      <c r="E31" s="32" t="s">
        <v>116</v>
      </c>
      <c r="F31" s="32" t="s">
        <v>117</v>
      </c>
      <c r="G31" s="59" t="s">
        <v>118</v>
      </c>
      <c r="H31" s="32" t="s">
        <v>119</v>
      </c>
      <c r="I31" s="32" t="s">
        <v>120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</row>
    <row r="32" spans="1:256">
      <c r="A32" s="26" t="s">
        <v>59</v>
      </c>
      <c r="B32" s="32" t="s">
        <v>60</v>
      </c>
      <c r="C32" s="32" t="s">
        <v>60</v>
      </c>
      <c r="D32" s="32" t="s">
        <v>60</v>
      </c>
      <c r="E32" s="60" t="s">
        <v>121</v>
      </c>
      <c r="F32" s="60" t="s">
        <v>122</v>
      </c>
      <c r="G32" s="32" t="s">
        <v>60</v>
      </c>
      <c r="H32" s="32" t="s">
        <v>60</v>
      </c>
      <c r="I32" s="32" t="s">
        <v>60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</row>
    <row r="33" spans="1:256" s="62" customFormat="1">
      <c r="A33" s="36"/>
      <c r="B33" s="61"/>
      <c r="C33" s="61"/>
      <c r="D33" s="61"/>
      <c r="E33" s="40"/>
      <c r="F33" s="40"/>
      <c r="G33" s="40"/>
      <c r="H33" s="40"/>
      <c r="I33" s="40"/>
    </row>
    <row r="34" spans="1:256">
      <c r="A34" s="63"/>
      <c r="B34" s="37"/>
      <c r="C34" s="37"/>
      <c r="D34" s="37"/>
      <c r="E34" s="8"/>
      <c r="F34" s="8"/>
      <c r="G34" s="37"/>
      <c r="H34" s="3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>
      <c r="A35" s="64" t="s">
        <v>123</v>
      </c>
      <c r="B35" s="65" t="s">
        <v>124</v>
      </c>
      <c r="C35" s="37"/>
      <c r="D35" s="37"/>
      <c r="E35" s="8"/>
      <c r="F35" s="8"/>
      <c r="G35" s="37"/>
      <c r="H35" s="37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</row>
    <row r="36" spans="1:256">
      <c r="A36"/>
      <c r="B36" s="66" t="s">
        <v>125</v>
      </c>
      <c r="C36" s="37"/>
      <c r="D36" s="37"/>
      <c r="E36" s="8"/>
      <c r="F36" s="8"/>
      <c r="G36" s="37"/>
      <c r="H36" s="37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</row>
    <row r="37" spans="1:256">
      <c r="A37" s="45"/>
      <c r="B37" s="67" t="s">
        <v>126</v>
      </c>
      <c r="C37" s="67" t="s">
        <v>127</v>
      </c>
      <c r="D37" s="68" t="s">
        <v>128</v>
      </c>
      <c r="E37" s="68" t="s">
        <v>29</v>
      </c>
      <c r="F37" s="68" t="s">
        <v>129</v>
      </c>
      <c r="G37" s="68" t="s">
        <v>130</v>
      </c>
      <c r="H37" s="69" t="s">
        <v>131</v>
      </c>
      <c r="I37" s="68" t="s">
        <v>74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</row>
    <row r="38" spans="1:256" ht="63.75" customHeight="1">
      <c r="A38" s="18" t="s">
        <v>29</v>
      </c>
      <c r="B38" s="23" t="s">
        <v>132</v>
      </c>
      <c r="C38" s="70" t="s">
        <v>133</v>
      </c>
      <c r="D38" s="20" t="s">
        <v>134</v>
      </c>
      <c r="E38" s="19" t="s">
        <v>135</v>
      </c>
      <c r="F38" s="20" t="s">
        <v>136</v>
      </c>
      <c r="G38" s="19" t="s">
        <v>137</v>
      </c>
      <c r="H38" s="71" t="s">
        <v>138</v>
      </c>
      <c r="I38" s="23" t="s">
        <v>139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 spans="1:256" ht="12.75" customHeight="1">
      <c r="A39" s="50" t="s">
        <v>89</v>
      </c>
      <c r="B39" s="51" t="s">
        <v>140</v>
      </c>
      <c r="C39" s="72" t="s">
        <v>141</v>
      </c>
      <c r="D39" s="73" t="s">
        <v>142</v>
      </c>
      <c r="E39" s="32"/>
      <c r="F39" s="32" t="s">
        <v>143</v>
      </c>
      <c r="G39" s="32"/>
      <c r="H39" s="74"/>
      <c r="I39" s="32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</row>
    <row r="40" spans="1:256">
      <c r="A40" s="26" t="s">
        <v>59</v>
      </c>
      <c r="B40" s="51" t="s">
        <v>60</v>
      </c>
      <c r="C40" s="32" t="s">
        <v>60</v>
      </c>
      <c r="D40" s="32" t="s">
        <v>60</v>
      </c>
      <c r="E40" s="32" t="s">
        <v>60</v>
      </c>
      <c r="F40" s="32" t="s">
        <v>60</v>
      </c>
      <c r="G40" s="32" t="s">
        <v>60</v>
      </c>
      <c r="H40" s="33" t="s">
        <v>60</v>
      </c>
      <c r="I40" s="32" t="s">
        <v>60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</row>
    <row r="41" spans="1:256">
      <c r="A41" s="36"/>
      <c r="B41" s="37"/>
      <c r="C41" s="37"/>
      <c r="D41" s="37"/>
      <c r="E41" s="8"/>
      <c r="F41" s="8"/>
      <c r="G41" s="37"/>
      <c r="H41" s="37"/>
      <c r="I41" s="37"/>
      <c r="J41" s="37"/>
      <c r="K41" s="37"/>
      <c r="L41" s="37"/>
      <c r="M41" s="8"/>
      <c r="N41" s="37"/>
      <c r="O41" s="37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</row>
    <row r="42" spans="1:256">
      <c r="A42" s="63"/>
      <c r="B42" s="37"/>
      <c r="C42" s="37"/>
      <c r="D42" s="37"/>
      <c r="E42" s="8"/>
      <c r="F42" s="8"/>
      <c r="G42" s="37"/>
      <c r="H42" s="37"/>
      <c r="I42" s="37"/>
      <c r="J42" s="37"/>
      <c r="K42" s="37"/>
      <c r="L42" s="37"/>
      <c r="M42" s="8"/>
      <c r="N42" s="37"/>
      <c r="O42" s="37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</row>
    <row r="43" spans="1:256">
      <c r="A43" s="64" t="s">
        <v>144</v>
      </c>
      <c r="B43" s="65" t="s">
        <v>145</v>
      </c>
      <c r="C43" s="37"/>
      <c r="D43" s="37"/>
      <c r="E43" s="8"/>
      <c r="F43" s="37"/>
      <c r="G43" s="37"/>
      <c r="H43" s="37"/>
      <c r="I43" s="8"/>
      <c r="J43" s="37"/>
      <c r="K43" s="37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</row>
    <row r="44" spans="1:256">
      <c r="A44" s="45"/>
      <c r="B44" s="75" t="s">
        <v>146</v>
      </c>
      <c r="C44" s="75" t="s">
        <v>147</v>
      </c>
      <c r="D44" s="75" t="s">
        <v>148</v>
      </c>
      <c r="E44" s="76" t="s">
        <v>149</v>
      </c>
      <c r="F44" s="75" t="s">
        <v>150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</row>
    <row r="45" spans="1:256" ht="63.75" customHeight="1">
      <c r="A45" s="18" t="s">
        <v>29</v>
      </c>
      <c r="B45" s="20" t="s">
        <v>151</v>
      </c>
      <c r="C45" s="20" t="s">
        <v>152</v>
      </c>
      <c r="D45" s="20" t="s">
        <v>153</v>
      </c>
      <c r="E45" s="77" t="s">
        <v>154</v>
      </c>
      <c r="F45" s="20" t="s">
        <v>155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</row>
    <row r="46" spans="1:256" ht="12.75" customHeight="1">
      <c r="A46" s="50" t="s">
        <v>89</v>
      </c>
      <c r="B46" s="78" t="s">
        <v>156</v>
      </c>
      <c r="C46" s="72" t="s">
        <v>157</v>
      </c>
      <c r="D46" s="72" t="s">
        <v>158</v>
      </c>
      <c r="E46" s="77"/>
      <c r="F46" s="72" t="s">
        <v>159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</row>
    <row r="47" spans="1:256">
      <c r="A47" s="26" t="s">
        <v>59</v>
      </c>
      <c r="B47" s="32" t="s">
        <v>60</v>
      </c>
      <c r="C47" s="32" t="s">
        <v>60</v>
      </c>
      <c r="D47" s="32" t="s">
        <v>60</v>
      </c>
      <c r="E47" s="77" t="s">
        <v>60</v>
      </c>
      <c r="F47" s="60" t="s">
        <v>60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</row>
    <row r="48" spans="1:256">
      <c r="A48" s="36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</row>
    <row r="49" spans="1:256" s="80" customFormat="1" ht="12.75" customHeight="1">
      <c r="A49" s="79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56" ht="12.75" customHeight="1">
      <c r="A50" s="81" t="s">
        <v>160</v>
      </c>
      <c r="B50" s="42" t="s">
        <v>161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</row>
    <row r="51" spans="1:256" ht="12.75" customHeight="1">
      <c r="A51" s="79"/>
      <c r="B51" s="42" t="s">
        <v>162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</row>
    <row r="52" spans="1:256">
      <c r="A52" s="45"/>
      <c r="B52" s="14" t="s">
        <v>163</v>
      </c>
      <c r="C52" s="14" t="s">
        <v>164</v>
      </c>
      <c r="D52" s="14" t="s">
        <v>165</v>
      </c>
      <c r="E52" s="15" t="s">
        <v>166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</row>
    <row r="53" spans="1:256" ht="63.75" customHeight="1">
      <c r="A53" s="18" t="s">
        <v>29</v>
      </c>
      <c r="B53" s="20" t="s">
        <v>167</v>
      </c>
      <c r="C53" s="20" t="s">
        <v>168</v>
      </c>
      <c r="D53" s="20" t="s">
        <v>169</v>
      </c>
      <c r="E53" s="20" t="s">
        <v>170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</row>
    <row r="54" spans="1:256" ht="25.5">
      <c r="A54" s="50" t="s">
        <v>89</v>
      </c>
      <c r="B54" s="82" t="s">
        <v>171</v>
      </c>
      <c r="C54" s="82" t="s">
        <v>172</v>
      </c>
      <c r="D54" s="82" t="s">
        <v>173</v>
      </c>
      <c r="E54" s="78" t="s">
        <v>174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</row>
    <row r="55" spans="1:256">
      <c r="A55" s="26" t="s">
        <v>59</v>
      </c>
      <c r="B55" s="32" t="s">
        <v>60</v>
      </c>
      <c r="C55" s="32" t="s">
        <v>60</v>
      </c>
      <c r="D55" s="32" t="s">
        <v>60</v>
      </c>
      <c r="E55" s="60" t="s">
        <v>60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</row>
    <row r="56" spans="1:256" s="44" customFormat="1">
      <c r="A56" s="36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</row>
    <row r="57" spans="1:256" ht="12.75" customHeight="1">
      <c r="A57" s="79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</row>
    <row r="58" spans="1:256" ht="12.75" customHeight="1">
      <c r="A58" s="81" t="s">
        <v>175</v>
      </c>
      <c r="B58" s="42" t="s">
        <v>176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</row>
    <row r="59" spans="1:256" ht="12.75" customHeight="1">
      <c r="A59" s="79"/>
      <c r="B59" s="42" t="s">
        <v>177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</row>
    <row r="60" spans="1:256">
      <c r="A60" s="45"/>
      <c r="B60" s="67" t="s">
        <v>178</v>
      </c>
      <c r="C60" s="68" t="s">
        <v>179</v>
      </c>
      <c r="D60" s="68" t="s">
        <v>29</v>
      </c>
      <c r="E60" s="68" t="s">
        <v>180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</row>
    <row r="61" spans="1:256" ht="63.75" customHeight="1">
      <c r="A61" s="18" t="s">
        <v>29</v>
      </c>
      <c r="B61" s="20" t="s">
        <v>181</v>
      </c>
      <c r="C61" s="20" t="s">
        <v>182</v>
      </c>
      <c r="D61" s="20" t="s">
        <v>183</v>
      </c>
      <c r="E61" s="18" t="s">
        <v>184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</row>
    <row r="62" spans="1:256" ht="13.15" customHeight="1">
      <c r="A62" s="473" t="s">
        <v>89</v>
      </c>
      <c r="B62" s="20" t="s">
        <v>185</v>
      </c>
      <c r="C62" s="20" t="s">
        <v>186</v>
      </c>
      <c r="D62" s="20"/>
      <c r="E62" s="20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</row>
    <row r="63" spans="1:256">
      <c r="A63" s="473"/>
      <c r="B63" s="82" t="s">
        <v>187</v>
      </c>
      <c r="C63" s="82" t="s">
        <v>187</v>
      </c>
      <c r="D63"/>
      <c r="E63" s="82" t="s">
        <v>185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</row>
    <row r="64" spans="1:256">
      <c r="A64" s="26" t="s">
        <v>59</v>
      </c>
      <c r="B64" s="32" t="s">
        <v>60</v>
      </c>
      <c r="C64" s="32" t="s">
        <v>60</v>
      </c>
      <c r="D64" s="32" t="s">
        <v>60</v>
      </c>
      <c r="E64" s="60" t="s">
        <v>60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</row>
    <row r="65" spans="1:256" s="44" customFormat="1">
      <c r="A65" s="36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 spans="1:256" s="44" customFormat="1" ht="12.75" customHeight="1">
      <c r="A66" s="79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</row>
    <row r="67" spans="1:256" ht="12.75" customHeight="1">
      <c r="A67" s="81" t="s">
        <v>188</v>
      </c>
      <c r="B67" s="42" t="s">
        <v>189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</row>
    <row r="68" spans="1:256">
      <c r="A68" s="45"/>
      <c r="B68" s="83" t="s">
        <v>150</v>
      </c>
      <c r="C68" s="84" t="s">
        <v>190</v>
      </c>
      <c r="D68" s="84" t="s">
        <v>191</v>
      </c>
      <c r="E68" s="85" t="s">
        <v>21</v>
      </c>
      <c r="F68" s="85" t="s">
        <v>22</v>
      </c>
      <c r="G68" s="85" t="s">
        <v>192</v>
      </c>
      <c r="H68" s="17" t="s">
        <v>193</v>
      </c>
      <c r="I68" s="86" t="s">
        <v>194</v>
      </c>
      <c r="J68" s="15" t="s">
        <v>195</v>
      </c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</row>
    <row r="69" spans="1:256" ht="52.9" customHeight="1">
      <c r="A69" s="474" t="s">
        <v>29</v>
      </c>
      <c r="B69" s="475" t="s">
        <v>196</v>
      </c>
      <c r="C69" s="87" t="s">
        <v>197</v>
      </c>
      <c r="D69" s="87" t="s">
        <v>198</v>
      </c>
      <c r="E69" s="467" t="s">
        <v>199</v>
      </c>
      <c r="F69" s="467" t="s">
        <v>200</v>
      </c>
      <c r="G69" s="467" t="s">
        <v>201</v>
      </c>
      <c r="H69" s="467" t="s">
        <v>202</v>
      </c>
      <c r="I69" s="88" t="s">
        <v>203</v>
      </c>
      <c r="J69" s="87" t="s">
        <v>203</v>
      </c>
      <c r="K69" s="89"/>
      <c r="L69" s="8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</row>
    <row r="70" spans="1:256" ht="38.25">
      <c r="A70" s="474"/>
      <c r="B70" s="475"/>
      <c r="C70" s="90" t="s">
        <v>204</v>
      </c>
      <c r="D70" s="90" t="s">
        <v>205</v>
      </c>
      <c r="E70" s="467"/>
      <c r="F70" s="467"/>
      <c r="G70" s="467"/>
      <c r="H70" s="467"/>
      <c r="I70" s="90" t="s">
        <v>206</v>
      </c>
      <c r="J70" s="90" t="s">
        <v>207</v>
      </c>
      <c r="K70" s="40"/>
      <c r="L70" s="4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</row>
    <row r="71" spans="1:256" ht="25.5">
      <c r="A71" s="50" t="s">
        <v>89</v>
      </c>
      <c r="B71" s="72" t="s">
        <v>159</v>
      </c>
      <c r="C71" s="90" t="s">
        <v>208</v>
      </c>
      <c r="D71" s="90" t="s">
        <v>209</v>
      </c>
      <c r="E71" s="20">
        <v>1</v>
      </c>
      <c r="F71" s="51">
        <v>3</v>
      </c>
      <c r="G71" s="51"/>
      <c r="H71" s="51"/>
      <c r="I71" s="90" t="s">
        <v>210</v>
      </c>
      <c r="J71" s="90" t="s">
        <v>211</v>
      </c>
      <c r="K71" s="40"/>
      <c r="L71" s="40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</row>
    <row r="72" spans="1:256">
      <c r="A72" s="26" t="s">
        <v>59</v>
      </c>
      <c r="B72" s="32" t="s">
        <v>60</v>
      </c>
      <c r="C72" s="32" t="s">
        <v>60</v>
      </c>
      <c r="D72" s="32" t="s">
        <v>60</v>
      </c>
      <c r="E72" s="60" t="s">
        <v>60</v>
      </c>
      <c r="F72" s="60" t="s">
        <v>60</v>
      </c>
      <c r="G72" s="51" t="s">
        <v>62</v>
      </c>
      <c r="H72" s="51" t="s">
        <v>62</v>
      </c>
      <c r="I72" s="91" t="s">
        <v>212</v>
      </c>
      <c r="J72" s="51" t="s">
        <v>213</v>
      </c>
      <c r="K72" s="40"/>
      <c r="L72" s="40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</row>
    <row r="73" spans="1:256">
      <c r="A73" s="63"/>
      <c r="B73" s="37"/>
      <c r="C73" s="37"/>
      <c r="D73" s="37"/>
      <c r="E73" s="8"/>
      <c r="F73" s="40"/>
      <c r="G73" s="40"/>
      <c r="H73" s="40"/>
      <c r="I73" s="40"/>
      <c r="J73" s="40"/>
      <c r="K73" s="40"/>
      <c r="L73" s="40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</row>
    <row r="74" spans="1:256">
      <c r="A74" s="36"/>
      <c r="B74" s="43"/>
      <c r="C74" s="40"/>
      <c r="D74" s="54"/>
      <c r="E74" s="40"/>
      <c r="F74" s="40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</row>
    <row r="75" spans="1:256">
      <c r="A75" s="92" t="s">
        <v>214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</row>
    <row r="76" spans="1:256" s="96" customFormat="1">
      <c r="A76" s="93"/>
      <c r="B76" s="94" t="s">
        <v>215</v>
      </c>
      <c r="C76" s="95" t="s">
        <v>216</v>
      </c>
      <c r="D76" s="94" t="s">
        <v>217</v>
      </c>
      <c r="E76" s="95" t="s">
        <v>218</v>
      </c>
      <c r="F76" s="95" t="s">
        <v>219</v>
      </c>
      <c r="G76" s="95" t="s">
        <v>29</v>
      </c>
    </row>
    <row r="77" spans="1:256" s="100" customFormat="1" ht="25.5">
      <c r="A77" s="97" t="s">
        <v>29</v>
      </c>
      <c r="B77" s="98" t="s">
        <v>220</v>
      </c>
      <c r="C77" s="98" t="s">
        <v>221</v>
      </c>
      <c r="D77" s="98" t="s">
        <v>222</v>
      </c>
      <c r="E77" s="98" t="s">
        <v>223</v>
      </c>
      <c r="F77" s="99" t="s">
        <v>224</v>
      </c>
      <c r="G77" s="98" t="s">
        <v>225</v>
      </c>
    </row>
    <row r="78" spans="1:256" s="96" customFormat="1" ht="38.25">
      <c r="A78" s="101" t="s">
        <v>46</v>
      </c>
      <c r="B78" s="102" t="s">
        <v>226</v>
      </c>
      <c r="C78" s="103" t="s">
        <v>227</v>
      </c>
      <c r="D78" s="98" t="s">
        <v>228</v>
      </c>
      <c r="E78" s="53">
        <v>39</v>
      </c>
      <c r="F78" s="104">
        <v>40568</v>
      </c>
      <c r="G78" s="53"/>
    </row>
    <row r="79" spans="1:256" ht="38.25">
      <c r="A79" s="105" t="s">
        <v>59</v>
      </c>
      <c r="B79" s="98" t="s">
        <v>60</v>
      </c>
      <c r="C79" s="98" t="s">
        <v>60</v>
      </c>
      <c r="D79" s="98" t="s">
        <v>229</v>
      </c>
      <c r="E79" s="53" t="s">
        <v>62</v>
      </c>
      <c r="F79" s="53" t="s">
        <v>230</v>
      </c>
      <c r="G79" s="98" t="s">
        <v>60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</row>
    <row r="80" spans="1:256">
      <c r="A80" s="106"/>
      <c r="B80" s="107"/>
      <c r="C80" s="107"/>
      <c r="D80" s="107"/>
      <c r="E80" s="108"/>
      <c r="F80" s="108"/>
      <c r="G80" s="107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</row>
    <row r="81" spans="1:256">
      <c r="A81" s="39"/>
      <c r="B81" s="40"/>
      <c r="C81" s="40"/>
      <c r="D81" s="40"/>
      <c r="E81" s="40"/>
      <c r="F81" s="40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</row>
    <row r="82" spans="1:256" s="44" customFormat="1" ht="12.75" customHeight="1">
      <c r="A82" s="81" t="s">
        <v>231</v>
      </c>
      <c r="B82" s="42" t="s">
        <v>232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</row>
    <row r="83" spans="1:256">
      <c r="A83" s="45"/>
      <c r="B83" s="109" t="s">
        <v>233</v>
      </c>
      <c r="C83" s="109" t="s">
        <v>234</v>
      </c>
      <c r="D83" s="109" t="s">
        <v>235</v>
      </c>
      <c r="E83"/>
      <c r="F83"/>
      <c r="G83"/>
      <c r="H83"/>
      <c r="I83"/>
      <c r="J83"/>
    </row>
    <row r="84" spans="1:256" ht="38.25" customHeight="1">
      <c r="A84" s="48" t="s">
        <v>29</v>
      </c>
      <c r="B84" s="21" t="s">
        <v>236</v>
      </c>
      <c r="C84" s="21" t="s">
        <v>237</v>
      </c>
      <c r="D84" s="21" t="s">
        <v>238</v>
      </c>
      <c r="E84"/>
      <c r="F84"/>
      <c r="G84"/>
      <c r="H84"/>
      <c r="I84"/>
      <c r="J84"/>
    </row>
    <row r="85" spans="1:256">
      <c r="A85" s="50" t="s">
        <v>89</v>
      </c>
      <c r="B85" s="31">
        <v>1</v>
      </c>
      <c r="C85" s="110">
        <v>3</v>
      </c>
      <c r="D85" s="31" t="s">
        <v>239</v>
      </c>
      <c r="E85"/>
      <c r="F85"/>
      <c r="G85"/>
      <c r="H85"/>
      <c r="I85"/>
      <c r="J85"/>
    </row>
    <row r="86" spans="1:256" ht="140.25">
      <c r="A86" s="26" t="s">
        <v>59</v>
      </c>
      <c r="B86" s="49" t="s">
        <v>240</v>
      </c>
      <c r="C86" s="49" t="s">
        <v>241</v>
      </c>
      <c r="D86" s="49" t="s">
        <v>242</v>
      </c>
      <c r="E86"/>
      <c r="F86"/>
      <c r="G86"/>
      <c r="H86"/>
      <c r="I86"/>
      <c r="J86"/>
    </row>
    <row r="89" spans="1:256" ht="12.75" customHeight="1"/>
    <row r="90" spans="1:256" ht="12.75" customHeight="1"/>
    <row r="92" spans="1:256" ht="12.75" customHeight="1"/>
    <row r="93" spans="1:256" ht="12.75" customHeight="1"/>
    <row r="95" spans="1:256" ht="12.75" customHeight="1"/>
  </sheetData>
  <sheetProtection selectLockedCells="1" selectUnlockedCells="1"/>
  <mergeCells count="12">
    <mergeCell ref="H69:H70"/>
    <mergeCell ref="A5:E5"/>
    <mergeCell ref="A7:A9"/>
    <mergeCell ref="B7:E7"/>
    <mergeCell ref="B8:E8"/>
    <mergeCell ref="B9:E9"/>
    <mergeCell ref="A62:A63"/>
    <mergeCell ref="A69:A70"/>
    <mergeCell ref="B69:B70"/>
    <mergeCell ref="E69:E70"/>
    <mergeCell ref="F69:F70"/>
    <mergeCell ref="G69:G70"/>
  </mergeCells>
  <hyperlinks>
    <hyperlink ref="G31" r:id="rId1"/>
    <hyperlink ref="C78" r:id="rId2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 enableFormatConditionsCalculation="0">
    <tabColor indexed="10"/>
  </sheetPr>
  <dimension ref="A1:P3"/>
  <sheetViews>
    <sheetView zoomScale="95" zoomScaleNormal="95" workbookViewId="0">
      <selection activeCell="G11" sqref="G11"/>
    </sheetView>
  </sheetViews>
  <sheetFormatPr baseColWidth="10" defaultColWidth="12.85546875" defaultRowHeight="12.75"/>
  <cols>
    <col min="1" max="1" width="18" style="111" bestFit="1" customWidth="1"/>
    <col min="2" max="2" width="14.5703125" style="111" customWidth="1"/>
    <col min="3" max="3" width="15.85546875" style="112" customWidth="1"/>
    <col min="4" max="4" width="13.85546875" style="112" customWidth="1"/>
    <col min="5" max="5" width="12.42578125" style="112" customWidth="1"/>
    <col min="6" max="6" width="20" style="112" customWidth="1"/>
    <col min="7" max="7" width="22.28515625" style="112" customWidth="1"/>
    <col min="8" max="8" width="6.28515625" style="112" customWidth="1"/>
    <col min="9" max="10" width="2.42578125" style="113" customWidth="1"/>
    <col min="11" max="11" width="19.28515625" style="112" customWidth="1"/>
    <col min="12" max="13" width="12.42578125" style="112" customWidth="1"/>
    <col min="14" max="14" width="17" style="112" customWidth="1"/>
    <col min="15" max="15" width="8.7109375" style="112" customWidth="1"/>
    <col min="16" max="16" width="13.5703125" style="112" customWidth="1"/>
  </cols>
  <sheetData>
    <row r="1" spans="1:16">
      <c r="A1" s="114" t="s">
        <v>13</v>
      </c>
      <c r="B1" s="114" t="s">
        <v>14</v>
      </c>
      <c r="C1" s="115" t="s">
        <v>15</v>
      </c>
      <c r="D1" s="115" t="s">
        <v>16</v>
      </c>
      <c r="E1" s="115" t="s">
        <v>17</v>
      </c>
      <c r="F1" s="115" t="s">
        <v>18</v>
      </c>
      <c r="G1" s="115" t="s">
        <v>19</v>
      </c>
      <c r="H1" s="115" t="s">
        <v>20</v>
      </c>
      <c r="I1" s="116" t="s">
        <v>21</v>
      </c>
      <c r="J1" s="116" t="s">
        <v>22</v>
      </c>
      <c r="K1" s="115" t="s">
        <v>23</v>
      </c>
      <c r="L1" s="115" t="s">
        <v>24</v>
      </c>
      <c r="M1" s="115" t="s">
        <v>25</v>
      </c>
      <c r="N1" s="115" t="s">
        <v>26</v>
      </c>
      <c r="O1" s="115" t="s">
        <v>27</v>
      </c>
      <c r="P1" s="115" t="s">
        <v>28</v>
      </c>
    </row>
    <row r="2" spans="1:16">
      <c r="A2" s="111" t="s">
        <v>8172</v>
      </c>
      <c r="B2" s="111" t="s">
        <v>8173</v>
      </c>
      <c r="C2" s="151">
        <v>41892</v>
      </c>
      <c r="D2" s="151">
        <v>42208</v>
      </c>
      <c r="F2" s="112" t="s">
        <v>8506</v>
      </c>
      <c r="G2" s="112" t="s">
        <v>8174</v>
      </c>
      <c r="I2" s="113" t="s">
        <v>54</v>
      </c>
      <c r="J2" s="113" t="s">
        <v>55</v>
      </c>
      <c r="K2" s="112" t="s">
        <v>8182</v>
      </c>
      <c r="N2" s="112" t="s">
        <v>243</v>
      </c>
    </row>
    <row r="3" spans="1:16">
      <c r="A3" s="111" t="s">
        <v>8172</v>
      </c>
      <c r="B3" s="111" t="s">
        <v>8173</v>
      </c>
      <c r="C3" s="151">
        <v>41892</v>
      </c>
      <c r="D3" s="151">
        <v>42208</v>
      </c>
      <c r="F3" s="112" t="s">
        <v>11647</v>
      </c>
      <c r="G3" s="112" t="s">
        <v>8174</v>
      </c>
      <c r="I3" s="113" t="s">
        <v>54</v>
      </c>
      <c r="J3" s="113" t="s">
        <v>55</v>
      </c>
      <c r="K3" s="112" t="s">
        <v>8182</v>
      </c>
      <c r="N3" s="112" t="s">
        <v>243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" enableFormatConditionsCalculation="0">
    <tabColor indexed="10"/>
  </sheetPr>
  <dimension ref="A1:L2"/>
  <sheetViews>
    <sheetView workbookViewId="0">
      <selection activeCell="G9" sqref="G9"/>
    </sheetView>
  </sheetViews>
  <sheetFormatPr baseColWidth="10" defaultColWidth="10.7109375" defaultRowHeight="12.75"/>
  <cols>
    <col min="1" max="1" width="11.85546875" style="117" customWidth="1"/>
    <col min="2" max="2" width="13.42578125" style="118" customWidth="1"/>
    <col min="3" max="3" width="11" style="118" customWidth="1"/>
    <col min="4" max="4" width="10.140625" style="118" customWidth="1"/>
    <col min="5" max="5" width="10.42578125" style="118" customWidth="1"/>
    <col min="6" max="6" width="6.5703125" style="118" customWidth="1"/>
    <col min="7" max="7" width="25.140625" style="117" customWidth="1"/>
    <col min="8" max="8" width="11.28515625" style="118" customWidth="1"/>
    <col min="9" max="9" width="12.140625" style="118" customWidth="1"/>
    <col min="10" max="10" width="10.42578125" style="118" customWidth="1"/>
    <col min="11" max="11" width="19.28515625" style="112" customWidth="1"/>
    <col min="12" max="12" width="22.42578125" style="112" customWidth="1"/>
  </cols>
  <sheetData>
    <row r="1" spans="1:12" s="92" customFormat="1">
      <c r="A1" s="119" t="s">
        <v>65</v>
      </c>
      <c r="B1" s="120" t="s">
        <v>66</v>
      </c>
      <c r="C1" s="120" t="s">
        <v>67</v>
      </c>
      <c r="D1" s="120" t="s">
        <v>68</v>
      </c>
      <c r="E1" s="120" t="s">
        <v>69</v>
      </c>
      <c r="F1" s="120" t="s">
        <v>70</v>
      </c>
      <c r="G1" s="119" t="s">
        <v>71</v>
      </c>
      <c r="H1" s="121" t="s">
        <v>72</v>
      </c>
      <c r="I1" s="121" t="s">
        <v>73</v>
      </c>
      <c r="J1" s="120" t="s">
        <v>74</v>
      </c>
      <c r="K1" s="122" t="s">
        <v>75</v>
      </c>
      <c r="L1" s="122" t="s">
        <v>76</v>
      </c>
    </row>
    <row r="2" spans="1:12">
      <c r="A2" s="117" t="s">
        <v>8183</v>
      </c>
      <c r="B2" s="118" t="s">
        <v>8690</v>
      </c>
      <c r="C2" s="118" t="s">
        <v>8691</v>
      </c>
      <c r="G2" s="117" t="s">
        <v>91</v>
      </c>
      <c r="H2" s="123"/>
      <c r="I2" s="123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 enableFormatConditionsCalculation="0">
    <tabColor indexed="10"/>
  </sheetPr>
  <dimension ref="A1:H2"/>
  <sheetViews>
    <sheetView zoomScale="95" zoomScaleNormal="95" workbookViewId="0">
      <selection activeCell="M18" sqref="M18"/>
    </sheetView>
  </sheetViews>
  <sheetFormatPr baseColWidth="10" defaultColWidth="10.7109375" defaultRowHeight="12.75"/>
  <cols>
    <col min="1" max="1" width="8.7109375" style="124" customWidth="1"/>
    <col min="2" max="2" width="10.85546875" style="124" customWidth="1"/>
    <col min="3" max="3" width="11.140625" style="124" customWidth="1"/>
    <col min="4" max="4" width="7.42578125" style="112" customWidth="1"/>
    <col min="5" max="5" width="4.5703125" style="118" customWidth="1"/>
    <col min="6" max="6" width="26" style="124" customWidth="1"/>
    <col min="7" max="7" width="23.7109375" style="124" customWidth="1"/>
    <col min="8" max="8" width="12" style="112" customWidth="1"/>
  </cols>
  <sheetData>
    <row r="1" spans="1:8">
      <c r="A1" s="114" t="s">
        <v>97</v>
      </c>
      <c r="B1" s="114" t="s">
        <v>98</v>
      </c>
      <c r="C1" s="114" t="s">
        <v>99</v>
      </c>
      <c r="D1" s="115" t="s">
        <v>100</v>
      </c>
      <c r="E1" s="125" t="s">
        <v>101</v>
      </c>
      <c r="F1" s="114" t="s">
        <v>102</v>
      </c>
      <c r="G1" s="114" t="s">
        <v>103</v>
      </c>
      <c r="H1" s="115" t="s">
        <v>104</v>
      </c>
    </row>
    <row r="2" spans="1:8">
      <c r="A2" s="124" t="s">
        <v>8692</v>
      </c>
      <c r="B2" s="124" t="s">
        <v>7447</v>
      </c>
      <c r="C2" s="124" t="s">
        <v>7448</v>
      </c>
      <c r="F2" s="152" t="s">
        <v>7449</v>
      </c>
      <c r="G2" s="124" t="s">
        <v>7450</v>
      </c>
    </row>
  </sheetData>
  <sheetProtection selectLockedCells="1" selectUnlockedCells="1"/>
  <hyperlinks>
    <hyperlink ref="F2" r:id="rId1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 enableFormatConditionsCalculation="0">
    <tabColor indexed="10"/>
  </sheetPr>
  <dimension ref="A1:H45"/>
  <sheetViews>
    <sheetView topLeftCell="A40" zoomScale="85" zoomScaleNormal="85" workbookViewId="0">
      <selection activeCell="F44" sqref="F44"/>
    </sheetView>
  </sheetViews>
  <sheetFormatPr baseColWidth="10" defaultColWidth="12.7109375" defaultRowHeight="12.75"/>
  <cols>
    <col min="1" max="1" width="41.42578125" style="124" customWidth="1"/>
    <col min="2" max="2" width="17.7109375" style="124" bestFit="1" customWidth="1"/>
    <col min="3" max="3" width="28.140625" style="112" bestFit="1" customWidth="1"/>
    <col min="4" max="4" width="85.28515625" style="112" bestFit="1" customWidth="1"/>
    <col min="5" max="5" width="17.28515625" style="112" customWidth="1"/>
    <col min="6" max="6" width="47.42578125" style="112" customWidth="1"/>
    <col min="7" max="7" width="15.42578125" style="112" customWidth="1"/>
    <col min="8" max="8" width="10.42578125" style="112" customWidth="1"/>
    <col min="9" max="16384" width="12.7109375" style="127"/>
  </cols>
  <sheetData>
    <row r="1" spans="1:8" s="128" customFormat="1">
      <c r="A1" s="155" t="s">
        <v>126</v>
      </c>
      <c r="B1" s="155" t="s">
        <v>127</v>
      </c>
      <c r="C1" s="156" t="s">
        <v>128</v>
      </c>
      <c r="D1" s="157" t="s">
        <v>29</v>
      </c>
      <c r="E1" s="157" t="s">
        <v>129</v>
      </c>
      <c r="F1" s="157" t="s">
        <v>130</v>
      </c>
      <c r="G1" s="158" t="s">
        <v>131</v>
      </c>
      <c r="H1" s="158" t="s">
        <v>74</v>
      </c>
    </row>
    <row r="2" spans="1:8" ht="89.25">
      <c r="A2" s="159" t="s">
        <v>244</v>
      </c>
      <c r="B2" s="159" t="s">
        <v>7863</v>
      </c>
      <c r="C2" s="160" t="s">
        <v>7864</v>
      </c>
      <c r="D2" s="161" t="s">
        <v>7865</v>
      </c>
      <c r="E2" s="161" t="s">
        <v>7866</v>
      </c>
      <c r="F2" s="162" t="s">
        <v>7867</v>
      </c>
      <c r="G2" s="163"/>
      <c r="H2" s="163"/>
    </row>
    <row r="3" spans="1:8" ht="38.25">
      <c r="A3" s="159" t="s">
        <v>244</v>
      </c>
      <c r="B3" s="159" t="s">
        <v>7868</v>
      </c>
      <c r="C3" s="160" t="s">
        <v>7869</v>
      </c>
      <c r="D3" s="161" t="s">
        <v>7870</v>
      </c>
      <c r="E3" s="161" t="s">
        <v>7871</v>
      </c>
      <c r="F3" s="162" t="s">
        <v>7872</v>
      </c>
      <c r="G3" s="163"/>
      <c r="H3" s="163"/>
    </row>
    <row r="4" spans="1:8" ht="38.25">
      <c r="A4" s="159" t="s">
        <v>244</v>
      </c>
      <c r="B4" s="159" t="s">
        <v>7873</v>
      </c>
      <c r="C4" s="160" t="s">
        <v>7874</v>
      </c>
      <c r="D4" s="161" t="s">
        <v>7875</v>
      </c>
      <c r="E4" s="161" t="s">
        <v>246</v>
      </c>
      <c r="F4" s="162" t="s">
        <v>7876</v>
      </c>
      <c r="G4" s="163"/>
      <c r="H4" s="163"/>
    </row>
    <row r="5" spans="1:8" ht="76.5">
      <c r="A5" s="309" t="s">
        <v>244</v>
      </c>
      <c r="B5" s="309" t="s">
        <v>7877</v>
      </c>
      <c r="C5" s="160" t="s">
        <v>7878</v>
      </c>
      <c r="D5" s="161" t="s">
        <v>7879</v>
      </c>
      <c r="E5" s="161" t="s">
        <v>247</v>
      </c>
      <c r="F5" s="162" t="s">
        <v>7880</v>
      </c>
      <c r="G5" s="163"/>
      <c r="H5" s="163"/>
    </row>
    <row r="6" spans="1:8" ht="38.25">
      <c r="A6" s="309" t="s">
        <v>244</v>
      </c>
      <c r="B6" s="309" t="s">
        <v>7881</v>
      </c>
      <c r="C6" s="160" t="s">
        <v>7882</v>
      </c>
      <c r="D6" s="161" t="s">
        <v>7883</v>
      </c>
      <c r="E6" s="161" t="s">
        <v>247</v>
      </c>
      <c r="F6" s="162" t="s">
        <v>7884</v>
      </c>
      <c r="G6" s="163"/>
      <c r="H6" s="163"/>
    </row>
    <row r="7" spans="1:8" ht="20.25" customHeight="1">
      <c r="A7" s="159" t="s">
        <v>244</v>
      </c>
      <c r="B7" s="159" t="s">
        <v>254</v>
      </c>
      <c r="C7" s="160" t="s">
        <v>7847</v>
      </c>
      <c r="D7" s="161" t="s">
        <v>7885</v>
      </c>
      <c r="E7" s="161" t="s">
        <v>7886</v>
      </c>
      <c r="F7" s="162" t="s">
        <v>7887</v>
      </c>
      <c r="G7" s="163"/>
      <c r="H7" s="163"/>
    </row>
    <row r="8" spans="1:8" ht="38.25">
      <c r="A8" s="159" t="s">
        <v>244</v>
      </c>
      <c r="B8" s="159" t="s">
        <v>7888</v>
      </c>
      <c r="C8" s="160" t="s">
        <v>7889</v>
      </c>
      <c r="D8" s="161" t="s">
        <v>7890</v>
      </c>
      <c r="E8" s="161" t="s">
        <v>245</v>
      </c>
      <c r="F8" s="162" t="s">
        <v>7891</v>
      </c>
      <c r="G8" s="163"/>
      <c r="H8" s="163"/>
    </row>
    <row r="9" spans="1:8" ht="25.5">
      <c r="A9" s="159" t="s">
        <v>244</v>
      </c>
      <c r="B9" s="159" t="s">
        <v>7892</v>
      </c>
      <c r="C9" s="160" t="s">
        <v>7893</v>
      </c>
      <c r="D9" s="161" t="s">
        <v>7894</v>
      </c>
      <c r="E9" s="161" t="s">
        <v>7871</v>
      </c>
      <c r="F9" s="162" t="s">
        <v>7895</v>
      </c>
      <c r="G9" s="163"/>
      <c r="H9" s="163"/>
    </row>
    <row r="10" spans="1:8" ht="24" customHeight="1">
      <c r="A10" s="159" t="s">
        <v>244</v>
      </c>
      <c r="B10" s="159" t="s">
        <v>253</v>
      </c>
      <c r="C10" s="160" t="s">
        <v>7846</v>
      </c>
      <c r="D10" s="161" t="s">
        <v>7896</v>
      </c>
      <c r="E10" s="161" t="s">
        <v>7886</v>
      </c>
      <c r="F10" s="162" t="s">
        <v>7897</v>
      </c>
      <c r="G10" s="163"/>
      <c r="H10" s="163"/>
    </row>
    <row r="11" spans="1:8" ht="20.25" customHeight="1">
      <c r="A11" s="159" t="s">
        <v>244</v>
      </c>
      <c r="B11" s="159" t="s">
        <v>251</v>
      </c>
      <c r="C11" s="160" t="s">
        <v>7898</v>
      </c>
      <c r="D11" s="161" t="s">
        <v>7899</v>
      </c>
      <c r="E11" s="161" t="s">
        <v>7900</v>
      </c>
      <c r="F11" s="162" t="s">
        <v>7901</v>
      </c>
      <c r="G11" s="163"/>
      <c r="H11" s="163"/>
    </row>
    <row r="12" spans="1:8" ht="25.5">
      <c r="A12" s="159" t="s">
        <v>244</v>
      </c>
      <c r="B12" s="159" t="s">
        <v>248</v>
      </c>
      <c r="C12" s="160" t="s">
        <v>7902</v>
      </c>
      <c r="D12" s="161" t="s">
        <v>7903</v>
      </c>
      <c r="E12" s="161" t="s">
        <v>7886</v>
      </c>
      <c r="F12" s="162" t="s">
        <v>7904</v>
      </c>
      <c r="G12" s="163"/>
      <c r="H12" s="163"/>
    </row>
    <row r="13" spans="1:8" ht="38.25">
      <c r="A13" s="159" t="s">
        <v>244</v>
      </c>
      <c r="B13" s="159" t="s">
        <v>7905</v>
      </c>
      <c r="C13" s="160" t="s">
        <v>7906</v>
      </c>
      <c r="D13" s="161" t="s">
        <v>7907</v>
      </c>
      <c r="E13" s="161" t="s">
        <v>7886</v>
      </c>
      <c r="F13" s="162" t="s">
        <v>7908</v>
      </c>
      <c r="G13" s="163"/>
      <c r="H13" s="163"/>
    </row>
    <row r="14" spans="1:8" ht="51">
      <c r="A14" s="159" t="s">
        <v>244</v>
      </c>
      <c r="B14" s="159" t="s">
        <v>249</v>
      </c>
      <c r="C14" s="160" t="s">
        <v>7909</v>
      </c>
      <c r="D14" s="161" t="s">
        <v>7910</v>
      </c>
      <c r="E14" s="161" t="s">
        <v>250</v>
      </c>
      <c r="F14" s="162" t="s">
        <v>7911</v>
      </c>
      <c r="G14" s="163"/>
      <c r="H14" s="163"/>
    </row>
    <row r="15" spans="1:8" ht="25.5">
      <c r="A15" s="159" t="s">
        <v>244</v>
      </c>
      <c r="B15" s="159" t="s">
        <v>8016</v>
      </c>
      <c r="C15" s="160" t="s">
        <v>7912</v>
      </c>
      <c r="D15" s="161" t="s">
        <v>7913</v>
      </c>
      <c r="E15" s="161" t="s">
        <v>143</v>
      </c>
      <c r="F15" s="162" t="s">
        <v>7914</v>
      </c>
      <c r="G15" s="163"/>
      <c r="H15" s="164"/>
    </row>
    <row r="16" spans="1:8" ht="60">
      <c r="A16" s="159" t="s">
        <v>244</v>
      </c>
      <c r="B16" s="159" t="s">
        <v>7915</v>
      </c>
      <c r="C16" s="160" t="s">
        <v>7916</v>
      </c>
      <c r="D16" s="161" t="s">
        <v>7917</v>
      </c>
      <c r="E16" s="161" t="s">
        <v>7918</v>
      </c>
      <c r="F16" s="162" t="s">
        <v>7919</v>
      </c>
      <c r="G16" s="163"/>
      <c r="H16" s="163"/>
    </row>
    <row r="17" spans="1:8" ht="36">
      <c r="A17" s="159" t="s">
        <v>244</v>
      </c>
      <c r="B17" s="159" t="s">
        <v>7920</v>
      </c>
      <c r="C17" s="160" t="s">
        <v>7921</v>
      </c>
      <c r="D17" s="161" t="s">
        <v>7922</v>
      </c>
      <c r="E17" s="161" t="s">
        <v>7923</v>
      </c>
      <c r="F17" s="162" t="s">
        <v>7919</v>
      </c>
      <c r="G17" s="163"/>
      <c r="H17" s="163"/>
    </row>
    <row r="18" spans="1:8" ht="36">
      <c r="A18" s="166" t="s">
        <v>244</v>
      </c>
      <c r="B18" s="166" t="s">
        <v>7924</v>
      </c>
      <c r="C18" s="167" t="s">
        <v>7925</v>
      </c>
      <c r="D18" s="168" t="s">
        <v>7926</v>
      </c>
      <c r="E18" s="168" t="s">
        <v>7923</v>
      </c>
      <c r="F18" s="169" t="s">
        <v>7919</v>
      </c>
      <c r="G18" s="170"/>
      <c r="H18" s="170"/>
    </row>
    <row r="19" spans="1:8" ht="114.75">
      <c r="A19" s="159" t="s">
        <v>244</v>
      </c>
      <c r="B19" s="159" t="s">
        <v>7927</v>
      </c>
      <c r="C19" s="160" t="s">
        <v>7928</v>
      </c>
      <c r="D19" s="165" t="s">
        <v>7929</v>
      </c>
      <c r="E19" s="161" t="s">
        <v>7923</v>
      </c>
      <c r="F19" s="162" t="s">
        <v>7930</v>
      </c>
      <c r="G19" s="163"/>
      <c r="H19" s="163"/>
    </row>
    <row r="20" spans="1:8" ht="36">
      <c r="A20" s="159" t="s">
        <v>244</v>
      </c>
      <c r="B20" s="159" t="s">
        <v>7931</v>
      </c>
      <c r="C20" s="160" t="s">
        <v>7932</v>
      </c>
      <c r="D20" s="161" t="s">
        <v>7933</v>
      </c>
      <c r="E20" s="161" t="s">
        <v>7923</v>
      </c>
      <c r="F20" s="162" t="s">
        <v>7919</v>
      </c>
      <c r="G20" s="163"/>
      <c r="H20" s="163"/>
    </row>
    <row r="21" spans="1:8" ht="36">
      <c r="A21" s="159" t="s">
        <v>244</v>
      </c>
      <c r="B21" s="159" t="s">
        <v>7934</v>
      </c>
      <c r="C21" s="160" t="s">
        <v>7935</v>
      </c>
      <c r="D21" s="161" t="s">
        <v>7936</v>
      </c>
      <c r="E21" s="161" t="s">
        <v>7923</v>
      </c>
      <c r="F21" s="162" t="s">
        <v>7919</v>
      </c>
      <c r="G21" s="163"/>
      <c r="H21" s="163"/>
    </row>
    <row r="22" spans="1:8" ht="36">
      <c r="A22" s="159" t="s">
        <v>244</v>
      </c>
      <c r="B22" s="159" t="s">
        <v>7937</v>
      </c>
      <c r="C22" s="160" t="s">
        <v>7938</v>
      </c>
      <c r="D22" s="161" t="s">
        <v>7939</v>
      </c>
      <c r="E22" s="161" t="s">
        <v>7923</v>
      </c>
      <c r="F22" s="162" t="s">
        <v>7919</v>
      </c>
      <c r="G22" s="163"/>
      <c r="H22" s="163"/>
    </row>
    <row r="23" spans="1:8" ht="89.25">
      <c r="A23" s="159" t="s">
        <v>244</v>
      </c>
      <c r="B23" s="159" t="s">
        <v>7940</v>
      </c>
      <c r="C23" s="160" t="s">
        <v>7941</v>
      </c>
      <c r="D23" s="161" t="s">
        <v>7942</v>
      </c>
      <c r="E23" s="161" t="s">
        <v>7923</v>
      </c>
      <c r="F23" s="162" t="s">
        <v>7943</v>
      </c>
      <c r="G23" s="163"/>
      <c r="H23" s="164"/>
    </row>
    <row r="24" spans="1:8" ht="36">
      <c r="A24" s="159" t="s">
        <v>244</v>
      </c>
      <c r="B24" s="159" t="s">
        <v>7944</v>
      </c>
      <c r="C24" s="160" t="s">
        <v>7945</v>
      </c>
      <c r="D24" s="161" t="s">
        <v>7946</v>
      </c>
      <c r="E24" s="161" t="s">
        <v>7923</v>
      </c>
      <c r="F24" s="162" t="s">
        <v>7919</v>
      </c>
      <c r="G24" s="163"/>
      <c r="H24" s="164"/>
    </row>
    <row r="25" spans="1:8" ht="89.25">
      <c r="A25" s="159" t="s">
        <v>244</v>
      </c>
      <c r="B25" s="159" t="s">
        <v>7947</v>
      </c>
      <c r="C25" s="160" t="s">
        <v>7948</v>
      </c>
      <c r="D25" s="161" t="s">
        <v>7949</v>
      </c>
      <c r="E25" s="161" t="s">
        <v>7923</v>
      </c>
      <c r="F25" s="162" t="s">
        <v>7950</v>
      </c>
      <c r="G25" s="163"/>
      <c r="H25" s="164"/>
    </row>
    <row r="26" spans="1:8" ht="38.25">
      <c r="A26" s="159" t="s">
        <v>244</v>
      </c>
      <c r="B26" s="159" t="s">
        <v>7951</v>
      </c>
      <c r="C26" s="160" t="s">
        <v>7952</v>
      </c>
      <c r="D26" s="161" t="s">
        <v>7953</v>
      </c>
      <c r="E26" s="161" t="s">
        <v>247</v>
      </c>
      <c r="F26" s="162" t="s">
        <v>7954</v>
      </c>
      <c r="G26" s="163"/>
      <c r="H26" s="164"/>
    </row>
    <row r="27" spans="1:8">
      <c r="A27" s="159" t="s">
        <v>244</v>
      </c>
      <c r="B27" s="159" t="s">
        <v>7955</v>
      </c>
      <c r="C27" s="160" t="s">
        <v>7956</v>
      </c>
      <c r="D27" s="161" t="s">
        <v>7957</v>
      </c>
      <c r="E27" s="161" t="s">
        <v>7958</v>
      </c>
      <c r="F27" s="162" t="s">
        <v>7959</v>
      </c>
      <c r="G27" s="163"/>
      <c r="H27" s="164"/>
    </row>
    <row r="28" spans="1:8">
      <c r="A28" s="159" t="s">
        <v>244</v>
      </c>
      <c r="B28" s="159" t="s">
        <v>7960</v>
      </c>
      <c r="C28" s="160" t="s">
        <v>7961</v>
      </c>
      <c r="D28" s="161" t="s">
        <v>7962</v>
      </c>
      <c r="E28" s="161" t="s">
        <v>7958</v>
      </c>
      <c r="F28" s="162" t="s">
        <v>7959</v>
      </c>
      <c r="G28" s="163"/>
      <c r="H28" s="164"/>
    </row>
    <row r="29" spans="1:8">
      <c r="A29" s="159" t="s">
        <v>244</v>
      </c>
      <c r="B29" s="159" t="s">
        <v>7963</v>
      </c>
      <c r="C29" s="160" t="s">
        <v>7964</v>
      </c>
      <c r="D29" s="161" t="s">
        <v>7965</v>
      </c>
      <c r="E29" s="161" t="s">
        <v>7958</v>
      </c>
      <c r="F29" s="162" t="s">
        <v>7959</v>
      </c>
      <c r="G29" s="163"/>
      <c r="H29" s="164"/>
    </row>
    <row r="30" spans="1:8">
      <c r="A30" s="159" t="s">
        <v>244</v>
      </c>
      <c r="B30" s="159" t="s">
        <v>7966</v>
      </c>
      <c r="C30" s="160" t="s">
        <v>7967</v>
      </c>
      <c r="D30" s="161" t="s">
        <v>7968</v>
      </c>
      <c r="E30" s="161" t="s">
        <v>7958</v>
      </c>
      <c r="F30" s="162" t="s">
        <v>7959</v>
      </c>
      <c r="G30" s="163"/>
      <c r="H30" s="164"/>
    </row>
    <row r="31" spans="1:8">
      <c r="A31" s="159" t="s">
        <v>244</v>
      </c>
      <c r="B31" s="159" t="s">
        <v>7969</v>
      </c>
      <c r="C31" s="160" t="s">
        <v>7970</v>
      </c>
      <c r="D31" s="161" t="s">
        <v>7971</v>
      </c>
      <c r="E31" s="161" t="s">
        <v>7958</v>
      </c>
      <c r="F31" s="162" t="s">
        <v>7959</v>
      </c>
      <c r="G31" s="163"/>
      <c r="H31" s="164"/>
    </row>
    <row r="32" spans="1:8">
      <c r="A32" s="159" t="s">
        <v>244</v>
      </c>
      <c r="B32" s="159" t="s">
        <v>7972</v>
      </c>
      <c r="C32" s="160" t="s">
        <v>7973</v>
      </c>
      <c r="D32" s="161" t="s">
        <v>7974</v>
      </c>
      <c r="E32" s="161" t="s">
        <v>7958</v>
      </c>
      <c r="F32" s="162" t="s">
        <v>7959</v>
      </c>
      <c r="G32" s="163"/>
      <c r="H32" s="164"/>
    </row>
    <row r="33" spans="1:8" ht="24">
      <c r="A33" s="159" t="s">
        <v>244</v>
      </c>
      <c r="B33" s="159" t="s">
        <v>252</v>
      </c>
      <c r="C33" s="160" t="s">
        <v>7975</v>
      </c>
      <c r="D33" s="161" t="s">
        <v>7976</v>
      </c>
      <c r="E33" s="161" t="s">
        <v>7977</v>
      </c>
      <c r="F33" s="162" t="s">
        <v>7959</v>
      </c>
      <c r="G33" s="163"/>
      <c r="H33" s="164"/>
    </row>
    <row r="34" spans="1:8" ht="24">
      <c r="A34" s="159" t="s">
        <v>244</v>
      </c>
      <c r="B34" s="159" t="s">
        <v>7978</v>
      </c>
      <c r="C34" s="160" t="s">
        <v>7979</v>
      </c>
      <c r="D34" s="161" t="s">
        <v>7980</v>
      </c>
      <c r="E34" s="161" t="s">
        <v>7977</v>
      </c>
      <c r="F34" s="162" t="s">
        <v>7959</v>
      </c>
      <c r="G34" s="163"/>
      <c r="H34" s="164"/>
    </row>
    <row r="35" spans="1:8">
      <c r="A35" s="159" t="s">
        <v>244</v>
      </c>
      <c r="B35" s="159" t="s">
        <v>7981</v>
      </c>
      <c r="C35" s="160" t="s">
        <v>7851</v>
      </c>
      <c r="D35" s="161" t="s">
        <v>7982</v>
      </c>
      <c r="E35" s="161" t="s">
        <v>7983</v>
      </c>
      <c r="F35" s="162" t="s">
        <v>7959</v>
      </c>
      <c r="G35" s="163"/>
      <c r="H35" s="163"/>
    </row>
    <row r="36" spans="1:8">
      <c r="A36" s="159" t="s">
        <v>244</v>
      </c>
      <c r="B36" s="159" t="s">
        <v>7984</v>
      </c>
      <c r="C36" s="160" t="s">
        <v>7985</v>
      </c>
      <c r="D36" s="161" t="s">
        <v>7986</v>
      </c>
      <c r="E36" s="161" t="s">
        <v>247</v>
      </c>
      <c r="F36" s="162" t="s">
        <v>7959</v>
      </c>
      <c r="G36" s="163"/>
      <c r="H36" s="163"/>
    </row>
    <row r="37" spans="1:8" ht="24">
      <c r="A37" s="159" t="s">
        <v>244</v>
      </c>
      <c r="B37" s="159" t="s">
        <v>7987</v>
      </c>
      <c r="C37" s="160" t="s">
        <v>7988</v>
      </c>
      <c r="D37" s="161" t="s">
        <v>7989</v>
      </c>
      <c r="E37" s="161" t="s">
        <v>7977</v>
      </c>
      <c r="F37" s="162" t="s">
        <v>7959</v>
      </c>
      <c r="G37" s="163"/>
      <c r="H37" s="163"/>
    </row>
    <row r="38" spans="1:8">
      <c r="A38" s="159" t="s">
        <v>244</v>
      </c>
      <c r="B38" s="159" t="s">
        <v>7990</v>
      </c>
      <c r="C38" s="160" t="s">
        <v>7991</v>
      </c>
      <c r="D38" s="161" t="s">
        <v>7992</v>
      </c>
      <c r="E38" s="161" t="s">
        <v>247</v>
      </c>
      <c r="F38" s="162" t="s">
        <v>7993</v>
      </c>
      <c r="G38" s="163"/>
      <c r="H38" s="163"/>
    </row>
    <row r="39" spans="1:8" ht="63.75">
      <c r="A39" s="159" t="s">
        <v>244</v>
      </c>
      <c r="B39" s="159" t="s">
        <v>7994</v>
      </c>
      <c r="C39" s="160" t="s">
        <v>7995</v>
      </c>
      <c r="D39" s="161" t="s">
        <v>7996</v>
      </c>
      <c r="E39" s="161" t="s">
        <v>247</v>
      </c>
      <c r="F39" s="162" t="s">
        <v>8015</v>
      </c>
      <c r="G39" s="163"/>
      <c r="H39" s="163"/>
    </row>
    <row r="40" spans="1:8" ht="63.75">
      <c r="A40" s="159" t="s">
        <v>244</v>
      </c>
      <c r="B40" s="159" t="s">
        <v>7997</v>
      </c>
      <c r="C40" s="160" t="s">
        <v>7850</v>
      </c>
      <c r="D40" s="161" t="s">
        <v>7998</v>
      </c>
      <c r="E40" s="161" t="s">
        <v>247</v>
      </c>
      <c r="F40" s="162" t="s">
        <v>7999</v>
      </c>
      <c r="G40" s="163"/>
      <c r="H40" s="163"/>
    </row>
    <row r="41" spans="1:8" ht="36">
      <c r="A41" s="159" t="s">
        <v>244</v>
      </c>
      <c r="B41" s="159" t="s">
        <v>8000</v>
      </c>
      <c r="C41" s="160" t="s">
        <v>8001</v>
      </c>
      <c r="D41" s="161" t="s">
        <v>8002</v>
      </c>
      <c r="E41" s="161" t="s">
        <v>8003</v>
      </c>
      <c r="F41" s="162" t="s">
        <v>8004</v>
      </c>
      <c r="G41" s="163"/>
      <c r="H41" s="163"/>
    </row>
    <row r="42" spans="1:8" ht="36">
      <c r="A42" s="159" t="s">
        <v>244</v>
      </c>
      <c r="B42" s="159" t="s">
        <v>7848</v>
      </c>
      <c r="C42" s="160" t="s">
        <v>7849</v>
      </c>
      <c r="D42" s="161" t="s">
        <v>8005</v>
      </c>
      <c r="E42" s="161" t="s">
        <v>8006</v>
      </c>
      <c r="F42" s="162" t="s">
        <v>8004</v>
      </c>
      <c r="G42" s="163"/>
      <c r="H42" s="163"/>
    </row>
    <row r="43" spans="1:8" ht="36">
      <c r="A43" s="159" t="s">
        <v>244</v>
      </c>
      <c r="B43" s="159" t="s">
        <v>8007</v>
      </c>
      <c r="C43" s="160" t="s">
        <v>8008</v>
      </c>
      <c r="D43" s="161" t="s">
        <v>8009</v>
      </c>
      <c r="E43" s="161" t="s">
        <v>8010</v>
      </c>
      <c r="F43" s="162" t="s">
        <v>8004</v>
      </c>
      <c r="G43" s="163"/>
      <c r="H43" s="163"/>
    </row>
    <row r="44" spans="1:8" ht="114.75">
      <c r="A44" s="166" t="s">
        <v>244</v>
      </c>
      <c r="B44" s="166" t="s">
        <v>8011</v>
      </c>
      <c r="C44" s="167" t="s">
        <v>8012</v>
      </c>
      <c r="D44" s="168" t="s">
        <v>8013</v>
      </c>
      <c r="E44" s="168" t="s">
        <v>7871</v>
      </c>
      <c r="F44" s="169" t="s">
        <v>8014</v>
      </c>
      <c r="G44" s="170"/>
      <c r="H44" s="170"/>
    </row>
    <row r="45" spans="1:8" ht="63.75">
      <c r="A45" s="159" t="s">
        <v>244</v>
      </c>
      <c r="B45" s="159" t="s">
        <v>8179</v>
      </c>
      <c r="C45" s="160" t="s">
        <v>8179</v>
      </c>
      <c r="D45" s="161" t="s">
        <v>8180</v>
      </c>
      <c r="E45" s="161"/>
      <c r="F45" s="162" t="s">
        <v>8181</v>
      </c>
      <c r="G45" s="276"/>
      <c r="H45" s="276"/>
    </row>
  </sheetData>
  <sheetProtection selectLockedCells="1" selectUnlockedCells="1"/>
  <autoFilter ref="A1:H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 enableFormatConditionsCalculation="0">
    <tabColor indexed="10"/>
  </sheetPr>
  <dimension ref="A1:P400"/>
  <sheetViews>
    <sheetView topLeftCell="A322" zoomScale="95" zoomScaleNormal="95" workbookViewId="0">
      <selection activeCell="C356" sqref="C356:C361"/>
    </sheetView>
  </sheetViews>
  <sheetFormatPr baseColWidth="10" defaultColWidth="12.7109375" defaultRowHeight="12.75"/>
  <cols>
    <col min="1" max="1" width="21.85546875" style="124" customWidth="1"/>
    <col min="2" max="2" width="22.5703125" style="124" customWidth="1"/>
    <col min="3" max="3" width="36.5703125" style="124" customWidth="1"/>
    <col min="4" max="4" width="18.5703125" style="129" customWidth="1"/>
    <col min="5" max="5" width="27.7109375" style="124" customWidth="1"/>
    <col min="6" max="7" width="27.7109375" style="154" customWidth="1"/>
    <col min="8" max="10" width="12.7109375" style="130"/>
    <col min="17" max="16384" width="12.7109375" style="130"/>
  </cols>
  <sheetData>
    <row r="1" spans="1:10" s="132" customFormat="1" ht="13.5" thickBot="1">
      <c r="A1" s="114" t="s">
        <v>146</v>
      </c>
      <c r="B1" s="114" t="s">
        <v>147</v>
      </c>
      <c r="C1" s="114" t="s">
        <v>148</v>
      </c>
      <c r="D1" s="131" t="s">
        <v>149</v>
      </c>
      <c r="E1" s="114" t="s">
        <v>150</v>
      </c>
      <c r="F1" s="277" t="s">
        <v>11675</v>
      </c>
      <c r="G1" s="277" t="s">
        <v>11648</v>
      </c>
    </row>
    <row r="2" spans="1:10">
      <c r="A2" s="133" t="s">
        <v>255</v>
      </c>
      <c r="B2" s="287">
        <v>1</v>
      </c>
      <c r="C2" s="126" t="s">
        <v>8184</v>
      </c>
      <c r="D2" s="134"/>
      <c r="E2" s="126" t="s">
        <v>7606</v>
      </c>
      <c r="F2" s="154" t="s">
        <v>7809</v>
      </c>
      <c r="G2" s="154" t="s">
        <v>8506</v>
      </c>
      <c r="H2" s="476" t="s">
        <v>8175</v>
      </c>
      <c r="I2" s="476"/>
      <c r="J2" s="476"/>
    </row>
    <row r="3" spans="1:10">
      <c r="A3" s="133" t="s">
        <v>255</v>
      </c>
      <c r="B3" s="288">
        <v>2</v>
      </c>
      <c r="C3" s="124" t="s">
        <v>8185</v>
      </c>
      <c r="E3" s="126" t="s">
        <v>7608</v>
      </c>
      <c r="F3" s="154" t="s">
        <v>7810</v>
      </c>
      <c r="G3" s="154" t="s">
        <v>8506</v>
      </c>
      <c r="H3" s="476"/>
      <c r="I3" s="476"/>
      <c r="J3" s="476"/>
    </row>
    <row r="4" spans="1:10">
      <c r="A4" s="133" t="s">
        <v>255</v>
      </c>
      <c r="B4" s="288">
        <v>3</v>
      </c>
      <c r="C4" s="124" t="s">
        <v>8186</v>
      </c>
      <c r="E4" s="126" t="s">
        <v>7610</v>
      </c>
      <c r="F4" s="154" t="s">
        <v>7452</v>
      </c>
      <c r="G4" s="154" t="s">
        <v>8506</v>
      </c>
    </row>
    <row r="5" spans="1:10">
      <c r="A5" s="133" t="s">
        <v>255</v>
      </c>
      <c r="B5" s="288">
        <v>4</v>
      </c>
      <c r="C5" s="124" t="s">
        <v>8187</v>
      </c>
      <c r="E5" s="126" t="s">
        <v>7611</v>
      </c>
      <c r="F5" s="154" t="s">
        <v>7453</v>
      </c>
      <c r="G5" s="154" t="s">
        <v>8506</v>
      </c>
    </row>
    <row r="6" spans="1:10">
      <c r="A6" s="133" t="s">
        <v>255</v>
      </c>
      <c r="B6" s="288">
        <v>5</v>
      </c>
      <c r="C6" s="124" t="s">
        <v>8188</v>
      </c>
      <c r="E6" s="126" t="s">
        <v>7612</v>
      </c>
      <c r="F6" s="154" t="s">
        <v>7811</v>
      </c>
      <c r="G6" s="154" t="s">
        <v>8506</v>
      </c>
    </row>
    <row r="7" spans="1:10">
      <c r="A7" s="133" t="s">
        <v>255</v>
      </c>
      <c r="B7" s="288">
        <v>6</v>
      </c>
      <c r="C7" s="124" t="s">
        <v>8189</v>
      </c>
      <c r="E7" s="126" t="s">
        <v>7615</v>
      </c>
      <c r="F7" s="154" t="s">
        <v>7455</v>
      </c>
      <c r="G7" s="154" t="s">
        <v>8506</v>
      </c>
    </row>
    <row r="8" spans="1:10">
      <c r="A8" s="133" t="s">
        <v>255</v>
      </c>
      <c r="B8" s="288">
        <v>7</v>
      </c>
      <c r="C8" s="124" t="s">
        <v>8190</v>
      </c>
      <c r="E8" s="126" t="s">
        <v>7616</v>
      </c>
      <c r="F8" s="154" t="s">
        <v>7456</v>
      </c>
      <c r="G8" s="154" t="s">
        <v>8506</v>
      </c>
    </row>
    <row r="9" spans="1:10">
      <c r="A9" s="133" t="s">
        <v>255</v>
      </c>
      <c r="B9" s="288">
        <v>8</v>
      </c>
      <c r="C9" s="124" t="s">
        <v>8191</v>
      </c>
      <c r="E9" s="126" t="s">
        <v>7617</v>
      </c>
      <c r="F9" s="154" t="s">
        <v>7457</v>
      </c>
      <c r="G9" s="154" t="s">
        <v>8506</v>
      </c>
    </row>
    <row r="10" spans="1:10">
      <c r="A10" s="133" t="s">
        <v>255</v>
      </c>
      <c r="B10" s="288">
        <v>9</v>
      </c>
      <c r="C10" s="124" t="s">
        <v>8192</v>
      </c>
      <c r="E10" s="126" t="s">
        <v>7618</v>
      </c>
      <c r="F10" s="154" t="s">
        <v>7458</v>
      </c>
      <c r="G10" s="154" t="s">
        <v>8506</v>
      </c>
    </row>
    <row r="11" spans="1:10">
      <c r="A11" s="133" t="s">
        <v>255</v>
      </c>
      <c r="B11" s="288">
        <v>10</v>
      </c>
      <c r="C11" s="124" t="s">
        <v>8193</v>
      </c>
      <c r="E11" s="126" t="s">
        <v>7619</v>
      </c>
      <c r="F11" s="154" t="s">
        <v>7459</v>
      </c>
      <c r="G11" s="154" t="s">
        <v>8506</v>
      </c>
    </row>
    <row r="12" spans="1:10">
      <c r="A12" s="133" t="s">
        <v>255</v>
      </c>
      <c r="B12" s="288">
        <v>11</v>
      </c>
      <c r="C12" s="124" t="s">
        <v>8194</v>
      </c>
      <c r="E12" s="126" t="s">
        <v>7620</v>
      </c>
      <c r="F12" s="154" t="s">
        <v>263</v>
      </c>
      <c r="G12" s="154" t="s">
        <v>8506</v>
      </c>
    </row>
    <row r="13" spans="1:10">
      <c r="A13" s="133" t="s">
        <v>255</v>
      </c>
      <c r="B13" s="288">
        <v>12</v>
      </c>
      <c r="C13" s="124" t="s">
        <v>8195</v>
      </c>
      <c r="E13" s="126" t="s">
        <v>7621</v>
      </c>
      <c r="F13" s="154" t="s">
        <v>7460</v>
      </c>
      <c r="G13" s="154" t="s">
        <v>8506</v>
      </c>
    </row>
    <row r="14" spans="1:10">
      <c r="A14" s="133" t="s">
        <v>255</v>
      </c>
      <c r="B14" s="288">
        <v>13</v>
      </c>
      <c r="C14" s="124" t="s">
        <v>8196</v>
      </c>
      <c r="E14" s="126" t="s">
        <v>7622</v>
      </c>
      <c r="F14" s="154" t="s">
        <v>7813</v>
      </c>
      <c r="G14" s="154" t="s">
        <v>8506</v>
      </c>
    </row>
    <row r="15" spans="1:10">
      <c r="A15" s="133" t="s">
        <v>255</v>
      </c>
      <c r="B15" s="288">
        <v>14</v>
      </c>
      <c r="C15" s="124" t="s">
        <v>8197</v>
      </c>
      <c r="E15" s="126" t="s">
        <v>7623</v>
      </c>
      <c r="F15" s="154" t="s">
        <v>7461</v>
      </c>
      <c r="G15" s="154" t="s">
        <v>8506</v>
      </c>
    </row>
    <row r="16" spans="1:10">
      <c r="A16" s="133" t="s">
        <v>255</v>
      </c>
      <c r="B16" s="288">
        <v>15</v>
      </c>
      <c r="C16" s="124" t="s">
        <v>8198</v>
      </c>
      <c r="E16" s="126" t="s">
        <v>7624</v>
      </c>
      <c r="F16" s="154" t="s">
        <v>7462</v>
      </c>
      <c r="G16" s="154" t="s">
        <v>8506</v>
      </c>
    </row>
    <row r="17" spans="1:7">
      <c r="A17" s="133" t="s">
        <v>255</v>
      </c>
      <c r="B17" s="288">
        <v>16</v>
      </c>
      <c r="C17" s="124" t="s">
        <v>8199</v>
      </c>
      <c r="E17" s="126" t="s">
        <v>7625</v>
      </c>
      <c r="F17" s="154" t="s">
        <v>7463</v>
      </c>
      <c r="G17" s="154" t="s">
        <v>8506</v>
      </c>
    </row>
    <row r="18" spans="1:7">
      <c r="A18" s="133" t="s">
        <v>255</v>
      </c>
      <c r="B18" s="288">
        <v>17</v>
      </c>
      <c r="C18" s="124" t="s">
        <v>8200</v>
      </c>
      <c r="E18" s="126" t="s">
        <v>7626</v>
      </c>
      <c r="F18" s="154" t="s">
        <v>7814</v>
      </c>
      <c r="G18" s="154" t="s">
        <v>8506</v>
      </c>
    </row>
    <row r="19" spans="1:7">
      <c r="A19" s="133" t="s">
        <v>255</v>
      </c>
      <c r="B19" s="288">
        <v>18</v>
      </c>
      <c r="C19" s="124" t="s">
        <v>8201</v>
      </c>
      <c r="E19" s="126" t="s">
        <v>7627</v>
      </c>
      <c r="F19" s="154" t="s">
        <v>7464</v>
      </c>
      <c r="G19" s="154" t="s">
        <v>8506</v>
      </c>
    </row>
    <row r="20" spans="1:7">
      <c r="A20" s="133" t="s">
        <v>255</v>
      </c>
      <c r="B20" s="288">
        <v>19</v>
      </c>
      <c r="C20" s="124" t="s">
        <v>8202</v>
      </c>
      <c r="E20" s="126" t="s">
        <v>7628</v>
      </c>
      <c r="F20" s="154" t="s">
        <v>7465</v>
      </c>
      <c r="G20" s="154" t="s">
        <v>8506</v>
      </c>
    </row>
    <row r="21" spans="1:7">
      <c r="A21" s="133" t="s">
        <v>255</v>
      </c>
      <c r="B21" s="288">
        <v>20</v>
      </c>
      <c r="C21" s="124" t="s">
        <v>8203</v>
      </c>
      <c r="E21" s="126" t="s">
        <v>7630</v>
      </c>
      <c r="F21" s="154" t="s">
        <v>7467</v>
      </c>
      <c r="G21" s="154" t="s">
        <v>8506</v>
      </c>
    </row>
    <row r="22" spans="1:7">
      <c r="A22" s="133" t="s">
        <v>255</v>
      </c>
      <c r="B22" s="288">
        <v>21</v>
      </c>
      <c r="C22" s="124" t="s">
        <v>8204</v>
      </c>
      <c r="E22" s="126" t="s">
        <v>7631</v>
      </c>
      <c r="F22" s="154" t="s">
        <v>7468</v>
      </c>
      <c r="G22" s="154" t="s">
        <v>8506</v>
      </c>
    </row>
    <row r="23" spans="1:7">
      <c r="A23" s="133" t="s">
        <v>255</v>
      </c>
      <c r="B23" s="288">
        <v>22</v>
      </c>
      <c r="C23" s="124" t="s">
        <v>8205</v>
      </c>
      <c r="E23" s="126" t="s">
        <v>7634</v>
      </c>
      <c r="F23" s="154" t="s">
        <v>7470</v>
      </c>
      <c r="G23" s="154" t="s">
        <v>8506</v>
      </c>
    </row>
    <row r="24" spans="1:7">
      <c r="A24" s="133" t="s">
        <v>255</v>
      </c>
      <c r="B24" s="288">
        <v>23</v>
      </c>
      <c r="C24" s="124" t="s">
        <v>8206</v>
      </c>
      <c r="E24" s="126" t="s">
        <v>7635</v>
      </c>
      <c r="F24" s="154" t="s">
        <v>7471</v>
      </c>
      <c r="G24" s="154" t="s">
        <v>8506</v>
      </c>
    </row>
    <row r="25" spans="1:7">
      <c r="A25" s="133" t="s">
        <v>255</v>
      </c>
      <c r="B25" s="288">
        <v>24</v>
      </c>
      <c r="C25" s="124" t="s">
        <v>8207</v>
      </c>
      <c r="E25" s="126" t="s">
        <v>7636</v>
      </c>
      <c r="F25" s="154" t="s">
        <v>7472</v>
      </c>
      <c r="G25" s="154" t="s">
        <v>8506</v>
      </c>
    </row>
    <row r="26" spans="1:7">
      <c r="A26" s="133" t="s">
        <v>255</v>
      </c>
      <c r="B26" s="288">
        <v>25</v>
      </c>
      <c r="C26" s="124" t="s">
        <v>8208</v>
      </c>
      <c r="E26" s="126" t="s">
        <v>7637</v>
      </c>
      <c r="F26" s="154" t="s">
        <v>7473</v>
      </c>
      <c r="G26" s="154" t="s">
        <v>8506</v>
      </c>
    </row>
    <row r="27" spans="1:7">
      <c r="A27" s="133" t="s">
        <v>255</v>
      </c>
      <c r="B27" s="288">
        <v>26</v>
      </c>
      <c r="C27" s="124" t="s">
        <v>8209</v>
      </c>
      <c r="E27" s="126" t="s">
        <v>7638</v>
      </c>
      <c r="F27" s="154" t="s">
        <v>7474</v>
      </c>
      <c r="G27" s="154" t="s">
        <v>8506</v>
      </c>
    </row>
    <row r="28" spans="1:7">
      <c r="A28" s="133" t="s">
        <v>255</v>
      </c>
      <c r="B28" s="288">
        <v>27</v>
      </c>
      <c r="C28" s="124" t="s">
        <v>8210</v>
      </c>
      <c r="E28" s="126" t="s">
        <v>7639</v>
      </c>
      <c r="F28" s="154" t="s">
        <v>7815</v>
      </c>
      <c r="G28" s="154" t="s">
        <v>8506</v>
      </c>
    </row>
    <row r="29" spans="1:7">
      <c r="A29" s="133" t="s">
        <v>255</v>
      </c>
      <c r="B29" s="288">
        <v>28</v>
      </c>
      <c r="C29" s="124" t="s">
        <v>8211</v>
      </c>
      <c r="E29" s="126" t="s">
        <v>7640</v>
      </c>
      <c r="F29" s="154" t="s">
        <v>7475</v>
      </c>
      <c r="G29" s="154" t="s">
        <v>8506</v>
      </c>
    </row>
    <row r="30" spans="1:7">
      <c r="A30" s="133" t="s">
        <v>255</v>
      </c>
      <c r="B30" s="288">
        <v>29</v>
      </c>
      <c r="C30" s="124" t="s">
        <v>8212</v>
      </c>
      <c r="E30" s="126" t="s">
        <v>7641</v>
      </c>
      <c r="F30" s="154" t="s">
        <v>7476</v>
      </c>
      <c r="G30" s="154" t="s">
        <v>8506</v>
      </c>
    </row>
    <row r="31" spans="1:7">
      <c r="A31" s="133" t="s">
        <v>255</v>
      </c>
      <c r="B31" s="288">
        <v>30</v>
      </c>
      <c r="C31" s="124" t="s">
        <v>8213</v>
      </c>
      <c r="E31" s="126" t="s">
        <v>7642</v>
      </c>
      <c r="F31" s="154" t="s">
        <v>7477</v>
      </c>
      <c r="G31" s="154" t="s">
        <v>8506</v>
      </c>
    </row>
    <row r="32" spans="1:7">
      <c r="A32" s="133" t="s">
        <v>255</v>
      </c>
      <c r="B32" s="288">
        <v>31</v>
      </c>
      <c r="C32" s="124" t="s">
        <v>8214</v>
      </c>
      <c r="E32" s="126" t="s">
        <v>7643</v>
      </c>
      <c r="F32" s="154" t="s">
        <v>7478</v>
      </c>
      <c r="G32" s="154" t="s">
        <v>8506</v>
      </c>
    </row>
    <row r="33" spans="1:7">
      <c r="A33" s="133" t="s">
        <v>255</v>
      </c>
      <c r="B33" s="288">
        <v>32</v>
      </c>
      <c r="C33" s="124" t="s">
        <v>8215</v>
      </c>
      <c r="E33" s="126" t="s">
        <v>7644</v>
      </c>
      <c r="F33" s="154" t="s">
        <v>7479</v>
      </c>
      <c r="G33" s="154" t="s">
        <v>8506</v>
      </c>
    </row>
    <row r="34" spans="1:7">
      <c r="A34" s="133" t="s">
        <v>255</v>
      </c>
      <c r="B34" s="288">
        <v>33</v>
      </c>
      <c r="C34" s="124" t="s">
        <v>8216</v>
      </c>
      <c r="E34" s="126" t="s">
        <v>7647</v>
      </c>
      <c r="F34" s="154" t="s">
        <v>7482</v>
      </c>
      <c r="G34" s="154" t="s">
        <v>8506</v>
      </c>
    </row>
    <row r="35" spans="1:7">
      <c r="A35" s="133" t="s">
        <v>255</v>
      </c>
      <c r="B35" s="288">
        <v>34</v>
      </c>
      <c r="C35" s="124" t="s">
        <v>8217</v>
      </c>
      <c r="E35" s="126" t="s">
        <v>7648</v>
      </c>
      <c r="F35" s="154" t="s">
        <v>7483</v>
      </c>
      <c r="G35" s="154" t="s">
        <v>8506</v>
      </c>
    </row>
    <row r="36" spans="1:7">
      <c r="A36" s="133" t="s">
        <v>255</v>
      </c>
      <c r="B36" s="288">
        <v>35</v>
      </c>
      <c r="C36" s="124" t="s">
        <v>8218</v>
      </c>
      <c r="E36" s="126" t="s">
        <v>7650</v>
      </c>
      <c r="F36" s="154" t="s">
        <v>260</v>
      </c>
      <c r="G36" s="154" t="s">
        <v>8506</v>
      </c>
    </row>
    <row r="37" spans="1:7">
      <c r="A37" s="133" t="s">
        <v>255</v>
      </c>
      <c r="B37" s="288">
        <v>36</v>
      </c>
      <c r="C37" s="124" t="s">
        <v>8219</v>
      </c>
      <c r="E37" s="126" t="s">
        <v>7652</v>
      </c>
      <c r="F37" s="154" t="s">
        <v>7486</v>
      </c>
      <c r="G37" s="154" t="s">
        <v>8506</v>
      </c>
    </row>
    <row r="38" spans="1:7">
      <c r="A38" s="133" t="s">
        <v>255</v>
      </c>
      <c r="B38" s="288">
        <v>37</v>
      </c>
      <c r="C38" s="124" t="s">
        <v>8220</v>
      </c>
      <c r="E38" s="126" t="s">
        <v>7653</v>
      </c>
      <c r="F38" s="154" t="s">
        <v>7487</v>
      </c>
      <c r="G38" s="154" t="s">
        <v>8506</v>
      </c>
    </row>
    <row r="39" spans="1:7">
      <c r="A39" s="133" t="s">
        <v>255</v>
      </c>
      <c r="B39" s="288">
        <v>38</v>
      </c>
      <c r="C39" s="124" t="s">
        <v>8221</v>
      </c>
      <c r="E39" s="126" t="s">
        <v>7654</v>
      </c>
      <c r="F39" s="154" t="s">
        <v>7488</v>
      </c>
      <c r="G39" s="154" t="s">
        <v>8506</v>
      </c>
    </row>
    <row r="40" spans="1:7">
      <c r="A40" s="133" t="s">
        <v>255</v>
      </c>
      <c r="B40" s="288">
        <v>39</v>
      </c>
      <c r="C40" s="124" t="s">
        <v>7570</v>
      </c>
      <c r="E40" s="126" t="s">
        <v>7656</v>
      </c>
      <c r="F40" s="154" t="s">
        <v>7489</v>
      </c>
      <c r="G40" s="154" t="s">
        <v>8506</v>
      </c>
    </row>
    <row r="41" spans="1:7">
      <c r="A41" s="133" t="s">
        <v>255</v>
      </c>
      <c r="B41" s="288">
        <v>40</v>
      </c>
      <c r="C41" s="124" t="s">
        <v>8222</v>
      </c>
      <c r="E41" s="126" t="s">
        <v>7657</v>
      </c>
      <c r="F41" s="154" t="s">
        <v>7490</v>
      </c>
      <c r="G41" s="154" t="s">
        <v>8506</v>
      </c>
    </row>
    <row r="42" spans="1:7">
      <c r="A42" s="133" t="s">
        <v>255</v>
      </c>
      <c r="B42" s="288">
        <v>41</v>
      </c>
      <c r="C42" s="124" t="s">
        <v>8223</v>
      </c>
      <c r="E42" s="126" t="s">
        <v>7658</v>
      </c>
      <c r="F42" s="154" t="s">
        <v>7491</v>
      </c>
      <c r="G42" s="154" t="s">
        <v>8506</v>
      </c>
    </row>
    <row r="43" spans="1:7">
      <c r="A43" s="133" t="s">
        <v>255</v>
      </c>
      <c r="B43" s="288">
        <v>42</v>
      </c>
      <c r="C43" s="124" t="s">
        <v>8224</v>
      </c>
      <c r="E43" s="126" t="s">
        <v>7659</v>
      </c>
      <c r="F43" s="154" t="s">
        <v>7492</v>
      </c>
      <c r="G43" s="154" t="s">
        <v>8506</v>
      </c>
    </row>
    <row r="44" spans="1:7">
      <c r="A44" s="133" t="s">
        <v>255</v>
      </c>
      <c r="B44" s="288">
        <v>43</v>
      </c>
      <c r="C44" s="124" t="s">
        <v>8225</v>
      </c>
      <c r="E44" s="126" t="s">
        <v>7660</v>
      </c>
      <c r="F44" s="154" t="s">
        <v>7493</v>
      </c>
      <c r="G44" s="154" t="s">
        <v>8506</v>
      </c>
    </row>
    <row r="45" spans="1:7">
      <c r="A45" s="133" t="s">
        <v>255</v>
      </c>
      <c r="B45" s="288">
        <v>44</v>
      </c>
      <c r="C45" s="124" t="s">
        <v>8226</v>
      </c>
      <c r="E45" s="126" t="s">
        <v>7661</v>
      </c>
      <c r="F45" s="154" t="s">
        <v>7494</v>
      </c>
      <c r="G45" s="154" t="s">
        <v>8506</v>
      </c>
    </row>
    <row r="46" spans="1:7">
      <c r="A46" s="133" t="s">
        <v>255</v>
      </c>
      <c r="B46" s="288">
        <v>45</v>
      </c>
      <c r="C46" s="124" t="s">
        <v>8227</v>
      </c>
      <c r="E46" s="126" t="s">
        <v>7662</v>
      </c>
      <c r="F46" s="154" t="s">
        <v>7495</v>
      </c>
      <c r="G46" s="154" t="s">
        <v>8506</v>
      </c>
    </row>
    <row r="47" spans="1:7">
      <c r="A47" s="133" t="s">
        <v>255</v>
      </c>
      <c r="B47" s="288">
        <v>46</v>
      </c>
      <c r="C47" s="124" t="s">
        <v>8228</v>
      </c>
      <c r="E47" s="126" t="s">
        <v>7663</v>
      </c>
      <c r="F47" s="154" t="s">
        <v>7496</v>
      </c>
      <c r="G47" s="154" t="s">
        <v>8506</v>
      </c>
    </row>
    <row r="48" spans="1:7">
      <c r="A48" s="133" t="s">
        <v>255</v>
      </c>
      <c r="B48" s="288">
        <v>47</v>
      </c>
      <c r="C48" s="124" t="s">
        <v>8229</v>
      </c>
      <c r="E48" s="126" t="s">
        <v>7664</v>
      </c>
      <c r="F48" s="154" t="s">
        <v>7497</v>
      </c>
      <c r="G48" s="154" t="s">
        <v>8506</v>
      </c>
    </row>
    <row r="49" spans="1:7">
      <c r="A49" s="133" t="s">
        <v>255</v>
      </c>
      <c r="B49" s="288">
        <v>48</v>
      </c>
      <c r="C49" s="124" t="s">
        <v>8230</v>
      </c>
      <c r="E49" s="126" t="s">
        <v>7665</v>
      </c>
      <c r="F49" s="154" t="s">
        <v>7816</v>
      </c>
      <c r="G49" s="154" t="s">
        <v>8506</v>
      </c>
    </row>
    <row r="50" spans="1:7">
      <c r="A50" s="133" t="s">
        <v>255</v>
      </c>
      <c r="B50" s="288">
        <v>49</v>
      </c>
      <c r="C50" s="124" t="s">
        <v>8231</v>
      </c>
      <c r="E50" s="126" t="s">
        <v>7666</v>
      </c>
      <c r="F50" s="154" t="s">
        <v>7498</v>
      </c>
      <c r="G50" s="154" t="s">
        <v>8506</v>
      </c>
    </row>
    <row r="51" spans="1:7">
      <c r="A51" s="133" t="s">
        <v>255</v>
      </c>
      <c r="B51" s="288">
        <v>50</v>
      </c>
      <c r="C51" s="124" t="s">
        <v>8232</v>
      </c>
      <c r="E51" s="126" t="s">
        <v>7668</v>
      </c>
      <c r="F51" s="154" t="s">
        <v>7500</v>
      </c>
      <c r="G51" s="154" t="s">
        <v>8506</v>
      </c>
    </row>
    <row r="52" spans="1:7">
      <c r="A52" s="133" t="s">
        <v>255</v>
      </c>
      <c r="B52" s="288">
        <v>51</v>
      </c>
      <c r="C52" s="124" t="s">
        <v>8233</v>
      </c>
      <c r="E52" s="126" t="s">
        <v>7669</v>
      </c>
      <c r="F52" s="154" t="s">
        <v>7501</v>
      </c>
      <c r="G52" s="154" t="s">
        <v>8506</v>
      </c>
    </row>
    <row r="53" spans="1:7">
      <c r="A53" s="133" t="s">
        <v>255</v>
      </c>
      <c r="B53" s="288">
        <v>52</v>
      </c>
      <c r="C53" s="124" t="s">
        <v>8234</v>
      </c>
      <c r="E53" s="126" t="s">
        <v>7670</v>
      </c>
      <c r="F53" s="154" t="s">
        <v>7502</v>
      </c>
      <c r="G53" s="154" t="s">
        <v>8506</v>
      </c>
    </row>
    <row r="54" spans="1:7">
      <c r="A54" s="133" t="s">
        <v>255</v>
      </c>
      <c r="B54" s="288">
        <v>53</v>
      </c>
      <c r="C54" s="124" t="s">
        <v>8235</v>
      </c>
      <c r="E54" s="126" t="s">
        <v>7671</v>
      </c>
      <c r="F54" s="154" t="s">
        <v>7503</v>
      </c>
      <c r="G54" s="154" t="s">
        <v>8506</v>
      </c>
    </row>
    <row r="55" spans="1:7">
      <c r="A55" s="133" t="s">
        <v>255</v>
      </c>
      <c r="B55" s="288">
        <v>54</v>
      </c>
      <c r="C55" s="124" t="s">
        <v>8236</v>
      </c>
      <c r="E55" s="126" t="s">
        <v>7672</v>
      </c>
      <c r="F55" s="154" t="s">
        <v>7504</v>
      </c>
      <c r="G55" s="154" t="s">
        <v>8506</v>
      </c>
    </row>
    <row r="56" spans="1:7">
      <c r="A56" s="133" t="s">
        <v>255</v>
      </c>
      <c r="B56" s="288">
        <v>55</v>
      </c>
      <c r="C56" s="124" t="s">
        <v>7505</v>
      </c>
      <c r="E56" s="126" t="s">
        <v>7673</v>
      </c>
      <c r="F56" s="154" t="s">
        <v>7505</v>
      </c>
      <c r="G56" s="154" t="s">
        <v>8506</v>
      </c>
    </row>
    <row r="57" spans="1:7">
      <c r="A57" s="133" t="s">
        <v>255</v>
      </c>
      <c r="B57" s="288">
        <v>56</v>
      </c>
      <c r="C57" s="124" t="s">
        <v>8237</v>
      </c>
      <c r="E57" s="126" t="s">
        <v>7674</v>
      </c>
      <c r="F57" s="154" t="s">
        <v>7506</v>
      </c>
      <c r="G57" s="154" t="s">
        <v>8506</v>
      </c>
    </row>
    <row r="58" spans="1:7">
      <c r="A58" s="133" t="s">
        <v>255</v>
      </c>
      <c r="B58" s="288">
        <v>57</v>
      </c>
      <c r="C58" s="124" t="s">
        <v>8238</v>
      </c>
      <c r="E58" s="126" t="s">
        <v>7675</v>
      </c>
      <c r="F58" s="154" t="s">
        <v>7507</v>
      </c>
      <c r="G58" s="154" t="s">
        <v>8506</v>
      </c>
    </row>
    <row r="59" spans="1:7">
      <c r="A59" s="133" t="s">
        <v>255</v>
      </c>
      <c r="B59" s="288">
        <v>58</v>
      </c>
      <c r="C59" s="124" t="s">
        <v>8239</v>
      </c>
      <c r="E59" s="126" t="s">
        <v>7676</v>
      </c>
      <c r="F59" s="154" t="s">
        <v>7508</v>
      </c>
      <c r="G59" s="154" t="s">
        <v>8506</v>
      </c>
    </row>
    <row r="60" spans="1:7">
      <c r="A60" s="133" t="s">
        <v>255</v>
      </c>
      <c r="B60" s="288">
        <v>59</v>
      </c>
      <c r="C60" s="124" t="s">
        <v>8240</v>
      </c>
      <c r="E60" s="126" t="s">
        <v>7677</v>
      </c>
      <c r="F60" s="154" t="s">
        <v>258</v>
      </c>
      <c r="G60" s="154" t="s">
        <v>8506</v>
      </c>
    </row>
    <row r="61" spans="1:7">
      <c r="A61" s="133" t="s">
        <v>255</v>
      </c>
      <c r="B61" s="288">
        <v>60</v>
      </c>
      <c r="C61" s="124" t="s">
        <v>95</v>
      </c>
      <c r="E61" s="126" t="s">
        <v>7678</v>
      </c>
      <c r="F61" s="154" t="s">
        <v>261</v>
      </c>
      <c r="G61" s="154" t="s">
        <v>8506</v>
      </c>
    </row>
    <row r="62" spans="1:7">
      <c r="A62" s="133" t="s">
        <v>255</v>
      </c>
      <c r="B62" s="288">
        <v>61</v>
      </c>
      <c r="C62" s="124" t="s">
        <v>8241</v>
      </c>
      <c r="E62" s="126" t="s">
        <v>7679</v>
      </c>
      <c r="F62" s="154" t="s">
        <v>7509</v>
      </c>
      <c r="G62" s="154" t="s">
        <v>8506</v>
      </c>
    </row>
    <row r="63" spans="1:7">
      <c r="A63" s="133" t="s">
        <v>255</v>
      </c>
      <c r="B63" s="288">
        <v>62</v>
      </c>
      <c r="C63" s="124" t="s">
        <v>8242</v>
      </c>
      <c r="E63" s="126" t="s">
        <v>7680</v>
      </c>
      <c r="F63" s="154" t="s">
        <v>7510</v>
      </c>
      <c r="G63" s="154" t="s">
        <v>8506</v>
      </c>
    </row>
    <row r="64" spans="1:7">
      <c r="A64" s="133" t="s">
        <v>255</v>
      </c>
      <c r="B64" s="288">
        <v>63</v>
      </c>
      <c r="C64" s="124" t="s">
        <v>8243</v>
      </c>
      <c r="E64" s="126" t="s">
        <v>7681</v>
      </c>
      <c r="F64" s="154" t="s">
        <v>7511</v>
      </c>
      <c r="G64" s="154" t="s">
        <v>8506</v>
      </c>
    </row>
    <row r="65" spans="1:7">
      <c r="A65" s="133" t="s">
        <v>255</v>
      </c>
      <c r="B65" s="288">
        <v>64</v>
      </c>
      <c r="C65" s="124" t="s">
        <v>8244</v>
      </c>
      <c r="E65" s="126" t="s">
        <v>7682</v>
      </c>
      <c r="F65" s="154" t="s">
        <v>7512</v>
      </c>
      <c r="G65" s="154" t="s">
        <v>8506</v>
      </c>
    </row>
    <row r="66" spans="1:7">
      <c r="A66" s="133" t="s">
        <v>255</v>
      </c>
      <c r="B66" s="288">
        <v>65</v>
      </c>
      <c r="C66" s="124" t="s">
        <v>8245</v>
      </c>
      <c r="E66" s="126" t="s">
        <v>7683</v>
      </c>
      <c r="F66" s="154" t="s">
        <v>7513</v>
      </c>
      <c r="G66" s="154" t="s">
        <v>8506</v>
      </c>
    </row>
    <row r="67" spans="1:7">
      <c r="A67" s="133" t="s">
        <v>255</v>
      </c>
      <c r="B67" s="288">
        <v>66</v>
      </c>
      <c r="C67" s="124" t="s">
        <v>8246</v>
      </c>
      <c r="E67" s="126" t="s">
        <v>7684</v>
      </c>
      <c r="F67" s="154" t="s">
        <v>7514</v>
      </c>
      <c r="G67" s="154" t="s">
        <v>8506</v>
      </c>
    </row>
    <row r="68" spans="1:7">
      <c r="A68" s="133" t="s">
        <v>255</v>
      </c>
      <c r="B68" s="288">
        <v>67</v>
      </c>
      <c r="C68" s="124" t="s">
        <v>8247</v>
      </c>
      <c r="E68" s="126" t="s">
        <v>7685</v>
      </c>
      <c r="F68" s="154" t="s">
        <v>7515</v>
      </c>
      <c r="G68" s="154" t="s">
        <v>8506</v>
      </c>
    </row>
    <row r="69" spans="1:7">
      <c r="A69" s="133" t="s">
        <v>255</v>
      </c>
      <c r="B69" s="288">
        <v>68</v>
      </c>
      <c r="C69" s="124" t="s">
        <v>8248</v>
      </c>
      <c r="E69" s="126" t="s">
        <v>7686</v>
      </c>
      <c r="F69" s="154" t="s">
        <v>262</v>
      </c>
      <c r="G69" s="154" t="s">
        <v>8506</v>
      </c>
    </row>
    <row r="70" spans="1:7">
      <c r="A70" s="133" t="s">
        <v>255</v>
      </c>
      <c r="B70" s="288">
        <v>69</v>
      </c>
      <c r="C70" s="124" t="s">
        <v>8249</v>
      </c>
      <c r="E70" s="126" t="s">
        <v>7687</v>
      </c>
      <c r="F70" s="154" t="s">
        <v>7516</v>
      </c>
      <c r="G70" s="154" t="s">
        <v>8506</v>
      </c>
    </row>
    <row r="71" spans="1:7">
      <c r="A71" s="133" t="s">
        <v>255</v>
      </c>
      <c r="B71" s="288">
        <v>70</v>
      </c>
      <c r="C71" s="124" t="s">
        <v>8250</v>
      </c>
      <c r="E71" s="126" t="s">
        <v>7688</v>
      </c>
      <c r="F71" s="154" t="s">
        <v>7517</v>
      </c>
      <c r="G71" s="154" t="s">
        <v>8506</v>
      </c>
    </row>
    <row r="72" spans="1:7">
      <c r="A72" s="133" t="s">
        <v>255</v>
      </c>
      <c r="B72" s="288">
        <v>71</v>
      </c>
      <c r="C72" s="124" t="s">
        <v>8251</v>
      </c>
      <c r="E72" s="126" t="s">
        <v>7689</v>
      </c>
      <c r="F72" s="154" t="s">
        <v>7518</v>
      </c>
      <c r="G72" s="154" t="s">
        <v>8506</v>
      </c>
    </row>
    <row r="73" spans="1:7">
      <c r="A73" s="133" t="s">
        <v>255</v>
      </c>
      <c r="B73" s="288">
        <v>72</v>
      </c>
      <c r="C73" s="124" t="s">
        <v>8252</v>
      </c>
      <c r="E73" s="126" t="s">
        <v>7690</v>
      </c>
      <c r="F73" s="154" t="s">
        <v>7519</v>
      </c>
      <c r="G73" s="154" t="s">
        <v>8506</v>
      </c>
    </row>
    <row r="74" spans="1:7">
      <c r="A74" s="133" t="s">
        <v>255</v>
      </c>
      <c r="B74" s="288">
        <v>73</v>
      </c>
      <c r="C74" s="124" t="s">
        <v>8253</v>
      </c>
      <c r="E74" s="126" t="s">
        <v>7691</v>
      </c>
      <c r="F74" s="154" t="s">
        <v>7520</v>
      </c>
      <c r="G74" s="154" t="s">
        <v>8506</v>
      </c>
    </row>
    <row r="75" spans="1:7">
      <c r="A75" s="133" t="s">
        <v>255</v>
      </c>
      <c r="B75" s="288">
        <v>74</v>
      </c>
      <c r="C75" s="124" t="s">
        <v>8254</v>
      </c>
      <c r="E75" s="126" t="s">
        <v>7692</v>
      </c>
      <c r="F75" s="154" t="s">
        <v>7521</v>
      </c>
      <c r="G75" s="154" t="s">
        <v>8506</v>
      </c>
    </row>
    <row r="76" spans="1:7">
      <c r="A76" s="133" t="s">
        <v>255</v>
      </c>
      <c r="B76" s="288">
        <v>75</v>
      </c>
      <c r="C76" s="124" t="s">
        <v>8255</v>
      </c>
      <c r="E76" s="126" t="s">
        <v>7693</v>
      </c>
      <c r="F76" s="154" t="s">
        <v>7522</v>
      </c>
      <c r="G76" s="154" t="s">
        <v>8506</v>
      </c>
    </row>
    <row r="77" spans="1:7">
      <c r="A77" s="133" t="s">
        <v>255</v>
      </c>
      <c r="B77" s="288">
        <v>76</v>
      </c>
      <c r="C77" s="124" t="s">
        <v>8256</v>
      </c>
      <c r="E77" s="126" t="s">
        <v>7694</v>
      </c>
      <c r="F77" s="154" t="s">
        <v>7523</v>
      </c>
      <c r="G77" s="154" t="s">
        <v>8506</v>
      </c>
    </row>
    <row r="78" spans="1:7">
      <c r="A78" s="133" t="s">
        <v>255</v>
      </c>
      <c r="B78" s="288">
        <v>77</v>
      </c>
      <c r="C78" s="124" t="s">
        <v>8257</v>
      </c>
      <c r="E78" s="126" t="s">
        <v>7695</v>
      </c>
      <c r="F78" s="154" t="s">
        <v>7524</v>
      </c>
      <c r="G78" s="154" t="s">
        <v>8506</v>
      </c>
    </row>
    <row r="79" spans="1:7">
      <c r="A79" s="133" t="s">
        <v>255</v>
      </c>
      <c r="B79" s="288">
        <v>78</v>
      </c>
      <c r="C79" s="124" t="s">
        <v>8258</v>
      </c>
      <c r="E79" s="126" t="s">
        <v>7696</v>
      </c>
      <c r="F79" s="154" t="s">
        <v>7525</v>
      </c>
      <c r="G79" s="154" t="s">
        <v>8506</v>
      </c>
    </row>
    <row r="80" spans="1:7">
      <c r="A80" s="133" t="s">
        <v>255</v>
      </c>
      <c r="B80" s="288">
        <v>79</v>
      </c>
      <c r="C80" s="124" t="s">
        <v>8259</v>
      </c>
      <c r="E80" s="126" t="s">
        <v>7697</v>
      </c>
      <c r="F80" s="154" t="s">
        <v>7526</v>
      </c>
      <c r="G80" s="154" t="s">
        <v>8506</v>
      </c>
    </row>
    <row r="81" spans="1:7">
      <c r="A81" s="133" t="s">
        <v>255</v>
      </c>
      <c r="B81" s="288">
        <v>80</v>
      </c>
      <c r="C81" s="124" t="s">
        <v>8260</v>
      </c>
      <c r="E81" s="126" t="s">
        <v>7698</v>
      </c>
      <c r="F81" s="154" t="s">
        <v>7527</v>
      </c>
      <c r="G81" s="154" t="s">
        <v>8506</v>
      </c>
    </row>
    <row r="82" spans="1:7">
      <c r="A82" s="133" t="s">
        <v>255</v>
      </c>
      <c r="B82" s="288">
        <v>81</v>
      </c>
      <c r="C82" s="124" t="s">
        <v>8261</v>
      </c>
      <c r="E82" s="126" t="s">
        <v>7699</v>
      </c>
      <c r="F82" s="154" t="s">
        <v>7528</v>
      </c>
      <c r="G82" s="154" t="s">
        <v>8506</v>
      </c>
    </row>
    <row r="83" spans="1:7">
      <c r="A83" s="133" t="s">
        <v>255</v>
      </c>
      <c r="B83" s="288">
        <v>82</v>
      </c>
      <c r="C83" s="124" t="s">
        <v>8262</v>
      </c>
      <c r="E83" s="126" t="s">
        <v>7700</v>
      </c>
      <c r="F83" s="154" t="s">
        <v>7529</v>
      </c>
      <c r="G83" s="154" t="s">
        <v>8506</v>
      </c>
    </row>
    <row r="84" spans="1:7">
      <c r="A84" s="133" t="s">
        <v>255</v>
      </c>
      <c r="B84" s="288">
        <v>83</v>
      </c>
      <c r="C84" s="124" t="s">
        <v>8263</v>
      </c>
      <c r="E84" s="126" t="s">
        <v>7701</v>
      </c>
      <c r="F84" s="154" t="s">
        <v>7530</v>
      </c>
      <c r="G84" s="154" t="s">
        <v>8506</v>
      </c>
    </row>
    <row r="85" spans="1:7">
      <c r="A85" s="133" t="s">
        <v>255</v>
      </c>
      <c r="B85" s="288">
        <v>84</v>
      </c>
      <c r="C85" s="124" t="s">
        <v>8264</v>
      </c>
      <c r="E85" s="126" t="s">
        <v>7702</v>
      </c>
      <c r="F85" s="154" t="s">
        <v>7531</v>
      </c>
      <c r="G85" s="154" t="s">
        <v>8506</v>
      </c>
    </row>
    <row r="86" spans="1:7">
      <c r="A86" s="133" t="s">
        <v>255</v>
      </c>
      <c r="B86" s="288">
        <v>85</v>
      </c>
      <c r="C86" s="124" t="s">
        <v>8265</v>
      </c>
      <c r="E86" s="126" t="s">
        <v>7703</v>
      </c>
      <c r="F86" s="154" t="s">
        <v>7532</v>
      </c>
      <c r="G86" s="154" t="s">
        <v>8506</v>
      </c>
    </row>
    <row r="87" spans="1:7">
      <c r="A87" s="133" t="s">
        <v>255</v>
      </c>
      <c r="B87" s="288">
        <v>86</v>
      </c>
      <c r="C87" s="124" t="s">
        <v>8266</v>
      </c>
      <c r="E87" s="126" t="s">
        <v>7704</v>
      </c>
      <c r="F87" s="154" t="s">
        <v>7533</v>
      </c>
      <c r="G87" s="154" t="s">
        <v>8506</v>
      </c>
    </row>
    <row r="88" spans="1:7">
      <c r="A88" s="133" t="s">
        <v>255</v>
      </c>
      <c r="B88" s="288">
        <v>87</v>
      </c>
      <c r="C88" s="124" t="s">
        <v>8267</v>
      </c>
      <c r="E88" s="126" t="s">
        <v>7705</v>
      </c>
      <c r="F88" s="154" t="s">
        <v>7534</v>
      </c>
      <c r="G88" s="154" t="s">
        <v>8506</v>
      </c>
    </row>
    <row r="89" spans="1:7">
      <c r="A89" s="133" t="s">
        <v>255</v>
      </c>
      <c r="B89" s="288">
        <v>88</v>
      </c>
      <c r="C89" s="124" t="s">
        <v>8268</v>
      </c>
      <c r="E89" s="126" t="s">
        <v>7706</v>
      </c>
      <c r="F89" s="154" t="s">
        <v>7535</v>
      </c>
      <c r="G89" s="154" t="s">
        <v>8506</v>
      </c>
    </row>
    <row r="90" spans="1:7">
      <c r="A90" s="133" t="s">
        <v>255</v>
      </c>
      <c r="B90" s="288">
        <v>89</v>
      </c>
      <c r="C90" s="124" t="s">
        <v>8269</v>
      </c>
      <c r="E90" s="126" t="s">
        <v>7707</v>
      </c>
      <c r="F90" s="154" t="s">
        <v>7536</v>
      </c>
      <c r="G90" s="154" t="s">
        <v>8506</v>
      </c>
    </row>
    <row r="91" spans="1:7">
      <c r="A91" s="133" t="s">
        <v>255</v>
      </c>
      <c r="B91" s="288">
        <v>90</v>
      </c>
      <c r="C91" s="124" t="s">
        <v>8270</v>
      </c>
      <c r="E91" s="126" t="s">
        <v>7708</v>
      </c>
      <c r="F91" s="154" t="s">
        <v>7537</v>
      </c>
      <c r="G91" s="154" t="s">
        <v>8506</v>
      </c>
    </row>
    <row r="92" spans="1:7">
      <c r="A92" s="133" t="s">
        <v>255</v>
      </c>
      <c r="B92" s="288">
        <v>91</v>
      </c>
      <c r="C92" s="124" t="s">
        <v>8271</v>
      </c>
      <c r="E92" s="126" t="s">
        <v>7709</v>
      </c>
      <c r="F92" s="154" t="s">
        <v>7817</v>
      </c>
      <c r="G92" s="154" t="s">
        <v>8506</v>
      </c>
    </row>
    <row r="93" spans="1:7">
      <c r="A93" s="133" t="s">
        <v>255</v>
      </c>
      <c r="B93" s="288">
        <v>92</v>
      </c>
      <c r="C93" s="124" t="s">
        <v>8272</v>
      </c>
      <c r="E93" s="126" t="s">
        <v>7710</v>
      </c>
      <c r="F93" s="154" t="s">
        <v>7538</v>
      </c>
      <c r="G93" s="154" t="s">
        <v>8506</v>
      </c>
    </row>
    <row r="94" spans="1:7">
      <c r="A94" s="133" t="s">
        <v>255</v>
      </c>
      <c r="B94" s="288">
        <v>93</v>
      </c>
      <c r="C94" s="124" t="s">
        <v>8273</v>
      </c>
      <c r="E94" s="126" t="s">
        <v>7711</v>
      </c>
      <c r="F94" s="154" t="s">
        <v>7539</v>
      </c>
      <c r="G94" s="154" t="s">
        <v>8506</v>
      </c>
    </row>
    <row r="95" spans="1:7">
      <c r="A95" s="133" t="s">
        <v>255</v>
      </c>
      <c r="B95" s="288">
        <v>94</v>
      </c>
      <c r="C95" s="124" t="s">
        <v>8274</v>
      </c>
      <c r="E95" s="126" t="s">
        <v>7712</v>
      </c>
      <c r="F95" s="154" t="s">
        <v>259</v>
      </c>
      <c r="G95" s="154" t="s">
        <v>8506</v>
      </c>
    </row>
    <row r="96" spans="1:7">
      <c r="A96" s="133" t="s">
        <v>255</v>
      </c>
      <c r="B96" s="288">
        <v>95</v>
      </c>
      <c r="C96" s="124" t="s">
        <v>7540</v>
      </c>
      <c r="E96" s="126" t="s">
        <v>7713</v>
      </c>
      <c r="F96" s="154" t="s">
        <v>7540</v>
      </c>
      <c r="G96" s="154" t="s">
        <v>8506</v>
      </c>
    </row>
    <row r="97" spans="1:7">
      <c r="A97" s="133" t="s">
        <v>255</v>
      </c>
      <c r="B97" s="288">
        <v>96</v>
      </c>
      <c r="C97" s="124" t="s">
        <v>8275</v>
      </c>
      <c r="E97" s="126" t="s">
        <v>7714</v>
      </c>
      <c r="F97" s="154" t="s">
        <v>7541</v>
      </c>
      <c r="G97" s="154" t="s">
        <v>8506</v>
      </c>
    </row>
    <row r="98" spans="1:7">
      <c r="A98" s="133" t="s">
        <v>255</v>
      </c>
      <c r="B98" s="288">
        <v>97</v>
      </c>
      <c r="C98" s="124" t="s">
        <v>8276</v>
      </c>
      <c r="E98" s="126" t="s">
        <v>7715</v>
      </c>
      <c r="F98" s="154" t="s">
        <v>7542</v>
      </c>
      <c r="G98" s="154" t="s">
        <v>8506</v>
      </c>
    </row>
    <row r="99" spans="1:7">
      <c r="A99" s="133" t="s">
        <v>255</v>
      </c>
      <c r="B99" s="288">
        <v>98</v>
      </c>
      <c r="C99" s="124" t="s">
        <v>8277</v>
      </c>
      <c r="E99" s="126" t="s">
        <v>7716</v>
      </c>
      <c r="F99" s="154" t="s">
        <v>7543</v>
      </c>
      <c r="G99" s="154" t="s">
        <v>8506</v>
      </c>
    </row>
    <row r="100" spans="1:7">
      <c r="A100" s="133" t="s">
        <v>255</v>
      </c>
      <c r="B100" s="288">
        <v>99</v>
      </c>
      <c r="C100" s="124" t="s">
        <v>8278</v>
      </c>
      <c r="E100" s="126" t="s">
        <v>7717</v>
      </c>
      <c r="F100" s="154" t="s">
        <v>7544</v>
      </c>
      <c r="G100" s="154" t="s">
        <v>8506</v>
      </c>
    </row>
    <row r="101" spans="1:7">
      <c r="A101" s="133" t="s">
        <v>255</v>
      </c>
      <c r="B101" s="288">
        <v>100</v>
      </c>
      <c r="C101" s="124" t="s">
        <v>8279</v>
      </c>
      <c r="E101" s="126" t="s">
        <v>7718</v>
      </c>
      <c r="F101" s="154" t="s">
        <v>7545</v>
      </c>
      <c r="G101" s="154" t="s">
        <v>8506</v>
      </c>
    </row>
    <row r="102" spans="1:7">
      <c r="A102" s="133" t="s">
        <v>255</v>
      </c>
      <c r="B102" s="288">
        <v>101</v>
      </c>
      <c r="C102" s="124" t="s">
        <v>8280</v>
      </c>
      <c r="E102" s="126" t="s">
        <v>7719</v>
      </c>
      <c r="F102" s="154" t="s">
        <v>7546</v>
      </c>
      <c r="G102" s="154" t="s">
        <v>8506</v>
      </c>
    </row>
    <row r="103" spans="1:7">
      <c r="A103" s="133" t="s">
        <v>255</v>
      </c>
      <c r="B103" s="288">
        <v>102</v>
      </c>
      <c r="C103" s="124" t="s">
        <v>8281</v>
      </c>
      <c r="E103" s="126" t="s">
        <v>7720</v>
      </c>
      <c r="F103" s="154" t="s">
        <v>7547</v>
      </c>
      <c r="G103" s="154" t="s">
        <v>8506</v>
      </c>
    </row>
    <row r="104" spans="1:7">
      <c r="A104" s="133" t="s">
        <v>255</v>
      </c>
      <c r="B104" s="288">
        <v>103</v>
      </c>
      <c r="C104" s="124" t="s">
        <v>8282</v>
      </c>
      <c r="E104" s="126" t="s">
        <v>7721</v>
      </c>
      <c r="F104" s="154" t="s">
        <v>7548</v>
      </c>
      <c r="G104" s="154" t="s">
        <v>8506</v>
      </c>
    </row>
    <row r="105" spans="1:7">
      <c r="A105" s="133" t="s">
        <v>255</v>
      </c>
      <c r="B105" s="288">
        <v>104</v>
      </c>
      <c r="C105" s="124" t="s">
        <v>8283</v>
      </c>
      <c r="E105" s="126" t="s">
        <v>7722</v>
      </c>
      <c r="F105" s="154" t="s">
        <v>7549</v>
      </c>
      <c r="G105" s="154" t="s">
        <v>8506</v>
      </c>
    </row>
    <row r="106" spans="1:7">
      <c r="A106" s="133" t="s">
        <v>255</v>
      </c>
      <c r="B106" s="288">
        <v>105</v>
      </c>
      <c r="C106" s="124" t="s">
        <v>8284</v>
      </c>
      <c r="E106" s="126" t="s">
        <v>7723</v>
      </c>
      <c r="F106" s="154" t="s">
        <v>7550</v>
      </c>
      <c r="G106" s="154" t="s">
        <v>8506</v>
      </c>
    </row>
    <row r="107" spans="1:7">
      <c r="A107" s="133" t="s">
        <v>255</v>
      </c>
      <c r="B107" s="288">
        <v>106</v>
      </c>
      <c r="C107" s="124" t="s">
        <v>8285</v>
      </c>
      <c r="E107" s="126" t="s">
        <v>7724</v>
      </c>
      <c r="F107" s="154" t="s">
        <v>7818</v>
      </c>
      <c r="G107" s="154" t="s">
        <v>8506</v>
      </c>
    </row>
    <row r="108" spans="1:7">
      <c r="A108" s="133" t="s">
        <v>255</v>
      </c>
      <c r="B108" s="288">
        <v>107</v>
      </c>
      <c r="C108" s="124" t="s">
        <v>7551</v>
      </c>
      <c r="E108" s="126" t="s">
        <v>7725</v>
      </c>
      <c r="F108" s="154" t="s">
        <v>7551</v>
      </c>
      <c r="G108" s="154" t="s">
        <v>8506</v>
      </c>
    </row>
    <row r="109" spans="1:7">
      <c r="A109" s="133" t="s">
        <v>255</v>
      </c>
      <c r="B109" s="288">
        <v>108</v>
      </c>
      <c r="C109" s="124" t="s">
        <v>8286</v>
      </c>
      <c r="E109" s="126" t="s">
        <v>7726</v>
      </c>
      <c r="F109" s="154" t="s">
        <v>7552</v>
      </c>
      <c r="G109" s="154" t="s">
        <v>8506</v>
      </c>
    </row>
    <row r="110" spans="1:7">
      <c r="A110" s="133" t="s">
        <v>255</v>
      </c>
      <c r="B110" s="288">
        <v>109</v>
      </c>
      <c r="C110" s="124" t="s">
        <v>7553</v>
      </c>
      <c r="E110" s="126" t="s">
        <v>7727</v>
      </c>
      <c r="F110" s="154" t="s">
        <v>7553</v>
      </c>
      <c r="G110" s="154" t="s">
        <v>8506</v>
      </c>
    </row>
    <row r="111" spans="1:7">
      <c r="A111" s="133" t="s">
        <v>255</v>
      </c>
      <c r="B111" s="288">
        <v>110</v>
      </c>
      <c r="C111" s="124" t="s">
        <v>8287</v>
      </c>
      <c r="E111" s="126" t="s">
        <v>7728</v>
      </c>
      <c r="F111" s="154" t="s">
        <v>7554</v>
      </c>
      <c r="G111" s="154" t="s">
        <v>8506</v>
      </c>
    </row>
    <row r="112" spans="1:7">
      <c r="A112" s="133" t="s">
        <v>255</v>
      </c>
      <c r="B112" s="288">
        <v>111</v>
      </c>
      <c r="C112" s="124" t="s">
        <v>8288</v>
      </c>
      <c r="E112" s="126" t="s">
        <v>7729</v>
      </c>
      <c r="F112" s="154" t="s">
        <v>7555</v>
      </c>
      <c r="G112" s="154" t="s">
        <v>8506</v>
      </c>
    </row>
    <row r="113" spans="1:7">
      <c r="A113" s="133" t="s">
        <v>255</v>
      </c>
      <c r="B113" s="288">
        <v>112</v>
      </c>
      <c r="C113" s="124" t="s">
        <v>8289</v>
      </c>
      <c r="E113" s="126" t="s">
        <v>7730</v>
      </c>
      <c r="F113" s="154" t="s">
        <v>7556</v>
      </c>
      <c r="G113" s="154" t="s">
        <v>8506</v>
      </c>
    </row>
    <row r="114" spans="1:7">
      <c r="A114" s="133" t="s">
        <v>255</v>
      </c>
      <c r="B114" s="288">
        <v>113</v>
      </c>
      <c r="C114" s="124" t="s">
        <v>8290</v>
      </c>
      <c r="E114" s="126" t="s">
        <v>7732</v>
      </c>
      <c r="F114" s="154" t="s">
        <v>7558</v>
      </c>
      <c r="G114" s="154" t="s">
        <v>8506</v>
      </c>
    </row>
    <row r="115" spans="1:7">
      <c r="A115" s="133" t="s">
        <v>255</v>
      </c>
      <c r="B115" s="288">
        <v>114</v>
      </c>
      <c r="C115" s="124" t="s">
        <v>8291</v>
      </c>
      <c r="E115" s="126" t="s">
        <v>7733</v>
      </c>
      <c r="F115" s="154" t="s">
        <v>7559</v>
      </c>
      <c r="G115" s="154" t="s">
        <v>8506</v>
      </c>
    </row>
    <row r="116" spans="1:7">
      <c r="A116" s="133" t="s">
        <v>255</v>
      </c>
      <c r="B116" s="288">
        <v>115</v>
      </c>
      <c r="C116" s="124" t="s">
        <v>8292</v>
      </c>
      <c r="E116" s="126" t="s">
        <v>7734</v>
      </c>
      <c r="F116" s="154" t="s">
        <v>7560</v>
      </c>
      <c r="G116" s="154" t="s">
        <v>8506</v>
      </c>
    </row>
    <row r="117" spans="1:7">
      <c r="A117" s="133" t="s">
        <v>255</v>
      </c>
      <c r="B117" s="288">
        <v>116</v>
      </c>
      <c r="C117" s="124" t="s">
        <v>7860</v>
      </c>
      <c r="E117" s="126" t="s">
        <v>7735</v>
      </c>
      <c r="F117" s="154" t="s">
        <v>7819</v>
      </c>
      <c r="G117" s="154" t="s">
        <v>8506</v>
      </c>
    </row>
    <row r="118" spans="1:7">
      <c r="A118" s="133" t="s">
        <v>255</v>
      </c>
      <c r="B118" s="288">
        <v>117</v>
      </c>
      <c r="C118" s="124" t="s">
        <v>7859</v>
      </c>
      <c r="E118" s="126" t="s">
        <v>7736</v>
      </c>
      <c r="F118" s="154" t="s">
        <v>7820</v>
      </c>
      <c r="G118" s="154" t="s">
        <v>8506</v>
      </c>
    </row>
    <row r="119" spans="1:7">
      <c r="A119" s="133" t="s">
        <v>255</v>
      </c>
      <c r="B119" s="288">
        <v>118</v>
      </c>
      <c r="C119" s="124" t="s">
        <v>7858</v>
      </c>
      <c r="E119" s="126" t="s">
        <v>7737</v>
      </c>
      <c r="F119" s="154" t="s">
        <v>7821</v>
      </c>
      <c r="G119" s="154" t="s">
        <v>8506</v>
      </c>
    </row>
    <row r="120" spans="1:7">
      <c r="A120" s="133" t="s">
        <v>255</v>
      </c>
      <c r="B120" s="288">
        <v>119</v>
      </c>
      <c r="C120" s="124" t="s">
        <v>8293</v>
      </c>
      <c r="E120" s="126" t="s">
        <v>7738</v>
      </c>
      <c r="F120" s="154" t="s">
        <v>7822</v>
      </c>
      <c r="G120" s="154" t="s">
        <v>8506</v>
      </c>
    </row>
    <row r="121" spans="1:7">
      <c r="A121" s="133" t="s">
        <v>255</v>
      </c>
      <c r="B121" s="288">
        <v>120</v>
      </c>
      <c r="C121" s="124" t="s">
        <v>8294</v>
      </c>
      <c r="E121" s="126" t="s">
        <v>7740</v>
      </c>
      <c r="F121" s="154" t="s">
        <v>7824</v>
      </c>
      <c r="G121" s="154" t="s">
        <v>8506</v>
      </c>
    </row>
    <row r="122" spans="1:7">
      <c r="A122" s="133" t="s">
        <v>255</v>
      </c>
      <c r="B122" s="288">
        <v>121</v>
      </c>
      <c r="C122" s="124" t="s">
        <v>8295</v>
      </c>
      <c r="E122" s="126" t="s">
        <v>7742</v>
      </c>
      <c r="F122" s="154" t="s">
        <v>7826</v>
      </c>
      <c r="G122" s="154" t="s">
        <v>8506</v>
      </c>
    </row>
    <row r="123" spans="1:7">
      <c r="A123" s="133" t="s">
        <v>255</v>
      </c>
      <c r="B123" s="288">
        <v>122</v>
      </c>
      <c r="C123" s="124" t="s">
        <v>7853</v>
      </c>
      <c r="E123" s="126" t="s">
        <v>7747</v>
      </c>
      <c r="F123" s="154" t="s">
        <v>7831</v>
      </c>
      <c r="G123" s="154" t="s">
        <v>8506</v>
      </c>
    </row>
    <row r="124" spans="1:7">
      <c r="A124" s="133" t="s">
        <v>255</v>
      </c>
      <c r="B124" s="288">
        <v>123</v>
      </c>
      <c r="C124" s="124" t="s">
        <v>8296</v>
      </c>
      <c r="E124" s="126" t="s">
        <v>7750</v>
      </c>
      <c r="F124" s="154" t="s">
        <v>7561</v>
      </c>
      <c r="G124" s="154" t="s">
        <v>8506</v>
      </c>
    </row>
    <row r="125" spans="1:7">
      <c r="A125" s="133" t="s">
        <v>255</v>
      </c>
      <c r="B125" s="288">
        <v>124</v>
      </c>
      <c r="C125" s="124" t="s">
        <v>8297</v>
      </c>
      <c r="E125" s="126" t="s">
        <v>7751</v>
      </c>
      <c r="F125" s="154" t="s">
        <v>7562</v>
      </c>
      <c r="G125" s="154" t="s">
        <v>8506</v>
      </c>
    </row>
    <row r="126" spans="1:7">
      <c r="A126" s="133" t="s">
        <v>255</v>
      </c>
      <c r="B126" s="288">
        <v>125</v>
      </c>
      <c r="C126" s="124" t="s">
        <v>8298</v>
      </c>
      <c r="E126" s="126" t="s">
        <v>7752</v>
      </c>
      <c r="F126" s="154" t="s">
        <v>7563</v>
      </c>
      <c r="G126" s="154" t="s">
        <v>8506</v>
      </c>
    </row>
    <row r="127" spans="1:7">
      <c r="A127" s="133" t="s">
        <v>255</v>
      </c>
      <c r="B127" s="288">
        <v>126</v>
      </c>
      <c r="C127" s="124" t="s">
        <v>8299</v>
      </c>
      <c r="E127" s="126" t="s">
        <v>7753</v>
      </c>
      <c r="F127" s="154" t="s">
        <v>7564</v>
      </c>
      <c r="G127" s="154" t="s">
        <v>8506</v>
      </c>
    </row>
    <row r="128" spans="1:7">
      <c r="A128" s="133" t="s">
        <v>255</v>
      </c>
      <c r="B128" s="288">
        <v>127</v>
      </c>
      <c r="C128" s="124" t="s">
        <v>8300</v>
      </c>
      <c r="E128" s="126" t="s">
        <v>7754</v>
      </c>
      <c r="F128" s="154" t="s">
        <v>7565</v>
      </c>
      <c r="G128" s="154" t="s">
        <v>8506</v>
      </c>
    </row>
    <row r="129" spans="1:7">
      <c r="A129" s="133" t="s">
        <v>255</v>
      </c>
      <c r="B129" s="288">
        <v>128</v>
      </c>
      <c r="C129" s="124" t="s">
        <v>8189</v>
      </c>
      <c r="E129" s="126" t="s">
        <v>7756</v>
      </c>
      <c r="F129" s="154" t="s">
        <v>7455</v>
      </c>
      <c r="G129" s="154" t="s">
        <v>8506</v>
      </c>
    </row>
    <row r="130" spans="1:7">
      <c r="A130" s="133" t="s">
        <v>255</v>
      </c>
      <c r="B130" s="288">
        <v>129</v>
      </c>
      <c r="C130" s="124" t="s">
        <v>7567</v>
      </c>
      <c r="E130" s="126" t="s">
        <v>7757</v>
      </c>
      <c r="F130" s="154" t="s">
        <v>8687</v>
      </c>
      <c r="G130" s="154" t="s">
        <v>8506</v>
      </c>
    </row>
    <row r="131" spans="1:7">
      <c r="A131" s="133" t="s">
        <v>255</v>
      </c>
      <c r="B131" s="288">
        <v>130</v>
      </c>
      <c r="C131" s="124" t="s">
        <v>8301</v>
      </c>
      <c r="E131" s="126" t="s">
        <v>7758</v>
      </c>
      <c r="F131" s="154" t="s">
        <v>7568</v>
      </c>
      <c r="G131" s="154" t="s">
        <v>8506</v>
      </c>
    </row>
    <row r="132" spans="1:7">
      <c r="A132" s="133" t="s">
        <v>255</v>
      </c>
      <c r="B132" s="288">
        <v>131</v>
      </c>
      <c r="C132" s="124" t="s">
        <v>8302</v>
      </c>
      <c r="E132" s="126" t="s">
        <v>7759</v>
      </c>
      <c r="F132" s="154" t="s">
        <v>7834</v>
      </c>
      <c r="G132" s="154" t="s">
        <v>8506</v>
      </c>
    </row>
    <row r="133" spans="1:7">
      <c r="A133" s="133" t="s">
        <v>255</v>
      </c>
      <c r="B133" s="288">
        <v>132</v>
      </c>
      <c r="C133" s="124" t="s">
        <v>8303</v>
      </c>
      <c r="E133" s="126" t="s">
        <v>7760</v>
      </c>
      <c r="F133" s="154" t="s">
        <v>7835</v>
      </c>
      <c r="G133" s="154" t="s">
        <v>8506</v>
      </c>
    </row>
    <row r="134" spans="1:7">
      <c r="A134" s="133" t="s">
        <v>255</v>
      </c>
      <c r="B134" s="288">
        <v>133</v>
      </c>
      <c r="C134" s="124" t="s">
        <v>8304</v>
      </c>
      <c r="E134" s="126" t="s">
        <v>7761</v>
      </c>
      <c r="F134" s="154" t="s">
        <v>7836</v>
      </c>
      <c r="G134" s="154" t="s">
        <v>8506</v>
      </c>
    </row>
    <row r="135" spans="1:7">
      <c r="A135" s="133" t="s">
        <v>255</v>
      </c>
      <c r="B135" s="288">
        <v>134</v>
      </c>
      <c r="C135" s="124" t="s">
        <v>8305</v>
      </c>
      <c r="E135" s="126" t="s">
        <v>7762</v>
      </c>
      <c r="F135" s="154" t="s">
        <v>7837</v>
      </c>
      <c r="G135" s="154" t="s">
        <v>8506</v>
      </c>
    </row>
    <row r="136" spans="1:7">
      <c r="A136" s="133" t="s">
        <v>255</v>
      </c>
      <c r="B136" s="288">
        <v>135</v>
      </c>
      <c r="C136" s="124" t="s">
        <v>8306</v>
      </c>
      <c r="E136" s="126" t="s">
        <v>7763</v>
      </c>
      <c r="F136" s="154" t="s">
        <v>7838</v>
      </c>
      <c r="G136" s="154" t="s">
        <v>8506</v>
      </c>
    </row>
    <row r="137" spans="1:7">
      <c r="A137" s="133" t="s">
        <v>255</v>
      </c>
      <c r="B137" s="288">
        <v>136</v>
      </c>
      <c r="C137" s="124" t="s">
        <v>7569</v>
      </c>
      <c r="E137" s="126" t="s">
        <v>7764</v>
      </c>
      <c r="F137" s="154" t="s">
        <v>7569</v>
      </c>
      <c r="G137" s="154" t="s">
        <v>8506</v>
      </c>
    </row>
    <row r="138" spans="1:7">
      <c r="A138" s="133" t="s">
        <v>255</v>
      </c>
      <c r="B138" s="288">
        <v>137</v>
      </c>
      <c r="C138" s="124" t="s">
        <v>8307</v>
      </c>
      <c r="E138" s="126" t="s">
        <v>7765</v>
      </c>
      <c r="F138" s="154" t="s">
        <v>7839</v>
      </c>
      <c r="G138" s="154" t="s">
        <v>8506</v>
      </c>
    </row>
    <row r="139" spans="1:7">
      <c r="A139" s="133" t="s">
        <v>255</v>
      </c>
      <c r="B139" s="288">
        <v>138</v>
      </c>
      <c r="C139" s="124" t="s">
        <v>8308</v>
      </c>
      <c r="E139" s="126" t="s">
        <v>7766</v>
      </c>
      <c r="F139" s="154" t="s">
        <v>7840</v>
      </c>
      <c r="G139" s="154" t="s">
        <v>8506</v>
      </c>
    </row>
    <row r="140" spans="1:7">
      <c r="A140" s="133" t="s">
        <v>255</v>
      </c>
      <c r="B140" s="288">
        <v>139</v>
      </c>
      <c r="C140" s="124" t="s">
        <v>8309</v>
      </c>
      <c r="E140" s="126" t="s">
        <v>7767</v>
      </c>
      <c r="F140" s="154" t="s">
        <v>7841</v>
      </c>
      <c r="G140" s="154" t="s">
        <v>8506</v>
      </c>
    </row>
    <row r="141" spans="1:7">
      <c r="A141" s="133" t="s">
        <v>255</v>
      </c>
      <c r="B141" s="288">
        <v>140</v>
      </c>
      <c r="C141" s="124" t="s">
        <v>8310</v>
      </c>
      <c r="E141" s="126" t="s">
        <v>7768</v>
      </c>
      <c r="F141" s="154" t="s">
        <v>7842</v>
      </c>
      <c r="G141" s="154" t="s">
        <v>8506</v>
      </c>
    </row>
    <row r="142" spans="1:7">
      <c r="A142" s="133" t="s">
        <v>255</v>
      </c>
      <c r="B142" s="288">
        <v>141</v>
      </c>
      <c r="C142" s="124" t="s">
        <v>7570</v>
      </c>
      <c r="E142" s="126" t="s">
        <v>7769</v>
      </c>
      <c r="F142" s="154" t="s">
        <v>7570</v>
      </c>
      <c r="G142" s="154" t="s">
        <v>8506</v>
      </c>
    </row>
    <row r="143" spans="1:7">
      <c r="A143" s="133" t="s">
        <v>255</v>
      </c>
      <c r="B143" s="288">
        <v>142</v>
      </c>
      <c r="C143" s="124" t="s">
        <v>7571</v>
      </c>
      <c r="E143" s="126" t="s">
        <v>7770</v>
      </c>
      <c r="F143" s="154" t="s">
        <v>7571</v>
      </c>
      <c r="G143" s="154" t="s">
        <v>8506</v>
      </c>
    </row>
    <row r="144" spans="1:7">
      <c r="A144" s="133" t="s">
        <v>255</v>
      </c>
      <c r="B144" s="288">
        <v>143</v>
      </c>
      <c r="C144" s="124" t="s">
        <v>7572</v>
      </c>
      <c r="E144" s="126" t="s">
        <v>7771</v>
      </c>
      <c r="F144" s="154" t="s">
        <v>7572</v>
      </c>
      <c r="G144" s="154" t="s">
        <v>8506</v>
      </c>
    </row>
    <row r="145" spans="1:7">
      <c r="A145" s="133" t="s">
        <v>255</v>
      </c>
      <c r="B145" s="288">
        <v>144</v>
      </c>
      <c r="C145" s="124" t="s">
        <v>7573</v>
      </c>
      <c r="E145" s="126" t="s">
        <v>7772</v>
      </c>
      <c r="F145" s="154" t="s">
        <v>7573</v>
      </c>
      <c r="G145" s="154" t="s">
        <v>8506</v>
      </c>
    </row>
    <row r="146" spans="1:7">
      <c r="A146" s="133" t="s">
        <v>255</v>
      </c>
      <c r="B146" s="288">
        <v>145</v>
      </c>
      <c r="C146" s="124" t="s">
        <v>7574</v>
      </c>
      <c r="E146" s="126" t="s">
        <v>7773</v>
      </c>
      <c r="F146" s="154" t="s">
        <v>7574</v>
      </c>
      <c r="G146" s="154" t="s">
        <v>8506</v>
      </c>
    </row>
    <row r="147" spans="1:7">
      <c r="A147" s="133" t="s">
        <v>255</v>
      </c>
      <c r="B147" s="288">
        <v>146</v>
      </c>
      <c r="C147" s="124" t="s">
        <v>7575</v>
      </c>
      <c r="E147" s="126" t="s">
        <v>7774</v>
      </c>
      <c r="F147" s="154" t="s">
        <v>7575</v>
      </c>
      <c r="G147" s="154" t="s">
        <v>8506</v>
      </c>
    </row>
    <row r="148" spans="1:7">
      <c r="A148" s="133" t="s">
        <v>255</v>
      </c>
      <c r="B148" s="288">
        <v>147</v>
      </c>
      <c r="C148" s="124" t="s">
        <v>7576</v>
      </c>
      <c r="E148" s="126" t="s">
        <v>7775</v>
      </c>
      <c r="F148" s="154" t="s">
        <v>7576</v>
      </c>
      <c r="G148" s="154" t="s">
        <v>8506</v>
      </c>
    </row>
    <row r="149" spans="1:7">
      <c r="A149" s="133" t="s">
        <v>255</v>
      </c>
      <c r="B149" s="288">
        <v>148</v>
      </c>
      <c r="C149" s="124" t="s">
        <v>7577</v>
      </c>
      <c r="E149" s="126" t="s">
        <v>7776</v>
      </c>
      <c r="F149" s="154" t="s">
        <v>7577</v>
      </c>
      <c r="G149" s="154" t="s">
        <v>8506</v>
      </c>
    </row>
    <row r="150" spans="1:7">
      <c r="A150" s="133" t="s">
        <v>255</v>
      </c>
      <c r="B150" s="288">
        <v>149</v>
      </c>
      <c r="C150" s="124" t="s">
        <v>7578</v>
      </c>
      <c r="E150" s="126" t="s">
        <v>7777</v>
      </c>
      <c r="F150" s="154" t="s">
        <v>7578</v>
      </c>
      <c r="G150" s="154" t="s">
        <v>8506</v>
      </c>
    </row>
    <row r="151" spans="1:7">
      <c r="A151" s="133" t="s">
        <v>255</v>
      </c>
      <c r="B151" s="288">
        <v>150</v>
      </c>
      <c r="C151" s="124" t="s">
        <v>7579</v>
      </c>
      <c r="E151" s="126" t="s">
        <v>7778</v>
      </c>
      <c r="F151" s="154" t="s">
        <v>7579</v>
      </c>
      <c r="G151" s="154" t="s">
        <v>8506</v>
      </c>
    </row>
    <row r="152" spans="1:7">
      <c r="A152" s="133" t="s">
        <v>255</v>
      </c>
      <c r="B152" s="288">
        <v>151</v>
      </c>
      <c r="C152" s="124" t="s">
        <v>8311</v>
      </c>
      <c r="E152" s="126" t="s">
        <v>7779</v>
      </c>
      <c r="F152" s="154" t="s">
        <v>7580</v>
      </c>
      <c r="G152" s="154" t="s">
        <v>8506</v>
      </c>
    </row>
    <row r="153" spans="1:7">
      <c r="A153" s="133" t="s">
        <v>255</v>
      </c>
      <c r="B153" s="288">
        <v>152</v>
      </c>
      <c r="C153" s="124" t="s">
        <v>7581</v>
      </c>
      <c r="E153" s="126" t="s">
        <v>7780</v>
      </c>
      <c r="F153" s="154" t="s">
        <v>7581</v>
      </c>
      <c r="G153" s="154" t="s">
        <v>8506</v>
      </c>
    </row>
    <row r="154" spans="1:7">
      <c r="A154" s="133" t="s">
        <v>255</v>
      </c>
      <c r="B154" s="288">
        <v>153</v>
      </c>
      <c r="C154" s="124" t="s">
        <v>7582</v>
      </c>
      <c r="E154" s="126" t="s">
        <v>7781</v>
      </c>
      <c r="F154" s="154" t="s">
        <v>7582</v>
      </c>
      <c r="G154" s="154" t="s">
        <v>8506</v>
      </c>
    </row>
    <row r="155" spans="1:7">
      <c r="A155" s="133" t="s">
        <v>255</v>
      </c>
      <c r="B155" s="288">
        <v>154</v>
      </c>
      <c r="C155" s="124" t="s">
        <v>7583</v>
      </c>
      <c r="E155" s="126" t="s">
        <v>7782</v>
      </c>
      <c r="F155" s="154" t="s">
        <v>7583</v>
      </c>
      <c r="G155" s="154" t="s">
        <v>8506</v>
      </c>
    </row>
    <row r="156" spans="1:7">
      <c r="A156" s="133" t="s">
        <v>255</v>
      </c>
      <c r="B156" s="288">
        <v>155</v>
      </c>
      <c r="C156" s="124" t="s">
        <v>7584</v>
      </c>
      <c r="E156" s="126" t="s">
        <v>7783</v>
      </c>
      <c r="F156" s="154" t="s">
        <v>7584</v>
      </c>
      <c r="G156" s="154" t="s">
        <v>8506</v>
      </c>
    </row>
    <row r="157" spans="1:7">
      <c r="A157" s="133" t="s">
        <v>255</v>
      </c>
      <c r="B157" s="288">
        <v>156</v>
      </c>
      <c r="C157" s="124" t="s">
        <v>7585</v>
      </c>
      <c r="E157" s="126" t="s">
        <v>7784</v>
      </c>
      <c r="F157" s="154" t="s">
        <v>7585</v>
      </c>
      <c r="G157" s="154" t="s">
        <v>8506</v>
      </c>
    </row>
    <row r="158" spans="1:7">
      <c r="A158" s="133" t="s">
        <v>255</v>
      </c>
      <c r="B158" s="288">
        <v>157</v>
      </c>
      <c r="C158" s="124" t="s">
        <v>7586</v>
      </c>
      <c r="E158" s="126" t="s">
        <v>7785</v>
      </c>
      <c r="F158" s="154" t="s">
        <v>7586</v>
      </c>
      <c r="G158" s="154" t="s">
        <v>8506</v>
      </c>
    </row>
    <row r="159" spans="1:7">
      <c r="A159" s="133" t="s">
        <v>255</v>
      </c>
      <c r="B159" s="288">
        <v>158</v>
      </c>
      <c r="C159" s="124" t="s">
        <v>7587</v>
      </c>
      <c r="E159" s="126" t="s">
        <v>7786</v>
      </c>
      <c r="F159" s="154" t="s">
        <v>7587</v>
      </c>
      <c r="G159" s="154" t="s">
        <v>8506</v>
      </c>
    </row>
    <row r="160" spans="1:7">
      <c r="A160" s="133" t="s">
        <v>255</v>
      </c>
      <c r="B160" s="288">
        <v>159</v>
      </c>
      <c r="C160" s="124" t="s">
        <v>7588</v>
      </c>
      <c r="E160" s="126" t="s">
        <v>7787</v>
      </c>
      <c r="F160" s="154" t="s">
        <v>7588</v>
      </c>
      <c r="G160" s="154" t="s">
        <v>8506</v>
      </c>
    </row>
    <row r="161" spans="1:7">
      <c r="A161" s="133" t="s">
        <v>255</v>
      </c>
      <c r="B161" s="288">
        <v>160</v>
      </c>
      <c r="C161" s="124" t="s">
        <v>7589</v>
      </c>
      <c r="E161" s="126" t="s">
        <v>7788</v>
      </c>
      <c r="F161" s="154" t="s">
        <v>7589</v>
      </c>
      <c r="G161" s="154" t="s">
        <v>8506</v>
      </c>
    </row>
    <row r="162" spans="1:7">
      <c r="A162" s="133" t="s">
        <v>255</v>
      </c>
      <c r="B162" s="288">
        <v>161</v>
      </c>
      <c r="C162" s="124" t="s">
        <v>7590</v>
      </c>
      <c r="E162" s="126" t="s">
        <v>7789</v>
      </c>
      <c r="F162" s="154" t="s">
        <v>7590</v>
      </c>
      <c r="G162" s="154" t="s">
        <v>8506</v>
      </c>
    </row>
    <row r="163" spans="1:7">
      <c r="A163" s="133" t="s">
        <v>255</v>
      </c>
      <c r="B163" s="288">
        <v>162</v>
      </c>
      <c r="C163" s="124" t="s">
        <v>7591</v>
      </c>
      <c r="E163" s="126" t="s">
        <v>7790</v>
      </c>
      <c r="F163" s="154" t="s">
        <v>7591</v>
      </c>
      <c r="G163" s="154" t="s">
        <v>8506</v>
      </c>
    </row>
    <row r="164" spans="1:7">
      <c r="A164" s="133" t="s">
        <v>255</v>
      </c>
      <c r="B164" s="288">
        <v>163</v>
      </c>
      <c r="C164" s="124" t="s">
        <v>7592</v>
      </c>
      <c r="E164" s="126" t="s">
        <v>7791</v>
      </c>
      <c r="F164" s="154" t="s">
        <v>7592</v>
      </c>
      <c r="G164" s="154" t="s">
        <v>8506</v>
      </c>
    </row>
    <row r="165" spans="1:7">
      <c r="A165" s="133" t="s">
        <v>255</v>
      </c>
      <c r="B165" s="288">
        <v>164</v>
      </c>
      <c r="C165" s="124" t="s">
        <v>7593</v>
      </c>
      <c r="E165" s="126" t="s">
        <v>7792</v>
      </c>
      <c r="F165" s="154" t="s">
        <v>7593</v>
      </c>
      <c r="G165" s="154" t="s">
        <v>8506</v>
      </c>
    </row>
    <row r="166" spans="1:7">
      <c r="A166" s="133" t="s">
        <v>255</v>
      </c>
      <c r="B166" s="288">
        <v>165</v>
      </c>
      <c r="C166" s="124" t="s">
        <v>7594</v>
      </c>
      <c r="E166" s="126" t="s">
        <v>7793</v>
      </c>
      <c r="F166" s="154" t="s">
        <v>7594</v>
      </c>
      <c r="G166" s="154" t="s">
        <v>8506</v>
      </c>
    </row>
    <row r="167" spans="1:7">
      <c r="A167" s="133" t="s">
        <v>255</v>
      </c>
      <c r="B167" s="288">
        <v>166</v>
      </c>
      <c r="C167" s="124" t="s">
        <v>7595</v>
      </c>
      <c r="E167" s="126" t="s">
        <v>7794</v>
      </c>
      <c r="F167" s="154" t="s">
        <v>7595</v>
      </c>
      <c r="G167" s="154" t="s">
        <v>8506</v>
      </c>
    </row>
    <row r="168" spans="1:7">
      <c r="A168" s="133" t="s">
        <v>255</v>
      </c>
      <c r="B168" s="288">
        <v>167</v>
      </c>
      <c r="C168" s="124" t="s">
        <v>7596</v>
      </c>
      <c r="E168" s="126" t="s">
        <v>7795</v>
      </c>
      <c r="F168" s="154" t="s">
        <v>7596</v>
      </c>
      <c r="G168" s="154" t="s">
        <v>8506</v>
      </c>
    </row>
    <row r="169" spans="1:7">
      <c r="A169" s="133" t="s">
        <v>255</v>
      </c>
      <c r="B169" s="288">
        <v>168</v>
      </c>
      <c r="C169" s="124" t="s">
        <v>7597</v>
      </c>
      <c r="E169" s="126" t="s">
        <v>7796</v>
      </c>
      <c r="F169" s="154" t="s">
        <v>7597</v>
      </c>
      <c r="G169" s="154" t="s">
        <v>8506</v>
      </c>
    </row>
    <row r="170" spans="1:7">
      <c r="A170" s="133" t="s">
        <v>255</v>
      </c>
      <c r="B170" s="288">
        <v>169</v>
      </c>
      <c r="C170" s="124" t="s">
        <v>7598</v>
      </c>
      <c r="E170" s="126" t="s">
        <v>7797</v>
      </c>
      <c r="F170" s="154" t="s">
        <v>7598</v>
      </c>
      <c r="G170" s="154" t="s">
        <v>8506</v>
      </c>
    </row>
    <row r="171" spans="1:7">
      <c r="A171" s="133" t="s">
        <v>255</v>
      </c>
      <c r="B171" s="288">
        <v>170</v>
      </c>
      <c r="C171" s="124" t="s">
        <v>7599</v>
      </c>
      <c r="E171" s="126" t="s">
        <v>7798</v>
      </c>
      <c r="F171" s="154" t="s">
        <v>7599</v>
      </c>
      <c r="G171" s="154" t="s">
        <v>8506</v>
      </c>
    </row>
    <row r="172" spans="1:7">
      <c r="A172" s="133" t="s">
        <v>255</v>
      </c>
      <c r="B172" s="288">
        <v>171</v>
      </c>
      <c r="C172" s="124" t="s">
        <v>7600</v>
      </c>
      <c r="E172" s="126" t="s">
        <v>7799</v>
      </c>
      <c r="F172" s="154" t="s">
        <v>7600</v>
      </c>
      <c r="G172" s="154" t="s">
        <v>8506</v>
      </c>
    </row>
    <row r="173" spans="1:7">
      <c r="A173" s="133" t="s">
        <v>255</v>
      </c>
      <c r="B173" s="288">
        <v>172</v>
      </c>
      <c r="C173" s="124" t="s">
        <v>8312</v>
      </c>
      <c r="E173" s="126" t="s">
        <v>7800</v>
      </c>
      <c r="F173" s="154" t="s">
        <v>8688</v>
      </c>
      <c r="G173" s="154" t="s">
        <v>8506</v>
      </c>
    </row>
    <row r="174" spans="1:7">
      <c r="A174" s="133" t="s">
        <v>255</v>
      </c>
      <c r="B174" s="288">
        <v>173</v>
      </c>
      <c r="C174" s="124" t="s">
        <v>8313</v>
      </c>
      <c r="E174" s="126" t="s">
        <v>7801</v>
      </c>
      <c r="F174" s="154" t="s">
        <v>8689</v>
      </c>
      <c r="G174" s="154" t="s">
        <v>8506</v>
      </c>
    </row>
    <row r="175" spans="1:7">
      <c r="A175" s="133" t="s">
        <v>255</v>
      </c>
      <c r="B175" s="288">
        <v>174</v>
      </c>
      <c r="C175" s="124" t="s">
        <v>8314</v>
      </c>
      <c r="E175" s="126" t="s">
        <v>7802</v>
      </c>
      <c r="F175" s="154" t="s">
        <v>7843</v>
      </c>
      <c r="G175" s="154" t="s">
        <v>8506</v>
      </c>
    </row>
    <row r="176" spans="1:7">
      <c r="A176" s="133" t="s">
        <v>255</v>
      </c>
      <c r="B176" s="288">
        <v>175</v>
      </c>
      <c r="C176" s="124" t="s">
        <v>8315</v>
      </c>
      <c r="E176" s="126" t="s">
        <v>7803</v>
      </c>
      <c r="F176" s="154" t="s">
        <v>7844</v>
      </c>
      <c r="G176" s="154" t="s">
        <v>8506</v>
      </c>
    </row>
    <row r="177" spans="1:7">
      <c r="A177" s="133" t="s">
        <v>255</v>
      </c>
      <c r="B177" s="288">
        <v>176</v>
      </c>
      <c r="C177" s="124" t="s">
        <v>7601</v>
      </c>
      <c r="E177" s="126" t="s">
        <v>7804</v>
      </c>
      <c r="F177" s="154" t="s">
        <v>7601</v>
      </c>
      <c r="G177" s="154" t="s">
        <v>8506</v>
      </c>
    </row>
    <row r="178" spans="1:7">
      <c r="A178" s="133" t="s">
        <v>255</v>
      </c>
      <c r="B178" s="288">
        <v>177</v>
      </c>
      <c r="C178" s="124" t="s">
        <v>7602</v>
      </c>
      <c r="E178" s="126" t="s">
        <v>7805</v>
      </c>
      <c r="F178" s="154" t="s">
        <v>7602</v>
      </c>
      <c r="G178" s="154" t="s">
        <v>8506</v>
      </c>
    </row>
    <row r="179" spans="1:7">
      <c r="A179" s="133" t="s">
        <v>255</v>
      </c>
      <c r="B179" s="288">
        <v>178</v>
      </c>
      <c r="C179" s="124" t="s">
        <v>7603</v>
      </c>
      <c r="E179" s="126" t="s">
        <v>7806</v>
      </c>
      <c r="F179" s="154" t="s">
        <v>7603</v>
      </c>
      <c r="G179" s="154" t="s">
        <v>8506</v>
      </c>
    </row>
    <row r="180" spans="1:7">
      <c r="A180" s="133" t="s">
        <v>255</v>
      </c>
      <c r="B180" s="288">
        <v>179</v>
      </c>
      <c r="C180" s="124" t="s">
        <v>7604</v>
      </c>
      <c r="E180" s="126" t="s">
        <v>7807</v>
      </c>
      <c r="F180" s="154" t="s">
        <v>7604</v>
      </c>
      <c r="G180" s="154" t="s">
        <v>8506</v>
      </c>
    </row>
    <row r="181" spans="1:7">
      <c r="A181" s="133" t="s">
        <v>255</v>
      </c>
      <c r="B181" s="288">
        <v>180</v>
      </c>
      <c r="C181" s="124" t="s">
        <v>7605</v>
      </c>
      <c r="E181" s="126" t="s">
        <v>7808</v>
      </c>
      <c r="F181" s="154" t="s">
        <v>7605</v>
      </c>
      <c r="G181" s="154" t="s">
        <v>8506</v>
      </c>
    </row>
    <row r="182" spans="1:7">
      <c r="A182" s="133" t="s">
        <v>255</v>
      </c>
      <c r="B182" s="288">
        <v>181</v>
      </c>
      <c r="C182" s="124" t="s">
        <v>8316</v>
      </c>
      <c r="E182" s="126" t="s">
        <v>8511</v>
      </c>
      <c r="G182" s="154" t="s">
        <v>8506</v>
      </c>
    </row>
    <row r="183" spans="1:7">
      <c r="A183" s="133" t="s">
        <v>255</v>
      </c>
      <c r="B183" s="288">
        <v>182</v>
      </c>
      <c r="C183" s="124" t="s">
        <v>8317</v>
      </c>
      <c r="E183" s="126" t="s">
        <v>8512</v>
      </c>
      <c r="G183" s="154" t="s">
        <v>8506</v>
      </c>
    </row>
    <row r="184" spans="1:7">
      <c r="A184" s="133" t="s">
        <v>255</v>
      </c>
      <c r="B184" s="288">
        <v>183</v>
      </c>
      <c r="C184" s="124" t="s">
        <v>8318</v>
      </c>
      <c r="E184" s="126" t="s">
        <v>8513</v>
      </c>
      <c r="G184" s="154" t="s">
        <v>8506</v>
      </c>
    </row>
    <row r="185" spans="1:7">
      <c r="A185" s="133" t="s">
        <v>255</v>
      </c>
      <c r="B185" s="288">
        <v>184</v>
      </c>
      <c r="C185" s="124" t="s">
        <v>8319</v>
      </c>
      <c r="E185" s="126" t="s">
        <v>8514</v>
      </c>
      <c r="G185" s="154" t="s">
        <v>8506</v>
      </c>
    </row>
    <row r="186" spans="1:7">
      <c r="A186" s="133" t="s">
        <v>255</v>
      </c>
      <c r="B186" s="288">
        <v>185</v>
      </c>
      <c r="C186" s="124" t="s">
        <v>8320</v>
      </c>
      <c r="E186" s="126" t="s">
        <v>8515</v>
      </c>
      <c r="G186" s="154" t="s">
        <v>8506</v>
      </c>
    </row>
    <row r="187" spans="1:7">
      <c r="A187" s="133" t="s">
        <v>255</v>
      </c>
      <c r="B187" s="288">
        <v>186</v>
      </c>
      <c r="C187" s="124" t="s">
        <v>8321</v>
      </c>
      <c r="E187" s="126" t="s">
        <v>8516</v>
      </c>
      <c r="G187" s="154" t="s">
        <v>8506</v>
      </c>
    </row>
    <row r="188" spans="1:7">
      <c r="A188" s="133" t="s">
        <v>255</v>
      </c>
      <c r="B188" s="288">
        <v>187</v>
      </c>
      <c r="C188" s="124" t="s">
        <v>8322</v>
      </c>
      <c r="E188" s="126" t="s">
        <v>8517</v>
      </c>
      <c r="G188" s="154" t="s">
        <v>8506</v>
      </c>
    </row>
    <row r="189" spans="1:7">
      <c r="A189" s="133" t="s">
        <v>255</v>
      </c>
      <c r="B189" s="288">
        <v>188</v>
      </c>
      <c r="C189" s="124" t="s">
        <v>8323</v>
      </c>
      <c r="E189" s="126" t="s">
        <v>8518</v>
      </c>
      <c r="G189" s="154" t="s">
        <v>8506</v>
      </c>
    </row>
    <row r="190" spans="1:7">
      <c r="A190" s="133" t="s">
        <v>255</v>
      </c>
      <c r="B190" s="288">
        <v>189</v>
      </c>
      <c r="C190" s="124" t="s">
        <v>8324</v>
      </c>
      <c r="E190" s="126" t="s">
        <v>8519</v>
      </c>
      <c r="G190" s="154" t="s">
        <v>8506</v>
      </c>
    </row>
    <row r="191" spans="1:7">
      <c r="A191" s="133" t="s">
        <v>255</v>
      </c>
      <c r="B191" s="288">
        <v>190</v>
      </c>
      <c r="C191" s="124" t="s">
        <v>8325</v>
      </c>
      <c r="E191" s="126" t="s">
        <v>8520</v>
      </c>
      <c r="G191" s="154" t="s">
        <v>8506</v>
      </c>
    </row>
    <row r="192" spans="1:7">
      <c r="A192" s="133" t="s">
        <v>255</v>
      </c>
      <c r="B192" s="288">
        <v>191</v>
      </c>
      <c r="C192" s="124" t="s">
        <v>8326</v>
      </c>
      <c r="E192" s="126" t="s">
        <v>8521</v>
      </c>
      <c r="G192" s="154" t="s">
        <v>8506</v>
      </c>
    </row>
    <row r="193" spans="1:7">
      <c r="A193" s="133" t="s">
        <v>255</v>
      </c>
      <c r="B193" s="288">
        <v>192</v>
      </c>
      <c r="C193" s="124" t="s">
        <v>8327</v>
      </c>
      <c r="E193" s="126" t="s">
        <v>8522</v>
      </c>
      <c r="G193" s="154" t="s">
        <v>8506</v>
      </c>
    </row>
    <row r="194" spans="1:7">
      <c r="A194" s="133" t="s">
        <v>255</v>
      </c>
      <c r="B194" s="288">
        <v>193</v>
      </c>
      <c r="C194" s="124" t="s">
        <v>8328</v>
      </c>
      <c r="E194" s="126" t="s">
        <v>8523</v>
      </c>
      <c r="G194" s="154" t="s">
        <v>8506</v>
      </c>
    </row>
    <row r="195" spans="1:7">
      <c r="A195" s="133" t="s">
        <v>255</v>
      </c>
      <c r="B195" s="288">
        <v>194</v>
      </c>
      <c r="C195" s="124" t="s">
        <v>8329</v>
      </c>
      <c r="E195" s="126" t="s">
        <v>8524</v>
      </c>
      <c r="G195" s="154" t="s">
        <v>8506</v>
      </c>
    </row>
    <row r="196" spans="1:7">
      <c r="A196" s="133" t="s">
        <v>255</v>
      </c>
      <c r="B196" s="288">
        <v>195</v>
      </c>
      <c r="C196" s="124" t="s">
        <v>8330</v>
      </c>
      <c r="E196" s="126" t="s">
        <v>8525</v>
      </c>
      <c r="G196" s="154" t="s">
        <v>8506</v>
      </c>
    </row>
    <row r="197" spans="1:7">
      <c r="A197" s="133" t="s">
        <v>255</v>
      </c>
      <c r="B197" s="288">
        <v>196</v>
      </c>
      <c r="C197" s="124" t="s">
        <v>8331</v>
      </c>
      <c r="E197" s="126" t="s">
        <v>8526</v>
      </c>
      <c r="G197" s="154" t="s">
        <v>8506</v>
      </c>
    </row>
    <row r="198" spans="1:7">
      <c r="A198" s="133" t="s">
        <v>255</v>
      </c>
      <c r="B198" s="288">
        <v>197</v>
      </c>
      <c r="C198" s="124" t="s">
        <v>8332</v>
      </c>
      <c r="E198" s="126" t="s">
        <v>8527</v>
      </c>
      <c r="G198" s="154" t="s">
        <v>8506</v>
      </c>
    </row>
    <row r="199" spans="1:7">
      <c r="A199" s="133" t="s">
        <v>255</v>
      </c>
      <c r="B199" s="288">
        <v>198</v>
      </c>
      <c r="C199" s="124" t="s">
        <v>8333</v>
      </c>
      <c r="E199" s="126" t="s">
        <v>8528</v>
      </c>
      <c r="G199" s="154" t="s">
        <v>8506</v>
      </c>
    </row>
    <row r="200" spans="1:7">
      <c r="A200" s="133" t="s">
        <v>255</v>
      </c>
      <c r="B200" s="288">
        <v>199</v>
      </c>
      <c r="C200" s="124" t="s">
        <v>8334</v>
      </c>
      <c r="E200" s="126" t="s">
        <v>8529</v>
      </c>
      <c r="G200" s="154" t="s">
        <v>8506</v>
      </c>
    </row>
    <row r="201" spans="1:7">
      <c r="A201" s="133" t="s">
        <v>255</v>
      </c>
      <c r="B201" s="288">
        <v>200</v>
      </c>
      <c r="C201" s="124" t="s">
        <v>8335</v>
      </c>
      <c r="E201" s="126" t="s">
        <v>8530</v>
      </c>
      <c r="G201" s="154" t="s">
        <v>8506</v>
      </c>
    </row>
    <row r="202" spans="1:7">
      <c r="A202" s="133" t="s">
        <v>255</v>
      </c>
      <c r="B202" s="288">
        <v>201</v>
      </c>
      <c r="C202" s="124" t="s">
        <v>8336</v>
      </c>
      <c r="E202" s="126" t="s">
        <v>8531</v>
      </c>
      <c r="G202" s="154" t="s">
        <v>8506</v>
      </c>
    </row>
    <row r="203" spans="1:7">
      <c r="A203" s="133" t="s">
        <v>255</v>
      </c>
      <c r="B203" s="288">
        <v>202</v>
      </c>
      <c r="C203" s="124" t="s">
        <v>8337</v>
      </c>
      <c r="E203" s="126" t="s">
        <v>8532</v>
      </c>
      <c r="G203" s="154" t="s">
        <v>8506</v>
      </c>
    </row>
    <row r="204" spans="1:7">
      <c r="A204" s="133" t="s">
        <v>255</v>
      </c>
      <c r="B204" s="288">
        <v>203</v>
      </c>
      <c r="C204" s="124" t="s">
        <v>8338</v>
      </c>
      <c r="E204" s="126" t="s">
        <v>8533</v>
      </c>
      <c r="G204" s="154" t="s">
        <v>8506</v>
      </c>
    </row>
    <row r="205" spans="1:7">
      <c r="A205" s="133" t="s">
        <v>255</v>
      </c>
      <c r="B205" s="288">
        <v>204</v>
      </c>
      <c r="C205" s="124" t="s">
        <v>8339</v>
      </c>
      <c r="E205" s="126" t="s">
        <v>8534</v>
      </c>
      <c r="G205" s="154" t="s">
        <v>8506</v>
      </c>
    </row>
    <row r="206" spans="1:7">
      <c r="A206" s="133" t="s">
        <v>255</v>
      </c>
      <c r="B206" s="288">
        <v>205</v>
      </c>
      <c r="C206" s="124" t="s">
        <v>8340</v>
      </c>
      <c r="E206" s="126" t="s">
        <v>8535</v>
      </c>
      <c r="G206" s="154" t="s">
        <v>8506</v>
      </c>
    </row>
    <row r="207" spans="1:7">
      <c r="A207" s="133" t="s">
        <v>255</v>
      </c>
      <c r="B207" s="288">
        <v>206</v>
      </c>
      <c r="C207" s="124" t="s">
        <v>8341</v>
      </c>
      <c r="E207" s="126" t="s">
        <v>8536</v>
      </c>
      <c r="G207" s="154" t="s">
        <v>8506</v>
      </c>
    </row>
    <row r="208" spans="1:7">
      <c r="A208" s="133" t="s">
        <v>255</v>
      </c>
      <c r="B208" s="288">
        <v>207</v>
      </c>
      <c r="C208" s="124" t="s">
        <v>8342</v>
      </c>
      <c r="E208" s="126" t="s">
        <v>8537</v>
      </c>
      <c r="G208" s="154" t="s">
        <v>8506</v>
      </c>
    </row>
    <row r="209" spans="1:10">
      <c r="A209" s="133" t="s">
        <v>255</v>
      </c>
      <c r="B209" s="288">
        <v>208</v>
      </c>
      <c r="C209" s="124" t="s">
        <v>8343</v>
      </c>
      <c r="E209" s="126" t="s">
        <v>8538</v>
      </c>
      <c r="G209" s="154" t="s">
        <v>8506</v>
      </c>
    </row>
    <row r="210" spans="1:10">
      <c r="A210" s="133" t="s">
        <v>255</v>
      </c>
      <c r="B210" s="288">
        <v>209</v>
      </c>
      <c r="C210" s="124" t="s">
        <v>8344</v>
      </c>
      <c r="E210" s="126" t="s">
        <v>8539</v>
      </c>
      <c r="G210" s="154" t="s">
        <v>8506</v>
      </c>
    </row>
    <row r="211" spans="1:10">
      <c r="A211" s="133" t="s">
        <v>255</v>
      </c>
      <c r="B211" s="288">
        <v>210</v>
      </c>
      <c r="C211" s="124" t="s">
        <v>8345</v>
      </c>
      <c r="E211" s="126" t="s">
        <v>8540</v>
      </c>
      <c r="G211" s="154" t="s">
        <v>8506</v>
      </c>
      <c r="I211"/>
      <c r="J211"/>
    </row>
    <row r="212" spans="1:10">
      <c r="A212" s="133" t="s">
        <v>255</v>
      </c>
      <c r="B212" s="288">
        <v>211</v>
      </c>
      <c r="C212" s="124" t="s">
        <v>8346</v>
      </c>
      <c r="E212" s="126" t="s">
        <v>8541</v>
      </c>
      <c r="G212" s="154" t="s">
        <v>8506</v>
      </c>
      <c r="I212"/>
      <c r="J212"/>
    </row>
    <row r="213" spans="1:10">
      <c r="A213" s="133" t="s">
        <v>255</v>
      </c>
      <c r="B213" s="288">
        <v>212</v>
      </c>
      <c r="C213" s="124" t="s">
        <v>8347</v>
      </c>
      <c r="E213" s="126" t="s">
        <v>8542</v>
      </c>
      <c r="G213" s="154" t="s">
        <v>8506</v>
      </c>
      <c r="I213"/>
      <c r="J213"/>
    </row>
    <row r="214" spans="1:10">
      <c r="A214" s="133" t="s">
        <v>255</v>
      </c>
      <c r="B214" s="288">
        <v>213</v>
      </c>
      <c r="C214" s="124" t="s">
        <v>8348</v>
      </c>
      <c r="E214" s="126" t="s">
        <v>8543</v>
      </c>
      <c r="G214" s="154" t="s">
        <v>8506</v>
      </c>
      <c r="I214"/>
      <c r="J214"/>
    </row>
    <row r="215" spans="1:10">
      <c r="A215" s="133" t="s">
        <v>255</v>
      </c>
      <c r="B215" s="288">
        <v>214</v>
      </c>
      <c r="C215" s="124" t="s">
        <v>8349</v>
      </c>
      <c r="E215" s="126" t="s">
        <v>8544</v>
      </c>
      <c r="G215" s="154" t="s">
        <v>8506</v>
      </c>
      <c r="I215"/>
      <c r="J215"/>
    </row>
    <row r="216" spans="1:10">
      <c r="A216" s="133" t="s">
        <v>255</v>
      </c>
      <c r="B216" s="288">
        <v>215</v>
      </c>
      <c r="C216" s="124" t="s">
        <v>8350</v>
      </c>
      <c r="E216" s="126" t="s">
        <v>8545</v>
      </c>
      <c r="G216" s="154" t="s">
        <v>8506</v>
      </c>
      <c r="I216"/>
      <c r="J216"/>
    </row>
    <row r="217" spans="1:10">
      <c r="A217" s="133" t="s">
        <v>255</v>
      </c>
      <c r="B217" s="288">
        <v>216</v>
      </c>
      <c r="C217" s="124" t="s">
        <v>8351</v>
      </c>
      <c r="E217" s="126" t="s">
        <v>8546</v>
      </c>
      <c r="G217" s="154" t="s">
        <v>8506</v>
      </c>
      <c r="I217"/>
      <c r="J217"/>
    </row>
    <row r="218" spans="1:10">
      <c r="A218" s="133" t="s">
        <v>255</v>
      </c>
      <c r="B218" s="288">
        <v>217</v>
      </c>
      <c r="C218" s="124" t="s">
        <v>8352</v>
      </c>
      <c r="E218" s="126" t="s">
        <v>8547</v>
      </c>
      <c r="G218" s="154" t="s">
        <v>8506</v>
      </c>
      <c r="I218"/>
      <c r="J218"/>
    </row>
    <row r="219" spans="1:10">
      <c r="A219" s="133" t="s">
        <v>255</v>
      </c>
      <c r="B219" s="288">
        <v>218</v>
      </c>
      <c r="C219" s="124" t="s">
        <v>8353</v>
      </c>
      <c r="E219" s="126" t="s">
        <v>8548</v>
      </c>
      <c r="G219" s="154" t="s">
        <v>8506</v>
      </c>
      <c r="I219"/>
      <c r="J219"/>
    </row>
    <row r="220" spans="1:10">
      <c r="A220" s="133" t="s">
        <v>255</v>
      </c>
      <c r="B220" s="288">
        <v>219</v>
      </c>
      <c r="C220" s="124" t="s">
        <v>8354</v>
      </c>
      <c r="E220" s="126" t="s">
        <v>8549</v>
      </c>
      <c r="G220" s="154" t="s">
        <v>8506</v>
      </c>
      <c r="I220"/>
      <c r="J220"/>
    </row>
    <row r="221" spans="1:10">
      <c r="A221" s="133" t="s">
        <v>255</v>
      </c>
      <c r="B221" s="288">
        <v>220</v>
      </c>
      <c r="C221" s="124" t="s">
        <v>8355</v>
      </c>
      <c r="E221" s="126" t="s">
        <v>8550</v>
      </c>
      <c r="G221" s="154" t="s">
        <v>8506</v>
      </c>
      <c r="I221"/>
      <c r="J221"/>
    </row>
    <row r="222" spans="1:10">
      <c r="A222" s="133" t="s">
        <v>255</v>
      </c>
      <c r="B222" s="288">
        <v>221</v>
      </c>
      <c r="C222" s="124" t="s">
        <v>8356</v>
      </c>
      <c r="E222" s="126" t="s">
        <v>8551</v>
      </c>
      <c r="G222" s="154" t="s">
        <v>8506</v>
      </c>
      <c r="I222"/>
      <c r="J222"/>
    </row>
    <row r="223" spans="1:10">
      <c r="A223" s="133" t="s">
        <v>255</v>
      </c>
      <c r="B223" s="288">
        <v>222</v>
      </c>
      <c r="C223" s="124" t="s">
        <v>8357</v>
      </c>
      <c r="E223" s="126" t="s">
        <v>8552</v>
      </c>
      <c r="G223" s="154" t="s">
        <v>8506</v>
      </c>
      <c r="I223"/>
      <c r="J223"/>
    </row>
    <row r="224" spans="1:10">
      <c r="A224" s="133" t="s">
        <v>255</v>
      </c>
      <c r="B224" s="288">
        <v>223</v>
      </c>
      <c r="C224" s="124" t="s">
        <v>8358</v>
      </c>
      <c r="E224" s="126" t="s">
        <v>8553</v>
      </c>
      <c r="G224" s="154" t="s">
        <v>8506</v>
      </c>
      <c r="I224"/>
      <c r="J224"/>
    </row>
    <row r="225" spans="1:10">
      <c r="A225" s="133" t="s">
        <v>255</v>
      </c>
      <c r="B225" s="288">
        <v>224</v>
      </c>
      <c r="C225" s="124" t="s">
        <v>8359</v>
      </c>
      <c r="E225" s="126" t="s">
        <v>8554</v>
      </c>
      <c r="G225" s="154" t="s">
        <v>8506</v>
      </c>
      <c r="I225"/>
      <c r="J225"/>
    </row>
    <row r="226" spans="1:10">
      <c r="A226" s="133" t="s">
        <v>255</v>
      </c>
      <c r="B226" s="288">
        <v>225</v>
      </c>
      <c r="C226" s="124" t="s">
        <v>8360</v>
      </c>
      <c r="E226" s="126" t="s">
        <v>8555</v>
      </c>
      <c r="G226" s="154" t="s">
        <v>8506</v>
      </c>
      <c r="I226"/>
      <c r="J226"/>
    </row>
    <row r="227" spans="1:10">
      <c r="A227" s="133" t="s">
        <v>255</v>
      </c>
      <c r="B227" s="288">
        <v>226</v>
      </c>
      <c r="C227" s="124" t="s">
        <v>8361</v>
      </c>
      <c r="E227" s="126" t="s">
        <v>8556</v>
      </c>
      <c r="G227" s="154" t="s">
        <v>8506</v>
      </c>
      <c r="I227"/>
      <c r="J227"/>
    </row>
    <row r="228" spans="1:10">
      <c r="A228" s="133" t="s">
        <v>255</v>
      </c>
      <c r="B228" s="288">
        <v>227</v>
      </c>
      <c r="C228" s="124" t="s">
        <v>8362</v>
      </c>
      <c r="E228" s="126" t="s">
        <v>8557</v>
      </c>
      <c r="G228" s="154" t="s">
        <v>8506</v>
      </c>
      <c r="I228"/>
      <c r="J228"/>
    </row>
    <row r="229" spans="1:10">
      <c r="A229" s="133" t="s">
        <v>255</v>
      </c>
      <c r="B229" s="288">
        <v>228</v>
      </c>
      <c r="C229" s="124" t="s">
        <v>8363</v>
      </c>
      <c r="E229" s="126" t="s">
        <v>8558</v>
      </c>
      <c r="G229" s="154" t="s">
        <v>8506</v>
      </c>
      <c r="I229"/>
      <c r="J229"/>
    </row>
    <row r="230" spans="1:10">
      <c r="A230" s="133" t="s">
        <v>255</v>
      </c>
      <c r="B230" s="288">
        <v>229</v>
      </c>
      <c r="C230" s="124" t="s">
        <v>8364</v>
      </c>
      <c r="E230" s="126" t="s">
        <v>8559</v>
      </c>
      <c r="G230" s="154" t="s">
        <v>8506</v>
      </c>
      <c r="I230"/>
      <c r="J230"/>
    </row>
    <row r="231" spans="1:10">
      <c r="A231" s="133" t="s">
        <v>255</v>
      </c>
      <c r="B231" s="288">
        <v>230</v>
      </c>
      <c r="C231" s="124" t="s">
        <v>8365</v>
      </c>
      <c r="E231" s="126" t="s">
        <v>8560</v>
      </c>
      <c r="G231" s="154" t="s">
        <v>8506</v>
      </c>
      <c r="I231"/>
      <c r="J231"/>
    </row>
    <row r="232" spans="1:10">
      <c r="A232" s="133" t="s">
        <v>255</v>
      </c>
      <c r="B232" s="288">
        <v>231</v>
      </c>
      <c r="C232" s="124" t="s">
        <v>8366</v>
      </c>
      <c r="E232" s="126" t="s">
        <v>8561</v>
      </c>
      <c r="G232" s="154" t="s">
        <v>8506</v>
      </c>
      <c r="I232"/>
      <c r="J232"/>
    </row>
    <row r="233" spans="1:10">
      <c r="A233" s="133" t="s">
        <v>255</v>
      </c>
      <c r="B233" s="288">
        <v>232</v>
      </c>
      <c r="C233" s="124" t="s">
        <v>8367</v>
      </c>
      <c r="E233" s="126" t="s">
        <v>8562</v>
      </c>
      <c r="G233" s="154" t="s">
        <v>8506</v>
      </c>
      <c r="I233"/>
      <c r="J233"/>
    </row>
    <row r="234" spans="1:10">
      <c r="A234" s="133" t="s">
        <v>255</v>
      </c>
      <c r="B234" s="288">
        <v>233</v>
      </c>
      <c r="C234" s="124" t="s">
        <v>8368</v>
      </c>
      <c r="E234" s="126" t="s">
        <v>8563</v>
      </c>
      <c r="G234" s="154" t="s">
        <v>8506</v>
      </c>
      <c r="I234"/>
      <c r="J234"/>
    </row>
    <row r="235" spans="1:10">
      <c r="A235" s="133" t="s">
        <v>255</v>
      </c>
      <c r="B235" s="288">
        <v>234</v>
      </c>
      <c r="C235" s="124" t="s">
        <v>8369</v>
      </c>
      <c r="E235" s="126" t="s">
        <v>8564</v>
      </c>
      <c r="G235" s="154" t="s">
        <v>8506</v>
      </c>
      <c r="I235"/>
      <c r="J235"/>
    </row>
    <row r="236" spans="1:10">
      <c r="A236" s="133" t="s">
        <v>255</v>
      </c>
      <c r="B236" s="288">
        <v>235</v>
      </c>
      <c r="C236" s="124" t="s">
        <v>8370</v>
      </c>
      <c r="E236" s="126" t="s">
        <v>8565</v>
      </c>
      <c r="G236" s="154" t="s">
        <v>8506</v>
      </c>
      <c r="I236"/>
      <c r="J236"/>
    </row>
    <row r="237" spans="1:10">
      <c r="A237" s="133" t="s">
        <v>255</v>
      </c>
      <c r="B237" s="288">
        <v>236</v>
      </c>
      <c r="C237" s="124" t="s">
        <v>8371</v>
      </c>
      <c r="E237" s="126" t="s">
        <v>8566</v>
      </c>
      <c r="G237" s="154" t="s">
        <v>8506</v>
      </c>
      <c r="I237"/>
      <c r="J237"/>
    </row>
    <row r="238" spans="1:10">
      <c r="A238" s="133" t="s">
        <v>255</v>
      </c>
      <c r="B238" s="288">
        <v>237</v>
      </c>
      <c r="C238" s="124" t="s">
        <v>8372</v>
      </c>
      <c r="E238" s="126" t="s">
        <v>8567</v>
      </c>
      <c r="G238" s="154" t="s">
        <v>8506</v>
      </c>
      <c r="I238"/>
      <c r="J238"/>
    </row>
    <row r="239" spans="1:10">
      <c r="A239" s="133" t="s">
        <v>255</v>
      </c>
      <c r="B239" s="288">
        <v>238</v>
      </c>
      <c r="C239" s="124" t="s">
        <v>8373</v>
      </c>
      <c r="E239" s="126" t="s">
        <v>8568</v>
      </c>
      <c r="G239" s="154" t="s">
        <v>8506</v>
      </c>
      <c r="I239"/>
      <c r="J239"/>
    </row>
    <row r="240" spans="1:10">
      <c r="A240" s="133" t="s">
        <v>255</v>
      </c>
      <c r="B240" s="288">
        <v>239</v>
      </c>
      <c r="C240" s="124" t="s">
        <v>8374</v>
      </c>
      <c r="E240" s="126" t="s">
        <v>8569</v>
      </c>
      <c r="G240" s="154" t="s">
        <v>8506</v>
      </c>
      <c r="I240"/>
      <c r="J240"/>
    </row>
    <row r="241" spans="1:10">
      <c r="A241" s="133" t="s">
        <v>255</v>
      </c>
      <c r="B241" s="288">
        <v>240</v>
      </c>
      <c r="C241" s="124" t="s">
        <v>8375</v>
      </c>
      <c r="E241" s="126" t="s">
        <v>8570</v>
      </c>
      <c r="G241" s="154" t="s">
        <v>8506</v>
      </c>
      <c r="I241"/>
      <c r="J241"/>
    </row>
    <row r="242" spans="1:10">
      <c r="A242" s="133" t="s">
        <v>255</v>
      </c>
      <c r="B242" s="288">
        <v>241</v>
      </c>
      <c r="C242" s="124" t="s">
        <v>8376</v>
      </c>
      <c r="E242" s="126" t="s">
        <v>8571</v>
      </c>
      <c r="G242" s="154" t="s">
        <v>8506</v>
      </c>
      <c r="I242"/>
      <c r="J242"/>
    </row>
    <row r="243" spans="1:10">
      <c r="A243" s="133" t="s">
        <v>255</v>
      </c>
      <c r="B243" s="288">
        <v>242</v>
      </c>
      <c r="C243" s="124" t="s">
        <v>8377</v>
      </c>
      <c r="E243" s="126" t="s">
        <v>8572</v>
      </c>
      <c r="G243" s="154" t="s">
        <v>8506</v>
      </c>
      <c r="I243"/>
      <c r="J243"/>
    </row>
    <row r="244" spans="1:10">
      <c r="A244" s="133" t="s">
        <v>255</v>
      </c>
      <c r="B244" s="288">
        <v>243</v>
      </c>
      <c r="C244" s="124" t="s">
        <v>8378</v>
      </c>
      <c r="E244" s="126" t="s">
        <v>8573</v>
      </c>
      <c r="G244" s="154" t="s">
        <v>8506</v>
      </c>
      <c r="I244"/>
      <c r="J244"/>
    </row>
    <row r="245" spans="1:10">
      <c r="A245" s="133" t="s">
        <v>255</v>
      </c>
      <c r="B245" s="288">
        <v>244</v>
      </c>
      <c r="C245" s="124" t="s">
        <v>8379</v>
      </c>
      <c r="E245" s="126" t="s">
        <v>8574</v>
      </c>
      <c r="G245" s="154" t="s">
        <v>8506</v>
      </c>
      <c r="I245"/>
      <c r="J245"/>
    </row>
    <row r="246" spans="1:10">
      <c r="A246" s="133" t="s">
        <v>255</v>
      </c>
      <c r="B246" s="288">
        <v>245</v>
      </c>
      <c r="C246" s="124" t="s">
        <v>8380</v>
      </c>
      <c r="E246" s="126" t="s">
        <v>8575</v>
      </c>
      <c r="G246" s="154" t="s">
        <v>8506</v>
      </c>
      <c r="I246"/>
      <c r="J246"/>
    </row>
    <row r="247" spans="1:10">
      <c r="A247" s="133" t="s">
        <v>255</v>
      </c>
      <c r="B247" s="288">
        <v>246</v>
      </c>
      <c r="C247" s="124" t="s">
        <v>8381</v>
      </c>
      <c r="E247" s="126" t="s">
        <v>8576</v>
      </c>
      <c r="G247" s="154" t="s">
        <v>8506</v>
      </c>
      <c r="I247"/>
      <c r="J247"/>
    </row>
    <row r="248" spans="1:10">
      <c r="A248" s="133" t="s">
        <v>255</v>
      </c>
      <c r="B248" s="288">
        <v>247</v>
      </c>
      <c r="C248" s="124" t="s">
        <v>8382</v>
      </c>
      <c r="E248" s="126" t="s">
        <v>8577</v>
      </c>
      <c r="G248" s="154" t="s">
        <v>8506</v>
      </c>
      <c r="I248"/>
      <c r="J248"/>
    </row>
    <row r="249" spans="1:10">
      <c r="A249" s="133" t="s">
        <v>255</v>
      </c>
      <c r="B249" s="288">
        <v>248</v>
      </c>
      <c r="C249" s="124" t="s">
        <v>8383</v>
      </c>
      <c r="E249" s="126" t="s">
        <v>8578</v>
      </c>
      <c r="G249" s="154" t="s">
        <v>8506</v>
      </c>
      <c r="I249"/>
      <c r="J249"/>
    </row>
    <row r="250" spans="1:10">
      <c r="A250" s="133" t="s">
        <v>255</v>
      </c>
      <c r="B250" s="288">
        <v>249</v>
      </c>
      <c r="C250" s="124" t="s">
        <v>8384</v>
      </c>
      <c r="E250" s="126" t="s">
        <v>8579</v>
      </c>
      <c r="G250" s="154" t="s">
        <v>8506</v>
      </c>
      <c r="I250"/>
      <c r="J250"/>
    </row>
    <row r="251" spans="1:10">
      <c r="A251" s="133" t="s">
        <v>255</v>
      </c>
      <c r="B251" s="288">
        <v>250</v>
      </c>
      <c r="C251" s="124" t="s">
        <v>8385</v>
      </c>
      <c r="E251" s="126" t="s">
        <v>8580</v>
      </c>
      <c r="G251" s="154" t="s">
        <v>8506</v>
      </c>
      <c r="I251"/>
      <c r="J251"/>
    </row>
    <row r="252" spans="1:10">
      <c r="A252" s="133" t="s">
        <v>255</v>
      </c>
      <c r="B252" s="288">
        <v>251</v>
      </c>
      <c r="C252" s="124" t="s">
        <v>8386</v>
      </c>
      <c r="E252" s="126" t="s">
        <v>8581</v>
      </c>
      <c r="G252" s="154" t="s">
        <v>8506</v>
      </c>
      <c r="I252"/>
      <c r="J252"/>
    </row>
    <row r="253" spans="1:10">
      <c r="A253" s="133" t="s">
        <v>255</v>
      </c>
      <c r="B253" s="288">
        <v>252</v>
      </c>
      <c r="C253" s="124" t="s">
        <v>8387</v>
      </c>
      <c r="E253" s="126" t="s">
        <v>8582</v>
      </c>
      <c r="G253" s="154" t="s">
        <v>8506</v>
      </c>
      <c r="I253"/>
      <c r="J253"/>
    </row>
    <row r="254" spans="1:10">
      <c r="A254" s="133" t="s">
        <v>255</v>
      </c>
      <c r="B254" s="288">
        <v>253</v>
      </c>
      <c r="C254" s="124" t="s">
        <v>8388</v>
      </c>
      <c r="E254" s="126" t="s">
        <v>8583</v>
      </c>
      <c r="G254" s="154" t="s">
        <v>8506</v>
      </c>
      <c r="I254"/>
      <c r="J254"/>
    </row>
    <row r="255" spans="1:10">
      <c r="A255" s="133" t="s">
        <v>255</v>
      </c>
      <c r="B255" s="288">
        <v>254</v>
      </c>
      <c r="C255" s="124" t="s">
        <v>8389</v>
      </c>
      <c r="E255" s="126" t="s">
        <v>8584</v>
      </c>
      <c r="G255" s="154" t="s">
        <v>8506</v>
      </c>
      <c r="I255"/>
      <c r="J255"/>
    </row>
    <row r="256" spans="1:10">
      <c r="A256" s="133" t="s">
        <v>255</v>
      </c>
      <c r="B256" s="288">
        <v>255</v>
      </c>
      <c r="C256" s="124" t="s">
        <v>8390</v>
      </c>
      <c r="E256" s="126" t="s">
        <v>8585</v>
      </c>
      <c r="G256" s="154" t="s">
        <v>8506</v>
      </c>
      <c r="I256"/>
      <c r="J256"/>
    </row>
    <row r="257" spans="1:10">
      <c r="A257" s="133" t="s">
        <v>255</v>
      </c>
      <c r="B257" s="288">
        <v>256</v>
      </c>
      <c r="C257" s="124" t="s">
        <v>8391</v>
      </c>
      <c r="E257" s="126" t="s">
        <v>8586</v>
      </c>
      <c r="G257" s="154" t="s">
        <v>8506</v>
      </c>
      <c r="I257"/>
      <c r="J257"/>
    </row>
    <row r="258" spans="1:10">
      <c r="A258" s="133" t="s">
        <v>255</v>
      </c>
      <c r="B258" s="288">
        <v>257</v>
      </c>
      <c r="C258" s="124" t="s">
        <v>8392</v>
      </c>
      <c r="E258" s="126" t="s">
        <v>8587</v>
      </c>
      <c r="G258" s="154" t="s">
        <v>8506</v>
      </c>
      <c r="I258"/>
      <c r="J258"/>
    </row>
    <row r="259" spans="1:10">
      <c r="A259" s="133" t="s">
        <v>255</v>
      </c>
      <c r="B259" s="288">
        <v>258</v>
      </c>
      <c r="C259" s="124" t="s">
        <v>8393</v>
      </c>
      <c r="E259" s="126" t="s">
        <v>8588</v>
      </c>
      <c r="G259" s="154" t="s">
        <v>8506</v>
      </c>
      <c r="I259"/>
      <c r="J259"/>
    </row>
    <row r="260" spans="1:10">
      <c r="A260" s="133" t="s">
        <v>255</v>
      </c>
      <c r="B260" s="288">
        <v>259</v>
      </c>
      <c r="C260" s="124" t="s">
        <v>8394</v>
      </c>
      <c r="E260" s="126" t="s">
        <v>8589</v>
      </c>
      <c r="G260" s="154" t="s">
        <v>8506</v>
      </c>
      <c r="I260"/>
      <c r="J260"/>
    </row>
    <row r="261" spans="1:10">
      <c r="A261" s="133" t="s">
        <v>255</v>
      </c>
      <c r="B261" s="288">
        <v>260</v>
      </c>
      <c r="C261" s="124" t="s">
        <v>8395</v>
      </c>
      <c r="E261" s="126" t="s">
        <v>8590</v>
      </c>
      <c r="G261" s="154" t="s">
        <v>8506</v>
      </c>
      <c r="I261"/>
      <c r="J261"/>
    </row>
    <row r="262" spans="1:10">
      <c r="A262" s="133" t="s">
        <v>255</v>
      </c>
      <c r="B262" s="288">
        <v>261</v>
      </c>
      <c r="C262" s="124" t="s">
        <v>8396</v>
      </c>
      <c r="E262" s="126" t="s">
        <v>8591</v>
      </c>
      <c r="G262" s="154" t="s">
        <v>8506</v>
      </c>
      <c r="I262"/>
      <c r="J262"/>
    </row>
    <row r="263" spans="1:10">
      <c r="A263" s="133" t="s">
        <v>255</v>
      </c>
      <c r="B263" s="288">
        <v>262</v>
      </c>
      <c r="C263" s="124" t="s">
        <v>8397</v>
      </c>
      <c r="E263" s="126" t="s">
        <v>8592</v>
      </c>
      <c r="G263" s="154" t="s">
        <v>8506</v>
      </c>
      <c r="I263"/>
      <c r="J263"/>
    </row>
    <row r="264" spans="1:10">
      <c r="A264" s="133" t="s">
        <v>255</v>
      </c>
      <c r="B264" s="288">
        <v>263</v>
      </c>
      <c r="C264" s="124" t="s">
        <v>8398</v>
      </c>
      <c r="E264" s="126" t="s">
        <v>8593</v>
      </c>
      <c r="G264" s="154" t="s">
        <v>8506</v>
      </c>
      <c r="I264"/>
      <c r="J264"/>
    </row>
    <row r="265" spans="1:10">
      <c r="A265" s="133" t="s">
        <v>255</v>
      </c>
      <c r="B265" s="288">
        <v>264</v>
      </c>
      <c r="C265" s="124" t="s">
        <v>8399</v>
      </c>
      <c r="E265" s="126" t="s">
        <v>8594</v>
      </c>
      <c r="G265" s="154" t="s">
        <v>8506</v>
      </c>
      <c r="I265"/>
      <c r="J265"/>
    </row>
    <row r="266" spans="1:10">
      <c r="A266" s="133" t="s">
        <v>255</v>
      </c>
      <c r="B266" s="288">
        <v>265</v>
      </c>
      <c r="C266" s="124" t="s">
        <v>8400</v>
      </c>
      <c r="E266" s="126" t="s">
        <v>8595</v>
      </c>
      <c r="G266" s="154" t="s">
        <v>8506</v>
      </c>
      <c r="I266"/>
      <c r="J266"/>
    </row>
    <row r="267" spans="1:10">
      <c r="A267" s="133" t="s">
        <v>255</v>
      </c>
      <c r="B267" s="288">
        <v>266</v>
      </c>
      <c r="C267" s="124" t="s">
        <v>8401</v>
      </c>
      <c r="E267" s="126" t="s">
        <v>8596</v>
      </c>
      <c r="G267" s="154" t="s">
        <v>8506</v>
      </c>
      <c r="I267"/>
      <c r="J267"/>
    </row>
    <row r="268" spans="1:10">
      <c r="A268" s="133" t="s">
        <v>255</v>
      </c>
      <c r="B268" s="288">
        <v>267</v>
      </c>
      <c r="C268" s="124" t="s">
        <v>8402</v>
      </c>
      <c r="E268" s="126" t="s">
        <v>8597</v>
      </c>
      <c r="G268" s="154" t="s">
        <v>8506</v>
      </c>
      <c r="I268"/>
      <c r="J268"/>
    </row>
    <row r="269" spans="1:10">
      <c r="A269" s="133" t="s">
        <v>255</v>
      </c>
      <c r="B269" s="288">
        <v>268</v>
      </c>
      <c r="C269" s="124" t="s">
        <v>8403</v>
      </c>
      <c r="E269" s="126" t="s">
        <v>8598</v>
      </c>
      <c r="G269" s="154" t="s">
        <v>8506</v>
      </c>
      <c r="I269"/>
      <c r="J269"/>
    </row>
    <row r="270" spans="1:10">
      <c r="A270" s="133" t="s">
        <v>255</v>
      </c>
      <c r="B270" s="288">
        <v>269</v>
      </c>
      <c r="C270" s="124" t="s">
        <v>8404</v>
      </c>
      <c r="E270" s="126" t="s">
        <v>8599</v>
      </c>
      <c r="G270" s="154" t="s">
        <v>8506</v>
      </c>
      <c r="I270"/>
      <c r="J270"/>
    </row>
    <row r="271" spans="1:10">
      <c r="A271" s="133" t="s">
        <v>255</v>
      </c>
      <c r="B271" s="288">
        <v>270</v>
      </c>
      <c r="C271" s="124" t="s">
        <v>8405</v>
      </c>
      <c r="E271" s="126" t="s">
        <v>8600</v>
      </c>
      <c r="G271" s="154" t="s">
        <v>8506</v>
      </c>
      <c r="I271"/>
      <c r="J271"/>
    </row>
    <row r="272" spans="1:10">
      <c r="A272" s="133" t="s">
        <v>255</v>
      </c>
      <c r="B272" s="288">
        <v>271</v>
      </c>
      <c r="C272" s="124" t="s">
        <v>8406</v>
      </c>
      <c r="E272" s="126" t="s">
        <v>8601</v>
      </c>
      <c r="G272" s="154" t="s">
        <v>8506</v>
      </c>
      <c r="I272"/>
      <c r="J272"/>
    </row>
    <row r="273" spans="1:10">
      <c r="A273" s="133" t="s">
        <v>255</v>
      </c>
      <c r="B273" s="288">
        <v>272</v>
      </c>
      <c r="C273" s="124" t="s">
        <v>8407</v>
      </c>
      <c r="E273" s="126" t="s">
        <v>8602</v>
      </c>
      <c r="G273" s="154" t="s">
        <v>8506</v>
      </c>
      <c r="I273"/>
      <c r="J273"/>
    </row>
    <row r="274" spans="1:10">
      <c r="A274" s="133" t="s">
        <v>255</v>
      </c>
      <c r="B274" s="288">
        <v>273</v>
      </c>
      <c r="C274" s="124" t="s">
        <v>8408</v>
      </c>
      <c r="E274" s="126" t="s">
        <v>8603</v>
      </c>
      <c r="G274" s="154" t="s">
        <v>8506</v>
      </c>
      <c r="I274"/>
      <c r="J274"/>
    </row>
    <row r="275" spans="1:10">
      <c r="A275" s="133" t="s">
        <v>255</v>
      </c>
      <c r="B275" s="288">
        <v>274</v>
      </c>
      <c r="C275" s="124" t="s">
        <v>8409</v>
      </c>
      <c r="E275" s="126" t="s">
        <v>8604</v>
      </c>
      <c r="G275" s="154" t="s">
        <v>8506</v>
      </c>
      <c r="I275"/>
      <c r="J275"/>
    </row>
    <row r="276" spans="1:10">
      <c r="A276" s="133" t="s">
        <v>255</v>
      </c>
      <c r="B276" s="288">
        <v>275</v>
      </c>
      <c r="C276" s="124" t="s">
        <v>8410</v>
      </c>
      <c r="E276" s="126" t="s">
        <v>8605</v>
      </c>
      <c r="G276" s="154" t="s">
        <v>8506</v>
      </c>
      <c r="I276"/>
      <c r="J276"/>
    </row>
    <row r="277" spans="1:10">
      <c r="A277" s="133" t="s">
        <v>255</v>
      </c>
      <c r="B277" s="288">
        <v>276</v>
      </c>
      <c r="C277" s="124" t="s">
        <v>8411</v>
      </c>
      <c r="E277" s="126" t="s">
        <v>8606</v>
      </c>
      <c r="G277" s="154" t="s">
        <v>8506</v>
      </c>
      <c r="I277"/>
      <c r="J277"/>
    </row>
    <row r="278" spans="1:10">
      <c r="A278" s="133" t="s">
        <v>255</v>
      </c>
      <c r="B278" s="288">
        <v>277</v>
      </c>
      <c r="C278" s="124" t="s">
        <v>8412</v>
      </c>
      <c r="E278" s="126" t="s">
        <v>8607</v>
      </c>
      <c r="G278" s="154" t="s">
        <v>8506</v>
      </c>
      <c r="I278"/>
      <c r="J278"/>
    </row>
    <row r="279" spans="1:10">
      <c r="A279" s="133" t="s">
        <v>255</v>
      </c>
      <c r="B279" s="288">
        <v>278</v>
      </c>
      <c r="C279" s="124" t="s">
        <v>8413</v>
      </c>
      <c r="E279" s="126" t="s">
        <v>8608</v>
      </c>
      <c r="G279" s="154" t="s">
        <v>8506</v>
      </c>
      <c r="I279"/>
      <c r="J279"/>
    </row>
    <row r="280" spans="1:10">
      <c r="A280" s="133" t="s">
        <v>255</v>
      </c>
      <c r="B280" s="288">
        <v>279</v>
      </c>
      <c r="C280" s="124" t="s">
        <v>8414</v>
      </c>
      <c r="E280" s="126" t="s">
        <v>8609</v>
      </c>
      <c r="G280" s="154" t="s">
        <v>8506</v>
      </c>
      <c r="I280"/>
      <c r="J280"/>
    </row>
    <row r="281" spans="1:10">
      <c r="A281" s="133" t="s">
        <v>255</v>
      </c>
      <c r="B281" s="288">
        <v>280</v>
      </c>
      <c r="C281" s="124" t="s">
        <v>8415</v>
      </c>
      <c r="E281" s="126" t="s">
        <v>8610</v>
      </c>
      <c r="G281" s="154" t="s">
        <v>8506</v>
      </c>
      <c r="I281"/>
      <c r="J281"/>
    </row>
    <row r="282" spans="1:10">
      <c r="A282" s="133" t="s">
        <v>255</v>
      </c>
      <c r="B282" s="288">
        <v>281</v>
      </c>
      <c r="C282" s="124" t="s">
        <v>8416</v>
      </c>
      <c r="E282" s="126" t="s">
        <v>8611</v>
      </c>
      <c r="G282" s="154" t="s">
        <v>8506</v>
      </c>
      <c r="I282"/>
      <c r="J282"/>
    </row>
    <row r="283" spans="1:10">
      <c r="A283" s="133" t="s">
        <v>255</v>
      </c>
      <c r="B283" s="288">
        <v>282</v>
      </c>
      <c r="C283" s="124" t="s">
        <v>8417</v>
      </c>
      <c r="E283" s="126" t="s">
        <v>8612</v>
      </c>
      <c r="G283" s="154" t="s">
        <v>8506</v>
      </c>
      <c r="I283"/>
      <c r="J283"/>
    </row>
    <row r="284" spans="1:10">
      <c r="A284" s="133" t="s">
        <v>255</v>
      </c>
      <c r="B284" s="288">
        <v>283</v>
      </c>
      <c r="C284" s="124" t="s">
        <v>8418</v>
      </c>
      <c r="E284" s="126" t="s">
        <v>8613</v>
      </c>
      <c r="G284" s="154" t="s">
        <v>8506</v>
      </c>
      <c r="I284"/>
      <c r="J284"/>
    </row>
    <row r="285" spans="1:10">
      <c r="A285" s="133" t="s">
        <v>255</v>
      </c>
      <c r="B285" s="288">
        <v>284</v>
      </c>
      <c r="C285" s="124" t="s">
        <v>8419</v>
      </c>
      <c r="E285" s="126" t="s">
        <v>8614</v>
      </c>
      <c r="G285" s="154" t="s">
        <v>8506</v>
      </c>
      <c r="I285"/>
      <c r="J285"/>
    </row>
    <row r="286" spans="1:10">
      <c r="A286" s="133" t="s">
        <v>255</v>
      </c>
      <c r="B286" s="288">
        <v>285</v>
      </c>
      <c r="C286" s="124" t="s">
        <v>8420</v>
      </c>
      <c r="E286" s="126" t="s">
        <v>8615</v>
      </c>
      <c r="G286" s="154" t="s">
        <v>8506</v>
      </c>
      <c r="I286"/>
      <c r="J286"/>
    </row>
    <row r="287" spans="1:10">
      <c r="A287" s="133" t="s">
        <v>255</v>
      </c>
      <c r="B287" s="288">
        <v>286</v>
      </c>
      <c r="C287" s="124" t="s">
        <v>8421</v>
      </c>
      <c r="E287" s="126" t="s">
        <v>8616</v>
      </c>
      <c r="G287" s="154" t="s">
        <v>8506</v>
      </c>
      <c r="I287"/>
      <c r="J287"/>
    </row>
    <row r="288" spans="1:10">
      <c r="A288" s="133" t="s">
        <v>255</v>
      </c>
      <c r="B288" s="288">
        <v>287</v>
      </c>
      <c r="C288" s="124" t="s">
        <v>8422</v>
      </c>
      <c r="E288" s="126" t="s">
        <v>8617</v>
      </c>
      <c r="G288" s="154" t="s">
        <v>8506</v>
      </c>
      <c r="I288"/>
      <c r="J288"/>
    </row>
    <row r="289" spans="1:10">
      <c r="A289" s="133" t="s">
        <v>255</v>
      </c>
      <c r="B289" s="288">
        <v>288</v>
      </c>
      <c r="C289" s="124" t="s">
        <v>8423</v>
      </c>
      <c r="E289" s="126" t="s">
        <v>8618</v>
      </c>
      <c r="G289" s="154" t="s">
        <v>8506</v>
      </c>
      <c r="I289"/>
      <c r="J289"/>
    </row>
    <row r="290" spans="1:10">
      <c r="A290" s="133" t="s">
        <v>255</v>
      </c>
      <c r="B290" s="288">
        <v>289</v>
      </c>
      <c r="C290" s="124" t="s">
        <v>8424</v>
      </c>
      <c r="E290" s="126" t="s">
        <v>8619</v>
      </c>
      <c r="G290" s="154" t="s">
        <v>8506</v>
      </c>
      <c r="I290"/>
      <c r="J290"/>
    </row>
    <row r="291" spans="1:10">
      <c r="A291" s="133" t="s">
        <v>255</v>
      </c>
      <c r="B291" s="288">
        <v>290</v>
      </c>
      <c r="C291" s="124" t="s">
        <v>8425</v>
      </c>
      <c r="E291" s="126" t="s">
        <v>8620</v>
      </c>
      <c r="G291" s="154" t="s">
        <v>8506</v>
      </c>
      <c r="I291"/>
      <c r="J291"/>
    </row>
    <row r="292" spans="1:10">
      <c r="A292" s="133" t="s">
        <v>255</v>
      </c>
      <c r="B292" s="288">
        <v>291</v>
      </c>
      <c r="C292" s="124" t="s">
        <v>8426</v>
      </c>
      <c r="E292" s="126" t="s">
        <v>8621</v>
      </c>
      <c r="G292" s="154" t="s">
        <v>8506</v>
      </c>
      <c r="I292"/>
      <c r="J292"/>
    </row>
    <row r="293" spans="1:10">
      <c r="A293" s="133" t="s">
        <v>255</v>
      </c>
      <c r="B293" s="288">
        <v>292</v>
      </c>
      <c r="C293" s="124" t="s">
        <v>8427</v>
      </c>
      <c r="E293" s="126" t="s">
        <v>8622</v>
      </c>
      <c r="G293" s="154" t="s">
        <v>8506</v>
      </c>
      <c r="I293"/>
      <c r="J293"/>
    </row>
    <row r="294" spans="1:10">
      <c r="A294" s="133" t="s">
        <v>255</v>
      </c>
      <c r="B294" s="288">
        <v>293</v>
      </c>
      <c r="C294" s="124" t="s">
        <v>8428</v>
      </c>
      <c r="E294" s="126" t="s">
        <v>8623</v>
      </c>
      <c r="G294" s="154" t="s">
        <v>8506</v>
      </c>
      <c r="I294"/>
      <c r="J294"/>
    </row>
    <row r="295" spans="1:10">
      <c r="A295" s="133" t="s">
        <v>255</v>
      </c>
      <c r="B295" s="288">
        <v>294</v>
      </c>
      <c r="C295" s="124" t="s">
        <v>8429</v>
      </c>
      <c r="E295" s="126" t="s">
        <v>8624</v>
      </c>
      <c r="G295" s="154" t="s">
        <v>8506</v>
      </c>
      <c r="I295"/>
      <c r="J295"/>
    </row>
    <row r="296" spans="1:10">
      <c r="A296" s="133" t="s">
        <v>255</v>
      </c>
      <c r="B296" s="288">
        <v>295</v>
      </c>
      <c r="C296" s="124" t="s">
        <v>8430</v>
      </c>
      <c r="E296" s="126" t="s">
        <v>8625</v>
      </c>
      <c r="G296" s="154" t="s">
        <v>8506</v>
      </c>
      <c r="I296"/>
      <c r="J296"/>
    </row>
    <row r="297" spans="1:10">
      <c r="A297" s="133" t="s">
        <v>255</v>
      </c>
      <c r="B297" s="288">
        <v>296</v>
      </c>
      <c r="C297" s="124" t="s">
        <v>8431</v>
      </c>
      <c r="E297" s="126" t="s">
        <v>8626</v>
      </c>
      <c r="G297" s="154" t="s">
        <v>8506</v>
      </c>
      <c r="I297"/>
      <c r="J297"/>
    </row>
    <row r="298" spans="1:10">
      <c r="A298" s="133" t="s">
        <v>255</v>
      </c>
      <c r="B298" s="288">
        <v>297</v>
      </c>
      <c r="C298" s="124" t="s">
        <v>8432</v>
      </c>
      <c r="E298" s="126" t="s">
        <v>8627</v>
      </c>
      <c r="G298" s="154" t="s">
        <v>8506</v>
      </c>
      <c r="I298"/>
      <c r="J298"/>
    </row>
    <row r="299" spans="1:10">
      <c r="A299" s="133" t="s">
        <v>255</v>
      </c>
      <c r="B299" s="288">
        <v>298</v>
      </c>
      <c r="C299" s="124" t="s">
        <v>8433</v>
      </c>
      <c r="E299" s="126" t="s">
        <v>8628</v>
      </c>
      <c r="G299" s="154" t="s">
        <v>8506</v>
      </c>
      <c r="I299"/>
      <c r="J299"/>
    </row>
    <row r="300" spans="1:10">
      <c r="A300" s="133" t="s">
        <v>255</v>
      </c>
      <c r="B300" s="288">
        <v>299</v>
      </c>
      <c r="C300" s="124" t="s">
        <v>8434</v>
      </c>
      <c r="E300" s="126" t="s">
        <v>8629</v>
      </c>
      <c r="G300" s="154" t="s">
        <v>8506</v>
      </c>
      <c r="I300"/>
      <c r="J300"/>
    </row>
    <row r="301" spans="1:10">
      <c r="A301" s="133" t="s">
        <v>255</v>
      </c>
      <c r="B301" s="288">
        <v>300</v>
      </c>
      <c r="C301" s="124" t="s">
        <v>8435</v>
      </c>
      <c r="E301" s="126" t="s">
        <v>8630</v>
      </c>
      <c r="G301" s="154" t="s">
        <v>8506</v>
      </c>
      <c r="I301"/>
      <c r="J301"/>
    </row>
    <row r="302" spans="1:10">
      <c r="A302" s="133" t="s">
        <v>255</v>
      </c>
      <c r="B302" s="288">
        <v>301</v>
      </c>
      <c r="C302" s="124" t="s">
        <v>8436</v>
      </c>
      <c r="E302" s="126" t="s">
        <v>8631</v>
      </c>
      <c r="G302" s="154" t="s">
        <v>8506</v>
      </c>
      <c r="I302"/>
      <c r="J302"/>
    </row>
    <row r="303" spans="1:10">
      <c r="A303" s="133" t="s">
        <v>255</v>
      </c>
      <c r="B303" s="288">
        <v>302</v>
      </c>
      <c r="C303" s="124" t="s">
        <v>8437</v>
      </c>
      <c r="E303" s="126" t="s">
        <v>8632</v>
      </c>
      <c r="G303" s="154" t="s">
        <v>8506</v>
      </c>
      <c r="I303"/>
      <c r="J303"/>
    </row>
    <row r="304" spans="1:10">
      <c r="A304" s="133" t="s">
        <v>255</v>
      </c>
      <c r="B304" s="288">
        <v>303</v>
      </c>
      <c r="C304" s="124" t="s">
        <v>8438</v>
      </c>
      <c r="E304" s="126" t="s">
        <v>8633</v>
      </c>
      <c r="G304" s="154" t="s">
        <v>8506</v>
      </c>
      <c r="I304"/>
      <c r="J304"/>
    </row>
    <row r="305" spans="1:10">
      <c r="A305" s="133" t="s">
        <v>255</v>
      </c>
      <c r="B305" s="288">
        <v>304</v>
      </c>
      <c r="C305" s="124" t="s">
        <v>8439</v>
      </c>
      <c r="E305" s="126" t="s">
        <v>8634</v>
      </c>
      <c r="G305" s="154" t="s">
        <v>8506</v>
      </c>
      <c r="I305"/>
      <c r="J305"/>
    </row>
    <row r="306" spans="1:10">
      <c r="A306" s="133" t="s">
        <v>255</v>
      </c>
      <c r="B306" s="288">
        <v>305</v>
      </c>
      <c r="C306" s="124" t="s">
        <v>8440</v>
      </c>
      <c r="E306" s="126" t="s">
        <v>8635</v>
      </c>
      <c r="G306" s="154" t="s">
        <v>8506</v>
      </c>
      <c r="I306"/>
      <c r="J306"/>
    </row>
    <row r="307" spans="1:10">
      <c r="A307" s="133" t="s">
        <v>255</v>
      </c>
      <c r="B307" s="288">
        <v>306</v>
      </c>
      <c r="C307" s="124" t="s">
        <v>8441</v>
      </c>
      <c r="E307" s="126" t="s">
        <v>8636</v>
      </c>
      <c r="G307" s="154" t="s">
        <v>8506</v>
      </c>
      <c r="I307"/>
      <c r="J307"/>
    </row>
    <row r="308" spans="1:10">
      <c r="A308" s="133" t="s">
        <v>255</v>
      </c>
      <c r="B308" s="288">
        <v>307</v>
      </c>
      <c r="C308" s="124" t="s">
        <v>8442</v>
      </c>
      <c r="E308" s="126" t="s">
        <v>8637</v>
      </c>
      <c r="G308" s="154" t="s">
        <v>8506</v>
      </c>
      <c r="I308"/>
      <c r="J308"/>
    </row>
    <row r="309" spans="1:10">
      <c r="A309" s="133" t="s">
        <v>255</v>
      </c>
      <c r="B309" s="288">
        <v>308</v>
      </c>
      <c r="C309" s="124" t="s">
        <v>8443</v>
      </c>
      <c r="E309" s="126" t="s">
        <v>8638</v>
      </c>
      <c r="G309" s="154" t="s">
        <v>8506</v>
      </c>
      <c r="I309"/>
      <c r="J309"/>
    </row>
    <row r="310" spans="1:10">
      <c r="A310" s="133" t="s">
        <v>255</v>
      </c>
      <c r="B310" s="288">
        <v>309</v>
      </c>
      <c r="C310" s="124" t="s">
        <v>8444</v>
      </c>
      <c r="E310" s="126" t="s">
        <v>8639</v>
      </c>
      <c r="G310" s="154" t="s">
        <v>8506</v>
      </c>
      <c r="I310"/>
      <c r="J310"/>
    </row>
    <row r="311" spans="1:10">
      <c r="A311" s="133" t="s">
        <v>255</v>
      </c>
      <c r="B311" s="288">
        <v>310</v>
      </c>
      <c r="C311" s="124" t="s">
        <v>8445</v>
      </c>
      <c r="E311" s="126" t="s">
        <v>8640</v>
      </c>
      <c r="G311" s="154" t="s">
        <v>8506</v>
      </c>
      <c r="I311"/>
      <c r="J311"/>
    </row>
    <row r="312" spans="1:10">
      <c r="A312" s="133" t="s">
        <v>255</v>
      </c>
      <c r="B312" s="288">
        <v>311</v>
      </c>
      <c r="C312" s="124" t="s">
        <v>8446</v>
      </c>
      <c r="E312" s="126" t="s">
        <v>8641</v>
      </c>
      <c r="G312" s="154" t="s">
        <v>8506</v>
      </c>
      <c r="I312"/>
      <c r="J312"/>
    </row>
    <row r="313" spans="1:10">
      <c r="A313" s="133" t="s">
        <v>255</v>
      </c>
      <c r="B313" s="288">
        <v>312</v>
      </c>
      <c r="C313" s="124" t="s">
        <v>8447</v>
      </c>
      <c r="E313" s="126" t="s">
        <v>8642</v>
      </c>
      <c r="G313" s="154" t="s">
        <v>8506</v>
      </c>
      <c r="I313"/>
      <c r="J313"/>
    </row>
    <row r="314" spans="1:10">
      <c r="A314" s="133" t="s">
        <v>255</v>
      </c>
      <c r="B314" s="288">
        <v>313</v>
      </c>
      <c r="C314" s="124" t="s">
        <v>8448</v>
      </c>
      <c r="E314" s="126" t="s">
        <v>8643</v>
      </c>
      <c r="G314" s="154" t="s">
        <v>8506</v>
      </c>
      <c r="I314"/>
      <c r="J314"/>
    </row>
    <row r="315" spans="1:10">
      <c r="A315" s="133" t="s">
        <v>255</v>
      </c>
      <c r="B315" s="288">
        <v>314</v>
      </c>
      <c r="C315" s="124" t="s">
        <v>8449</v>
      </c>
      <c r="E315" s="126" t="s">
        <v>8644</v>
      </c>
      <c r="G315" s="154" t="s">
        <v>8506</v>
      </c>
      <c r="I315"/>
      <c r="J315"/>
    </row>
    <row r="316" spans="1:10">
      <c r="A316" s="133" t="s">
        <v>255</v>
      </c>
      <c r="B316" s="288">
        <v>315</v>
      </c>
      <c r="C316" s="124" t="s">
        <v>8450</v>
      </c>
      <c r="E316" s="126" t="s">
        <v>8645</v>
      </c>
      <c r="G316" s="154" t="s">
        <v>8506</v>
      </c>
      <c r="I316"/>
      <c r="J316"/>
    </row>
    <row r="317" spans="1:10">
      <c r="A317" s="133" t="s">
        <v>255</v>
      </c>
      <c r="B317" s="288">
        <v>316</v>
      </c>
      <c r="C317" s="124" t="s">
        <v>8451</v>
      </c>
      <c r="E317" s="126" t="s">
        <v>8646</v>
      </c>
      <c r="G317" s="154" t="s">
        <v>8506</v>
      </c>
      <c r="I317"/>
      <c r="J317"/>
    </row>
    <row r="318" spans="1:10">
      <c r="A318" s="133" t="s">
        <v>255</v>
      </c>
      <c r="B318" s="288">
        <v>317</v>
      </c>
      <c r="C318" s="124" t="s">
        <v>8452</v>
      </c>
      <c r="E318" s="126" t="s">
        <v>8647</v>
      </c>
      <c r="G318" s="154" t="s">
        <v>8506</v>
      </c>
      <c r="I318"/>
      <c r="J318"/>
    </row>
    <row r="319" spans="1:10">
      <c r="A319" s="133" t="s">
        <v>255</v>
      </c>
      <c r="B319" s="288">
        <v>318</v>
      </c>
      <c r="C319" s="124" t="s">
        <v>8453</v>
      </c>
      <c r="E319" s="126" t="s">
        <v>8648</v>
      </c>
      <c r="G319" s="154" t="s">
        <v>8506</v>
      </c>
      <c r="I319"/>
      <c r="J319"/>
    </row>
    <row r="320" spans="1:10">
      <c r="A320" s="133" t="s">
        <v>255</v>
      </c>
      <c r="B320" s="288">
        <v>319</v>
      </c>
      <c r="C320" s="124" t="s">
        <v>8454</v>
      </c>
      <c r="E320" s="126" t="s">
        <v>8649</v>
      </c>
      <c r="G320" s="154" t="s">
        <v>8506</v>
      </c>
      <c r="I320"/>
      <c r="J320"/>
    </row>
    <row r="321" spans="1:10">
      <c r="A321" s="133" t="s">
        <v>255</v>
      </c>
      <c r="B321" s="288">
        <v>320</v>
      </c>
      <c r="C321" s="124" t="s">
        <v>8455</v>
      </c>
      <c r="E321" s="126" t="s">
        <v>8650</v>
      </c>
      <c r="G321" s="154" t="s">
        <v>8506</v>
      </c>
      <c r="I321"/>
      <c r="J321"/>
    </row>
    <row r="322" spans="1:10">
      <c r="A322" s="133" t="s">
        <v>255</v>
      </c>
      <c r="B322" s="288">
        <v>321</v>
      </c>
      <c r="C322" s="124" t="s">
        <v>8456</v>
      </c>
      <c r="E322" s="126" t="s">
        <v>8651</v>
      </c>
      <c r="G322" s="154" t="s">
        <v>8506</v>
      </c>
      <c r="I322"/>
      <c r="J322"/>
    </row>
    <row r="323" spans="1:10">
      <c r="A323" s="133" t="s">
        <v>255</v>
      </c>
      <c r="B323" s="288">
        <v>322</v>
      </c>
      <c r="C323" s="124" t="s">
        <v>8457</v>
      </c>
      <c r="E323" s="126" t="s">
        <v>8652</v>
      </c>
      <c r="G323" s="154" t="s">
        <v>8506</v>
      </c>
      <c r="I323"/>
      <c r="J323"/>
    </row>
    <row r="324" spans="1:10">
      <c r="A324" s="133" t="s">
        <v>255</v>
      </c>
      <c r="B324" s="288">
        <v>323</v>
      </c>
      <c r="C324" s="124" t="s">
        <v>8458</v>
      </c>
      <c r="E324" s="126" t="s">
        <v>8653</v>
      </c>
      <c r="G324" s="154" t="s">
        <v>8506</v>
      </c>
      <c r="I324"/>
      <c r="J324"/>
    </row>
    <row r="325" spans="1:10">
      <c r="A325" s="133" t="s">
        <v>255</v>
      </c>
      <c r="B325" s="288">
        <v>324</v>
      </c>
      <c r="C325" s="124" t="s">
        <v>8459</v>
      </c>
      <c r="E325" s="126" t="s">
        <v>8654</v>
      </c>
      <c r="G325" s="154" t="s">
        <v>8506</v>
      </c>
      <c r="I325"/>
      <c r="J325"/>
    </row>
    <row r="326" spans="1:10">
      <c r="A326" s="133" t="s">
        <v>255</v>
      </c>
      <c r="B326" s="288">
        <v>325</v>
      </c>
      <c r="C326" s="124" t="s">
        <v>8460</v>
      </c>
      <c r="E326" s="126" t="s">
        <v>8655</v>
      </c>
      <c r="G326" s="154" t="s">
        <v>8506</v>
      </c>
      <c r="I326"/>
      <c r="J326"/>
    </row>
    <row r="327" spans="1:10">
      <c r="A327" s="133" t="s">
        <v>255</v>
      </c>
      <c r="B327" s="288">
        <v>326</v>
      </c>
      <c r="C327" s="124" t="s">
        <v>8461</v>
      </c>
      <c r="E327" s="126" t="s">
        <v>8656</v>
      </c>
      <c r="G327" s="154" t="s">
        <v>8506</v>
      </c>
      <c r="I327"/>
      <c r="J327"/>
    </row>
    <row r="328" spans="1:10">
      <c r="A328" s="133" t="s">
        <v>255</v>
      </c>
      <c r="B328" s="288">
        <v>327</v>
      </c>
      <c r="C328" s="124" t="s">
        <v>8462</v>
      </c>
      <c r="E328" s="126" t="s">
        <v>8657</v>
      </c>
      <c r="G328" s="154" t="s">
        <v>8506</v>
      </c>
      <c r="I328"/>
      <c r="J328"/>
    </row>
    <row r="329" spans="1:10">
      <c r="A329" s="133" t="s">
        <v>255</v>
      </c>
      <c r="B329" s="288">
        <v>328</v>
      </c>
      <c r="C329" s="124" t="s">
        <v>8463</v>
      </c>
      <c r="E329" s="126" t="s">
        <v>8658</v>
      </c>
      <c r="G329" s="154" t="s">
        <v>8506</v>
      </c>
      <c r="I329"/>
      <c r="J329"/>
    </row>
    <row r="330" spans="1:10">
      <c r="A330" s="133" t="s">
        <v>255</v>
      </c>
      <c r="B330" s="288">
        <v>329</v>
      </c>
      <c r="C330" s="124" t="s">
        <v>8464</v>
      </c>
      <c r="E330" s="126" t="s">
        <v>8659</v>
      </c>
      <c r="G330" s="154" t="s">
        <v>8506</v>
      </c>
      <c r="I330"/>
      <c r="J330"/>
    </row>
    <row r="331" spans="1:10">
      <c r="A331" s="133" t="s">
        <v>255</v>
      </c>
      <c r="B331" s="288">
        <v>330</v>
      </c>
      <c r="C331" s="124" t="s">
        <v>8465</v>
      </c>
      <c r="E331" s="126" t="s">
        <v>8660</v>
      </c>
      <c r="G331" s="154" t="s">
        <v>8506</v>
      </c>
      <c r="I331"/>
      <c r="J331"/>
    </row>
    <row r="332" spans="1:10">
      <c r="A332" s="133" t="s">
        <v>255</v>
      </c>
      <c r="B332" s="288">
        <v>331</v>
      </c>
      <c r="C332" s="124" t="s">
        <v>8466</v>
      </c>
      <c r="E332" s="126" t="s">
        <v>8661</v>
      </c>
      <c r="G332" s="154" t="s">
        <v>8506</v>
      </c>
      <c r="I332"/>
      <c r="J332"/>
    </row>
    <row r="333" spans="1:10">
      <c r="A333" s="133" t="s">
        <v>255</v>
      </c>
      <c r="B333" s="288">
        <v>332</v>
      </c>
      <c r="C333" s="124" t="s">
        <v>8467</v>
      </c>
      <c r="E333" s="126" t="s">
        <v>8662</v>
      </c>
      <c r="G333" s="154" t="s">
        <v>8506</v>
      </c>
      <c r="I333"/>
      <c r="J333"/>
    </row>
    <row r="334" spans="1:10">
      <c r="A334" s="133" t="s">
        <v>255</v>
      </c>
      <c r="B334" s="288">
        <v>333</v>
      </c>
      <c r="C334" s="124" t="s">
        <v>8468</v>
      </c>
      <c r="E334" s="126" t="s">
        <v>8663</v>
      </c>
      <c r="G334" s="154" t="s">
        <v>8506</v>
      </c>
      <c r="I334"/>
      <c r="J334"/>
    </row>
    <row r="335" spans="1:10">
      <c r="A335" s="133" t="s">
        <v>255</v>
      </c>
      <c r="B335" s="288">
        <v>334</v>
      </c>
      <c r="C335" s="124" t="s">
        <v>8469</v>
      </c>
      <c r="E335" s="126" t="s">
        <v>8664</v>
      </c>
      <c r="G335" s="154" t="s">
        <v>8506</v>
      </c>
      <c r="I335"/>
      <c r="J335"/>
    </row>
    <row r="336" spans="1:10">
      <c r="A336" s="133" t="s">
        <v>255</v>
      </c>
      <c r="B336" s="288">
        <v>335</v>
      </c>
      <c r="C336" s="124" t="s">
        <v>8470</v>
      </c>
      <c r="E336" s="126" t="s">
        <v>8665</v>
      </c>
      <c r="G336" s="154" t="s">
        <v>8506</v>
      </c>
      <c r="I336"/>
      <c r="J336"/>
    </row>
    <row r="337" spans="1:10">
      <c r="A337" s="133" t="s">
        <v>255</v>
      </c>
      <c r="B337" s="288">
        <v>336</v>
      </c>
      <c r="C337" s="124" t="s">
        <v>8471</v>
      </c>
      <c r="E337" s="126" t="s">
        <v>8666</v>
      </c>
      <c r="G337" s="154" t="s">
        <v>8506</v>
      </c>
      <c r="I337"/>
      <c r="J337"/>
    </row>
    <row r="338" spans="1:10">
      <c r="A338" s="133" t="s">
        <v>255</v>
      </c>
      <c r="B338" s="288">
        <v>337</v>
      </c>
      <c r="C338" s="124" t="s">
        <v>8472</v>
      </c>
      <c r="E338" s="126" t="s">
        <v>8667</v>
      </c>
      <c r="G338" s="154" t="s">
        <v>8506</v>
      </c>
      <c r="I338"/>
      <c r="J338"/>
    </row>
    <row r="339" spans="1:10">
      <c r="A339" s="133" t="s">
        <v>255</v>
      </c>
      <c r="B339" s="288">
        <v>338</v>
      </c>
      <c r="C339" s="124" t="s">
        <v>8473</v>
      </c>
      <c r="E339" s="126" t="s">
        <v>8668</v>
      </c>
      <c r="G339" s="154" t="s">
        <v>8506</v>
      </c>
      <c r="I339"/>
      <c r="J339"/>
    </row>
    <row r="340" spans="1:10">
      <c r="A340" s="133" t="s">
        <v>255</v>
      </c>
      <c r="B340" s="288">
        <v>339</v>
      </c>
      <c r="C340" s="124" t="s">
        <v>8474</v>
      </c>
      <c r="E340" s="126" t="s">
        <v>8669</v>
      </c>
      <c r="G340" s="154" t="s">
        <v>8506</v>
      </c>
      <c r="I340"/>
      <c r="J340"/>
    </row>
    <row r="341" spans="1:10">
      <c r="A341" s="133" t="s">
        <v>255</v>
      </c>
      <c r="B341" s="288">
        <v>340</v>
      </c>
      <c r="C341" s="124" t="s">
        <v>8475</v>
      </c>
      <c r="E341" s="126" t="s">
        <v>8670</v>
      </c>
      <c r="G341" s="154" t="s">
        <v>8506</v>
      </c>
      <c r="I341"/>
      <c r="J341"/>
    </row>
    <row r="342" spans="1:10">
      <c r="A342" s="133" t="s">
        <v>255</v>
      </c>
      <c r="B342" s="288">
        <v>341</v>
      </c>
      <c r="C342" s="124" t="s">
        <v>8476</v>
      </c>
      <c r="E342" s="126" t="s">
        <v>8671</v>
      </c>
      <c r="G342" s="154" t="s">
        <v>8506</v>
      </c>
      <c r="I342"/>
      <c r="J342"/>
    </row>
    <row r="343" spans="1:10">
      <c r="A343" s="133" t="s">
        <v>255</v>
      </c>
      <c r="B343" s="288">
        <v>342</v>
      </c>
      <c r="C343" s="124" t="s">
        <v>8477</v>
      </c>
      <c r="E343" s="126" t="s">
        <v>8672</v>
      </c>
      <c r="G343" s="154" t="s">
        <v>8506</v>
      </c>
      <c r="I343"/>
      <c r="J343"/>
    </row>
    <row r="344" spans="1:10">
      <c r="A344" s="133" t="s">
        <v>255</v>
      </c>
      <c r="B344" s="288">
        <v>343</v>
      </c>
      <c r="C344" s="124" t="s">
        <v>8478</v>
      </c>
      <c r="E344" s="126" t="s">
        <v>8673</v>
      </c>
      <c r="G344" s="154" t="s">
        <v>8506</v>
      </c>
      <c r="I344"/>
      <c r="J344"/>
    </row>
    <row r="345" spans="1:10">
      <c r="A345" s="133" t="s">
        <v>255</v>
      </c>
      <c r="B345" s="288">
        <v>344</v>
      </c>
      <c r="C345" s="124" t="s">
        <v>8479</v>
      </c>
      <c r="E345" s="126" t="s">
        <v>8674</v>
      </c>
      <c r="G345" s="154" t="s">
        <v>8506</v>
      </c>
      <c r="I345"/>
      <c r="J345"/>
    </row>
    <row r="346" spans="1:10">
      <c r="A346" s="133" t="s">
        <v>255</v>
      </c>
      <c r="B346" s="288">
        <v>345</v>
      </c>
      <c r="C346" s="124" t="s">
        <v>8480</v>
      </c>
      <c r="E346" s="126" t="s">
        <v>8675</v>
      </c>
      <c r="G346" s="154" t="s">
        <v>8506</v>
      </c>
      <c r="I346"/>
      <c r="J346"/>
    </row>
    <row r="347" spans="1:10">
      <c r="A347" s="133" t="s">
        <v>255</v>
      </c>
      <c r="B347" s="288">
        <v>346</v>
      </c>
      <c r="C347" s="124" t="s">
        <v>8481</v>
      </c>
      <c r="E347" s="126" t="s">
        <v>8676</v>
      </c>
      <c r="G347" s="154" t="s">
        <v>8506</v>
      </c>
      <c r="I347"/>
      <c r="J347"/>
    </row>
    <row r="348" spans="1:10">
      <c r="A348" s="133" t="s">
        <v>255</v>
      </c>
      <c r="B348" s="288">
        <v>347</v>
      </c>
      <c r="C348" s="124" t="s">
        <v>8482</v>
      </c>
      <c r="E348" s="126" t="s">
        <v>8677</v>
      </c>
      <c r="G348" s="154" t="s">
        <v>8506</v>
      </c>
      <c r="I348"/>
      <c r="J348"/>
    </row>
    <row r="349" spans="1:10">
      <c r="A349" s="133" t="s">
        <v>255</v>
      </c>
      <c r="B349" s="288">
        <v>348</v>
      </c>
      <c r="C349" s="124" t="s">
        <v>8483</v>
      </c>
      <c r="E349" s="126" t="s">
        <v>8678</v>
      </c>
      <c r="G349" s="154" t="s">
        <v>8506</v>
      </c>
      <c r="I349"/>
      <c r="J349"/>
    </row>
    <row r="350" spans="1:10">
      <c r="A350" s="133" t="s">
        <v>255</v>
      </c>
      <c r="B350" s="288">
        <v>349</v>
      </c>
      <c r="C350" s="124" t="s">
        <v>8484</v>
      </c>
      <c r="E350" s="126" t="s">
        <v>8679</v>
      </c>
      <c r="G350" s="154" t="s">
        <v>8506</v>
      </c>
      <c r="I350"/>
      <c r="J350"/>
    </row>
    <row r="351" spans="1:10">
      <c r="A351" s="133" t="s">
        <v>255</v>
      </c>
      <c r="B351" s="288">
        <v>350</v>
      </c>
      <c r="C351" s="124" t="s">
        <v>8485</v>
      </c>
      <c r="E351" s="126" t="s">
        <v>8680</v>
      </c>
      <c r="G351" s="154" t="s">
        <v>8506</v>
      </c>
      <c r="I351"/>
      <c r="J351"/>
    </row>
    <row r="352" spans="1:10">
      <c r="A352" s="133" t="s">
        <v>255</v>
      </c>
      <c r="B352" s="288">
        <v>351</v>
      </c>
      <c r="C352" s="124" t="s">
        <v>8486</v>
      </c>
      <c r="E352" s="126" t="s">
        <v>8681</v>
      </c>
      <c r="G352" s="154" t="s">
        <v>8506</v>
      </c>
      <c r="I352"/>
      <c r="J352"/>
    </row>
    <row r="353" spans="1:10">
      <c r="A353" s="133" t="s">
        <v>255</v>
      </c>
      <c r="B353" s="288">
        <v>352</v>
      </c>
      <c r="C353" s="124" t="s">
        <v>8487</v>
      </c>
      <c r="E353" s="126" t="s">
        <v>8682</v>
      </c>
      <c r="G353" s="154" t="s">
        <v>8506</v>
      </c>
      <c r="I353"/>
      <c r="J353"/>
    </row>
    <row r="354" spans="1:10">
      <c r="A354" s="133" t="s">
        <v>255</v>
      </c>
      <c r="B354" s="288">
        <v>353</v>
      </c>
      <c r="C354" s="124" t="s">
        <v>8488</v>
      </c>
      <c r="E354" s="126" t="s">
        <v>8683</v>
      </c>
      <c r="G354" s="154" t="s">
        <v>8506</v>
      </c>
      <c r="I354"/>
      <c r="J354"/>
    </row>
    <row r="355" spans="1:10">
      <c r="A355" s="133" t="s">
        <v>255</v>
      </c>
      <c r="B355" s="288">
        <v>354</v>
      </c>
      <c r="C355" s="124" t="s">
        <v>8489</v>
      </c>
      <c r="E355" s="126" t="s">
        <v>8684</v>
      </c>
      <c r="G355" s="154" t="s">
        <v>8506</v>
      </c>
      <c r="I355"/>
      <c r="J355"/>
    </row>
    <row r="356" spans="1:10">
      <c r="A356" s="133" t="s">
        <v>255</v>
      </c>
      <c r="B356" s="288">
        <v>355</v>
      </c>
      <c r="C356" s="124" t="s">
        <v>7845</v>
      </c>
      <c r="E356" s="126" t="s">
        <v>8509</v>
      </c>
      <c r="G356" s="154" t="s">
        <v>8506</v>
      </c>
      <c r="I356"/>
      <c r="J356"/>
    </row>
    <row r="357" spans="1:10">
      <c r="A357" s="133" t="s">
        <v>255</v>
      </c>
      <c r="B357" s="288">
        <v>356</v>
      </c>
      <c r="C357" s="124" t="s">
        <v>8086</v>
      </c>
      <c r="E357" s="126" t="s">
        <v>8510</v>
      </c>
      <c r="G357" s="154" t="s">
        <v>8506</v>
      </c>
      <c r="I357"/>
      <c r="J357"/>
    </row>
    <row r="358" spans="1:10">
      <c r="A358" s="133" t="s">
        <v>255</v>
      </c>
      <c r="B358" s="288">
        <v>357</v>
      </c>
      <c r="C358" s="124" t="s">
        <v>8086</v>
      </c>
      <c r="E358" s="126" t="s">
        <v>8509</v>
      </c>
      <c r="G358" s="154" t="s">
        <v>8506</v>
      </c>
      <c r="I358"/>
      <c r="J358"/>
    </row>
    <row r="359" spans="1:10">
      <c r="A359" s="133" t="s">
        <v>255</v>
      </c>
      <c r="B359" s="288">
        <v>358</v>
      </c>
      <c r="C359" s="124" t="s">
        <v>8299</v>
      </c>
      <c r="E359" s="126" t="s">
        <v>8510</v>
      </c>
      <c r="G359" s="154" t="s">
        <v>8506</v>
      </c>
      <c r="I359"/>
      <c r="J359"/>
    </row>
    <row r="360" spans="1:10">
      <c r="A360" s="133" t="s">
        <v>255</v>
      </c>
      <c r="B360" s="288">
        <v>359</v>
      </c>
      <c r="C360" s="124" t="s">
        <v>8299</v>
      </c>
      <c r="E360" s="126" t="s">
        <v>8509</v>
      </c>
      <c r="G360" s="154" t="s">
        <v>8506</v>
      </c>
      <c r="I360"/>
      <c r="J360"/>
    </row>
    <row r="361" spans="1:10">
      <c r="A361" s="133" t="s">
        <v>255</v>
      </c>
      <c r="B361" s="288">
        <v>360</v>
      </c>
      <c r="C361" s="124" t="s">
        <v>8299</v>
      </c>
      <c r="E361" s="126" t="s">
        <v>8686</v>
      </c>
      <c r="G361" s="154" t="s">
        <v>8506</v>
      </c>
      <c r="I361"/>
      <c r="J361"/>
    </row>
    <row r="362" spans="1:10">
      <c r="A362" s="133" t="s">
        <v>255</v>
      </c>
      <c r="B362" s="288">
        <v>1</v>
      </c>
      <c r="C362" s="124" t="s">
        <v>8490</v>
      </c>
      <c r="E362" s="126" t="s">
        <v>7607</v>
      </c>
      <c r="F362" s="154" t="s">
        <v>7451</v>
      </c>
      <c r="G362" s="154" t="s">
        <v>8507</v>
      </c>
      <c r="I362"/>
      <c r="J362"/>
    </row>
    <row r="363" spans="1:10">
      <c r="A363" s="133" t="s">
        <v>255</v>
      </c>
      <c r="B363" s="288">
        <v>2</v>
      </c>
      <c r="C363" s="124" t="s">
        <v>8491</v>
      </c>
      <c r="E363" s="126" t="s">
        <v>7609</v>
      </c>
      <c r="F363" s="154" t="s">
        <v>257</v>
      </c>
      <c r="G363" s="154" t="s">
        <v>8507</v>
      </c>
      <c r="I363"/>
      <c r="J363"/>
    </row>
    <row r="364" spans="1:10">
      <c r="A364" s="133" t="s">
        <v>255</v>
      </c>
      <c r="B364" s="288">
        <v>3</v>
      </c>
      <c r="C364" s="124" t="s">
        <v>8492</v>
      </c>
      <c r="E364" s="126" t="s">
        <v>7613</v>
      </c>
      <c r="F364" s="154" t="s">
        <v>7454</v>
      </c>
      <c r="G364" s="154" t="s">
        <v>8507</v>
      </c>
      <c r="I364"/>
      <c r="J364"/>
    </row>
    <row r="365" spans="1:10">
      <c r="A365" s="133" t="s">
        <v>255</v>
      </c>
      <c r="B365" s="288">
        <v>4</v>
      </c>
      <c r="C365" s="124" t="s">
        <v>8493</v>
      </c>
      <c r="E365" s="126" t="s">
        <v>7614</v>
      </c>
      <c r="F365" s="154" t="s">
        <v>7812</v>
      </c>
      <c r="G365" s="154" t="s">
        <v>8507</v>
      </c>
      <c r="I365"/>
      <c r="J365"/>
    </row>
    <row r="366" spans="1:10">
      <c r="A366" s="133" t="s">
        <v>255</v>
      </c>
      <c r="B366" s="288">
        <v>5</v>
      </c>
      <c r="C366" s="124" t="s">
        <v>8494</v>
      </c>
      <c r="E366" s="126" t="s">
        <v>7629</v>
      </c>
      <c r="F366" s="154" t="s">
        <v>7466</v>
      </c>
      <c r="G366" s="154" t="s">
        <v>8507</v>
      </c>
      <c r="I366"/>
      <c r="J366"/>
    </row>
    <row r="367" spans="1:10">
      <c r="A367" s="133" t="s">
        <v>255</v>
      </c>
      <c r="B367" s="288">
        <v>6</v>
      </c>
      <c r="C367" s="124" t="s">
        <v>8495</v>
      </c>
      <c r="E367" s="126" t="s">
        <v>7632</v>
      </c>
      <c r="F367" s="154" t="s">
        <v>7469</v>
      </c>
      <c r="G367" s="154" t="s">
        <v>8507</v>
      </c>
      <c r="I367"/>
      <c r="J367"/>
    </row>
    <row r="368" spans="1:10">
      <c r="A368" s="133" t="s">
        <v>255</v>
      </c>
      <c r="B368" s="288">
        <v>7</v>
      </c>
      <c r="C368" s="124" t="s">
        <v>8496</v>
      </c>
      <c r="E368" s="126" t="s">
        <v>7633</v>
      </c>
      <c r="F368" s="154" t="s">
        <v>256</v>
      </c>
      <c r="G368" s="154" t="s">
        <v>8507</v>
      </c>
      <c r="I368"/>
      <c r="J368"/>
    </row>
    <row r="369" spans="1:10">
      <c r="A369" s="133" t="s">
        <v>255</v>
      </c>
      <c r="B369" s="288">
        <v>8</v>
      </c>
      <c r="C369" s="124" t="s">
        <v>8497</v>
      </c>
      <c r="E369" s="126" t="s">
        <v>7645</v>
      </c>
      <c r="F369" s="154" t="s">
        <v>7480</v>
      </c>
      <c r="G369" s="154" t="s">
        <v>8507</v>
      </c>
      <c r="I369"/>
      <c r="J369"/>
    </row>
    <row r="370" spans="1:10">
      <c r="A370" s="133" t="s">
        <v>255</v>
      </c>
      <c r="B370" s="288">
        <v>9</v>
      </c>
      <c r="C370" s="124" t="s">
        <v>8498</v>
      </c>
      <c r="E370" s="126" t="s">
        <v>7646</v>
      </c>
      <c r="F370" s="154" t="s">
        <v>7481</v>
      </c>
      <c r="G370" s="154" t="s">
        <v>8507</v>
      </c>
      <c r="I370"/>
      <c r="J370"/>
    </row>
    <row r="371" spans="1:10">
      <c r="A371" s="133" t="s">
        <v>255</v>
      </c>
      <c r="B371" s="288">
        <v>10</v>
      </c>
      <c r="C371" s="124" t="s">
        <v>8499</v>
      </c>
      <c r="E371" s="126" t="s">
        <v>7649</v>
      </c>
      <c r="F371" s="154" t="s">
        <v>7484</v>
      </c>
      <c r="G371" s="154" t="s">
        <v>8507</v>
      </c>
      <c r="I371"/>
      <c r="J371"/>
    </row>
    <row r="372" spans="1:10">
      <c r="A372" s="133" t="s">
        <v>255</v>
      </c>
      <c r="B372" s="288">
        <v>11</v>
      </c>
      <c r="C372" s="124" t="s">
        <v>8500</v>
      </c>
      <c r="E372" s="126" t="s">
        <v>7651</v>
      </c>
      <c r="F372" s="154" t="s">
        <v>7485</v>
      </c>
      <c r="G372" s="154" t="s">
        <v>8507</v>
      </c>
      <c r="I372"/>
      <c r="J372"/>
    </row>
    <row r="373" spans="1:10">
      <c r="A373" s="133" t="s">
        <v>255</v>
      </c>
      <c r="B373" s="288">
        <v>12</v>
      </c>
      <c r="C373" s="124" t="s">
        <v>8501</v>
      </c>
      <c r="E373" s="126" t="s">
        <v>7655</v>
      </c>
      <c r="F373" s="154" t="s">
        <v>8501</v>
      </c>
      <c r="G373" s="154" t="s">
        <v>8507</v>
      </c>
      <c r="I373"/>
      <c r="J373"/>
    </row>
    <row r="374" spans="1:10">
      <c r="A374" s="133" t="s">
        <v>255</v>
      </c>
      <c r="B374" s="288">
        <v>13</v>
      </c>
      <c r="C374" s="124" t="s">
        <v>8502</v>
      </c>
      <c r="E374" s="126" t="s">
        <v>7667</v>
      </c>
      <c r="F374" s="154" t="s">
        <v>7499</v>
      </c>
      <c r="G374" s="154" t="s">
        <v>8507</v>
      </c>
      <c r="I374"/>
      <c r="J374"/>
    </row>
    <row r="375" spans="1:10">
      <c r="A375" s="133" t="s">
        <v>255</v>
      </c>
      <c r="B375" s="288">
        <v>14</v>
      </c>
      <c r="C375" s="124" t="s">
        <v>8503</v>
      </c>
      <c r="E375" s="126" t="s">
        <v>7731</v>
      </c>
      <c r="F375" s="154" t="s">
        <v>7557</v>
      </c>
      <c r="G375" s="154" t="s">
        <v>8507</v>
      </c>
      <c r="I375"/>
      <c r="J375"/>
    </row>
    <row r="376" spans="1:10">
      <c r="A376" s="133" t="s">
        <v>255</v>
      </c>
      <c r="B376" s="288">
        <v>15</v>
      </c>
      <c r="C376" s="124" t="s">
        <v>8504</v>
      </c>
      <c r="E376" s="126" t="s">
        <v>7739</v>
      </c>
      <c r="F376" s="154" t="s">
        <v>7823</v>
      </c>
      <c r="G376" s="154" t="s">
        <v>8507</v>
      </c>
      <c r="I376"/>
      <c r="J376"/>
    </row>
    <row r="377" spans="1:10">
      <c r="A377" s="133" t="s">
        <v>255</v>
      </c>
      <c r="B377" s="288">
        <v>16</v>
      </c>
      <c r="C377" s="124" t="s">
        <v>7857</v>
      </c>
      <c r="E377" s="126" t="s">
        <v>7741</v>
      </c>
      <c r="F377" s="154" t="s">
        <v>7825</v>
      </c>
      <c r="G377" s="154" t="s">
        <v>8507</v>
      </c>
      <c r="I377"/>
      <c r="J377"/>
    </row>
    <row r="378" spans="1:10">
      <c r="A378" s="133" t="s">
        <v>255</v>
      </c>
      <c r="B378" s="288">
        <v>17</v>
      </c>
      <c r="C378" s="124" t="s">
        <v>7856</v>
      </c>
      <c r="E378" s="126" t="s">
        <v>7743</v>
      </c>
      <c r="F378" s="154" t="s">
        <v>7827</v>
      </c>
      <c r="G378" s="154" t="s">
        <v>8507</v>
      </c>
      <c r="I378"/>
      <c r="J378"/>
    </row>
    <row r="379" spans="1:10">
      <c r="A379" s="133" t="s">
        <v>255</v>
      </c>
      <c r="B379" s="288">
        <v>18</v>
      </c>
      <c r="C379" s="124" t="s">
        <v>7855</v>
      </c>
      <c r="E379" s="126" t="s">
        <v>7744</v>
      </c>
      <c r="F379" s="154" t="s">
        <v>7828</v>
      </c>
      <c r="G379" s="154" t="s">
        <v>8507</v>
      </c>
      <c r="I379"/>
      <c r="J379"/>
    </row>
    <row r="380" spans="1:10">
      <c r="A380" s="133" t="s">
        <v>255</v>
      </c>
      <c r="B380" s="288">
        <v>19</v>
      </c>
      <c r="C380" s="124" t="s">
        <v>7861</v>
      </c>
      <c r="E380" s="126" t="s">
        <v>7745</v>
      </c>
      <c r="F380" s="154" t="s">
        <v>7829</v>
      </c>
      <c r="G380" s="154" t="s">
        <v>8507</v>
      </c>
      <c r="I380"/>
      <c r="J380"/>
    </row>
    <row r="381" spans="1:10">
      <c r="A381" s="133" t="s">
        <v>255</v>
      </c>
      <c r="B381" s="288">
        <v>20</v>
      </c>
      <c r="C381" s="124" t="s">
        <v>7854</v>
      </c>
      <c r="E381" s="126" t="s">
        <v>7746</v>
      </c>
      <c r="F381" s="154" t="s">
        <v>7830</v>
      </c>
      <c r="G381" s="154" t="s">
        <v>8507</v>
      </c>
      <c r="I381"/>
      <c r="J381"/>
    </row>
    <row r="382" spans="1:10">
      <c r="A382" s="133" t="s">
        <v>255</v>
      </c>
      <c r="B382" s="288">
        <v>21</v>
      </c>
      <c r="C382" s="124" t="s">
        <v>7862</v>
      </c>
      <c r="E382" s="126" t="s">
        <v>7748</v>
      </c>
      <c r="F382" s="154" t="s">
        <v>7832</v>
      </c>
      <c r="G382" s="154" t="s">
        <v>8507</v>
      </c>
      <c r="I382"/>
      <c r="J382"/>
    </row>
    <row r="383" spans="1:10">
      <c r="A383" s="133" t="s">
        <v>255</v>
      </c>
      <c r="B383" s="288">
        <v>22</v>
      </c>
      <c r="C383" s="124" t="s">
        <v>7852</v>
      </c>
      <c r="E383" s="126" t="s">
        <v>7749</v>
      </c>
      <c r="F383" s="154" t="s">
        <v>7833</v>
      </c>
      <c r="G383" s="154" t="s">
        <v>8507</v>
      </c>
      <c r="I383"/>
      <c r="J383"/>
    </row>
    <row r="384" spans="1:10">
      <c r="A384" s="133" t="s">
        <v>255</v>
      </c>
      <c r="B384" s="288">
        <v>23</v>
      </c>
      <c r="C384" s="124" t="s">
        <v>8505</v>
      </c>
      <c r="E384" s="126" t="s">
        <v>7755</v>
      </c>
      <c r="F384" s="154" t="s">
        <v>7566</v>
      </c>
      <c r="G384" s="154" t="s">
        <v>8507</v>
      </c>
      <c r="I384"/>
      <c r="J384"/>
    </row>
    <row r="385" spans="1:10">
      <c r="A385" s="133" t="s">
        <v>255</v>
      </c>
      <c r="B385" s="288">
        <v>24</v>
      </c>
      <c r="C385" s="124" t="s">
        <v>8299</v>
      </c>
      <c r="E385" s="391" t="s">
        <v>8685</v>
      </c>
      <c r="G385" s="154" t="s">
        <v>8507</v>
      </c>
      <c r="I385"/>
      <c r="J385"/>
    </row>
    <row r="386" spans="1:10">
      <c r="A386" s="133" t="s">
        <v>255</v>
      </c>
      <c r="B386" s="288">
        <v>1</v>
      </c>
      <c r="C386" s="124" t="s">
        <v>8299</v>
      </c>
      <c r="D386" s="390"/>
      <c r="E386" s="393" t="s">
        <v>7753</v>
      </c>
      <c r="G386" s="154" t="s">
        <v>11649</v>
      </c>
      <c r="I386"/>
      <c r="J386"/>
    </row>
    <row r="387" spans="1:10">
      <c r="A387" s="133" t="s">
        <v>255</v>
      </c>
      <c r="B387" s="288">
        <v>2</v>
      </c>
      <c r="C387" s="296" t="s">
        <v>8269</v>
      </c>
      <c r="D387" s="390"/>
      <c r="E387" s="393" t="s">
        <v>7707</v>
      </c>
      <c r="G387" s="154" t="s">
        <v>11649</v>
      </c>
      <c r="I387"/>
      <c r="J387"/>
    </row>
    <row r="388" spans="1:10">
      <c r="A388" s="133" t="s">
        <v>255</v>
      </c>
      <c r="B388" s="288">
        <v>3</v>
      </c>
      <c r="C388" s="296" t="s">
        <v>7845</v>
      </c>
      <c r="D388" s="390"/>
      <c r="E388" s="393" t="s">
        <v>8509</v>
      </c>
      <c r="G388" s="154" t="s">
        <v>11649</v>
      </c>
      <c r="I388"/>
      <c r="J388"/>
    </row>
    <row r="389" spans="1:10">
      <c r="A389" s="133" t="s">
        <v>255</v>
      </c>
      <c r="B389" s="288">
        <v>4</v>
      </c>
      <c r="C389" s="124" t="s">
        <v>8299</v>
      </c>
      <c r="D389" s="390"/>
      <c r="E389" s="393" t="s">
        <v>7753</v>
      </c>
      <c r="G389" s="154" t="s">
        <v>11649</v>
      </c>
      <c r="I389"/>
      <c r="J389"/>
    </row>
    <row r="390" spans="1:10">
      <c r="E390" s="392"/>
      <c r="I390"/>
      <c r="J390"/>
    </row>
    <row r="391" spans="1:10">
      <c r="I391"/>
      <c r="J391"/>
    </row>
    <row r="392" spans="1:10">
      <c r="I392"/>
      <c r="J392"/>
    </row>
    <row r="393" spans="1:10">
      <c r="I393"/>
      <c r="J393"/>
    </row>
    <row r="394" spans="1:10">
      <c r="I394"/>
      <c r="J394"/>
    </row>
    <row r="395" spans="1:10">
      <c r="I395"/>
      <c r="J395"/>
    </row>
    <row r="396" spans="1:10">
      <c r="I396"/>
      <c r="J396"/>
    </row>
    <row r="397" spans="1:10">
      <c r="I397"/>
      <c r="J397"/>
    </row>
    <row r="398" spans="1:10">
      <c r="I398"/>
      <c r="J398"/>
    </row>
    <row r="399" spans="1:10">
      <c r="I399"/>
      <c r="J399"/>
    </row>
    <row r="400" spans="1:10">
      <c r="I400"/>
      <c r="J400"/>
    </row>
  </sheetData>
  <autoFilter ref="A1:P385"/>
  <mergeCells count="1">
    <mergeCell ref="H2:J3"/>
  </mergeCells>
  <dataValidations count="2">
    <dataValidation type="list" allowBlank="1" showErrorMessage="1" sqref="D2:D17">
      <formula1>HoldingInstitution</formula1>
      <formula2>0</formula2>
    </dataValidation>
    <dataValidation type="list" allowBlank="1" showErrorMessage="1" sqref="A2:A389">
      <formula1>TaxonScientificName</formula1>
      <formula2>0</formula2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7" enableFormatConditionsCalculation="0">
    <tabColor indexed="9"/>
  </sheetPr>
  <dimension ref="A1:J5"/>
  <sheetViews>
    <sheetView zoomScale="89" zoomScaleNormal="89" workbookViewId="0">
      <selection activeCell="G21" sqref="G21"/>
    </sheetView>
  </sheetViews>
  <sheetFormatPr baseColWidth="10" defaultColWidth="10.7109375" defaultRowHeight="12.75"/>
  <cols>
    <col min="1" max="1" width="7.42578125" style="124" customWidth="1"/>
    <col min="2" max="2" width="11.7109375" style="124" customWidth="1"/>
    <col min="3" max="3" width="18.85546875" style="124" customWidth="1"/>
    <col min="4" max="4" width="25.140625" style="112" customWidth="1"/>
    <col min="7" max="7" width="14.140625" customWidth="1"/>
  </cols>
  <sheetData>
    <row r="1" spans="1:10">
      <c r="A1" s="114" t="s">
        <v>163</v>
      </c>
      <c r="B1" s="114" t="s">
        <v>164</v>
      </c>
      <c r="C1" s="114" t="s">
        <v>165</v>
      </c>
      <c r="D1" s="115" t="s">
        <v>166</v>
      </c>
    </row>
    <row r="2" spans="1:10">
      <c r="A2" s="126" t="s">
        <v>264</v>
      </c>
      <c r="B2" s="126" t="s">
        <v>265</v>
      </c>
      <c r="C2" s="126" t="s">
        <v>266</v>
      </c>
      <c r="D2" s="112" t="s">
        <v>8694</v>
      </c>
    </row>
    <row r="3" spans="1:10">
      <c r="A3" s="124" t="s">
        <v>264</v>
      </c>
      <c r="B3" s="124" t="s">
        <v>267</v>
      </c>
      <c r="C3" s="124" t="s">
        <v>268</v>
      </c>
      <c r="D3" s="112" t="s">
        <v>8695</v>
      </c>
      <c r="H3" s="289"/>
      <c r="I3" s="290"/>
    </row>
    <row r="4" spans="1:10">
      <c r="G4" s="291"/>
      <c r="H4" s="289"/>
      <c r="I4" s="290"/>
      <c r="J4" s="292"/>
    </row>
    <row r="5" spans="1:10">
      <c r="G5" s="291"/>
      <c r="H5" s="289"/>
      <c r="I5" s="290"/>
      <c r="J5" s="292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 enableFormatConditionsCalculation="0">
    <tabColor indexed="9"/>
  </sheetPr>
  <dimension ref="A1:D3"/>
  <sheetViews>
    <sheetView zoomScale="95" zoomScaleNormal="95" workbookViewId="0">
      <selection activeCellId="1" sqref="A2:B2 A1"/>
    </sheetView>
  </sheetViews>
  <sheetFormatPr baseColWidth="10" defaultColWidth="12.85546875" defaultRowHeight="12.75"/>
  <cols>
    <col min="1" max="1" width="13.28515625" style="124" customWidth="1"/>
    <col min="2" max="2" width="13.7109375" style="112" customWidth="1"/>
    <col min="3" max="3" width="12.42578125" style="112" customWidth="1"/>
    <col min="4" max="4" width="13" style="112" customWidth="1"/>
  </cols>
  <sheetData>
    <row r="1" spans="1:4">
      <c r="A1" s="114" t="s">
        <v>178</v>
      </c>
      <c r="B1" s="115" t="s">
        <v>179</v>
      </c>
      <c r="C1" s="115" t="s">
        <v>29</v>
      </c>
      <c r="D1" s="115" t="s">
        <v>180</v>
      </c>
    </row>
    <row r="2" spans="1:4">
      <c r="A2" s="126" t="s">
        <v>269</v>
      </c>
      <c r="B2" s="112" t="s">
        <v>269</v>
      </c>
    </row>
    <row r="3" spans="1:4">
      <c r="A3" s="135" t="s">
        <v>270</v>
      </c>
      <c r="B3" s="136" t="s">
        <v>271</v>
      </c>
      <c r="D3" s="112" t="s">
        <v>269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9" enableFormatConditionsCalculation="0">
    <tabColor indexed="9"/>
  </sheetPr>
  <dimension ref="A1:CU857"/>
  <sheetViews>
    <sheetView tabSelected="1" topLeftCell="BK546" zoomScale="85" zoomScaleNormal="85" workbookViewId="0">
      <selection activeCell="E552" sqref="A552:XFD552"/>
    </sheetView>
  </sheetViews>
  <sheetFormatPr baseColWidth="10" defaultColWidth="11.28515625" defaultRowHeight="12.75"/>
  <cols>
    <col min="1" max="1" width="9.7109375" style="138" customWidth="1"/>
    <col min="2" max="2" width="17.7109375" style="464" customWidth="1"/>
    <col min="3" max="4" width="23.5703125" style="154" customWidth="1"/>
    <col min="5" max="5" width="22.42578125" style="154" customWidth="1"/>
    <col min="6" max="6" width="26" style="154" customWidth="1"/>
    <col min="7" max="7" width="23.5703125" style="154" customWidth="1"/>
    <col min="8" max="8" width="10" style="112" customWidth="1"/>
    <col min="9" max="9" width="7" style="112" customWidth="1"/>
    <col min="10" max="10" width="10" style="112" customWidth="1"/>
    <col min="11" max="11" width="2.42578125" style="113" bestFit="1" customWidth="1"/>
    <col min="12" max="12" width="2.28515625" style="113" bestFit="1" customWidth="1"/>
    <col min="13" max="13" width="5.42578125" style="113" bestFit="1" customWidth="1"/>
    <col min="14" max="14" width="5.28515625" style="113" bestFit="1" customWidth="1"/>
    <col min="15" max="15" width="18.140625" style="295" bestFit="1" customWidth="1"/>
    <col min="16" max="16" width="17.5703125" style="112" bestFit="1" customWidth="1"/>
    <col min="17" max="17" width="17.28515625" style="137" bestFit="1" customWidth="1"/>
    <col min="18" max="18" width="16.7109375" style="153" bestFit="1" customWidth="1"/>
    <col min="19" max="19" width="20.85546875" style="153" bestFit="1" customWidth="1"/>
    <col min="20" max="20" width="20.28515625" style="153" bestFit="1" customWidth="1"/>
    <col min="21" max="21" width="8.28515625" style="137" bestFit="1" customWidth="1"/>
    <col min="22" max="22" width="7.7109375" style="153" bestFit="1" customWidth="1"/>
    <col min="23" max="23" width="9.5703125" style="137" bestFit="1" customWidth="1"/>
    <col min="24" max="24" width="9" style="153" bestFit="1" customWidth="1"/>
    <col min="25" max="25" width="9.28515625" style="137" bestFit="1" customWidth="1"/>
    <col min="26" max="26" width="9.85546875" style="153" bestFit="1" customWidth="1"/>
    <col min="27" max="27" width="16.85546875" style="137" bestFit="1" customWidth="1"/>
    <col min="28" max="28" width="16.28515625" style="153" bestFit="1" customWidth="1"/>
    <col min="29" max="29" width="16" style="137" bestFit="1" customWidth="1"/>
    <col min="30" max="30" width="15.28515625" style="153" bestFit="1" customWidth="1"/>
    <col min="31" max="31" width="9.7109375" style="137" bestFit="1" customWidth="1"/>
    <col min="32" max="32" width="9.140625" style="153" bestFit="1" customWidth="1"/>
    <col min="33" max="33" width="9.140625" style="137" bestFit="1" customWidth="1"/>
    <col min="34" max="34" width="9.28515625" style="522" bestFit="1" customWidth="1"/>
    <col min="35" max="35" width="9.140625" style="137" bestFit="1" customWidth="1"/>
    <col min="36" max="36" width="8.140625" style="153" bestFit="1" customWidth="1"/>
    <col min="37" max="37" width="15.140625" style="137" bestFit="1" customWidth="1"/>
    <col min="38" max="38" width="14.42578125" style="522" bestFit="1" customWidth="1"/>
    <col min="39" max="39" width="10.85546875" style="153" bestFit="1" customWidth="1"/>
    <col min="40" max="40" width="10.28515625" style="153" bestFit="1" customWidth="1"/>
    <col min="41" max="41" width="17" style="153" bestFit="1" customWidth="1"/>
    <col min="42" max="42" width="16.42578125" style="153" bestFit="1" customWidth="1"/>
    <col min="43" max="43" width="18.85546875" style="137" customWidth="1"/>
    <col min="44" max="44" width="18.140625" style="153" customWidth="1"/>
    <col min="45" max="45" width="18.5703125" style="137" customWidth="1"/>
    <col min="46" max="46" width="18" style="153" customWidth="1"/>
    <col min="47" max="47" width="18.5703125" style="137" bestFit="1" customWidth="1"/>
    <col min="48" max="48" width="18" style="137" bestFit="1" customWidth="1"/>
    <col min="49" max="49" width="20.28515625" style="137" customWidth="1"/>
    <col min="50" max="50" width="19.7109375" style="137" customWidth="1"/>
    <col min="51" max="51" width="24.5703125" style="137" customWidth="1"/>
    <col min="52" max="52" width="23.7109375" style="137" customWidth="1"/>
    <col min="53" max="53" width="19" style="137" customWidth="1"/>
    <col min="54" max="54" width="18.28515625" style="137" customWidth="1"/>
    <col min="55" max="55" width="19" style="137" customWidth="1"/>
    <col min="56" max="56" width="18.28515625" style="137" customWidth="1"/>
    <col min="57" max="57" width="25" style="137" customWidth="1"/>
    <col min="58" max="58" width="24.28515625" style="137" customWidth="1"/>
    <col min="59" max="59" width="19" style="137" customWidth="1"/>
    <col min="60" max="60" width="18.28515625" style="137" customWidth="1"/>
    <col min="61" max="61" width="30.7109375" style="137" customWidth="1"/>
    <col min="62" max="62" width="30" style="137" customWidth="1"/>
    <col min="63" max="63" width="13.7109375" style="138" bestFit="1" customWidth="1"/>
    <col min="64" max="64" width="13.140625" style="138" bestFit="1" customWidth="1"/>
    <col min="65" max="65" width="13.7109375" style="138" bestFit="1" customWidth="1"/>
    <col min="66" max="66" width="13.140625" style="138" bestFit="1" customWidth="1"/>
    <col min="67" max="70" width="10.5703125" style="138" customWidth="1"/>
    <col min="71" max="71" width="12.140625" style="138" bestFit="1" customWidth="1"/>
    <col min="72" max="72" width="11.5703125" style="138" bestFit="1" customWidth="1"/>
    <col min="73" max="73" width="15.140625" style="138" bestFit="1" customWidth="1"/>
    <col min="74" max="74" width="14.42578125" style="138" bestFit="1" customWidth="1"/>
    <col min="75" max="75" width="16.5703125" style="138" bestFit="1" customWidth="1"/>
    <col min="76" max="76" width="16" style="138" bestFit="1" customWidth="1"/>
    <col min="77" max="77" width="8" style="138" customWidth="1"/>
    <col min="78" max="78" width="7.42578125" style="138" bestFit="1" customWidth="1"/>
    <col min="79" max="79" width="8.42578125" style="138" bestFit="1" customWidth="1"/>
    <col min="80" max="80" width="7.85546875" style="138" bestFit="1" customWidth="1"/>
    <col min="81" max="81" width="10.42578125" style="138" bestFit="1" customWidth="1"/>
    <col min="82" max="82" width="9.7109375" style="138" bestFit="1" customWidth="1"/>
    <col min="83" max="83" width="21.7109375" style="138" bestFit="1" customWidth="1"/>
    <col min="84" max="84" width="21" style="138" bestFit="1" customWidth="1"/>
    <col min="85" max="85" width="14.7109375" style="138" bestFit="1" customWidth="1"/>
    <col min="86" max="86" width="14" style="138" bestFit="1" customWidth="1"/>
    <col min="87" max="87" width="22.5703125" style="138" bestFit="1" customWidth="1"/>
    <col min="88" max="88" width="22" style="138" bestFit="1" customWidth="1"/>
    <col min="89" max="89" width="20.85546875" style="138" bestFit="1" customWidth="1"/>
    <col min="90" max="90" width="20.28515625" style="138" bestFit="1" customWidth="1"/>
    <col min="91" max="91" width="18.140625" style="138" bestFit="1" customWidth="1"/>
    <col min="92" max="92" width="17.5703125" style="138" bestFit="1" customWidth="1"/>
    <col min="93" max="93" width="9.7109375" style="138" customWidth="1"/>
    <col min="94" max="94" width="6.5703125" style="138" bestFit="1" customWidth="1"/>
    <col min="95" max="95" width="9.7109375" style="138" bestFit="1" customWidth="1"/>
    <col min="96" max="96" width="15.28515625" style="138" bestFit="1" customWidth="1"/>
    <col min="97" max="97" width="14.7109375" style="138" bestFit="1" customWidth="1"/>
    <col min="98" max="98" width="13.85546875" style="138" customWidth="1"/>
    <col min="99" max="16384" width="11.28515625" style="138"/>
  </cols>
  <sheetData>
    <row r="1" spans="1:99" s="171" customFormat="1" ht="13.5" thickBot="1">
      <c r="A1" s="465" t="s">
        <v>11659</v>
      </c>
      <c r="B1" s="114" t="s">
        <v>147</v>
      </c>
      <c r="C1" s="277" t="s">
        <v>150</v>
      </c>
      <c r="D1" s="277" t="s">
        <v>11675</v>
      </c>
      <c r="E1" s="277" t="s">
        <v>11674</v>
      </c>
      <c r="F1" s="277" t="s">
        <v>11673</v>
      </c>
      <c r="G1" s="277" t="s">
        <v>11659</v>
      </c>
      <c r="H1" s="115" t="s">
        <v>171</v>
      </c>
      <c r="I1" s="115" t="s">
        <v>187</v>
      </c>
      <c r="J1" s="115" t="s">
        <v>272</v>
      </c>
      <c r="K1" s="116" t="s">
        <v>21</v>
      </c>
      <c r="L1" s="116" t="s">
        <v>22</v>
      </c>
      <c r="M1" s="116" t="s">
        <v>192</v>
      </c>
      <c r="N1" s="116" t="s">
        <v>193</v>
      </c>
      <c r="O1" s="293" t="s">
        <v>8017</v>
      </c>
      <c r="P1" s="278" t="s">
        <v>8018</v>
      </c>
      <c r="Q1" s="278" t="s">
        <v>8019</v>
      </c>
      <c r="R1" s="278" t="s">
        <v>8020</v>
      </c>
      <c r="S1" s="278" t="s">
        <v>8021</v>
      </c>
      <c r="T1" s="278" t="s">
        <v>8022</v>
      </c>
      <c r="U1" s="278" t="s">
        <v>8023</v>
      </c>
      <c r="V1" s="278" t="s">
        <v>8024</v>
      </c>
      <c r="W1" s="278" t="s">
        <v>8025</v>
      </c>
      <c r="X1" s="278" t="s">
        <v>8026</v>
      </c>
      <c r="Y1" s="278" t="s">
        <v>282</v>
      </c>
      <c r="Z1" s="278" t="s">
        <v>283</v>
      </c>
      <c r="AA1" s="278" t="s">
        <v>8027</v>
      </c>
      <c r="AB1" s="278" t="s">
        <v>8028</v>
      </c>
      <c r="AC1" s="278" t="s">
        <v>8029</v>
      </c>
      <c r="AD1" s="278" t="s">
        <v>8030</v>
      </c>
      <c r="AE1" s="278" t="s">
        <v>280</v>
      </c>
      <c r="AF1" s="278" t="s">
        <v>281</v>
      </c>
      <c r="AG1" s="278" t="s">
        <v>276</v>
      </c>
      <c r="AH1" s="520" t="s">
        <v>277</v>
      </c>
      <c r="AI1" s="278" t="s">
        <v>273</v>
      </c>
      <c r="AJ1" s="278" t="s">
        <v>8031</v>
      </c>
      <c r="AK1" s="278" t="s">
        <v>8032</v>
      </c>
      <c r="AL1" s="520" t="s">
        <v>8033</v>
      </c>
      <c r="AM1" s="278" t="s">
        <v>274</v>
      </c>
      <c r="AN1" s="278" t="s">
        <v>275</v>
      </c>
      <c r="AO1" s="278" t="s">
        <v>8034</v>
      </c>
      <c r="AP1" s="278" t="s">
        <v>8035</v>
      </c>
      <c r="AQ1" s="278" t="s">
        <v>8036</v>
      </c>
      <c r="AR1" s="278" t="s">
        <v>8037</v>
      </c>
      <c r="AS1" s="278" t="s">
        <v>8038</v>
      </c>
      <c r="AT1" s="278" t="s">
        <v>8039</v>
      </c>
      <c r="AU1" s="278" t="s">
        <v>8040</v>
      </c>
      <c r="AV1" s="278" t="s">
        <v>8041</v>
      </c>
      <c r="AW1" s="278" t="s">
        <v>8042</v>
      </c>
      <c r="AX1" s="278" t="s">
        <v>8043</v>
      </c>
      <c r="AY1" s="278" t="s">
        <v>8044</v>
      </c>
      <c r="AZ1" s="278" t="s">
        <v>8045</v>
      </c>
      <c r="BA1" s="278" t="s">
        <v>8046</v>
      </c>
      <c r="BB1" s="278" t="s">
        <v>8047</v>
      </c>
      <c r="BC1" s="278" t="s">
        <v>8048</v>
      </c>
      <c r="BD1" s="278" t="s">
        <v>8049</v>
      </c>
      <c r="BE1" s="278" t="s">
        <v>8050</v>
      </c>
      <c r="BF1" s="278" t="s">
        <v>8051</v>
      </c>
      <c r="BG1" s="278" t="s">
        <v>8052</v>
      </c>
      <c r="BH1" s="278" t="s">
        <v>8053</v>
      </c>
      <c r="BI1" s="278" t="s">
        <v>8054</v>
      </c>
      <c r="BJ1" s="278" t="s">
        <v>8055</v>
      </c>
      <c r="BK1" s="278" t="s">
        <v>8056</v>
      </c>
      <c r="BL1" s="278" t="s">
        <v>8057</v>
      </c>
      <c r="BM1" s="278" t="s">
        <v>8058</v>
      </c>
      <c r="BN1" s="278" t="s">
        <v>8059</v>
      </c>
      <c r="BO1" s="278" t="s">
        <v>8060</v>
      </c>
      <c r="BP1" s="278" t="s">
        <v>8061</v>
      </c>
      <c r="BQ1" s="278" t="s">
        <v>8062</v>
      </c>
      <c r="BR1" s="278" t="s">
        <v>8063</v>
      </c>
      <c r="BS1" s="278" t="s">
        <v>8064</v>
      </c>
      <c r="BT1" s="278" t="s">
        <v>8065</v>
      </c>
      <c r="BU1" s="278" t="s">
        <v>8066</v>
      </c>
      <c r="BV1" s="278" t="s">
        <v>8067</v>
      </c>
      <c r="BW1" s="278" t="s">
        <v>8068</v>
      </c>
      <c r="BX1" s="278" t="s">
        <v>8069</v>
      </c>
      <c r="BY1" s="278" t="s">
        <v>278</v>
      </c>
      <c r="BZ1" s="278" t="s">
        <v>279</v>
      </c>
      <c r="CA1" s="278" t="s">
        <v>8070</v>
      </c>
      <c r="CB1" s="278" t="s">
        <v>8071</v>
      </c>
      <c r="CC1" s="279" t="s">
        <v>8072</v>
      </c>
      <c r="CD1" s="278" t="s">
        <v>8073</v>
      </c>
      <c r="CE1" s="278" t="s">
        <v>8074</v>
      </c>
      <c r="CF1" s="278" t="s">
        <v>8075</v>
      </c>
      <c r="CG1" s="278" t="s">
        <v>8076</v>
      </c>
      <c r="CH1" s="278" t="s">
        <v>8077</v>
      </c>
      <c r="CI1" s="278" t="s">
        <v>8078</v>
      </c>
      <c r="CJ1" s="278" t="s">
        <v>8079</v>
      </c>
      <c r="CK1" s="278" t="s">
        <v>8080</v>
      </c>
      <c r="CL1" s="278" t="s">
        <v>8081</v>
      </c>
      <c r="CM1" s="278" t="s">
        <v>8082</v>
      </c>
      <c r="CN1" s="278" t="s">
        <v>8083</v>
      </c>
      <c r="CO1" s="278" t="s">
        <v>8000</v>
      </c>
      <c r="CP1" s="278" t="s">
        <v>7848</v>
      </c>
      <c r="CQ1" s="278" t="s">
        <v>8007</v>
      </c>
      <c r="CR1" s="278" t="s">
        <v>8084</v>
      </c>
      <c r="CS1" s="278" t="s">
        <v>8085</v>
      </c>
      <c r="CT1" s="278" t="s">
        <v>8179</v>
      </c>
      <c r="CU1" s="280"/>
    </row>
    <row r="2" spans="1:99" s="304" customFormat="1">
      <c r="A2" s="304" t="s">
        <v>8507</v>
      </c>
      <c r="B2" s="463">
        <v>1</v>
      </c>
      <c r="C2" s="296" t="s">
        <v>7607</v>
      </c>
      <c r="D2" s="296" t="s">
        <v>7451</v>
      </c>
      <c r="E2" s="296" t="s">
        <v>7607</v>
      </c>
      <c r="F2" s="296"/>
      <c r="G2" s="296" t="s">
        <v>8507</v>
      </c>
      <c r="H2" s="297" t="s">
        <v>8697</v>
      </c>
      <c r="I2" s="297">
        <v>1</v>
      </c>
      <c r="J2" s="298">
        <v>105</v>
      </c>
      <c r="K2" s="299"/>
      <c r="L2" s="299"/>
      <c r="M2" s="299">
        <v>2</v>
      </c>
      <c r="N2" s="299">
        <v>2</v>
      </c>
      <c r="O2" s="300">
        <v>50</v>
      </c>
      <c r="P2" s="301">
        <v>42090</v>
      </c>
      <c r="Q2" s="302"/>
      <c r="R2" s="303"/>
      <c r="S2" s="289">
        <v>2</v>
      </c>
      <c r="T2" s="303">
        <v>42208</v>
      </c>
      <c r="U2" s="302"/>
      <c r="V2" s="303"/>
      <c r="W2" s="302"/>
      <c r="X2" s="303"/>
      <c r="Y2" s="302">
        <v>7.09</v>
      </c>
      <c r="Z2" s="303">
        <v>42208</v>
      </c>
      <c r="AA2">
        <v>14.4</v>
      </c>
      <c r="AB2" s="303"/>
      <c r="AC2" s="302"/>
      <c r="AD2" s="303"/>
      <c r="AE2" s="302"/>
      <c r="AF2" s="303"/>
      <c r="AG2">
        <v>24055.021367521367</v>
      </c>
      <c r="AH2" s="521">
        <f>(AK2*10000)/AM2</f>
        <v>24055.021367521367</v>
      </c>
      <c r="AI2" s="302"/>
      <c r="AJ2" s="303"/>
      <c r="AK2">
        <v>12.508611111111112</v>
      </c>
      <c r="AL2" s="521"/>
      <c r="AM2">
        <v>5.2</v>
      </c>
      <c r="AN2" s="303">
        <v>42244</v>
      </c>
      <c r="AO2">
        <v>155</v>
      </c>
      <c r="AP2" s="303">
        <v>42170</v>
      </c>
      <c r="AQ2" s="302"/>
      <c r="AR2" s="303"/>
      <c r="AS2" s="302"/>
      <c r="AT2" s="303"/>
      <c r="AU2">
        <v>108</v>
      </c>
      <c r="AV2" s="302"/>
      <c r="AW2" s="302"/>
      <c r="AX2" s="302"/>
      <c r="AY2" s="302"/>
      <c r="AZ2" s="302"/>
      <c r="BA2" s="302"/>
      <c r="BB2" s="302"/>
      <c r="BC2" s="302"/>
      <c r="BD2" s="302"/>
      <c r="BE2" s="302"/>
      <c r="BF2" s="302"/>
      <c r="BG2" s="302"/>
      <c r="BH2" s="302"/>
      <c r="BI2" s="302"/>
      <c r="BJ2" s="302"/>
      <c r="BM2">
        <v>44.8</v>
      </c>
      <c r="BS2">
        <v>11</v>
      </c>
      <c r="BY2">
        <v>50.5</v>
      </c>
      <c r="CA2">
        <v>19.600000000000001</v>
      </c>
      <c r="CC2">
        <v>76.3</v>
      </c>
      <c r="CI2">
        <v>8.1</v>
      </c>
      <c r="CO2" t="s">
        <v>8698</v>
      </c>
      <c r="CR2">
        <v>2</v>
      </c>
      <c r="CT2" s="304" t="s">
        <v>11678</v>
      </c>
    </row>
    <row r="3" spans="1:99" s="304" customFormat="1">
      <c r="A3" s="304" t="s">
        <v>8507</v>
      </c>
      <c r="B3" s="463">
        <v>2</v>
      </c>
      <c r="C3" s="296" t="s">
        <v>7609</v>
      </c>
      <c r="D3" s="296" t="s">
        <v>257</v>
      </c>
      <c r="E3" s="296" t="s">
        <v>7609</v>
      </c>
      <c r="F3" s="296"/>
      <c r="G3" s="296" t="s">
        <v>8507</v>
      </c>
      <c r="H3" s="297" t="s">
        <v>8696</v>
      </c>
      <c r="I3" s="297">
        <v>2</v>
      </c>
      <c r="J3" s="298">
        <v>221</v>
      </c>
      <c r="K3" s="299"/>
      <c r="L3" s="299"/>
      <c r="M3" s="299">
        <v>2</v>
      </c>
      <c r="N3" s="299">
        <v>12</v>
      </c>
      <c r="O3" s="300">
        <v>25</v>
      </c>
      <c r="P3" s="301">
        <v>42090</v>
      </c>
      <c r="Q3" s="302"/>
      <c r="R3" s="303"/>
      <c r="S3" s="289">
        <v>1.35</v>
      </c>
      <c r="T3" s="303">
        <v>42208</v>
      </c>
      <c r="U3" s="302"/>
      <c r="V3" s="303"/>
      <c r="W3" s="302"/>
      <c r="X3" s="303"/>
      <c r="Y3" s="302">
        <v>3.83</v>
      </c>
      <c r="Z3" s="303">
        <v>42208</v>
      </c>
      <c r="AA3">
        <v>14.4</v>
      </c>
      <c r="AB3" s="303"/>
      <c r="AC3" s="302"/>
      <c r="AD3" s="303"/>
      <c r="AE3" s="302"/>
      <c r="AF3" s="303"/>
      <c r="AG3">
        <v>18938.778409090904</v>
      </c>
      <c r="AH3" s="521">
        <f>(AK3*10000)/AM3</f>
        <v>18938.778409090904</v>
      </c>
      <c r="AI3" s="302"/>
      <c r="AJ3" s="303"/>
      <c r="AK3">
        <v>8.3330624999999987</v>
      </c>
      <c r="AL3" s="521"/>
      <c r="AM3">
        <v>4.4000000000000004</v>
      </c>
      <c r="AN3" s="303">
        <v>42244</v>
      </c>
      <c r="AO3">
        <v>120</v>
      </c>
      <c r="AP3" s="303">
        <v>42170</v>
      </c>
      <c r="AQ3" s="302"/>
      <c r="AR3" s="303"/>
      <c r="AS3" s="302"/>
      <c r="AT3" s="303"/>
      <c r="AU3"/>
      <c r="AV3" s="302"/>
      <c r="AW3" s="302"/>
      <c r="AX3" s="302"/>
      <c r="AY3" s="302"/>
      <c r="AZ3" s="302"/>
      <c r="BA3" s="302"/>
      <c r="BB3" s="302"/>
      <c r="BC3" s="302"/>
      <c r="BD3" s="302"/>
      <c r="BE3" s="302"/>
      <c r="BF3" s="302"/>
      <c r="BG3" s="302"/>
      <c r="BH3" s="302"/>
      <c r="BI3" s="302"/>
      <c r="BJ3" s="302"/>
      <c r="BM3">
        <v>24.6</v>
      </c>
      <c r="BS3">
        <v>30.6</v>
      </c>
      <c r="BY3">
        <v>41</v>
      </c>
      <c r="CA3">
        <v>24.6</v>
      </c>
      <c r="CC3">
        <v>60.1</v>
      </c>
      <c r="CI3">
        <v>9.3000000000000007</v>
      </c>
      <c r="CO3" t="s">
        <v>8698</v>
      </c>
      <c r="CR3">
        <v>3</v>
      </c>
      <c r="CT3" s="304" t="s">
        <v>11678</v>
      </c>
    </row>
    <row r="4" spans="1:99" s="304" customFormat="1">
      <c r="A4" s="304" t="s">
        <v>8507</v>
      </c>
      <c r="B4" s="463">
        <v>4</v>
      </c>
      <c r="C4" s="296" t="s">
        <v>7614</v>
      </c>
      <c r="D4" s="296" t="s">
        <v>7812</v>
      </c>
      <c r="E4" s="296" t="s">
        <v>7614</v>
      </c>
      <c r="F4" s="296"/>
      <c r="G4" s="296" t="s">
        <v>8507</v>
      </c>
      <c r="H4" s="297" t="s">
        <v>8697</v>
      </c>
      <c r="I4" s="297">
        <v>1</v>
      </c>
      <c r="J4" s="298">
        <v>101</v>
      </c>
      <c r="K4" s="299"/>
      <c r="L4" s="299"/>
      <c r="M4" s="299">
        <v>2</v>
      </c>
      <c r="N4" s="299">
        <v>1</v>
      </c>
      <c r="O4" s="300">
        <v>54</v>
      </c>
      <c r="P4" s="301">
        <v>42090</v>
      </c>
      <c r="Q4" s="302"/>
      <c r="R4" s="303"/>
      <c r="S4" s="289">
        <v>1.95</v>
      </c>
      <c r="T4" s="303">
        <v>42208</v>
      </c>
      <c r="U4" s="302"/>
      <c r="V4" s="303"/>
      <c r="W4" s="302"/>
      <c r="X4" s="303"/>
      <c r="Y4" s="302">
        <v>6.87</v>
      </c>
      <c r="Z4" s="303">
        <v>42208</v>
      </c>
      <c r="AA4">
        <v>14.4</v>
      </c>
      <c r="AB4" s="303"/>
      <c r="AC4" s="302"/>
      <c r="AD4" s="303"/>
      <c r="AE4" s="302"/>
      <c r="AF4" s="303"/>
      <c r="AG4">
        <v>25807.535460992909</v>
      </c>
      <c r="AH4" s="521">
        <f>(AK4*10000)/AM4</f>
        <v>25807.535460992909</v>
      </c>
      <c r="AI4" s="302"/>
      <c r="AJ4" s="303"/>
      <c r="AK4">
        <v>12.129541666666666</v>
      </c>
      <c r="AL4" s="521"/>
      <c r="AM4">
        <v>4.7</v>
      </c>
      <c r="AN4" s="303">
        <v>42244</v>
      </c>
      <c r="AO4">
        <v>130</v>
      </c>
      <c r="AP4" s="303">
        <v>42170</v>
      </c>
      <c r="AQ4" s="302"/>
      <c r="AR4" s="303"/>
      <c r="AS4" s="302"/>
      <c r="AT4" s="303"/>
      <c r="AU4">
        <v>103</v>
      </c>
      <c r="AV4" s="302"/>
      <c r="AW4" s="302"/>
      <c r="AX4" s="302"/>
      <c r="AY4" s="302"/>
      <c r="AZ4" s="302"/>
      <c r="BA4" s="302"/>
      <c r="BB4" s="302"/>
      <c r="BC4" s="302"/>
      <c r="BD4" s="302"/>
      <c r="BE4" s="302"/>
      <c r="BF4" s="302"/>
      <c r="BG4" s="302"/>
      <c r="BH4" s="302"/>
      <c r="BI4" s="302"/>
      <c r="BJ4" s="302"/>
      <c r="BM4">
        <v>28.4</v>
      </c>
      <c r="BS4">
        <v>28.6</v>
      </c>
      <c r="BY4">
        <v>50.5</v>
      </c>
      <c r="CA4">
        <v>17.899999999999999</v>
      </c>
      <c r="CC4">
        <v>58.4</v>
      </c>
      <c r="CI4">
        <v>8.6</v>
      </c>
      <c r="CO4" s="304" t="s">
        <v>11676</v>
      </c>
      <c r="CR4">
        <v>6</v>
      </c>
      <c r="CT4" s="304" t="s">
        <v>11678</v>
      </c>
    </row>
    <row r="5" spans="1:99" s="304" customFormat="1">
      <c r="A5" s="304" t="s">
        <v>8507</v>
      </c>
      <c r="B5" s="463">
        <v>6</v>
      </c>
      <c r="C5" s="296" t="s">
        <v>7632</v>
      </c>
      <c r="D5" s="296" t="s">
        <v>7469</v>
      </c>
      <c r="E5" s="296" t="s">
        <v>7632</v>
      </c>
      <c r="F5" s="296"/>
      <c r="G5" s="296" t="s">
        <v>8507</v>
      </c>
      <c r="H5" s="297" t="s">
        <v>8696</v>
      </c>
      <c r="I5" s="297">
        <v>2</v>
      </c>
      <c r="J5" s="298">
        <v>213</v>
      </c>
      <c r="K5" s="299"/>
      <c r="L5" s="299"/>
      <c r="M5" s="299">
        <v>2</v>
      </c>
      <c r="N5" s="299">
        <v>10</v>
      </c>
      <c r="O5" s="300">
        <v>27</v>
      </c>
      <c r="P5" s="301">
        <v>42090</v>
      </c>
      <c r="Q5" s="302"/>
      <c r="R5" s="303"/>
      <c r="S5" s="289">
        <v>2.4500000000000002</v>
      </c>
      <c r="T5" s="303">
        <v>42208</v>
      </c>
      <c r="U5" s="302"/>
      <c r="V5" s="303"/>
      <c r="W5" s="302"/>
      <c r="X5" s="303"/>
      <c r="Y5" s="302">
        <v>7.57</v>
      </c>
      <c r="Z5" s="303">
        <v>42208</v>
      </c>
      <c r="AA5">
        <v>14.4</v>
      </c>
      <c r="AB5" s="303"/>
      <c r="AC5" s="302"/>
      <c r="AD5" s="303"/>
      <c r="AE5" s="302"/>
      <c r="AF5" s="303"/>
      <c r="AG5">
        <v>29435.336538461539</v>
      </c>
      <c r="AH5" s="521">
        <f>(AK5*10000)/AM5</f>
        <v>29435.336538461539</v>
      </c>
      <c r="AI5" s="302"/>
      <c r="AJ5" s="303"/>
      <c r="AK5">
        <v>15.306374999999999</v>
      </c>
      <c r="AL5" s="521"/>
      <c r="AM5">
        <v>5.2</v>
      </c>
      <c r="AN5" s="303">
        <v>42244</v>
      </c>
      <c r="AO5">
        <v>105</v>
      </c>
      <c r="AP5" s="303">
        <v>42170</v>
      </c>
      <c r="AQ5" s="302"/>
      <c r="AR5" s="303"/>
      <c r="AS5" s="302"/>
      <c r="AT5" s="303"/>
      <c r="AU5"/>
      <c r="AV5" s="302"/>
      <c r="AW5" s="302"/>
      <c r="AX5" s="302"/>
      <c r="AY5" s="302"/>
      <c r="AZ5" s="302"/>
      <c r="BA5" s="302"/>
      <c r="BB5" s="302"/>
      <c r="BC5" s="302"/>
      <c r="BD5" s="302"/>
      <c r="BE5" s="302"/>
      <c r="BF5" s="302"/>
      <c r="BG5" s="302"/>
      <c r="BH5" s="302"/>
      <c r="BI5" s="302"/>
      <c r="BJ5" s="302"/>
      <c r="BM5">
        <v>42.3</v>
      </c>
      <c r="BS5">
        <v>9.5</v>
      </c>
      <c r="BY5">
        <v>44.1</v>
      </c>
      <c r="CA5">
        <v>24.4</v>
      </c>
      <c r="CC5">
        <v>94.8</v>
      </c>
      <c r="CI5">
        <v>8.1999999999999993</v>
      </c>
      <c r="CO5" s="304" t="s">
        <v>11676</v>
      </c>
      <c r="CR5">
        <v>6</v>
      </c>
      <c r="CT5" s="304" t="s">
        <v>11678</v>
      </c>
    </row>
    <row r="6" spans="1:99" s="304" customFormat="1">
      <c r="A6" s="304" t="s">
        <v>8507</v>
      </c>
      <c r="B6" s="463">
        <v>7</v>
      </c>
      <c r="C6" s="296" t="s">
        <v>7633</v>
      </c>
      <c r="D6" s="296" t="s">
        <v>256</v>
      </c>
      <c r="E6" s="296" t="s">
        <v>7633</v>
      </c>
      <c r="F6" s="296"/>
      <c r="G6" s="296" t="s">
        <v>8507</v>
      </c>
      <c r="H6" s="297" t="s">
        <v>8697</v>
      </c>
      <c r="I6" s="297">
        <v>1</v>
      </c>
      <c r="J6" s="298">
        <v>109</v>
      </c>
      <c r="K6" s="299"/>
      <c r="L6" s="299"/>
      <c r="M6" s="299">
        <v>2</v>
      </c>
      <c r="N6" s="299">
        <v>3</v>
      </c>
      <c r="O6" s="300">
        <v>41</v>
      </c>
      <c r="P6" s="301">
        <v>42090</v>
      </c>
      <c r="Q6" s="302"/>
      <c r="R6" s="303"/>
      <c r="S6" s="289">
        <v>2.65</v>
      </c>
      <c r="T6" s="303">
        <v>42208</v>
      </c>
      <c r="U6" s="302"/>
      <c r="V6" s="303"/>
      <c r="W6" s="302"/>
      <c r="X6" s="303"/>
      <c r="Y6" s="302">
        <v>9.34</v>
      </c>
      <c r="Z6" s="303">
        <v>42208</v>
      </c>
      <c r="AA6">
        <v>14.4</v>
      </c>
      <c r="AB6" s="303"/>
      <c r="AC6" s="302"/>
      <c r="AD6" s="303"/>
      <c r="AE6" s="302"/>
      <c r="AF6" s="303"/>
      <c r="AG6">
        <v>42450.961538461532</v>
      </c>
      <c r="AH6" s="521">
        <f>(AK6*10000)/AM6</f>
        <v>42450.961538461532</v>
      </c>
      <c r="AI6" s="302"/>
      <c r="AJ6" s="303"/>
      <c r="AK6">
        <v>16.555874999999997</v>
      </c>
      <c r="AL6" s="521"/>
      <c r="AM6">
        <v>3.9</v>
      </c>
      <c r="AN6" s="303">
        <v>42244</v>
      </c>
      <c r="AO6">
        <v>100</v>
      </c>
      <c r="AP6" s="303">
        <v>42170</v>
      </c>
      <c r="AQ6" s="302"/>
      <c r="AR6" s="303"/>
      <c r="AS6" s="302"/>
      <c r="AT6" s="303"/>
      <c r="AU6">
        <v>98</v>
      </c>
      <c r="AV6" s="302"/>
      <c r="AW6" s="302"/>
      <c r="AX6" s="302"/>
      <c r="AY6" s="302"/>
      <c r="AZ6" s="302"/>
      <c r="BA6" s="302"/>
      <c r="BB6" s="302"/>
      <c r="BC6" s="302"/>
      <c r="BD6" s="302"/>
      <c r="BE6" s="302"/>
      <c r="BF6" s="302"/>
      <c r="BG6" s="302"/>
      <c r="BH6" s="302"/>
      <c r="BI6" s="302"/>
      <c r="BJ6" s="302"/>
      <c r="BM6">
        <v>48.9</v>
      </c>
      <c r="BS6">
        <v>7.8</v>
      </c>
      <c r="BY6">
        <v>50.3</v>
      </c>
      <c r="CA6">
        <v>18.3</v>
      </c>
      <c r="CC6">
        <v>62.9</v>
      </c>
      <c r="CI6">
        <v>8.1999999999999993</v>
      </c>
      <c r="CO6" t="s">
        <v>8698</v>
      </c>
      <c r="CR6">
        <v>5</v>
      </c>
      <c r="CT6" s="304" t="s">
        <v>11678</v>
      </c>
    </row>
    <row r="7" spans="1:99" s="304" customFormat="1">
      <c r="A7" s="304" t="s">
        <v>8507</v>
      </c>
      <c r="B7" s="463">
        <v>11</v>
      </c>
      <c r="C7" s="296" t="s">
        <v>7651</v>
      </c>
      <c r="D7" s="296" t="s">
        <v>7485</v>
      </c>
      <c r="E7" s="296" t="s">
        <v>7651</v>
      </c>
      <c r="F7" s="296"/>
      <c r="G7" s="296" t="s">
        <v>8507</v>
      </c>
      <c r="H7" s="297" t="s">
        <v>8697</v>
      </c>
      <c r="I7" s="297">
        <v>1</v>
      </c>
      <c r="J7" s="298">
        <v>117</v>
      </c>
      <c r="K7" s="299"/>
      <c r="L7" s="299"/>
      <c r="M7" s="299">
        <v>2</v>
      </c>
      <c r="N7" s="299">
        <v>5</v>
      </c>
      <c r="O7" s="300">
        <v>24</v>
      </c>
      <c r="P7" s="301">
        <v>42090</v>
      </c>
      <c r="Q7" s="302"/>
      <c r="R7" s="303"/>
      <c r="S7" s="289">
        <v>3.2</v>
      </c>
      <c r="T7" s="303">
        <v>42208</v>
      </c>
      <c r="U7" s="302"/>
      <c r="V7" s="303"/>
      <c r="W7" s="302"/>
      <c r="X7" s="303"/>
      <c r="Y7" s="302">
        <v>11.28</v>
      </c>
      <c r="Z7" s="303">
        <v>42208</v>
      </c>
      <c r="AA7">
        <v>14.4</v>
      </c>
      <c r="AB7" s="303"/>
      <c r="AC7" s="302"/>
      <c r="AD7" s="303"/>
      <c r="AE7" s="302"/>
      <c r="AF7" s="303"/>
      <c r="AG7">
        <v>42211.820330969269</v>
      </c>
      <c r="AH7" s="521">
        <f>(AK7*10000)/AM7</f>
        <v>42211.820330969269</v>
      </c>
      <c r="AI7" s="302"/>
      <c r="AJ7" s="303"/>
      <c r="AK7">
        <v>19.839555555555556</v>
      </c>
      <c r="AL7" s="521"/>
      <c r="AM7">
        <v>4.7</v>
      </c>
      <c r="AN7" s="303">
        <v>42244</v>
      </c>
      <c r="AO7">
        <v>115</v>
      </c>
      <c r="AP7" s="303">
        <v>42170</v>
      </c>
      <c r="AQ7" s="302"/>
      <c r="AR7" s="303"/>
      <c r="AS7" s="302"/>
      <c r="AT7" s="303"/>
      <c r="AU7">
        <v>106</v>
      </c>
      <c r="AV7" s="302"/>
      <c r="AW7" s="302"/>
      <c r="AX7" s="302"/>
      <c r="AY7" s="302"/>
      <c r="AZ7" s="302"/>
      <c r="BA7" s="302"/>
      <c r="BB7" s="302"/>
      <c r="BC7" s="302"/>
      <c r="BD7" s="302"/>
      <c r="BE7" s="302"/>
      <c r="BF7" s="302"/>
      <c r="BG7" s="302"/>
      <c r="BH7" s="302"/>
      <c r="BI7" s="302"/>
      <c r="BJ7" s="302"/>
      <c r="BM7">
        <v>0.7</v>
      </c>
      <c r="BS7">
        <v>54.5</v>
      </c>
      <c r="BY7">
        <v>50.7</v>
      </c>
      <c r="CA7">
        <v>16.399999999999999</v>
      </c>
      <c r="CC7">
        <v>57.9</v>
      </c>
      <c r="CI7">
        <v>8.9</v>
      </c>
      <c r="CO7" t="s">
        <v>8698</v>
      </c>
      <c r="CR7">
        <v>2</v>
      </c>
      <c r="CT7" s="304" t="s">
        <v>11678</v>
      </c>
    </row>
    <row r="8" spans="1:99" s="304" customFormat="1">
      <c r="A8" s="304" t="s">
        <v>8507</v>
      </c>
      <c r="B8" s="463">
        <v>11</v>
      </c>
      <c r="C8" s="296" t="s">
        <v>7651</v>
      </c>
      <c r="D8" s="296" t="s">
        <v>7485</v>
      </c>
      <c r="E8" s="296" t="s">
        <v>7651</v>
      </c>
      <c r="F8" s="296"/>
      <c r="G8" s="296" t="s">
        <v>8507</v>
      </c>
      <c r="H8" s="297" t="s">
        <v>8696</v>
      </c>
      <c r="I8" s="297">
        <v>2</v>
      </c>
      <c r="J8" s="298">
        <v>209</v>
      </c>
      <c r="K8" s="299"/>
      <c r="L8" s="299"/>
      <c r="M8" s="299">
        <v>2</v>
      </c>
      <c r="N8" s="299">
        <v>9</v>
      </c>
      <c r="O8" s="300">
        <v>31</v>
      </c>
      <c r="P8" s="301">
        <v>42090</v>
      </c>
      <c r="Q8" s="302"/>
      <c r="R8" s="303"/>
      <c r="S8" s="289">
        <v>4.25</v>
      </c>
      <c r="T8" s="303">
        <v>42208</v>
      </c>
      <c r="U8" s="302"/>
      <c r="V8" s="303"/>
      <c r="W8" s="302"/>
      <c r="X8" s="303"/>
      <c r="Y8" s="302">
        <v>13.43</v>
      </c>
      <c r="Z8" s="303">
        <v>42208</v>
      </c>
      <c r="AA8">
        <v>14.4</v>
      </c>
      <c r="AB8" s="303"/>
      <c r="AC8" s="302"/>
      <c r="AD8" s="303"/>
      <c r="AE8" s="302"/>
      <c r="AF8" s="303"/>
      <c r="AG8">
        <v>57218.44806763286</v>
      </c>
      <c r="AH8" s="521">
        <f>(AK8*10000)/AM8</f>
        <v>57218.44806763286</v>
      </c>
      <c r="AI8" s="302"/>
      <c r="AJ8" s="303"/>
      <c r="AK8">
        <v>26.320486111111112</v>
      </c>
      <c r="AL8" s="521"/>
      <c r="AM8">
        <v>4.5999999999999996</v>
      </c>
      <c r="AN8" s="303">
        <v>42244</v>
      </c>
      <c r="AO8">
        <v>115</v>
      </c>
      <c r="AP8" s="303">
        <v>42170</v>
      </c>
      <c r="AQ8" s="302"/>
      <c r="AR8" s="303"/>
      <c r="AS8" s="302"/>
      <c r="AT8" s="303"/>
      <c r="AU8">
        <v>105</v>
      </c>
      <c r="AV8" s="302"/>
      <c r="AW8" s="302"/>
      <c r="AX8" s="302"/>
      <c r="AY8" s="302"/>
      <c r="AZ8" s="302"/>
      <c r="BA8" s="302"/>
      <c r="BB8" s="302"/>
      <c r="BC8" s="302"/>
      <c r="BD8" s="302"/>
      <c r="BE8" s="302"/>
      <c r="BF8" s="302"/>
      <c r="BG8" s="302"/>
      <c r="BH8" s="302"/>
      <c r="BI8" s="302"/>
      <c r="BJ8" s="302"/>
      <c r="BM8">
        <v>1.7</v>
      </c>
      <c r="BS8">
        <v>51.8</v>
      </c>
      <c r="BY8">
        <v>45.5</v>
      </c>
      <c r="CA8">
        <v>21.8</v>
      </c>
      <c r="CC8">
        <v>70.8</v>
      </c>
      <c r="CI8">
        <v>9</v>
      </c>
      <c r="CO8" t="s">
        <v>8698</v>
      </c>
      <c r="CR8">
        <v>3</v>
      </c>
      <c r="CT8" s="304" t="s">
        <v>11678</v>
      </c>
    </row>
    <row r="9" spans="1:99" s="304" customFormat="1">
      <c r="A9" s="304" t="s">
        <v>8507</v>
      </c>
      <c r="B9" s="463">
        <v>13</v>
      </c>
      <c r="C9" s="296" t="s">
        <v>7667</v>
      </c>
      <c r="D9" s="296" t="s">
        <v>7499</v>
      </c>
      <c r="E9" s="296" t="s">
        <v>7667</v>
      </c>
      <c r="F9" s="296"/>
      <c r="G9" s="296" t="s">
        <v>8507</v>
      </c>
      <c r="H9" s="297" t="s">
        <v>8696</v>
      </c>
      <c r="I9" s="297">
        <v>2</v>
      </c>
      <c r="J9" s="298">
        <v>217</v>
      </c>
      <c r="K9" s="299"/>
      <c r="L9" s="299"/>
      <c r="M9" s="299">
        <v>2</v>
      </c>
      <c r="N9" s="299">
        <v>11</v>
      </c>
      <c r="O9" s="300">
        <v>46</v>
      </c>
      <c r="P9" s="301">
        <v>42090</v>
      </c>
      <c r="Q9" s="302"/>
      <c r="R9" s="303"/>
      <c r="S9" s="289">
        <v>2.6</v>
      </c>
      <c r="T9" s="303">
        <v>42208</v>
      </c>
      <c r="U9" s="302"/>
      <c r="V9" s="303"/>
      <c r="W9" s="302"/>
      <c r="X9" s="303"/>
      <c r="Y9" s="302">
        <v>7.87</v>
      </c>
      <c r="Z9" s="303">
        <v>42208</v>
      </c>
      <c r="AA9">
        <v>14.4</v>
      </c>
      <c r="AB9" s="303"/>
      <c r="AC9" s="302"/>
      <c r="AD9" s="303"/>
      <c r="AE9" s="302"/>
      <c r="AF9" s="303"/>
      <c r="AG9">
        <v>31641.830065359482</v>
      </c>
      <c r="AH9" s="521">
        <f>(AK9*10000)/AM9</f>
        <v>31641.830065359482</v>
      </c>
      <c r="AI9" s="302"/>
      <c r="AJ9" s="303"/>
      <c r="AK9">
        <v>16.137333333333334</v>
      </c>
      <c r="AL9" s="521"/>
      <c r="AM9">
        <v>5.0999999999999996</v>
      </c>
      <c r="AN9" s="303">
        <v>42244</v>
      </c>
      <c r="AO9">
        <v>100</v>
      </c>
      <c r="AP9" s="303">
        <v>42170</v>
      </c>
      <c r="AQ9" s="302"/>
      <c r="AR9" s="303"/>
      <c r="AS9" s="302"/>
      <c r="AT9" s="303"/>
      <c r="AU9"/>
      <c r="AV9" s="302"/>
      <c r="AW9" s="302"/>
      <c r="AX9" s="302"/>
      <c r="AY9" s="302"/>
      <c r="AZ9" s="302"/>
      <c r="BA9" s="302"/>
      <c r="BB9" s="302"/>
      <c r="BC9" s="302"/>
      <c r="BD9" s="302"/>
      <c r="BE9" s="302"/>
      <c r="BF9" s="302"/>
      <c r="BG9" s="302"/>
      <c r="BH9" s="302"/>
      <c r="BI9" s="302"/>
      <c r="BJ9" s="302"/>
      <c r="BM9">
        <v>6</v>
      </c>
      <c r="BS9">
        <v>55.4</v>
      </c>
      <c r="BY9">
        <v>43.5</v>
      </c>
      <c r="CA9">
        <v>23.4</v>
      </c>
      <c r="CC9">
        <v>34.4</v>
      </c>
      <c r="CI9">
        <v>8.8000000000000007</v>
      </c>
      <c r="CO9" t="s">
        <v>8698</v>
      </c>
      <c r="CR9">
        <v>3</v>
      </c>
      <c r="CT9" s="304" t="s">
        <v>11678</v>
      </c>
    </row>
    <row r="10" spans="1:99" s="304" customFormat="1">
      <c r="A10" s="304" t="s">
        <v>8507</v>
      </c>
      <c r="B10" s="463">
        <v>15</v>
      </c>
      <c r="C10" s="296" t="s">
        <v>7739</v>
      </c>
      <c r="D10" s="296" t="s">
        <v>7823</v>
      </c>
      <c r="E10" s="296" t="s">
        <v>7739</v>
      </c>
      <c r="F10" s="296"/>
      <c r="G10" s="296" t="s">
        <v>8507</v>
      </c>
      <c r="H10" s="297" t="s">
        <v>8696</v>
      </c>
      <c r="I10" s="297">
        <v>2</v>
      </c>
      <c r="J10" s="298">
        <v>201</v>
      </c>
      <c r="K10" s="299"/>
      <c r="L10" s="299"/>
      <c r="M10" s="299">
        <v>2</v>
      </c>
      <c r="N10" s="299">
        <v>7</v>
      </c>
      <c r="O10" s="300">
        <v>33</v>
      </c>
      <c r="P10" s="301">
        <v>42090</v>
      </c>
      <c r="Q10" s="302"/>
      <c r="R10" s="303"/>
      <c r="S10" s="289">
        <v>2.7</v>
      </c>
      <c r="T10" s="303">
        <v>42208</v>
      </c>
      <c r="U10" s="302"/>
      <c r="V10" s="303"/>
      <c r="W10" s="302"/>
      <c r="X10" s="303"/>
      <c r="Y10" s="302">
        <v>8.92</v>
      </c>
      <c r="Z10" s="303">
        <v>42208</v>
      </c>
      <c r="AA10">
        <v>14.4</v>
      </c>
      <c r="AB10" s="303"/>
      <c r="AC10" s="302"/>
      <c r="AD10" s="303"/>
      <c r="AE10" s="302"/>
      <c r="AF10" s="303"/>
      <c r="AG10">
        <v>27622.745901639344</v>
      </c>
      <c r="AH10" s="521">
        <f>(AK10*10000)/AM10</f>
        <v>27622.745901639344</v>
      </c>
      <c r="AI10" s="302"/>
      <c r="AJ10" s="303"/>
      <c r="AK10">
        <v>16.849875000000001</v>
      </c>
      <c r="AL10" s="521"/>
      <c r="AM10">
        <v>6.1</v>
      </c>
      <c r="AN10" s="303">
        <v>42244</v>
      </c>
      <c r="AO10">
        <v>100</v>
      </c>
      <c r="AP10" s="303">
        <v>42170</v>
      </c>
      <c r="AQ10" s="302"/>
      <c r="AR10" s="303"/>
      <c r="AS10" s="302"/>
      <c r="AT10" s="303"/>
      <c r="AU10">
        <v>105</v>
      </c>
      <c r="AV10" s="302"/>
      <c r="AW10" s="302"/>
      <c r="AX10" s="302"/>
      <c r="AY10" s="302"/>
      <c r="AZ10" s="302"/>
      <c r="BA10" s="302"/>
      <c r="BB10" s="302"/>
      <c r="BC10" s="302"/>
      <c r="BD10" s="302"/>
      <c r="BE10" s="302"/>
      <c r="BF10" s="302"/>
      <c r="BG10" s="302"/>
      <c r="BH10" s="302"/>
      <c r="BI10" s="302"/>
      <c r="BJ10" s="302"/>
      <c r="BM10">
        <v>46</v>
      </c>
      <c r="BS10">
        <v>7.8</v>
      </c>
      <c r="BY10">
        <v>47.2</v>
      </c>
      <c r="CA10">
        <v>21.9</v>
      </c>
      <c r="CC10">
        <v>85.7</v>
      </c>
      <c r="CI10">
        <v>8.3000000000000007</v>
      </c>
      <c r="CO10" t="s">
        <v>8698</v>
      </c>
      <c r="CR10">
        <v>5</v>
      </c>
      <c r="CT10" s="304" t="s">
        <v>11678</v>
      </c>
    </row>
    <row r="11" spans="1:99" s="304" customFormat="1">
      <c r="A11" s="304" t="s">
        <v>8507</v>
      </c>
      <c r="B11" s="463">
        <v>17</v>
      </c>
      <c r="C11" s="296" t="s">
        <v>7743</v>
      </c>
      <c r="D11" s="296" t="s">
        <v>7827</v>
      </c>
      <c r="E11" s="296" t="s">
        <v>7743</v>
      </c>
      <c r="F11" s="296"/>
      <c r="G11" s="296" t="s">
        <v>8507</v>
      </c>
      <c r="H11" s="297" t="s">
        <v>8697</v>
      </c>
      <c r="I11" s="297">
        <v>1</v>
      </c>
      <c r="J11" s="298">
        <v>121</v>
      </c>
      <c r="K11" s="299"/>
      <c r="L11" s="299"/>
      <c r="M11" s="299">
        <v>2</v>
      </c>
      <c r="N11" s="299">
        <v>6</v>
      </c>
      <c r="O11" s="300">
        <v>26</v>
      </c>
      <c r="P11" s="301">
        <v>42090</v>
      </c>
      <c r="Q11" s="302"/>
      <c r="R11" s="303"/>
      <c r="S11" s="289">
        <v>2.65</v>
      </c>
      <c r="T11" s="303">
        <v>42208</v>
      </c>
      <c r="U11" s="302"/>
      <c r="V11" s="303"/>
      <c r="W11" s="302"/>
      <c r="X11" s="303"/>
      <c r="Y11" s="302">
        <v>9.15</v>
      </c>
      <c r="Z11" s="303">
        <v>42208</v>
      </c>
      <c r="AA11">
        <v>14.4</v>
      </c>
      <c r="AB11" s="303"/>
      <c r="AC11" s="302"/>
      <c r="AD11" s="303"/>
      <c r="AE11" s="302"/>
      <c r="AF11" s="303"/>
      <c r="AG11">
        <v>36630.524691358019</v>
      </c>
      <c r="AH11" s="521">
        <f>(AK11*10000)/AM11</f>
        <v>36630.524691358019</v>
      </c>
      <c r="AI11" s="302"/>
      <c r="AJ11" s="303"/>
      <c r="AK11">
        <v>16.48373611111111</v>
      </c>
      <c r="AL11" s="521"/>
      <c r="AM11">
        <v>4.5</v>
      </c>
      <c r="AN11" s="303">
        <v>42244</v>
      </c>
      <c r="AO11">
        <v>130</v>
      </c>
      <c r="AP11" s="303">
        <v>42170</v>
      </c>
      <c r="AQ11" s="302"/>
      <c r="AR11" s="303"/>
      <c r="AS11" s="302"/>
      <c r="AT11" s="303"/>
      <c r="AU11">
        <v>109</v>
      </c>
      <c r="AV11" s="302"/>
      <c r="AW11" s="302"/>
      <c r="AX11" s="302"/>
      <c r="AY11" s="302"/>
      <c r="AZ11" s="302"/>
      <c r="BA11" s="302"/>
      <c r="BB11" s="302"/>
      <c r="BC11" s="302"/>
      <c r="BD11" s="302"/>
      <c r="BE11" s="302"/>
      <c r="BF11" s="302"/>
      <c r="BG11" s="302"/>
      <c r="BH11" s="302"/>
      <c r="BI11" s="302"/>
      <c r="BJ11" s="302"/>
      <c r="BM11">
        <v>46.8</v>
      </c>
      <c r="BS11">
        <v>8.9</v>
      </c>
      <c r="BY11">
        <v>49.5</v>
      </c>
      <c r="CA11">
        <v>20</v>
      </c>
      <c r="CC11">
        <v>76.2</v>
      </c>
      <c r="CI11">
        <v>8.6</v>
      </c>
      <c r="CO11" t="s">
        <v>8698</v>
      </c>
      <c r="CR11">
        <v>5</v>
      </c>
      <c r="CT11" s="304" t="s">
        <v>11678</v>
      </c>
    </row>
    <row r="12" spans="1:99" s="304" customFormat="1">
      <c r="A12" s="304" t="s">
        <v>8507</v>
      </c>
      <c r="B12" s="463">
        <v>22</v>
      </c>
      <c r="C12" s="296" t="s">
        <v>7749</v>
      </c>
      <c r="D12" s="296" t="s">
        <v>7833</v>
      </c>
      <c r="E12" s="296" t="s">
        <v>7749</v>
      </c>
      <c r="F12" s="296"/>
      <c r="G12" s="296" t="s">
        <v>8507</v>
      </c>
      <c r="H12" s="297" t="s">
        <v>8697</v>
      </c>
      <c r="I12" s="297">
        <v>1</v>
      </c>
      <c r="J12" s="298">
        <v>113</v>
      </c>
      <c r="K12" s="299"/>
      <c r="L12" s="299"/>
      <c r="M12" s="299">
        <v>2</v>
      </c>
      <c r="N12" s="299">
        <v>4</v>
      </c>
      <c r="O12" s="300">
        <v>49</v>
      </c>
      <c r="P12" s="301">
        <v>42090</v>
      </c>
      <c r="Q12" s="302"/>
      <c r="R12" s="303"/>
      <c r="S12" s="289">
        <v>3.05</v>
      </c>
      <c r="T12" s="303">
        <v>42208</v>
      </c>
      <c r="U12" s="302"/>
      <c r="V12" s="303"/>
      <c r="W12" s="302"/>
      <c r="X12" s="303"/>
      <c r="Y12" s="302">
        <v>10.6</v>
      </c>
      <c r="Z12" s="303">
        <v>42208</v>
      </c>
      <c r="AA12">
        <v>14.4</v>
      </c>
      <c r="AB12" s="303"/>
      <c r="AC12" s="302"/>
      <c r="AD12" s="303"/>
      <c r="AE12" s="302"/>
      <c r="AF12" s="303"/>
      <c r="AG12">
        <v>38026.722222222212</v>
      </c>
      <c r="AH12" s="521">
        <f>(AK12*10000)/AM12</f>
        <v>38026.722222222212</v>
      </c>
      <c r="AI12" s="302"/>
      <c r="AJ12" s="303"/>
      <c r="AK12">
        <v>19.013361111111106</v>
      </c>
      <c r="AL12" s="521"/>
      <c r="AM12">
        <v>5</v>
      </c>
      <c r="AN12" s="303">
        <v>42244</v>
      </c>
      <c r="AO12">
        <v>145</v>
      </c>
      <c r="AP12" s="303">
        <v>42170</v>
      </c>
      <c r="AQ12" s="302"/>
      <c r="AR12" s="303"/>
      <c r="AS12" s="302"/>
      <c r="AT12" s="303"/>
      <c r="AU12">
        <v>104</v>
      </c>
      <c r="AV12" s="302"/>
      <c r="AW12" s="302"/>
      <c r="AX12" s="302"/>
      <c r="AY12" s="302"/>
      <c r="AZ12" s="302"/>
      <c r="BA12" s="302"/>
      <c r="BB12" s="302"/>
      <c r="BC12" s="302"/>
      <c r="BD12" s="302"/>
      <c r="BE12" s="302"/>
      <c r="BF12" s="302"/>
      <c r="BG12" s="302"/>
      <c r="BH12" s="302"/>
      <c r="BI12" s="302"/>
      <c r="BJ12" s="302"/>
      <c r="BM12">
        <v>7.2</v>
      </c>
      <c r="BS12">
        <v>52.5</v>
      </c>
      <c r="BY12">
        <v>49.7</v>
      </c>
      <c r="CA12">
        <v>19.3</v>
      </c>
      <c r="CC12">
        <v>67.3</v>
      </c>
      <c r="CI12">
        <v>8.4</v>
      </c>
      <c r="CO12" s="304" t="s">
        <v>11676</v>
      </c>
      <c r="CR12">
        <v>7</v>
      </c>
      <c r="CT12" s="304" t="s">
        <v>11678</v>
      </c>
    </row>
    <row r="13" spans="1:99" s="304" customFormat="1">
      <c r="A13" s="304" t="s">
        <v>8507</v>
      </c>
      <c r="B13" s="463">
        <v>22</v>
      </c>
      <c r="C13" s="296" t="s">
        <v>7749</v>
      </c>
      <c r="D13" s="296" t="s">
        <v>7833</v>
      </c>
      <c r="E13" s="296" t="s">
        <v>7749</v>
      </c>
      <c r="F13" s="296"/>
      <c r="G13" s="296" t="s">
        <v>8507</v>
      </c>
      <c r="H13" s="297" t="s">
        <v>8696</v>
      </c>
      <c r="I13" s="297">
        <v>2</v>
      </c>
      <c r="J13" s="298">
        <v>205</v>
      </c>
      <c r="K13" s="299"/>
      <c r="L13" s="299"/>
      <c r="M13" s="299">
        <v>2</v>
      </c>
      <c r="N13" s="299">
        <v>8</v>
      </c>
      <c r="O13" s="300">
        <v>49</v>
      </c>
      <c r="P13" s="301">
        <v>42090</v>
      </c>
      <c r="Q13" s="302"/>
      <c r="R13" s="303"/>
      <c r="S13" s="289">
        <v>2.6</v>
      </c>
      <c r="T13" s="303">
        <v>42208</v>
      </c>
      <c r="U13" s="302"/>
      <c r="V13" s="303"/>
      <c r="W13" s="302"/>
      <c r="X13" s="303"/>
      <c r="Y13" s="302">
        <v>8.1199999999999992</v>
      </c>
      <c r="Z13" s="303">
        <v>42208</v>
      </c>
      <c r="AA13">
        <v>14.4</v>
      </c>
      <c r="AB13" s="303"/>
      <c r="AC13" s="302"/>
      <c r="AD13" s="303"/>
      <c r="AE13" s="302"/>
      <c r="AF13" s="303"/>
      <c r="AG13">
        <v>32825</v>
      </c>
      <c r="AH13" s="521">
        <f>(AK13*10000)/AM13</f>
        <v>32825</v>
      </c>
      <c r="AI13" s="302"/>
      <c r="AJ13" s="303"/>
      <c r="AK13">
        <v>16.084250000000001</v>
      </c>
      <c r="AL13" s="521"/>
      <c r="AM13">
        <v>4.9000000000000004</v>
      </c>
      <c r="AN13" s="303">
        <v>42244</v>
      </c>
      <c r="AO13">
        <v>100</v>
      </c>
      <c r="AP13" s="303">
        <v>42170</v>
      </c>
      <c r="AQ13" s="302"/>
      <c r="AR13" s="303"/>
      <c r="AS13" s="302"/>
      <c r="AT13" s="303"/>
      <c r="AU13">
        <v>107</v>
      </c>
      <c r="AV13" s="302"/>
      <c r="AW13" s="302"/>
      <c r="AX13" s="302"/>
      <c r="AY13" s="302"/>
      <c r="AZ13" s="302"/>
      <c r="BA13" s="302"/>
      <c r="BB13" s="302"/>
      <c r="BC13" s="302"/>
      <c r="BD13" s="302"/>
      <c r="BE13" s="302"/>
      <c r="BF13" s="302"/>
      <c r="BG13" s="302"/>
      <c r="BH13" s="302"/>
      <c r="BI13" s="302"/>
      <c r="BJ13" s="302"/>
      <c r="BM13">
        <v>12.9</v>
      </c>
      <c r="BS13">
        <v>44.4</v>
      </c>
      <c r="BY13">
        <v>45</v>
      </c>
      <c r="CA13">
        <v>23.5</v>
      </c>
      <c r="CC13">
        <v>78.099999999999994</v>
      </c>
      <c r="CI13">
        <v>9.1</v>
      </c>
      <c r="CO13" s="304" t="s">
        <v>11676</v>
      </c>
      <c r="CR13">
        <v>6</v>
      </c>
      <c r="CT13" s="304" t="s">
        <v>11678</v>
      </c>
    </row>
    <row r="14" spans="1:99" s="304" customFormat="1">
      <c r="A14" s="304" t="s">
        <v>8507</v>
      </c>
      <c r="B14" s="463">
        <v>6</v>
      </c>
      <c r="C14" s="296" t="s">
        <v>7632</v>
      </c>
      <c r="D14" s="296" t="s">
        <v>7469</v>
      </c>
      <c r="E14" s="296" t="s">
        <v>7632</v>
      </c>
      <c r="F14" s="296"/>
      <c r="G14" s="296" t="s">
        <v>8507</v>
      </c>
      <c r="H14" s="297" t="s">
        <v>8697</v>
      </c>
      <c r="I14" s="297">
        <v>1</v>
      </c>
      <c r="J14" s="298">
        <v>102</v>
      </c>
      <c r="K14" s="299"/>
      <c r="L14" s="299"/>
      <c r="M14" s="299">
        <v>3</v>
      </c>
      <c r="N14" s="299">
        <v>1</v>
      </c>
      <c r="O14" s="300">
        <v>41</v>
      </c>
      <c r="P14" s="301">
        <v>42090</v>
      </c>
      <c r="Q14" s="302"/>
      <c r="R14" s="303"/>
      <c r="S14" s="289">
        <v>3</v>
      </c>
      <c r="T14" s="303">
        <v>42208</v>
      </c>
      <c r="U14" s="302"/>
      <c r="V14" s="303"/>
      <c r="W14" s="302"/>
      <c r="X14" s="303"/>
      <c r="Y14" s="302">
        <v>10.58</v>
      </c>
      <c r="Z14" s="303">
        <v>42208</v>
      </c>
      <c r="AA14">
        <v>14.4</v>
      </c>
      <c r="AB14" s="303"/>
      <c r="AC14" s="302"/>
      <c r="AD14" s="303"/>
      <c r="AE14" s="302"/>
      <c r="AF14" s="303"/>
      <c r="AG14">
        <v>34746.141975308637</v>
      </c>
      <c r="AH14" s="521">
        <f>(AK14*10000)/AM14</f>
        <v>34746.141975308637</v>
      </c>
      <c r="AI14" s="302"/>
      <c r="AJ14" s="303"/>
      <c r="AK14">
        <v>18.762916666666666</v>
      </c>
      <c r="AL14" s="521"/>
      <c r="AM14">
        <v>5.4</v>
      </c>
      <c r="AN14" s="303">
        <v>42244</v>
      </c>
      <c r="AO14">
        <v>125</v>
      </c>
      <c r="AP14" s="303">
        <v>42170</v>
      </c>
      <c r="AQ14" s="302"/>
      <c r="AR14" s="303"/>
      <c r="AS14" s="302"/>
      <c r="AT14" s="303"/>
      <c r="AU14">
        <v>107</v>
      </c>
      <c r="AV14" s="302"/>
      <c r="AW14" s="302"/>
      <c r="AX14" s="302"/>
      <c r="AY14" s="302"/>
      <c r="AZ14" s="302"/>
      <c r="BA14" s="302"/>
      <c r="BB14" s="302"/>
      <c r="BC14" s="302"/>
      <c r="BD14" s="302"/>
      <c r="BE14" s="302"/>
      <c r="BF14" s="302"/>
      <c r="BG14" s="302"/>
      <c r="BH14" s="302"/>
      <c r="BI14" s="302"/>
      <c r="BJ14" s="302"/>
      <c r="BM14">
        <v>51</v>
      </c>
      <c r="BS14">
        <v>3.1</v>
      </c>
      <c r="BY14">
        <v>50.3</v>
      </c>
      <c r="CA14">
        <v>19.5</v>
      </c>
      <c r="CC14">
        <v>82.3</v>
      </c>
      <c r="CI14">
        <v>8.1</v>
      </c>
      <c r="CO14" t="s">
        <v>8698</v>
      </c>
      <c r="CR14">
        <v>5</v>
      </c>
      <c r="CT14" s="304" t="s">
        <v>11678</v>
      </c>
    </row>
    <row r="15" spans="1:99" s="304" customFormat="1">
      <c r="A15" s="304" t="s">
        <v>8507</v>
      </c>
      <c r="B15" s="463">
        <v>7</v>
      </c>
      <c r="C15" s="296" t="s">
        <v>7633</v>
      </c>
      <c r="D15" s="296" t="s">
        <v>256</v>
      </c>
      <c r="E15" s="296" t="s">
        <v>7633</v>
      </c>
      <c r="F15" s="296"/>
      <c r="G15" s="296" t="s">
        <v>8507</v>
      </c>
      <c r="H15" s="297" t="s">
        <v>8696</v>
      </c>
      <c r="I15" s="297">
        <v>2</v>
      </c>
      <c r="J15" s="298">
        <v>222</v>
      </c>
      <c r="K15" s="299"/>
      <c r="L15" s="299"/>
      <c r="M15" s="299">
        <v>3</v>
      </c>
      <c r="N15" s="299">
        <v>12</v>
      </c>
      <c r="O15" s="300">
        <v>69</v>
      </c>
      <c r="P15" s="301">
        <v>42090</v>
      </c>
      <c r="Q15" s="302"/>
      <c r="R15" s="303"/>
      <c r="S15" s="289">
        <v>2.75</v>
      </c>
      <c r="T15" s="303">
        <v>42208</v>
      </c>
      <c r="U15" s="302"/>
      <c r="V15" s="303"/>
      <c r="W15" s="302"/>
      <c r="X15" s="303"/>
      <c r="Y15" s="302">
        <v>8.75</v>
      </c>
      <c r="Z15" s="303">
        <v>42208</v>
      </c>
      <c r="AA15">
        <v>14.4</v>
      </c>
      <c r="AB15" s="303"/>
      <c r="AC15" s="302"/>
      <c r="AD15" s="303"/>
      <c r="AE15" s="302"/>
      <c r="AF15" s="303"/>
      <c r="AG15">
        <v>42296.527777777781</v>
      </c>
      <c r="AH15" s="521">
        <f>(AK15*10000)/AM15</f>
        <v>42296.527777777781</v>
      </c>
      <c r="AI15" s="302"/>
      <c r="AJ15" s="303"/>
      <c r="AK15">
        <v>16.918611111111112</v>
      </c>
      <c r="AL15" s="521"/>
      <c r="AM15">
        <v>4</v>
      </c>
      <c r="AN15" s="303">
        <v>42244</v>
      </c>
      <c r="AO15">
        <v>100</v>
      </c>
      <c r="AP15" s="303">
        <v>42170</v>
      </c>
      <c r="AQ15" s="302"/>
      <c r="AR15" s="303"/>
      <c r="AS15" s="302"/>
      <c r="AT15" s="303"/>
      <c r="AU15"/>
      <c r="AV15" s="302"/>
      <c r="AW15" s="302"/>
      <c r="AX15" s="302"/>
      <c r="AY15" s="302"/>
      <c r="AZ15" s="302"/>
      <c r="BA15" s="302"/>
      <c r="BB15" s="302"/>
      <c r="BC15" s="302"/>
      <c r="BD15" s="302"/>
      <c r="BE15" s="302"/>
      <c r="BF15" s="302"/>
      <c r="BG15" s="302"/>
      <c r="BH15" s="302"/>
      <c r="BI15" s="302"/>
      <c r="BJ15" s="302"/>
      <c r="BM15">
        <v>44.8</v>
      </c>
      <c r="BS15">
        <v>10.6</v>
      </c>
      <c r="BY15">
        <v>46.1</v>
      </c>
      <c r="CA15">
        <v>23</v>
      </c>
      <c r="CC15">
        <v>74.099999999999994</v>
      </c>
      <c r="CI15">
        <v>9.6</v>
      </c>
      <c r="CO15" t="s">
        <v>8698</v>
      </c>
      <c r="CR15">
        <v>2</v>
      </c>
      <c r="CT15" s="304" t="s">
        <v>11678</v>
      </c>
    </row>
    <row r="16" spans="1:99" s="304" customFormat="1">
      <c r="A16" s="304" t="s">
        <v>8507</v>
      </c>
      <c r="B16" s="463">
        <v>9</v>
      </c>
      <c r="C16" s="296" t="s">
        <v>7646</v>
      </c>
      <c r="D16" s="296" t="s">
        <v>7481</v>
      </c>
      <c r="E16" s="296" t="s">
        <v>7646</v>
      </c>
      <c r="F16" s="296"/>
      <c r="G16" s="296" t="s">
        <v>8507</v>
      </c>
      <c r="H16" s="297" t="s">
        <v>8697</v>
      </c>
      <c r="I16" s="297">
        <v>1</v>
      </c>
      <c r="J16" s="298">
        <v>106</v>
      </c>
      <c r="K16" s="299"/>
      <c r="L16" s="299"/>
      <c r="M16" s="299">
        <v>3</v>
      </c>
      <c r="N16" s="299">
        <v>2</v>
      </c>
      <c r="O16" s="300">
        <v>42</v>
      </c>
      <c r="P16" s="301">
        <v>42090</v>
      </c>
      <c r="Q16" s="302"/>
      <c r="R16" s="303"/>
      <c r="S16" s="289">
        <v>3</v>
      </c>
      <c r="T16" s="303">
        <v>42208</v>
      </c>
      <c r="U16" s="302"/>
      <c r="V16" s="303"/>
      <c r="W16" s="302"/>
      <c r="X16" s="303"/>
      <c r="Y16" s="302">
        <v>12.25</v>
      </c>
      <c r="Z16" s="303">
        <v>42208</v>
      </c>
      <c r="AA16">
        <v>14.4</v>
      </c>
      <c r="AB16" s="303"/>
      <c r="AC16" s="302"/>
      <c r="AD16" s="303"/>
      <c r="AE16" s="302"/>
      <c r="AF16" s="303"/>
      <c r="AG16">
        <v>37808.641975308637</v>
      </c>
      <c r="AH16" s="521">
        <f>(AK16*10000)/AM16</f>
        <v>37808.641975308637</v>
      </c>
      <c r="AI16" s="302"/>
      <c r="AJ16" s="303"/>
      <c r="AK16">
        <v>20.416666666666664</v>
      </c>
      <c r="AL16" s="521"/>
      <c r="AM16">
        <v>5.4</v>
      </c>
      <c r="AN16" s="303">
        <v>42244</v>
      </c>
      <c r="AO16">
        <v>150</v>
      </c>
      <c r="AP16" s="303">
        <v>42170</v>
      </c>
      <c r="AQ16" s="302"/>
      <c r="AR16" s="303"/>
      <c r="AS16" s="302"/>
      <c r="AT16" s="303"/>
      <c r="AU16">
        <v>108</v>
      </c>
      <c r="AV16" s="302"/>
      <c r="AW16" s="302"/>
      <c r="AX16" s="302"/>
      <c r="AY16" s="302"/>
      <c r="AZ16" s="302"/>
      <c r="BA16" s="302"/>
      <c r="BB16" s="302"/>
      <c r="BC16" s="302"/>
      <c r="BD16" s="302"/>
      <c r="BE16" s="302"/>
      <c r="BF16" s="302"/>
      <c r="BG16" s="302"/>
      <c r="BH16" s="302"/>
      <c r="BI16" s="302"/>
      <c r="BJ16" s="302"/>
      <c r="BM16">
        <v>-1.5</v>
      </c>
      <c r="BS16">
        <v>53.7</v>
      </c>
      <c r="BY16">
        <v>53.5</v>
      </c>
      <c r="CA16">
        <v>16.2</v>
      </c>
      <c r="CC16">
        <v>62.3</v>
      </c>
      <c r="CI16"/>
      <c r="CO16" s="304" t="s">
        <v>11676</v>
      </c>
      <c r="CR16">
        <v>6</v>
      </c>
      <c r="CT16" s="304" t="s">
        <v>11678</v>
      </c>
    </row>
    <row r="17" spans="1:98" s="304" customFormat="1">
      <c r="A17" s="304" t="s">
        <v>8507</v>
      </c>
      <c r="B17" s="463">
        <v>10</v>
      </c>
      <c r="C17" s="296" t="s">
        <v>7649</v>
      </c>
      <c r="D17" s="296" t="s">
        <v>7484</v>
      </c>
      <c r="E17" s="296" t="s">
        <v>7649</v>
      </c>
      <c r="F17" s="296"/>
      <c r="G17" s="296" t="s">
        <v>8507</v>
      </c>
      <c r="H17" s="297" t="s">
        <v>8697</v>
      </c>
      <c r="I17" s="297">
        <v>1</v>
      </c>
      <c r="J17" s="298">
        <v>110</v>
      </c>
      <c r="K17" s="299"/>
      <c r="L17" s="299"/>
      <c r="M17" s="299">
        <v>3</v>
      </c>
      <c r="N17" s="299">
        <v>3</v>
      </c>
      <c r="O17" s="300">
        <v>66</v>
      </c>
      <c r="P17" s="301">
        <v>42090</v>
      </c>
      <c r="Q17" s="302"/>
      <c r="R17" s="303"/>
      <c r="S17" s="289">
        <v>2.95</v>
      </c>
      <c r="T17" s="303">
        <v>42208</v>
      </c>
      <c r="U17" s="302"/>
      <c r="V17" s="303"/>
      <c r="W17" s="302"/>
      <c r="X17" s="303"/>
      <c r="Y17" s="302">
        <v>10.029999999999999</v>
      </c>
      <c r="Z17" s="303">
        <v>42208</v>
      </c>
      <c r="AA17">
        <v>14.4</v>
      </c>
      <c r="AB17" s="303"/>
      <c r="AC17" s="302"/>
      <c r="AD17" s="303"/>
      <c r="AE17" s="302"/>
      <c r="AF17" s="303"/>
      <c r="AG17">
        <v>37489.583333333336</v>
      </c>
      <c r="AH17" s="521">
        <f>(AK17*10000)/AM17</f>
        <v>37489.583333333336</v>
      </c>
      <c r="AI17" s="302"/>
      <c r="AJ17" s="303"/>
      <c r="AK17">
        <v>18.369895833333334</v>
      </c>
      <c r="AL17" s="521"/>
      <c r="AM17">
        <v>4.9000000000000004</v>
      </c>
      <c r="AN17" s="303">
        <v>42244</v>
      </c>
      <c r="AO17">
        <v>135</v>
      </c>
      <c r="AP17" s="303">
        <v>42170</v>
      </c>
      <c r="AQ17" s="302"/>
      <c r="AR17" s="303"/>
      <c r="AS17" s="302"/>
      <c r="AT17" s="303"/>
      <c r="AU17">
        <v>110</v>
      </c>
      <c r="AV17" s="302"/>
      <c r="AW17" s="302"/>
      <c r="AX17" s="302"/>
      <c r="AY17" s="302"/>
      <c r="AZ17" s="302"/>
      <c r="BA17" s="302"/>
      <c r="BB17" s="302"/>
      <c r="BC17" s="302"/>
      <c r="BD17" s="302"/>
      <c r="BE17" s="302"/>
      <c r="BF17" s="302"/>
      <c r="BG17" s="302"/>
      <c r="BH17" s="302"/>
      <c r="BI17" s="302"/>
      <c r="BJ17" s="302"/>
      <c r="BM17">
        <v>0.9</v>
      </c>
      <c r="BS17">
        <v>53.6</v>
      </c>
      <c r="BY17">
        <v>48.7</v>
      </c>
      <c r="CA17">
        <v>18.7</v>
      </c>
      <c r="CC17">
        <v>66.400000000000006</v>
      </c>
      <c r="CI17">
        <v>8.5</v>
      </c>
      <c r="CO17" t="s">
        <v>8698</v>
      </c>
      <c r="CR17">
        <v>5</v>
      </c>
      <c r="CT17" s="304" t="s">
        <v>11678</v>
      </c>
    </row>
    <row r="18" spans="1:98" s="304" customFormat="1">
      <c r="A18" s="304" t="s">
        <v>8507</v>
      </c>
      <c r="B18" s="463">
        <v>10</v>
      </c>
      <c r="C18" s="296" t="s">
        <v>7649</v>
      </c>
      <c r="D18" s="296" t="s">
        <v>7484</v>
      </c>
      <c r="E18" s="296" t="s">
        <v>7649</v>
      </c>
      <c r="F18" s="296"/>
      <c r="G18" s="296" t="s">
        <v>8507</v>
      </c>
      <c r="H18" s="297" t="s">
        <v>8696</v>
      </c>
      <c r="I18" s="297">
        <v>2</v>
      </c>
      <c r="J18" s="298">
        <v>214</v>
      </c>
      <c r="K18" s="299"/>
      <c r="L18" s="299"/>
      <c r="M18" s="299">
        <v>3</v>
      </c>
      <c r="N18" s="299">
        <v>10</v>
      </c>
      <c r="O18" s="300">
        <v>102</v>
      </c>
      <c r="P18" s="301">
        <v>42090</v>
      </c>
      <c r="Q18" s="302"/>
      <c r="R18" s="303"/>
      <c r="S18" s="289">
        <v>3.15</v>
      </c>
      <c r="T18" s="303">
        <v>42208</v>
      </c>
      <c r="U18" s="302"/>
      <c r="V18" s="303"/>
      <c r="W18" s="302"/>
      <c r="X18" s="303"/>
      <c r="Y18" s="302">
        <v>8.82</v>
      </c>
      <c r="Z18" s="303">
        <v>42208</v>
      </c>
      <c r="AA18">
        <v>14.4</v>
      </c>
      <c r="AB18" s="303"/>
      <c r="AC18" s="302"/>
      <c r="AD18" s="303"/>
      <c r="AE18" s="302"/>
      <c r="AF18" s="303"/>
      <c r="AG18">
        <v>35939.338235294119</v>
      </c>
      <c r="AH18" s="521">
        <f>(AK18*10000)/AM18</f>
        <v>35939.338235294119</v>
      </c>
      <c r="AI18" s="302"/>
      <c r="AJ18" s="303"/>
      <c r="AK18">
        <v>18.329062499999999</v>
      </c>
      <c r="AL18" s="521"/>
      <c r="AM18">
        <v>5.0999999999999996</v>
      </c>
      <c r="AN18" s="303">
        <v>42244</v>
      </c>
      <c r="AO18">
        <v>85</v>
      </c>
      <c r="AP18" s="303">
        <v>42170</v>
      </c>
      <c r="AQ18" s="302"/>
      <c r="AR18" s="303"/>
      <c r="AS18" s="302"/>
      <c r="AT18" s="303"/>
      <c r="AU18"/>
      <c r="AV18" s="302"/>
      <c r="AW18" s="302"/>
      <c r="AX18" s="302"/>
      <c r="AY18" s="302"/>
      <c r="AZ18" s="302"/>
      <c r="BA18" s="302"/>
      <c r="BB18" s="302"/>
      <c r="BC18" s="302"/>
      <c r="BD18" s="302"/>
      <c r="BE18" s="302"/>
      <c r="BF18" s="302"/>
      <c r="BG18" s="302"/>
      <c r="BH18" s="302"/>
      <c r="BI18" s="302"/>
      <c r="BJ18" s="302"/>
      <c r="BM18">
        <v>3.7</v>
      </c>
      <c r="BS18">
        <v>50.8</v>
      </c>
      <c r="BY18">
        <v>42.9</v>
      </c>
      <c r="CA18">
        <v>25.4</v>
      </c>
      <c r="CC18">
        <v>81.5</v>
      </c>
      <c r="CI18">
        <v>14.5</v>
      </c>
      <c r="CO18" s="304" t="s">
        <v>11676</v>
      </c>
      <c r="CR18">
        <v>6</v>
      </c>
      <c r="CT18" s="304" t="s">
        <v>11678</v>
      </c>
    </row>
    <row r="19" spans="1:98" s="304" customFormat="1">
      <c r="A19" s="304" t="s">
        <v>8507</v>
      </c>
      <c r="B19" s="463">
        <v>12</v>
      </c>
      <c r="C19" s="296" t="s">
        <v>7655</v>
      </c>
      <c r="D19" s="296" t="s">
        <v>8501</v>
      </c>
      <c r="E19" s="296" t="s">
        <v>7655</v>
      </c>
      <c r="F19" s="296"/>
      <c r="G19" s="296" t="s">
        <v>8507</v>
      </c>
      <c r="H19" s="297" t="s">
        <v>8696</v>
      </c>
      <c r="I19" s="297">
        <v>2</v>
      </c>
      <c r="J19" s="298">
        <v>218</v>
      </c>
      <c r="K19" s="299"/>
      <c r="L19" s="299"/>
      <c r="M19" s="299">
        <v>3</v>
      </c>
      <c r="N19" s="299">
        <v>11</v>
      </c>
      <c r="O19" s="300">
        <v>31</v>
      </c>
      <c r="P19" s="301">
        <v>42090</v>
      </c>
      <c r="Q19" s="302"/>
      <c r="R19" s="303"/>
      <c r="S19" s="289">
        <v>2.8</v>
      </c>
      <c r="T19" s="303">
        <v>42208</v>
      </c>
      <c r="U19" s="302"/>
      <c r="V19" s="303"/>
      <c r="W19" s="302"/>
      <c r="X19" s="303"/>
      <c r="Y19" s="302">
        <v>8.9700000000000006</v>
      </c>
      <c r="Z19" s="303">
        <v>42208</v>
      </c>
      <c r="AA19">
        <v>14.4</v>
      </c>
      <c r="AB19" s="303"/>
      <c r="AC19" s="302"/>
      <c r="AD19" s="303"/>
      <c r="AE19" s="302"/>
      <c r="AF19" s="303"/>
      <c r="AG19">
        <v>33017.414529914524</v>
      </c>
      <c r="AH19" s="521">
        <f>(AK19*10000)/AM19</f>
        <v>33017.414529914524</v>
      </c>
      <c r="AI19" s="302"/>
      <c r="AJ19" s="303"/>
      <c r="AK19">
        <v>17.169055555555552</v>
      </c>
      <c r="AL19" s="521"/>
      <c r="AM19">
        <v>5.2</v>
      </c>
      <c r="AN19" s="303">
        <v>42244</v>
      </c>
      <c r="AO19">
        <v>110</v>
      </c>
      <c r="AP19" s="303">
        <v>42170</v>
      </c>
      <c r="AQ19" s="302"/>
      <c r="AR19" s="303"/>
      <c r="AS19" s="302"/>
      <c r="AT19" s="303"/>
      <c r="AU19"/>
      <c r="AV19" s="302"/>
      <c r="AW19" s="302"/>
      <c r="AX19" s="302"/>
      <c r="AY19" s="302"/>
      <c r="AZ19" s="302"/>
      <c r="BA19" s="302"/>
      <c r="BB19" s="302"/>
      <c r="BC19" s="302"/>
      <c r="BD19" s="302"/>
      <c r="BE19" s="302"/>
      <c r="BF19" s="302"/>
      <c r="BG19" s="302"/>
      <c r="BH19" s="302"/>
      <c r="BI19" s="302"/>
      <c r="BJ19" s="302"/>
      <c r="BM19">
        <v>7.3</v>
      </c>
      <c r="BS19">
        <v>48.6</v>
      </c>
      <c r="BY19">
        <v>46.6</v>
      </c>
      <c r="CA19">
        <v>23.1</v>
      </c>
      <c r="CC19">
        <v>78.400000000000006</v>
      </c>
      <c r="CI19">
        <v>9.9</v>
      </c>
      <c r="CO19" t="s">
        <v>8698</v>
      </c>
      <c r="CR19">
        <v>4</v>
      </c>
      <c r="CT19" s="304" t="s">
        <v>11678</v>
      </c>
    </row>
    <row r="20" spans="1:98" s="304" customFormat="1">
      <c r="A20" s="304" t="s">
        <v>8507</v>
      </c>
      <c r="B20" s="463">
        <v>14</v>
      </c>
      <c r="C20" s="296" t="s">
        <v>7731</v>
      </c>
      <c r="D20" s="296" t="s">
        <v>7557</v>
      </c>
      <c r="E20" s="296" t="s">
        <v>7731</v>
      </c>
      <c r="F20" s="296"/>
      <c r="G20" s="296" t="s">
        <v>8507</v>
      </c>
      <c r="H20" s="297" t="s">
        <v>8697</v>
      </c>
      <c r="I20" s="297">
        <v>1</v>
      </c>
      <c r="J20" s="298">
        <v>118</v>
      </c>
      <c r="K20" s="299"/>
      <c r="L20" s="299"/>
      <c r="M20" s="299">
        <v>3</v>
      </c>
      <c r="N20" s="299">
        <v>5</v>
      </c>
      <c r="O20" s="300">
        <v>47</v>
      </c>
      <c r="P20" s="301">
        <v>42090</v>
      </c>
      <c r="Q20" s="302"/>
      <c r="R20" s="303"/>
      <c r="S20" s="289">
        <v>2.85</v>
      </c>
      <c r="T20" s="303">
        <v>42208</v>
      </c>
      <c r="U20" s="302"/>
      <c r="V20" s="303"/>
      <c r="W20" s="302"/>
      <c r="X20" s="303"/>
      <c r="Y20" s="302">
        <v>10.06</v>
      </c>
      <c r="Z20" s="303">
        <v>42208</v>
      </c>
      <c r="AA20">
        <v>14.4</v>
      </c>
      <c r="AB20" s="303"/>
      <c r="AC20" s="302"/>
      <c r="AD20" s="303"/>
      <c r="AE20" s="302"/>
      <c r="AF20" s="303"/>
      <c r="AG20">
        <v>39696.805555555555</v>
      </c>
      <c r="AH20" s="521">
        <f>(AK20*10000)/AM20</f>
        <v>39696.805555555555</v>
      </c>
      <c r="AI20" s="302"/>
      <c r="AJ20" s="303"/>
      <c r="AK20">
        <v>17.8635625</v>
      </c>
      <c r="AL20" s="521"/>
      <c r="AM20">
        <v>4.5</v>
      </c>
      <c r="AN20" s="303">
        <v>42244</v>
      </c>
      <c r="AO20">
        <v>130</v>
      </c>
      <c r="AP20" s="303">
        <v>42170</v>
      </c>
      <c r="AQ20" s="302"/>
      <c r="AR20" s="303"/>
      <c r="AS20" s="302"/>
      <c r="AT20" s="303"/>
      <c r="AU20">
        <v>104</v>
      </c>
      <c r="AV20" s="302"/>
      <c r="AW20" s="302"/>
      <c r="AX20" s="302"/>
      <c r="AY20" s="302"/>
      <c r="AZ20" s="302"/>
      <c r="BA20" s="302"/>
      <c r="BB20" s="302"/>
      <c r="BC20" s="302"/>
      <c r="BD20" s="302"/>
      <c r="BE20" s="302"/>
      <c r="BF20" s="302"/>
      <c r="BG20" s="302"/>
      <c r="BH20" s="302"/>
      <c r="BI20" s="302"/>
      <c r="BJ20" s="302"/>
      <c r="BM20">
        <v>47.1</v>
      </c>
      <c r="BS20">
        <v>13.2</v>
      </c>
      <c r="BY20">
        <v>50.2</v>
      </c>
      <c r="CA20">
        <v>19</v>
      </c>
      <c r="CC20">
        <v>63.4</v>
      </c>
      <c r="CI20">
        <v>7.9</v>
      </c>
      <c r="CO20" t="s">
        <v>8698</v>
      </c>
      <c r="CR20">
        <v>5</v>
      </c>
      <c r="CT20" s="304" t="s">
        <v>11678</v>
      </c>
    </row>
    <row r="21" spans="1:98" s="304" customFormat="1">
      <c r="A21" s="304" t="s">
        <v>8507</v>
      </c>
      <c r="B21" s="463">
        <v>14</v>
      </c>
      <c r="C21" s="296" t="s">
        <v>7731</v>
      </c>
      <c r="D21" s="296" t="s">
        <v>7557</v>
      </c>
      <c r="E21" s="296" t="s">
        <v>7731</v>
      </c>
      <c r="F21" s="296"/>
      <c r="G21" s="296" t="s">
        <v>8507</v>
      </c>
      <c r="H21" s="297" t="s">
        <v>8696</v>
      </c>
      <c r="I21" s="297">
        <v>2</v>
      </c>
      <c r="J21" s="298">
        <v>206</v>
      </c>
      <c r="K21" s="299"/>
      <c r="L21" s="299"/>
      <c r="M21" s="299">
        <v>3</v>
      </c>
      <c r="N21" s="299">
        <v>8</v>
      </c>
      <c r="O21" s="300">
        <v>45</v>
      </c>
      <c r="P21" s="301">
        <v>42090</v>
      </c>
      <c r="Q21" s="302"/>
      <c r="R21" s="303"/>
      <c r="S21" s="289">
        <v>3.65</v>
      </c>
      <c r="T21" s="303">
        <v>42208</v>
      </c>
      <c r="U21" s="302"/>
      <c r="V21" s="303"/>
      <c r="W21" s="302"/>
      <c r="X21" s="303"/>
      <c r="Y21" s="302">
        <v>11.79</v>
      </c>
      <c r="Z21" s="303">
        <v>42208</v>
      </c>
      <c r="AA21">
        <v>14.4</v>
      </c>
      <c r="AB21" s="303"/>
      <c r="AC21" s="302"/>
      <c r="AD21" s="303"/>
      <c r="AE21" s="302"/>
      <c r="AF21" s="303"/>
      <c r="AG21">
        <v>47196.527777777781</v>
      </c>
      <c r="AH21" s="521">
        <f>(AK21*10000)/AM21</f>
        <v>47196.527777777781</v>
      </c>
      <c r="AI21" s="302"/>
      <c r="AJ21" s="303"/>
      <c r="AK21">
        <v>22.654333333333334</v>
      </c>
      <c r="AL21" s="521"/>
      <c r="AM21">
        <v>4.8</v>
      </c>
      <c r="AN21" s="303">
        <v>42244</v>
      </c>
      <c r="AO21">
        <v>100</v>
      </c>
      <c r="AP21" s="303">
        <v>42170</v>
      </c>
      <c r="AQ21" s="302"/>
      <c r="AR21" s="303"/>
      <c r="AS21" s="302"/>
      <c r="AT21" s="303"/>
      <c r="AU21">
        <v>103</v>
      </c>
      <c r="AV21" s="302"/>
      <c r="AW21" s="302"/>
      <c r="AX21" s="302"/>
      <c r="AY21" s="302"/>
      <c r="AZ21" s="302"/>
      <c r="BA21" s="302"/>
      <c r="BB21" s="302"/>
      <c r="BC21" s="302"/>
      <c r="BD21" s="302"/>
      <c r="BE21" s="302"/>
      <c r="BF21" s="302"/>
      <c r="BG21" s="302"/>
      <c r="BH21" s="302"/>
      <c r="BI21" s="302"/>
      <c r="BJ21" s="302"/>
      <c r="BM21">
        <v>48.6</v>
      </c>
      <c r="BS21">
        <v>7.9</v>
      </c>
      <c r="BY21">
        <v>46.4</v>
      </c>
      <c r="CA21">
        <v>23.6</v>
      </c>
      <c r="CC21">
        <v>75.2</v>
      </c>
      <c r="CI21">
        <v>8.8000000000000007</v>
      </c>
      <c r="CO21" s="304" t="s">
        <v>11676</v>
      </c>
      <c r="CR21">
        <v>6</v>
      </c>
      <c r="CT21" s="304" t="s">
        <v>11678</v>
      </c>
    </row>
    <row r="22" spans="1:98" s="304" customFormat="1">
      <c r="A22" s="304" t="s">
        <v>8507</v>
      </c>
      <c r="B22" s="463">
        <v>16</v>
      </c>
      <c r="C22" s="296" t="s">
        <v>7741</v>
      </c>
      <c r="D22" s="296" t="s">
        <v>7825</v>
      </c>
      <c r="E22" s="296" t="s">
        <v>7741</v>
      </c>
      <c r="F22" s="296"/>
      <c r="G22" s="296" t="s">
        <v>8507</v>
      </c>
      <c r="H22" s="297" t="s">
        <v>8696</v>
      </c>
      <c r="I22" s="297">
        <v>2</v>
      </c>
      <c r="J22" s="298">
        <v>202</v>
      </c>
      <c r="K22" s="299"/>
      <c r="L22" s="299"/>
      <c r="M22" s="299">
        <v>3</v>
      </c>
      <c r="N22" s="299">
        <v>7</v>
      </c>
      <c r="O22" s="300">
        <v>48</v>
      </c>
      <c r="P22" s="301">
        <v>42090</v>
      </c>
      <c r="Q22" s="302"/>
      <c r="R22" s="303"/>
      <c r="S22" s="289">
        <v>2.9</v>
      </c>
      <c r="T22" s="303">
        <v>42208</v>
      </c>
      <c r="U22" s="302"/>
      <c r="V22" s="303"/>
      <c r="W22" s="302"/>
      <c r="X22" s="303"/>
      <c r="Y22" s="302">
        <v>9.9700000000000006</v>
      </c>
      <c r="Z22" s="303">
        <v>42208</v>
      </c>
      <c r="AA22">
        <v>14.4</v>
      </c>
      <c r="AB22" s="303"/>
      <c r="AC22" s="302"/>
      <c r="AD22" s="303"/>
      <c r="AE22" s="302"/>
      <c r="AF22" s="303"/>
      <c r="AG22">
        <v>40673.55072463768</v>
      </c>
      <c r="AH22" s="521">
        <f>(AK22*10000)/AM22</f>
        <v>40673.55072463768</v>
      </c>
      <c r="AI22" s="302"/>
      <c r="AJ22" s="303"/>
      <c r="AK22">
        <v>18.709833333333332</v>
      </c>
      <c r="AL22" s="521"/>
      <c r="AM22">
        <v>4.5999999999999996</v>
      </c>
      <c r="AN22" s="303">
        <v>42244</v>
      </c>
      <c r="AO22">
        <v>145</v>
      </c>
      <c r="AP22" s="303">
        <v>42170</v>
      </c>
      <c r="AQ22" s="302"/>
      <c r="AR22" s="303"/>
      <c r="AS22" s="302"/>
      <c r="AT22" s="303"/>
      <c r="AU22">
        <v>111</v>
      </c>
      <c r="AV22" s="302"/>
      <c r="AW22" s="302"/>
      <c r="AX22" s="302"/>
      <c r="AY22" s="302"/>
      <c r="AZ22" s="302"/>
      <c r="BA22" s="302"/>
      <c r="BB22" s="302"/>
      <c r="BC22" s="302"/>
      <c r="BD22" s="302"/>
      <c r="BE22" s="302"/>
      <c r="BF22" s="302"/>
      <c r="BG22" s="302"/>
      <c r="BH22" s="302"/>
      <c r="BI22" s="302"/>
      <c r="BJ22" s="302"/>
      <c r="BM22">
        <v>47.6</v>
      </c>
      <c r="BS22">
        <v>8.1999999999999993</v>
      </c>
      <c r="BY22">
        <v>47.5</v>
      </c>
      <c r="CA22">
        <v>22</v>
      </c>
      <c r="CC22">
        <v>85.6</v>
      </c>
      <c r="CI22">
        <v>5.2</v>
      </c>
      <c r="CO22" t="s">
        <v>8698</v>
      </c>
      <c r="CR22">
        <v>5</v>
      </c>
      <c r="CT22" s="304" t="s">
        <v>11678</v>
      </c>
    </row>
    <row r="23" spans="1:98" s="304" customFormat="1">
      <c r="A23" s="304" t="s">
        <v>8507</v>
      </c>
      <c r="B23" s="463">
        <v>19</v>
      </c>
      <c r="C23" s="296" t="s">
        <v>7745</v>
      </c>
      <c r="D23" s="296" t="s">
        <v>7829</v>
      </c>
      <c r="E23" s="296" t="s">
        <v>7745</v>
      </c>
      <c r="F23" s="296"/>
      <c r="G23" s="296" t="s">
        <v>8507</v>
      </c>
      <c r="H23" s="297" t="s">
        <v>8696</v>
      </c>
      <c r="I23" s="297">
        <v>2</v>
      </c>
      <c r="J23" s="298">
        <v>210</v>
      </c>
      <c r="K23" s="299"/>
      <c r="L23" s="299"/>
      <c r="M23" s="299">
        <v>3</v>
      </c>
      <c r="N23" s="299">
        <v>9</v>
      </c>
      <c r="O23" s="300">
        <v>56</v>
      </c>
      <c r="P23" s="301">
        <v>42090</v>
      </c>
      <c r="Q23" s="302"/>
      <c r="R23" s="303"/>
      <c r="S23" s="289">
        <v>3.3</v>
      </c>
      <c r="T23" s="303">
        <v>42208</v>
      </c>
      <c r="U23" s="302"/>
      <c r="V23" s="303"/>
      <c r="W23" s="302"/>
      <c r="X23" s="303"/>
      <c r="Y23" s="302">
        <v>10.130000000000001</v>
      </c>
      <c r="Z23" s="303">
        <v>42208</v>
      </c>
      <c r="AA23">
        <v>14.4</v>
      </c>
      <c r="AB23" s="303"/>
      <c r="AC23" s="302"/>
      <c r="AD23" s="303"/>
      <c r="AE23" s="302"/>
      <c r="AF23" s="303"/>
      <c r="AG23">
        <v>33912.083333333336</v>
      </c>
      <c r="AH23" s="521">
        <f>(AK23*10000)/AM23</f>
        <v>33912.083333333336</v>
      </c>
      <c r="AI23" s="302"/>
      <c r="AJ23" s="303"/>
      <c r="AK23">
        <v>20.347249999999999</v>
      </c>
      <c r="AL23" s="521"/>
      <c r="AM23">
        <v>6</v>
      </c>
      <c r="AN23" s="303">
        <v>42244</v>
      </c>
      <c r="AO23">
        <v>115</v>
      </c>
      <c r="AP23" s="303">
        <v>42170</v>
      </c>
      <c r="AQ23" s="302"/>
      <c r="AR23" s="303"/>
      <c r="AS23" s="302"/>
      <c r="AT23" s="303"/>
      <c r="AU23">
        <v>103</v>
      </c>
      <c r="AV23" s="302"/>
      <c r="AW23" s="302"/>
      <c r="AX23" s="302"/>
      <c r="AY23" s="302"/>
      <c r="AZ23" s="302"/>
      <c r="BA23" s="302"/>
      <c r="BB23" s="302"/>
      <c r="BC23" s="302"/>
      <c r="BD23" s="302"/>
      <c r="BE23" s="302"/>
      <c r="BF23" s="302"/>
      <c r="BG23" s="302"/>
      <c r="BH23" s="302"/>
      <c r="BI23" s="302"/>
      <c r="BJ23" s="302"/>
      <c r="BM23">
        <v>43.1</v>
      </c>
      <c r="BS23">
        <v>9.8000000000000007</v>
      </c>
      <c r="BY23">
        <v>44.4</v>
      </c>
      <c r="CA23">
        <v>26.1</v>
      </c>
      <c r="CC23">
        <v>91.6</v>
      </c>
      <c r="CI23">
        <v>9.4</v>
      </c>
      <c r="CO23" t="s">
        <v>8698</v>
      </c>
      <c r="CR23">
        <v>5</v>
      </c>
      <c r="CT23" s="304" t="s">
        <v>11678</v>
      </c>
    </row>
    <row r="24" spans="1:98" s="304" customFormat="1">
      <c r="A24" s="304" t="s">
        <v>8507</v>
      </c>
      <c r="B24" s="463">
        <v>20</v>
      </c>
      <c r="C24" s="296" t="s">
        <v>7746</v>
      </c>
      <c r="D24" s="296" t="s">
        <v>7830</v>
      </c>
      <c r="E24" s="296" t="s">
        <v>7746</v>
      </c>
      <c r="F24" s="296"/>
      <c r="G24" s="296" t="s">
        <v>8507</v>
      </c>
      <c r="H24" s="297" t="s">
        <v>8697</v>
      </c>
      <c r="I24" s="297">
        <v>1</v>
      </c>
      <c r="J24" s="298">
        <v>114</v>
      </c>
      <c r="K24" s="299"/>
      <c r="L24" s="299"/>
      <c r="M24" s="299">
        <v>3</v>
      </c>
      <c r="N24" s="299">
        <v>4</v>
      </c>
      <c r="O24" s="300">
        <v>36</v>
      </c>
      <c r="P24" s="301">
        <v>42090</v>
      </c>
      <c r="Q24" s="302"/>
      <c r="R24" s="303"/>
      <c r="S24" s="289">
        <v>3.35</v>
      </c>
      <c r="T24" s="303">
        <v>42208</v>
      </c>
      <c r="U24" s="302"/>
      <c r="V24" s="303"/>
      <c r="W24" s="302"/>
      <c r="X24" s="303"/>
      <c r="Y24" s="302">
        <v>11.94</v>
      </c>
      <c r="Z24" s="303">
        <v>42208</v>
      </c>
      <c r="AA24">
        <v>14.4</v>
      </c>
      <c r="AB24" s="303"/>
      <c r="AC24" s="302"/>
      <c r="AD24" s="303"/>
      <c r="AE24" s="302"/>
      <c r="AF24" s="303"/>
      <c r="AG24">
        <v>36557.772904483434</v>
      </c>
      <c r="AH24" s="521">
        <f>(AK24*10000)/AM24</f>
        <v>36557.772904483434</v>
      </c>
      <c r="AI24" s="302"/>
      <c r="AJ24" s="303"/>
      <c r="AK24">
        <v>20.837930555555559</v>
      </c>
      <c r="AL24" s="521"/>
      <c r="AM24">
        <v>5.7</v>
      </c>
      <c r="AN24" s="303">
        <v>42244</v>
      </c>
      <c r="AO24">
        <v>165</v>
      </c>
      <c r="AP24" s="303">
        <v>42170</v>
      </c>
      <c r="AQ24" s="302"/>
      <c r="AR24" s="303"/>
      <c r="AS24" s="302"/>
      <c r="AT24" s="303"/>
      <c r="AU24">
        <v>108</v>
      </c>
      <c r="AV24" s="302"/>
      <c r="AW24" s="302"/>
      <c r="AX24" s="302"/>
      <c r="AY24" s="302"/>
      <c r="AZ24" s="302"/>
      <c r="BA24" s="302"/>
      <c r="BB24" s="302"/>
      <c r="BC24" s="302"/>
      <c r="BD24" s="302"/>
      <c r="BE24" s="302"/>
      <c r="BF24" s="302"/>
      <c r="BG24" s="302"/>
      <c r="BH24" s="302"/>
      <c r="BI24" s="302"/>
      <c r="BJ24" s="302"/>
      <c r="BM24">
        <v>46.4</v>
      </c>
      <c r="BS24">
        <v>11.5</v>
      </c>
      <c r="BY24">
        <v>51.1</v>
      </c>
      <c r="CA24">
        <v>20.399999999999999</v>
      </c>
      <c r="CC24">
        <v>77.400000000000006</v>
      </c>
      <c r="CI24">
        <v>8.6</v>
      </c>
      <c r="CO24" s="304" t="s">
        <v>11676</v>
      </c>
      <c r="CR24">
        <v>7</v>
      </c>
      <c r="CT24" s="304" t="s">
        <v>11678</v>
      </c>
    </row>
    <row r="25" spans="1:98" s="304" customFormat="1">
      <c r="A25" s="304" t="s">
        <v>8507</v>
      </c>
      <c r="B25" s="463">
        <v>23</v>
      </c>
      <c r="C25" s="296" t="s">
        <v>7755</v>
      </c>
      <c r="D25" s="296" t="s">
        <v>7566</v>
      </c>
      <c r="E25" s="296" t="s">
        <v>7755</v>
      </c>
      <c r="F25" s="296"/>
      <c r="G25" s="296" t="s">
        <v>8507</v>
      </c>
      <c r="H25" s="297" t="s">
        <v>8697</v>
      </c>
      <c r="I25" s="297">
        <v>1</v>
      </c>
      <c r="J25" s="298">
        <v>122</v>
      </c>
      <c r="K25" s="299"/>
      <c r="L25" s="299"/>
      <c r="M25" s="299">
        <v>3</v>
      </c>
      <c r="N25" s="299">
        <v>6</v>
      </c>
      <c r="O25" s="300">
        <v>12</v>
      </c>
      <c r="P25" s="301">
        <v>42090</v>
      </c>
      <c r="Q25" s="302"/>
      <c r="R25" s="303"/>
      <c r="S25" s="289"/>
      <c r="T25" s="303"/>
      <c r="U25" s="302"/>
      <c r="V25" s="303"/>
      <c r="W25" s="302"/>
      <c r="X25" s="303"/>
      <c r="Y25" s="302"/>
      <c r="Z25" s="303"/>
      <c r="AA25"/>
      <c r="AB25" s="303"/>
      <c r="AC25" s="302"/>
      <c r="AD25" s="303"/>
      <c r="AE25" s="302"/>
      <c r="AF25" s="303"/>
      <c r="AG25" t="e">
        <v>#DIV/0!</v>
      </c>
      <c r="AH25" s="521" t="e">
        <f>(AK25*10000)/AM25</f>
        <v>#DIV/0!</v>
      </c>
      <c r="AI25" s="302"/>
      <c r="AJ25" s="303"/>
      <c r="AK25" t="e">
        <v>#DIV/0!</v>
      </c>
      <c r="AL25" s="521"/>
      <c r="AM25"/>
      <c r="AN25" s="303"/>
      <c r="AO25"/>
      <c r="AP25" s="303"/>
      <c r="AQ25" s="302"/>
      <c r="AR25" s="303"/>
      <c r="AS25" s="302"/>
      <c r="AT25" s="303"/>
      <c r="AU25"/>
      <c r="AV25" s="302"/>
      <c r="AW25" s="302"/>
      <c r="AX25" s="302"/>
      <c r="AY25" s="302"/>
      <c r="AZ25" s="302"/>
      <c r="BA25" s="302"/>
      <c r="BB25" s="302"/>
      <c r="BC25" s="302"/>
      <c r="BD25" s="302"/>
      <c r="BE25" s="302"/>
      <c r="BF25" s="302"/>
      <c r="BG25" s="302"/>
      <c r="BH25" s="302"/>
      <c r="BI25" s="302"/>
      <c r="BJ25" s="302"/>
      <c r="BM25"/>
      <c r="BS25"/>
      <c r="BY25"/>
      <c r="CA25"/>
      <c r="CC25"/>
      <c r="CI25"/>
      <c r="CO25" t="s">
        <v>8698</v>
      </c>
      <c r="CR25"/>
      <c r="CT25" s="304" t="s">
        <v>11678</v>
      </c>
    </row>
    <row r="26" spans="1:98" s="304" customFormat="1">
      <c r="A26" s="304" t="s">
        <v>8507</v>
      </c>
      <c r="B26" s="463">
        <v>2</v>
      </c>
      <c r="C26" s="296" t="s">
        <v>7609</v>
      </c>
      <c r="D26" s="296" t="s">
        <v>257</v>
      </c>
      <c r="E26" s="296" t="s">
        <v>7609</v>
      </c>
      <c r="F26" s="296"/>
      <c r="G26" s="296" t="s">
        <v>8507</v>
      </c>
      <c r="H26" s="297" t="s">
        <v>8697</v>
      </c>
      <c r="I26" s="297">
        <v>1</v>
      </c>
      <c r="J26" s="298">
        <v>111</v>
      </c>
      <c r="K26" s="299"/>
      <c r="L26" s="299"/>
      <c r="M26" s="299">
        <v>4</v>
      </c>
      <c r="N26" s="299">
        <v>3</v>
      </c>
      <c r="O26" s="300">
        <v>64</v>
      </c>
      <c r="P26" s="301">
        <v>42090</v>
      </c>
      <c r="Q26" s="302"/>
      <c r="R26" s="303"/>
      <c r="S26" s="289">
        <v>1.7</v>
      </c>
      <c r="T26" s="303">
        <v>42208</v>
      </c>
      <c r="U26" s="302"/>
      <c r="V26" s="303"/>
      <c r="W26" s="302"/>
      <c r="X26" s="303"/>
      <c r="Y26" s="302">
        <v>5.9</v>
      </c>
      <c r="Z26" s="303">
        <v>42208</v>
      </c>
      <c r="AA26">
        <v>14.4</v>
      </c>
      <c r="AB26" s="303"/>
      <c r="AC26" s="302"/>
      <c r="AD26" s="303"/>
      <c r="AE26" s="302"/>
      <c r="AF26" s="303"/>
      <c r="AG26">
        <v>21287.777777777774</v>
      </c>
      <c r="AH26" s="521">
        <f>(AK26*10000)/AM26</f>
        <v>21287.777777777774</v>
      </c>
      <c r="AI26" s="302"/>
      <c r="AJ26" s="303"/>
      <c r="AK26">
        <v>10.643888888888888</v>
      </c>
      <c r="AL26" s="521"/>
      <c r="AM26">
        <v>5</v>
      </c>
      <c r="AN26" s="303">
        <v>42244</v>
      </c>
      <c r="AO26">
        <v>125</v>
      </c>
      <c r="AP26" s="303">
        <v>42170</v>
      </c>
      <c r="AQ26" s="302"/>
      <c r="AR26" s="303"/>
      <c r="AS26" s="302"/>
      <c r="AT26" s="303"/>
      <c r="AU26">
        <v>105</v>
      </c>
      <c r="AV26" s="302"/>
      <c r="AW26" s="302"/>
      <c r="AX26" s="302"/>
      <c r="AY26" s="302"/>
      <c r="AZ26" s="302"/>
      <c r="BA26" s="302"/>
      <c r="BB26" s="302"/>
      <c r="BC26" s="302"/>
      <c r="BD26" s="302"/>
      <c r="BE26" s="302"/>
      <c r="BF26" s="302"/>
      <c r="BG26" s="302"/>
      <c r="BH26" s="302"/>
      <c r="BI26" s="302"/>
      <c r="BJ26" s="302"/>
      <c r="BM26">
        <v>30.1</v>
      </c>
      <c r="BS26">
        <v>25.4</v>
      </c>
      <c r="BY26">
        <v>49.4</v>
      </c>
      <c r="CA26">
        <v>19.5</v>
      </c>
      <c r="CC26">
        <v>66.8</v>
      </c>
      <c r="CI26">
        <v>8</v>
      </c>
      <c r="CO26" s="304" t="s">
        <v>11676</v>
      </c>
      <c r="CR26">
        <v>6</v>
      </c>
      <c r="CT26" s="304" t="s">
        <v>11678</v>
      </c>
    </row>
    <row r="27" spans="1:98" s="304" customFormat="1">
      <c r="A27" s="304" t="s">
        <v>8507</v>
      </c>
      <c r="B27" s="463">
        <v>3</v>
      </c>
      <c r="C27" s="296" t="s">
        <v>7613</v>
      </c>
      <c r="D27" s="296" t="s">
        <v>7454</v>
      </c>
      <c r="E27" s="296" t="s">
        <v>7613</v>
      </c>
      <c r="F27" s="296"/>
      <c r="G27" s="296" t="s">
        <v>8507</v>
      </c>
      <c r="H27" s="297" t="s">
        <v>8697</v>
      </c>
      <c r="I27" s="297">
        <v>1</v>
      </c>
      <c r="J27" s="298">
        <v>119</v>
      </c>
      <c r="K27" s="299"/>
      <c r="L27" s="299"/>
      <c r="M27" s="299">
        <v>4</v>
      </c>
      <c r="N27" s="299">
        <v>5</v>
      </c>
      <c r="O27" s="300">
        <v>54</v>
      </c>
      <c r="P27" s="301">
        <v>42090</v>
      </c>
      <c r="Q27" s="302"/>
      <c r="R27" s="303"/>
      <c r="S27" s="289">
        <v>4.1500000000000004</v>
      </c>
      <c r="T27" s="303">
        <v>42208</v>
      </c>
      <c r="U27" s="302"/>
      <c r="V27" s="303"/>
      <c r="W27" s="302"/>
      <c r="X27" s="303"/>
      <c r="Y27" s="302">
        <v>15.12</v>
      </c>
      <c r="Z27" s="303">
        <v>42208</v>
      </c>
      <c r="AA27">
        <v>14.4</v>
      </c>
      <c r="AB27" s="303"/>
      <c r="AC27" s="302"/>
      <c r="AD27" s="303"/>
      <c r="AE27" s="302"/>
      <c r="AF27" s="303"/>
      <c r="AG27">
        <v>46298.4375</v>
      </c>
      <c r="AH27" s="521">
        <f>(AK27*10000)/AM27</f>
        <v>46298.4375</v>
      </c>
      <c r="AI27" s="302"/>
      <c r="AJ27" s="303"/>
      <c r="AK27">
        <v>25.927125</v>
      </c>
      <c r="AL27" s="521"/>
      <c r="AM27">
        <v>5.6</v>
      </c>
      <c r="AN27" s="303">
        <v>42244</v>
      </c>
      <c r="AO27">
        <v>140</v>
      </c>
      <c r="AP27" s="303">
        <v>42170</v>
      </c>
      <c r="AQ27" s="302"/>
      <c r="AR27" s="303"/>
      <c r="AS27" s="302"/>
      <c r="AT27" s="303"/>
      <c r="AU27">
        <v>104</v>
      </c>
      <c r="AV27" s="302"/>
      <c r="AW27" s="302"/>
      <c r="AX27" s="302"/>
      <c r="AY27" s="302"/>
      <c r="AZ27" s="302"/>
      <c r="BA27" s="302"/>
      <c r="BB27" s="302"/>
      <c r="BC27" s="302"/>
      <c r="BD27" s="302"/>
      <c r="BE27" s="302"/>
      <c r="BF27" s="302"/>
      <c r="BG27" s="302"/>
      <c r="BH27" s="302"/>
      <c r="BI27" s="302"/>
      <c r="BJ27" s="302"/>
      <c r="BM27">
        <v>46.2</v>
      </c>
      <c r="BS27">
        <v>9.3000000000000007</v>
      </c>
      <c r="BY27">
        <v>52</v>
      </c>
      <c r="CA27">
        <v>17.7</v>
      </c>
      <c r="CC27">
        <v>65.400000000000006</v>
      </c>
      <c r="CI27">
        <v>8.1999999999999993</v>
      </c>
      <c r="CO27" t="s">
        <v>8698</v>
      </c>
      <c r="CR27">
        <v>4</v>
      </c>
      <c r="CT27" s="304" t="s">
        <v>11678</v>
      </c>
    </row>
    <row r="28" spans="1:98" s="304" customFormat="1">
      <c r="A28" s="304" t="s">
        <v>8507</v>
      </c>
      <c r="B28" s="463">
        <v>3</v>
      </c>
      <c r="C28" s="296" t="s">
        <v>7613</v>
      </c>
      <c r="D28" s="296" t="s">
        <v>7454</v>
      </c>
      <c r="E28" s="296" t="s">
        <v>7613</v>
      </c>
      <c r="F28" s="296"/>
      <c r="G28" s="296" t="s">
        <v>8507</v>
      </c>
      <c r="H28" s="297" t="s">
        <v>8696</v>
      </c>
      <c r="I28" s="297">
        <v>2</v>
      </c>
      <c r="J28" s="298">
        <v>203</v>
      </c>
      <c r="K28" s="299"/>
      <c r="L28" s="299"/>
      <c r="M28" s="299">
        <v>4</v>
      </c>
      <c r="N28" s="299">
        <v>7</v>
      </c>
      <c r="O28" s="300">
        <v>33</v>
      </c>
      <c r="P28" s="301">
        <v>42090</v>
      </c>
      <c r="Q28" s="302"/>
      <c r="R28" s="303"/>
      <c r="S28" s="289">
        <v>4.25</v>
      </c>
      <c r="T28" s="303">
        <v>42208</v>
      </c>
      <c r="U28" s="302"/>
      <c r="V28" s="303"/>
      <c r="W28" s="302"/>
      <c r="X28" s="303"/>
      <c r="Y28" s="302">
        <v>13.97</v>
      </c>
      <c r="Z28" s="303">
        <v>42208</v>
      </c>
      <c r="AA28">
        <v>14.4</v>
      </c>
      <c r="AB28" s="303"/>
      <c r="AC28" s="302"/>
      <c r="AD28" s="303"/>
      <c r="AE28" s="302"/>
      <c r="AF28" s="303"/>
      <c r="AG28">
        <v>44463.924199623354</v>
      </c>
      <c r="AH28" s="521">
        <f>(AK28*10000)/AM28</f>
        <v>44463.924199623354</v>
      </c>
      <c r="AI28" s="302"/>
      <c r="AJ28" s="303"/>
      <c r="AK28">
        <v>26.23371527777778</v>
      </c>
      <c r="AL28" s="521"/>
      <c r="AM28">
        <v>5.9</v>
      </c>
      <c r="AN28" s="303">
        <v>42244</v>
      </c>
      <c r="AO28">
        <v>110</v>
      </c>
      <c r="AP28" s="303">
        <v>42170</v>
      </c>
      <c r="AQ28" s="302"/>
      <c r="AR28" s="303"/>
      <c r="AS28" s="302"/>
      <c r="AT28" s="303"/>
      <c r="AU28">
        <v>105</v>
      </c>
      <c r="AV28" s="302"/>
      <c r="AW28" s="302"/>
      <c r="AX28" s="302"/>
      <c r="AY28" s="302"/>
      <c r="AZ28" s="302"/>
      <c r="BA28" s="302"/>
      <c r="BB28" s="302"/>
      <c r="BC28" s="302"/>
      <c r="BD28" s="302"/>
      <c r="BE28" s="302"/>
      <c r="BF28" s="302"/>
      <c r="BG28" s="302"/>
      <c r="BH28" s="302"/>
      <c r="BI28" s="302"/>
      <c r="BJ28" s="302"/>
      <c r="BM28">
        <v>45.7</v>
      </c>
      <c r="BS28">
        <v>7.9</v>
      </c>
      <c r="BY28">
        <v>47.5</v>
      </c>
      <c r="CA28">
        <v>22</v>
      </c>
      <c r="CC28">
        <v>73.5</v>
      </c>
      <c r="CI28">
        <v>9.3000000000000007</v>
      </c>
      <c r="CO28" t="s">
        <v>8698</v>
      </c>
      <c r="CR28">
        <v>4</v>
      </c>
      <c r="CT28" s="304" t="s">
        <v>11678</v>
      </c>
    </row>
    <row r="29" spans="1:98" s="304" customFormat="1">
      <c r="A29" s="304" t="s">
        <v>8507</v>
      </c>
      <c r="B29" s="463">
        <v>8</v>
      </c>
      <c r="C29" s="296" t="s">
        <v>7645</v>
      </c>
      <c r="D29" s="296" t="s">
        <v>7480</v>
      </c>
      <c r="E29" s="296" t="s">
        <v>7645</v>
      </c>
      <c r="F29" s="296"/>
      <c r="G29" s="296" t="s">
        <v>8507</v>
      </c>
      <c r="H29" s="297" t="s">
        <v>8697</v>
      </c>
      <c r="I29" s="297">
        <v>1</v>
      </c>
      <c r="J29" s="298">
        <v>115</v>
      </c>
      <c r="K29" s="299"/>
      <c r="L29" s="299"/>
      <c r="M29" s="299">
        <v>4</v>
      </c>
      <c r="N29" s="299">
        <v>4</v>
      </c>
      <c r="O29" s="300">
        <v>40</v>
      </c>
      <c r="P29" s="301">
        <v>42090</v>
      </c>
      <c r="Q29" s="302"/>
      <c r="R29" s="303"/>
      <c r="S29" s="289">
        <v>2.4</v>
      </c>
      <c r="T29" s="303">
        <v>42208</v>
      </c>
      <c r="U29" s="302"/>
      <c r="V29" s="303"/>
      <c r="W29" s="302"/>
      <c r="X29" s="303"/>
      <c r="Y29" s="302">
        <v>8.25</v>
      </c>
      <c r="Z29" s="303">
        <v>42208</v>
      </c>
      <c r="AA29">
        <v>14.4</v>
      </c>
      <c r="AB29" s="303"/>
      <c r="AC29" s="302"/>
      <c r="AD29" s="303"/>
      <c r="AE29" s="302"/>
      <c r="AF29" s="303"/>
      <c r="AG29">
        <v>26133.333333333328</v>
      </c>
      <c r="AH29" s="521">
        <f>(AK29*10000)/AM29</f>
        <v>26133.333333333328</v>
      </c>
      <c r="AI29" s="302"/>
      <c r="AJ29" s="303"/>
      <c r="AK29">
        <v>14.895999999999997</v>
      </c>
      <c r="AL29" s="521"/>
      <c r="AM29">
        <v>5.7</v>
      </c>
      <c r="AN29" s="303">
        <v>42244</v>
      </c>
      <c r="AO29">
        <v>150</v>
      </c>
      <c r="AP29" s="303">
        <v>42170</v>
      </c>
      <c r="AQ29" s="302"/>
      <c r="AR29" s="303"/>
      <c r="AS29" s="302"/>
      <c r="AT29" s="303"/>
      <c r="AU29">
        <v>109</v>
      </c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M29">
        <v>5.2</v>
      </c>
      <c r="BS29">
        <v>50.1</v>
      </c>
      <c r="BY29">
        <v>49.4</v>
      </c>
      <c r="CA29">
        <v>19.8</v>
      </c>
      <c r="CC29">
        <v>69.2</v>
      </c>
      <c r="CI29">
        <v>8.8000000000000007</v>
      </c>
      <c r="CO29" t="s">
        <v>8698</v>
      </c>
      <c r="CR29">
        <v>4</v>
      </c>
      <c r="CT29" s="304" t="s">
        <v>11678</v>
      </c>
    </row>
    <row r="30" spans="1:98" s="304" customFormat="1">
      <c r="A30" s="304" t="s">
        <v>8507</v>
      </c>
      <c r="B30" s="463">
        <v>9</v>
      </c>
      <c r="C30" s="296" t="s">
        <v>7646</v>
      </c>
      <c r="D30" s="296" t="s">
        <v>7481</v>
      </c>
      <c r="E30" s="296" t="s">
        <v>7646</v>
      </c>
      <c r="F30" s="296"/>
      <c r="G30" s="296" t="s">
        <v>8507</v>
      </c>
      <c r="H30" s="297" t="s">
        <v>8696</v>
      </c>
      <c r="I30" s="297">
        <v>2</v>
      </c>
      <c r="J30" s="298">
        <v>223</v>
      </c>
      <c r="K30" s="299"/>
      <c r="L30" s="299"/>
      <c r="M30" s="299">
        <v>4</v>
      </c>
      <c r="N30" s="299">
        <v>12</v>
      </c>
      <c r="O30" s="300">
        <v>54</v>
      </c>
      <c r="P30" s="301">
        <v>42090</v>
      </c>
      <c r="Q30" s="302"/>
      <c r="R30" s="303"/>
      <c r="S30" s="289">
        <v>4.0999999999999996</v>
      </c>
      <c r="T30" s="303">
        <v>42208</v>
      </c>
      <c r="U30" s="302"/>
      <c r="V30" s="303"/>
      <c r="W30" s="302"/>
      <c r="X30" s="303"/>
      <c r="Y30" s="302">
        <v>13.7</v>
      </c>
      <c r="Z30" s="303">
        <v>42208</v>
      </c>
      <c r="AA30">
        <v>14.4</v>
      </c>
      <c r="AB30" s="303"/>
      <c r="AC30" s="302"/>
      <c r="AD30" s="303"/>
      <c r="AE30" s="302"/>
      <c r="AF30" s="303"/>
      <c r="AG30">
        <v>45709.823232323215</v>
      </c>
      <c r="AH30" s="521">
        <f>(AK30*10000)/AM30</f>
        <v>45709.823232323215</v>
      </c>
      <c r="AI30" s="302"/>
      <c r="AJ30" s="303"/>
      <c r="AK30">
        <v>25.140402777777769</v>
      </c>
      <c r="AL30" s="521"/>
      <c r="AM30">
        <v>5.5</v>
      </c>
      <c r="AN30" s="303">
        <v>42244</v>
      </c>
      <c r="AO30">
        <v>145</v>
      </c>
      <c r="AP30" s="303">
        <v>42170</v>
      </c>
      <c r="AQ30" s="302"/>
      <c r="AR30" s="303"/>
      <c r="AS30" s="302"/>
      <c r="AT30" s="303"/>
      <c r="AU30">
        <v>110</v>
      </c>
      <c r="AV30" s="302"/>
      <c r="AW30" s="302"/>
      <c r="AX30" s="302"/>
      <c r="AY30" s="302"/>
      <c r="AZ30" s="302"/>
      <c r="BA30" s="302"/>
      <c r="BB30" s="302"/>
      <c r="BC30" s="302"/>
      <c r="BD30" s="302"/>
      <c r="BE30" s="302"/>
      <c r="BF30" s="302"/>
      <c r="BG30" s="302"/>
      <c r="BH30" s="302"/>
      <c r="BI30" s="302"/>
      <c r="BJ30" s="302"/>
      <c r="BM30">
        <v>3</v>
      </c>
      <c r="BS30">
        <v>49</v>
      </c>
      <c r="BY30">
        <v>48.6</v>
      </c>
      <c r="CA30">
        <v>20.5</v>
      </c>
      <c r="CC30">
        <v>70.099999999999994</v>
      </c>
      <c r="CI30">
        <v>9.9</v>
      </c>
      <c r="CO30" t="s">
        <v>8698</v>
      </c>
      <c r="CR30">
        <v>4</v>
      </c>
      <c r="CT30" s="304" t="s">
        <v>11678</v>
      </c>
    </row>
    <row r="31" spans="1:98" s="304" customFormat="1">
      <c r="A31" s="304" t="s">
        <v>8507</v>
      </c>
      <c r="B31" s="463">
        <v>16</v>
      </c>
      <c r="C31" s="296" t="s">
        <v>7741</v>
      </c>
      <c r="D31" s="296" t="s">
        <v>7825</v>
      </c>
      <c r="E31" s="296" t="s">
        <v>7741</v>
      </c>
      <c r="F31" s="296"/>
      <c r="G31" s="296" t="s">
        <v>8507</v>
      </c>
      <c r="H31" s="297" t="s">
        <v>8697</v>
      </c>
      <c r="I31" s="297">
        <v>1</v>
      </c>
      <c r="J31" s="298">
        <v>123</v>
      </c>
      <c r="K31" s="299"/>
      <c r="L31" s="299"/>
      <c r="M31" s="299">
        <v>4</v>
      </c>
      <c r="N31" s="299">
        <v>6</v>
      </c>
      <c r="O31" s="300">
        <v>38</v>
      </c>
      <c r="P31" s="301">
        <v>42090</v>
      </c>
      <c r="Q31" s="302"/>
      <c r="R31" s="303"/>
      <c r="S31" s="289">
        <v>3.5</v>
      </c>
      <c r="T31" s="303">
        <v>42208</v>
      </c>
      <c r="U31" s="302"/>
      <c r="V31" s="303"/>
      <c r="W31" s="302"/>
      <c r="X31" s="303"/>
      <c r="Y31" s="302">
        <v>11.85</v>
      </c>
      <c r="Z31" s="303">
        <v>42208</v>
      </c>
      <c r="AA31">
        <v>14.4</v>
      </c>
      <c r="AB31" s="303"/>
      <c r="AC31" s="302"/>
      <c r="AD31" s="303"/>
      <c r="AE31" s="302"/>
      <c r="AF31" s="303"/>
      <c r="AG31">
        <v>44576.388888888891</v>
      </c>
      <c r="AH31" s="521">
        <f>(AK31*10000)/AM31</f>
        <v>44576.388888888891</v>
      </c>
      <c r="AI31" s="302"/>
      <c r="AJ31" s="303"/>
      <c r="AK31">
        <v>21.842430555555556</v>
      </c>
      <c r="AL31" s="521"/>
      <c r="AM31">
        <v>4.9000000000000004</v>
      </c>
      <c r="AN31" s="303">
        <v>42244</v>
      </c>
      <c r="AO31">
        <v>160</v>
      </c>
      <c r="AP31" s="303">
        <v>42170</v>
      </c>
      <c r="AQ31" s="302"/>
      <c r="AR31" s="303"/>
      <c r="AS31" s="302"/>
      <c r="AT31" s="303"/>
      <c r="AU31">
        <v>113</v>
      </c>
      <c r="AV31" s="302"/>
      <c r="AW31" s="302"/>
      <c r="AX31" s="302"/>
      <c r="AY31" s="302"/>
      <c r="AZ31" s="302"/>
      <c r="BA31" s="302"/>
      <c r="BB31" s="302"/>
      <c r="BC31" s="302"/>
      <c r="BD31" s="302"/>
      <c r="BE31" s="302"/>
      <c r="BF31" s="302"/>
      <c r="BG31" s="302"/>
      <c r="BH31" s="302"/>
      <c r="BI31" s="302"/>
      <c r="BJ31" s="302"/>
      <c r="BM31">
        <v>46</v>
      </c>
      <c r="BS31">
        <v>9.8000000000000007</v>
      </c>
      <c r="BY31">
        <v>48.4</v>
      </c>
      <c r="CA31">
        <v>20.9</v>
      </c>
      <c r="CC31">
        <v>81.3</v>
      </c>
      <c r="CI31">
        <v>8.3000000000000007</v>
      </c>
      <c r="CO31" t="s">
        <v>8698</v>
      </c>
      <c r="CR31">
        <v>5</v>
      </c>
      <c r="CT31" s="304" t="s">
        <v>11678</v>
      </c>
    </row>
    <row r="32" spans="1:98" s="304" customFormat="1">
      <c r="A32" s="304" t="s">
        <v>8507</v>
      </c>
      <c r="B32" s="463">
        <v>17</v>
      </c>
      <c r="C32" s="296" t="s">
        <v>7743</v>
      </c>
      <c r="D32" s="296" t="s">
        <v>7827</v>
      </c>
      <c r="E32" s="296" t="s">
        <v>7743</v>
      </c>
      <c r="F32" s="296"/>
      <c r="G32" s="296" t="s">
        <v>8507</v>
      </c>
      <c r="H32" s="297" t="s">
        <v>8696</v>
      </c>
      <c r="I32" s="297">
        <v>2</v>
      </c>
      <c r="J32" s="298">
        <v>207</v>
      </c>
      <c r="K32" s="299"/>
      <c r="L32" s="299"/>
      <c r="M32" s="299">
        <v>4</v>
      </c>
      <c r="N32" s="299">
        <v>8</v>
      </c>
      <c r="O32" s="300">
        <v>50</v>
      </c>
      <c r="P32" s="301">
        <v>42090</v>
      </c>
      <c r="Q32" s="302"/>
      <c r="R32" s="303"/>
      <c r="S32" s="289">
        <v>4</v>
      </c>
      <c r="T32" s="303">
        <v>42208</v>
      </c>
      <c r="U32" s="302"/>
      <c r="V32" s="303"/>
      <c r="W32" s="302"/>
      <c r="X32" s="303"/>
      <c r="Y32" s="302">
        <v>13.14</v>
      </c>
      <c r="Z32" s="303">
        <v>42208</v>
      </c>
      <c r="AA32">
        <v>14.4</v>
      </c>
      <c r="AB32" s="303"/>
      <c r="AC32" s="302"/>
      <c r="AD32" s="303"/>
      <c r="AE32" s="302"/>
      <c r="AF32" s="303"/>
      <c r="AG32">
        <v>57736.434108527137</v>
      </c>
      <c r="AH32" s="521">
        <f>(AK32*10000)/AM32</f>
        <v>57736.434108527137</v>
      </c>
      <c r="AI32" s="302"/>
      <c r="AJ32" s="303"/>
      <c r="AK32">
        <v>24.826666666666668</v>
      </c>
      <c r="AL32" s="521"/>
      <c r="AM32">
        <v>4.3</v>
      </c>
      <c r="AN32" s="303">
        <v>42244</v>
      </c>
      <c r="AO32">
        <v>130</v>
      </c>
      <c r="AP32" s="303">
        <v>42170</v>
      </c>
      <c r="AQ32" s="302"/>
      <c r="AR32" s="303"/>
      <c r="AS32" s="302"/>
      <c r="AT32" s="303"/>
      <c r="AU32">
        <v>108</v>
      </c>
      <c r="AV32" s="302"/>
      <c r="AW32" s="302"/>
      <c r="AX32" s="302"/>
      <c r="AY32" s="302"/>
      <c r="AZ32" s="302"/>
      <c r="BA32" s="302"/>
      <c r="BB32" s="302"/>
      <c r="BC32" s="302"/>
      <c r="BD32" s="302"/>
      <c r="BE32" s="302"/>
      <c r="BF32" s="302"/>
      <c r="BG32" s="302"/>
      <c r="BH32" s="302"/>
      <c r="BI32" s="302"/>
      <c r="BJ32" s="302"/>
      <c r="BM32">
        <v>51.4</v>
      </c>
      <c r="BS32">
        <v>6.9</v>
      </c>
      <c r="BY32">
        <v>47.2</v>
      </c>
      <c r="CA32">
        <v>22.4</v>
      </c>
      <c r="CC32">
        <v>79.3</v>
      </c>
      <c r="CI32">
        <v>8.8000000000000007</v>
      </c>
      <c r="CO32" t="s">
        <v>8698</v>
      </c>
      <c r="CR32">
        <v>4</v>
      </c>
      <c r="CT32" s="304" t="s">
        <v>11678</v>
      </c>
    </row>
    <row r="33" spans="1:98" s="304" customFormat="1">
      <c r="A33" s="304" t="s">
        <v>8507</v>
      </c>
      <c r="B33" s="463">
        <v>18</v>
      </c>
      <c r="C33" s="296" t="s">
        <v>7744</v>
      </c>
      <c r="D33" s="296" t="s">
        <v>7828</v>
      </c>
      <c r="E33" s="296" t="s">
        <v>7744</v>
      </c>
      <c r="F33" s="296"/>
      <c r="G33" s="296" t="s">
        <v>8507</v>
      </c>
      <c r="H33" s="297" t="s">
        <v>8697</v>
      </c>
      <c r="I33" s="297">
        <v>1</v>
      </c>
      <c r="J33" s="298">
        <v>107</v>
      </c>
      <c r="K33" s="299"/>
      <c r="L33" s="299"/>
      <c r="M33" s="299">
        <v>4</v>
      </c>
      <c r="N33" s="299">
        <v>2</v>
      </c>
      <c r="O33" s="300">
        <v>42</v>
      </c>
      <c r="P33" s="301">
        <v>42090</v>
      </c>
      <c r="Q33" s="302"/>
      <c r="R33" s="303"/>
      <c r="S33" s="289">
        <v>2.5</v>
      </c>
      <c r="T33" s="303">
        <v>42208</v>
      </c>
      <c r="U33" s="302"/>
      <c r="V33" s="303"/>
      <c r="W33" s="302"/>
      <c r="X33" s="303"/>
      <c r="Y33" s="302">
        <v>8.16</v>
      </c>
      <c r="Z33" s="303">
        <v>42208</v>
      </c>
      <c r="AA33">
        <v>14.4</v>
      </c>
      <c r="AB33" s="303"/>
      <c r="AC33" s="302"/>
      <c r="AD33" s="303"/>
      <c r="AE33" s="302"/>
      <c r="AF33" s="303"/>
      <c r="AG33">
        <v>33086.583924349885</v>
      </c>
      <c r="AH33" s="521">
        <f>(AK33*10000)/AM33</f>
        <v>33086.583924349885</v>
      </c>
      <c r="AI33" s="302"/>
      <c r="AJ33" s="303"/>
      <c r="AK33">
        <v>15.550694444444446</v>
      </c>
      <c r="AL33" s="521"/>
      <c r="AM33">
        <v>4.7</v>
      </c>
      <c r="AN33" s="303">
        <v>42244</v>
      </c>
      <c r="AO33">
        <v>155</v>
      </c>
      <c r="AP33" s="303">
        <v>42170</v>
      </c>
      <c r="AQ33" s="302"/>
      <c r="AR33" s="303"/>
      <c r="AS33" s="302"/>
      <c r="AT33" s="303"/>
      <c r="AU33">
        <v>108</v>
      </c>
      <c r="AV33" s="302"/>
      <c r="AW33" s="302"/>
      <c r="AX33" s="302"/>
      <c r="AY33" s="302"/>
      <c r="AZ33" s="302"/>
      <c r="BA33" s="302"/>
      <c r="BB33" s="302"/>
      <c r="BC33" s="302"/>
      <c r="BD33" s="302"/>
      <c r="BE33" s="302"/>
      <c r="BF33" s="302"/>
      <c r="BG33" s="302"/>
      <c r="BH33" s="302"/>
      <c r="BI33" s="302"/>
      <c r="BJ33" s="302"/>
      <c r="BM33">
        <v>41.7</v>
      </c>
      <c r="BS33">
        <v>11</v>
      </c>
      <c r="BY33">
        <v>46.8</v>
      </c>
      <c r="CA33">
        <v>19.2</v>
      </c>
      <c r="CC33">
        <v>73.3</v>
      </c>
      <c r="CI33">
        <v>8.6</v>
      </c>
      <c r="CO33" s="304" t="s">
        <v>11676</v>
      </c>
      <c r="CR33">
        <v>6</v>
      </c>
      <c r="CT33" s="304" t="s">
        <v>11678</v>
      </c>
    </row>
    <row r="34" spans="1:98" s="304" customFormat="1">
      <c r="A34" s="304" t="s">
        <v>8507</v>
      </c>
      <c r="B34" s="463">
        <v>18</v>
      </c>
      <c r="C34" s="296" t="s">
        <v>7744</v>
      </c>
      <c r="D34" s="296" t="s">
        <v>7828</v>
      </c>
      <c r="E34" s="296" t="s">
        <v>7744</v>
      </c>
      <c r="F34" s="296"/>
      <c r="G34" s="296" t="s">
        <v>8507</v>
      </c>
      <c r="H34" s="297" t="s">
        <v>8696</v>
      </c>
      <c r="I34" s="297">
        <v>2</v>
      </c>
      <c r="J34" s="298">
        <v>215</v>
      </c>
      <c r="K34" s="299"/>
      <c r="L34" s="299"/>
      <c r="M34" s="299">
        <v>4</v>
      </c>
      <c r="N34" s="299">
        <v>10</v>
      </c>
      <c r="O34" s="300">
        <v>53</v>
      </c>
      <c r="P34" s="301">
        <v>42090</v>
      </c>
      <c r="Q34" s="302"/>
      <c r="R34" s="303"/>
      <c r="S34" s="289">
        <v>2.5</v>
      </c>
      <c r="T34" s="303">
        <v>42208</v>
      </c>
      <c r="U34" s="302"/>
      <c r="V34" s="303"/>
      <c r="W34" s="302"/>
      <c r="X34" s="303"/>
      <c r="Y34" s="302">
        <v>7.39</v>
      </c>
      <c r="Z34" s="303">
        <v>42208</v>
      </c>
      <c r="AA34">
        <v>14.4</v>
      </c>
      <c r="AB34" s="303"/>
      <c r="AC34" s="302"/>
      <c r="AD34" s="303"/>
      <c r="AE34" s="302"/>
      <c r="AF34" s="303"/>
      <c r="AG34">
        <v>32078.269675925927</v>
      </c>
      <c r="AH34" s="521">
        <f>(AK34*10000)/AM34</f>
        <v>32078.269675925927</v>
      </c>
      <c r="AI34" s="302"/>
      <c r="AJ34" s="303"/>
      <c r="AK34">
        <v>15.397569444444445</v>
      </c>
      <c r="AL34" s="521"/>
      <c r="AM34">
        <v>4.8</v>
      </c>
      <c r="AN34" s="303">
        <v>42244</v>
      </c>
      <c r="AO34">
        <v>105</v>
      </c>
      <c r="AP34" s="303">
        <v>42170</v>
      </c>
      <c r="AQ34" s="302"/>
      <c r="AR34" s="303"/>
      <c r="AS34" s="302"/>
      <c r="AT34" s="303"/>
      <c r="AU34"/>
      <c r="AV34" s="302"/>
      <c r="AW34" s="302"/>
      <c r="AX34" s="302"/>
      <c r="AY34" s="302"/>
      <c r="AZ34" s="302"/>
      <c r="BA34" s="302"/>
      <c r="BB34" s="302"/>
      <c r="BC34" s="302"/>
      <c r="BD34" s="302"/>
      <c r="BE34" s="302"/>
      <c r="BF34" s="302"/>
      <c r="BG34" s="302"/>
      <c r="BH34" s="302"/>
      <c r="BI34" s="302"/>
      <c r="BJ34" s="302"/>
      <c r="BM34">
        <v>40.700000000000003</v>
      </c>
      <c r="BS34">
        <v>11.4</v>
      </c>
      <c r="BY34">
        <v>42.8</v>
      </c>
      <c r="CA34">
        <v>24.9</v>
      </c>
      <c r="CC34">
        <v>81.3</v>
      </c>
      <c r="CI34">
        <v>9.5</v>
      </c>
      <c r="CO34" t="s">
        <v>8698</v>
      </c>
      <c r="CR34">
        <v>5</v>
      </c>
      <c r="CT34" s="304" t="s">
        <v>11678</v>
      </c>
    </row>
    <row r="35" spans="1:98" s="304" customFormat="1">
      <c r="A35" s="304" t="s">
        <v>8507</v>
      </c>
      <c r="B35" s="463">
        <v>21</v>
      </c>
      <c r="C35" s="296" t="s">
        <v>7748</v>
      </c>
      <c r="D35" s="296" t="s">
        <v>7832</v>
      </c>
      <c r="E35" s="296" t="s">
        <v>7748</v>
      </c>
      <c r="F35" s="296"/>
      <c r="G35" s="296" t="s">
        <v>8507</v>
      </c>
      <c r="H35" s="297" t="s">
        <v>8696</v>
      </c>
      <c r="I35" s="297">
        <v>2</v>
      </c>
      <c r="J35" s="298">
        <v>219</v>
      </c>
      <c r="K35" s="299"/>
      <c r="L35" s="299"/>
      <c r="M35" s="299">
        <v>4</v>
      </c>
      <c r="N35" s="299">
        <v>11</v>
      </c>
      <c r="O35" s="300">
        <v>49</v>
      </c>
      <c r="P35" s="301">
        <v>42090</v>
      </c>
      <c r="Q35" s="302"/>
      <c r="R35" s="303"/>
      <c r="S35" s="289">
        <v>2.75</v>
      </c>
      <c r="T35" s="303">
        <v>42208</v>
      </c>
      <c r="U35" s="302"/>
      <c r="V35" s="303"/>
      <c r="W35" s="302"/>
      <c r="X35" s="303"/>
      <c r="Y35" s="302">
        <v>8.48</v>
      </c>
      <c r="Z35" s="303">
        <v>42208</v>
      </c>
      <c r="AA35">
        <v>14.4</v>
      </c>
      <c r="AB35" s="303"/>
      <c r="AC35" s="302"/>
      <c r="AD35" s="303"/>
      <c r="AE35" s="302"/>
      <c r="AF35" s="303"/>
      <c r="AG35">
        <v>34842.272458628839</v>
      </c>
      <c r="AH35" s="521">
        <f>(AK35*10000)/AM35</f>
        <v>34842.272458628839</v>
      </c>
      <c r="AI35" s="302"/>
      <c r="AJ35" s="303"/>
      <c r="AK35">
        <v>16.375868055555554</v>
      </c>
      <c r="AL35" s="521"/>
      <c r="AM35">
        <v>4.7</v>
      </c>
      <c r="AN35" s="303">
        <v>42244</v>
      </c>
      <c r="AO35">
        <v>110</v>
      </c>
      <c r="AP35" s="303">
        <v>42170</v>
      </c>
      <c r="AQ35" s="302"/>
      <c r="AR35" s="303"/>
      <c r="AS35" s="302"/>
      <c r="AT35" s="303"/>
      <c r="AU35"/>
      <c r="AV35" s="302"/>
      <c r="AW35" s="302"/>
      <c r="AX35" s="302"/>
      <c r="AY35" s="302"/>
      <c r="AZ35" s="302"/>
      <c r="BA35" s="302"/>
      <c r="BB35" s="302"/>
      <c r="BC35" s="302"/>
      <c r="BD35" s="302"/>
      <c r="BE35" s="302"/>
      <c r="BF35" s="302"/>
      <c r="BG35" s="302"/>
      <c r="BH35" s="302"/>
      <c r="BI35" s="302"/>
      <c r="BJ35" s="302"/>
      <c r="BM35">
        <v>38.299999999999997</v>
      </c>
      <c r="BS35">
        <v>18.7</v>
      </c>
      <c r="BY35">
        <v>46.2</v>
      </c>
      <c r="CA35">
        <v>23</v>
      </c>
      <c r="CC35">
        <v>80.8</v>
      </c>
      <c r="CI35">
        <v>12.5</v>
      </c>
      <c r="CO35" t="s">
        <v>8698</v>
      </c>
      <c r="CR35">
        <v>4</v>
      </c>
      <c r="CT35" s="304" t="s">
        <v>11678</v>
      </c>
    </row>
    <row r="36" spans="1:98" s="304" customFormat="1">
      <c r="A36" s="304" t="s">
        <v>8507</v>
      </c>
      <c r="B36" s="463">
        <v>23</v>
      </c>
      <c r="C36" s="296" t="s">
        <v>7755</v>
      </c>
      <c r="D36" s="296" t="s">
        <v>7566</v>
      </c>
      <c r="E36" s="296" t="s">
        <v>7755</v>
      </c>
      <c r="F36" s="296"/>
      <c r="G36" s="296" t="s">
        <v>8507</v>
      </c>
      <c r="H36" s="297" t="s">
        <v>8696</v>
      </c>
      <c r="I36" s="297">
        <v>2</v>
      </c>
      <c r="J36" s="298">
        <v>211</v>
      </c>
      <c r="K36" s="299"/>
      <c r="L36" s="299"/>
      <c r="M36" s="299">
        <v>4</v>
      </c>
      <c r="N36" s="299">
        <v>9</v>
      </c>
      <c r="O36" s="300">
        <v>13</v>
      </c>
      <c r="P36" s="301">
        <v>42090</v>
      </c>
      <c r="Q36" s="302"/>
      <c r="R36" s="303"/>
      <c r="S36" s="289"/>
      <c r="T36" s="303"/>
      <c r="U36" s="302"/>
      <c r="V36" s="303"/>
      <c r="W36" s="302"/>
      <c r="X36" s="303"/>
      <c r="Y36" s="302"/>
      <c r="Z36" s="303"/>
      <c r="AA36"/>
      <c r="AB36" s="303"/>
      <c r="AC36" s="302"/>
      <c r="AD36" s="303"/>
      <c r="AE36" s="302"/>
      <c r="AF36" s="303"/>
      <c r="AG36" t="e">
        <v>#DIV/0!</v>
      </c>
      <c r="AH36" s="521" t="e">
        <f>(AK36*10000)/AM36</f>
        <v>#DIV/0!</v>
      </c>
      <c r="AI36" s="302"/>
      <c r="AJ36" s="303"/>
      <c r="AK36" t="e">
        <v>#DIV/0!</v>
      </c>
      <c r="AL36" s="521"/>
      <c r="AM36"/>
      <c r="AN36" s="303"/>
      <c r="AO36"/>
      <c r="AP36" s="303"/>
      <c r="AQ36" s="302"/>
      <c r="AR36" s="303"/>
      <c r="AS36" s="302"/>
      <c r="AT36" s="303"/>
      <c r="AU36"/>
      <c r="AV36" s="302"/>
      <c r="AW36" s="302"/>
      <c r="AX36" s="302"/>
      <c r="AY36" s="302"/>
      <c r="AZ36" s="302"/>
      <c r="BA36" s="302"/>
      <c r="BB36" s="302"/>
      <c r="BC36" s="302"/>
      <c r="BD36" s="302"/>
      <c r="BE36" s="302"/>
      <c r="BF36" s="302"/>
      <c r="BG36" s="302"/>
      <c r="BH36" s="302"/>
      <c r="BI36" s="302"/>
      <c r="BJ36" s="302"/>
      <c r="BM36"/>
      <c r="BS36"/>
      <c r="BY36"/>
      <c r="CA36"/>
      <c r="CC36"/>
      <c r="CI36"/>
      <c r="CO36" t="s">
        <v>8698</v>
      </c>
      <c r="CR36"/>
      <c r="CT36" s="304" t="s">
        <v>11678</v>
      </c>
    </row>
    <row r="37" spans="1:98" s="304" customFormat="1">
      <c r="A37" s="304" t="s">
        <v>8507</v>
      </c>
      <c r="B37" s="523">
        <v>24</v>
      </c>
      <c r="C37" s="154" t="s">
        <v>8299</v>
      </c>
      <c r="D37" s="296" t="s">
        <v>8299</v>
      </c>
      <c r="E37" s="173" t="s">
        <v>7753</v>
      </c>
      <c r="F37" s="154"/>
      <c r="G37" s="154" t="s">
        <v>8507</v>
      </c>
      <c r="H37" s="297" t="s">
        <v>8697</v>
      </c>
      <c r="I37" s="297">
        <v>1</v>
      </c>
      <c r="J37" s="298">
        <v>103</v>
      </c>
      <c r="K37" s="299"/>
      <c r="L37" s="299"/>
      <c r="M37" s="299">
        <v>4</v>
      </c>
      <c r="N37" s="299">
        <v>1</v>
      </c>
      <c r="O37" s="300">
        <v>60</v>
      </c>
      <c r="P37" s="301">
        <v>42090</v>
      </c>
      <c r="Q37" s="302"/>
      <c r="R37" s="303"/>
      <c r="S37" s="289">
        <v>4.45</v>
      </c>
      <c r="T37" s="303">
        <v>42208</v>
      </c>
      <c r="U37" s="302"/>
      <c r="V37" s="303"/>
      <c r="W37" s="302"/>
      <c r="X37" s="303"/>
      <c r="Y37" s="302">
        <v>16.32</v>
      </c>
      <c r="Z37" s="303">
        <v>42208</v>
      </c>
      <c r="AA37">
        <v>14.4</v>
      </c>
      <c r="AB37" s="303"/>
      <c r="AC37" s="302"/>
      <c r="AD37" s="303"/>
      <c r="AE37" s="302"/>
      <c r="AF37" s="303"/>
      <c r="AG37">
        <v>56799.305555555555</v>
      </c>
      <c r="AH37" s="521">
        <f>(AK37*10000)/AM37</f>
        <v>56799.305555555555</v>
      </c>
      <c r="AI37" s="302"/>
      <c r="AJ37" s="303"/>
      <c r="AK37">
        <v>27.831659722222224</v>
      </c>
      <c r="AL37" s="521"/>
      <c r="AM37">
        <v>4.9000000000000004</v>
      </c>
      <c r="AN37" s="303">
        <v>42244</v>
      </c>
      <c r="AO37">
        <v>125</v>
      </c>
      <c r="AP37" s="303">
        <v>42170</v>
      </c>
      <c r="AQ37" s="302"/>
      <c r="AR37" s="303"/>
      <c r="AS37" s="302"/>
      <c r="AT37" s="303"/>
      <c r="AU37">
        <v>107</v>
      </c>
      <c r="AV37" s="302"/>
      <c r="AW37" s="302"/>
      <c r="AX37" s="302"/>
      <c r="AY37" s="302"/>
      <c r="AZ37" s="302"/>
      <c r="BA37" s="302"/>
      <c r="BB37" s="302"/>
      <c r="BC37" s="302"/>
      <c r="BD37" s="302"/>
      <c r="BE37" s="302"/>
      <c r="BF37" s="302"/>
      <c r="BG37" s="302"/>
      <c r="BH37" s="302"/>
      <c r="BI37" s="302"/>
      <c r="BJ37" s="302"/>
      <c r="BM37">
        <v>-2</v>
      </c>
      <c r="BS37">
        <v>60.1</v>
      </c>
      <c r="BY37">
        <v>52.3</v>
      </c>
      <c r="CA37">
        <v>15.8</v>
      </c>
      <c r="CC37">
        <v>18.3</v>
      </c>
      <c r="CI37">
        <v>8.1</v>
      </c>
      <c r="CO37" t="s">
        <v>8698</v>
      </c>
      <c r="CR37">
        <v>2</v>
      </c>
      <c r="CT37" s="304" t="s">
        <v>11678</v>
      </c>
    </row>
    <row r="38" spans="1:98" s="304" customFormat="1">
      <c r="A38" s="304" t="s">
        <v>8507</v>
      </c>
      <c r="B38" s="463">
        <v>1</v>
      </c>
      <c r="C38" s="296" t="s">
        <v>7607</v>
      </c>
      <c r="D38" s="296" t="s">
        <v>7451</v>
      </c>
      <c r="E38" s="296" t="s">
        <v>7607</v>
      </c>
      <c r="F38" s="296"/>
      <c r="G38" s="296" t="s">
        <v>8507</v>
      </c>
      <c r="H38" s="297" t="s">
        <v>8696</v>
      </c>
      <c r="I38" s="297">
        <v>2</v>
      </c>
      <c r="J38" s="298">
        <v>224</v>
      </c>
      <c r="K38" s="299"/>
      <c r="L38" s="299"/>
      <c r="M38" s="299">
        <v>5</v>
      </c>
      <c r="N38" s="299">
        <v>12</v>
      </c>
      <c r="O38" s="300">
        <v>33</v>
      </c>
      <c r="P38" s="301">
        <v>42090</v>
      </c>
      <c r="Q38" s="302"/>
      <c r="R38" s="303"/>
      <c r="S38" s="289">
        <v>3.3</v>
      </c>
      <c r="T38" s="303">
        <v>42208</v>
      </c>
      <c r="U38" s="302"/>
      <c r="V38" s="303"/>
      <c r="W38" s="302"/>
      <c r="X38" s="303"/>
      <c r="Y38" s="302">
        <v>10.74</v>
      </c>
      <c r="Z38" s="303">
        <v>42208</v>
      </c>
      <c r="AA38">
        <v>14.4</v>
      </c>
      <c r="AB38" s="303"/>
      <c r="AC38" s="302"/>
      <c r="AD38" s="303"/>
      <c r="AE38" s="302"/>
      <c r="AF38" s="303"/>
      <c r="AG38">
        <v>37888.040123456783</v>
      </c>
      <c r="AH38" s="521">
        <f>(AK38*10000)/AM38</f>
        <v>37888.040123456783</v>
      </c>
      <c r="AI38" s="302"/>
      <c r="AJ38" s="303"/>
      <c r="AK38">
        <v>20.459541666666663</v>
      </c>
      <c r="AL38" s="521"/>
      <c r="AM38">
        <v>5.4</v>
      </c>
      <c r="AN38" s="303">
        <v>42244</v>
      </c>
      <c r="AO38">
        <v>140</v>
      </c>
      <c r="AP38" s="303">
        <v>42170</v>
      </c>
      <c r="AQ38" s="302"/>
      <c r="AR38" s="303"/>
      <c r="AS38" s="302"/>
      <c r="AT38" s="303"/>
      <c r="AU38">
        <v>108</v>
      </c>
      <c r="AV38" s="302"/>
      <c r="AW38" s="302"/>
      <c r="AX38" s="302"/>
      <c r="AY38" s="302"/>
      <c r="AZ38" s="302"/>
      <c r="BA38" s="302"/>
      <c r="BB38" s="302"/>
      <c r="BC38" s="302"/>
      <c r="BD38" s="302"/>
      <c r="BE38" s="302"/>
      <c r="BF38" s="302"/>
      <c r="BG38" s="302"/>
      <c r="BH38" s="302"/>
      <c r="BI38" s="302"/>
      <c r="BJ38" s="302"/>
      <c r="BM38">
        <v>43.9</v>
      </c>
      <c r="BS38">
        <v>10.199999999999999</v>
      </c>
      <c r="BY38">
        <v>46.8</v>
      </c>
      <c r="CA38">
        <v>23.3</v>
      </c>
      <c r="CC38">
        <v>83.4</v>
      </c>
      <c r="CI38">
        <v>8.9</v>
      </c>
      <c r="CO38" t="s">
        <v>8698</v>
      </c>
      <c r="CR38">
        <v>2</v>
      </c>
      <c r="CT38" s="304" t="s">
        <v>11678</v>
      </c>
    </row>
    <row r="39" spans="1:98" s="304" customFormat="1">
      <c r="A39" s="304" t="s">
        <v>8507</v>
      </c>
      <c r="B39" s="463">
        <v>4</v>
      </c>
      <c r="C39" s="296" t="s">
        <v>7614</v>
      </c>
      <c r="D39" s="296" t="s">
        <v>7812</v>
      </c>
      <c r="E39" s="296" t="s">
        <v>7614</v>
      </c>
      <c r="F39" s="296"/>
      <c r="G39" s="296" t="s">
        <v>8507</v>
      </c>
      <c r="H39" s="297" t="s">
        <v>8696</v>
      </c>
      <c r="I39" s="297">
        <v>2</v>
      </c>
      <c r="J39" s="298">
        <v>216</v>
      </c>
      <c r="K39" s="299"/>
      <c r="L39" s="299"/>
      <c r="M39" s="299">
        <v>5</v>
      </c>
      <c r="N39" s="299">
        <v>10</v>
      </c>
      <c r="O39" s="300">
        <v>54</v>
      </c>
      <c r="P39" s="301">
        <v>42090</v>
      </c>
      <c r="Q39" s="302"/>
      <c r="R39" s="303"/>
      <c r="S39" s="289">
        <v>3.75</v>
      </c>
      <c r="T39" s="303">
        <v>42208</v>
      </c>
      <c r="U39" s="302"/>
      <c r="V39" s="303"/>
      <c r="W39" s="302"/>
      <c r="X39" s="303"/>
      <c r="Y39" s="302">
        <v>11.86</v>
      </c>
      <c r="Z39" s="303">
        <v>42208</v>
      </c>
      <c r="AA39">
        <v>14.4</v>
      </c>
      <c r="AB39" s="303"/>
      <c r="AC39" s="302"/>
      <c r="AD39" s="303"/>
      <c r="AE39" s="302"/>
      <c r="AF39" s="303"/>
      <c r="AG39">
        <v>47760.416666666664</v>
      </c>
      <c r="AH39" s="521">
        <f>(AK39*10000)/AM39</f>
        <v>47760.416666666664</v>
      </c>
      <c r="AI39" s="302"/>
      <c r="AJ39" s="303"/>
      <c r="AK39">
        <v>23.40260416666667</v>
      </c>
      <c r="AL39" s="521"/>
      <c r="AM39">
        <v>4.9000000000000004</v>
      </c>
      <c r="AN39" s="303">
        <v>42244</v>
      </c>
      <c r="AO39">
        <v>110</v>
      </c>
      <c r="AP39" s="303">
        <v>42170</v>
      </c>
      <c r="AQ39" s="302"/>
      <c r="AR39" s="303"/>
      <c r="AS39" s="302"/>
      <c r="AT39" s="303"/>
      <c r="AU39">
        <v>104</v>
      </c>
      <c r="AV39" s="302"/>
      <c r="AW39" s="302"/>
      <c r="AX39" s="302"/>
      <c r="AY39" s="302"/>
      <c r="AZ39" s="302"/>
      <c r="BA39" s="302"/>
      <c r="BB39" s="302"/>
      <c r="BC39" s="302"/>
      <c r="BD39" s="302"/>
      <c r="BE39" s="302"/>
      <c r="BF39" s="302"/>
      <c r="BG39" s="302"/>
      <c r="BH39" s="302"/>
      <c r="BI39" s="302"/>
      <c r="BJ39" s="302"/>
      <c r="BM39">
        <v>26.9</v>
      </c>
      <c r="BS39">
        <v>27.6</v>
      </c>
      <c r="BY39">
        <v>45.2</v>
      </c>
      <c r="CA39">
        <v>23.3</v>
      </c>
      <c r="CC39">
        <v>65.099999999999994</v>
      </c>
      <c r="CI39">
        <v>8.3000000000000007</v>
      </c>
      <c r="CO39" t="s">
        <v>8698</v>
      </c>
      <c r="CR39">
        <v>5</v>
      </c>
      <c r="CT39" s="304" t="s">
        <v>11678</v>
      </c>
    </row>
    <row r="40" spans="1:98" s="304" customFormat="1">
      <c r="A40" s="304" t="s">
        <v>8507</v>
      </c>
      <c r="B40" s="463">
        <v>5</v>
      </c>
      <c r="C40" s="296" t="s">
        <v>7629</v>
      </c>
      <c r="D40" s="296" t="s">
        <v>7466</v>
      </c>
      <c r="E40" s="296" t="s">
        <v>7629</v>
      </c>
      <c r="F40" s="296"/>
      <c r="G40" s="296" t="s">
        <v>8507</v>
      </c>
      <c r="H40" s="297" t="s">
        <v>8697</v>
      </c>
      <c r="I40" s="297">
        <v>1</v>
      </c>
      <c r="J40" s="298">
        <v>116</v>
      </c>
      <c r="K40" s="299"/>
      <c r="L40" s="299"/>
      <c r="M40" s="299">
        <v>5</v>
      </c>
      <c r="N40" s="299">
        <v>4</v>
      </c>
      <c r="O40" s="300">
        <v>28</v>
      </c>
      <c r="P40" s="301">
        <v>42090</v>
      </c>
      <c r="Q40" s="302"/>
      <c r="R40" s="303"/>
      <c r="S40" s="289">
        <v>2.95</v>
      </c>
      <c r="T40" s="303">
        <v>42208</v>
      </c>
      <c r="U40" s="302"/>
      <c r="V40" s="303"/>
      <c r="W40" s="302"/>
      <c r="X40" s="303"/>
      <c r="Y40" s="302">
        <v>10.39</v>
      </c>
      <c r="Z40" s="303">
        <v>42208</v>
      </c>
      <c r="AA40">
        <v>14.4</v>
      </c>
      <c r="AB40" s="303"/>
      <c r="AC40" s="302"/>
      <c r="AD40" s="303"/>
      <c r="AE40" s="302"/>
      <c r="AF40" s="303"/>
      <c r="AG40">
        <v>37448.611111111109</v>
      </c>
      <c r="AH40" s="521">
        <f>(AK40*10000)/AM40</f>
        <v>37448.611111111109</v>
      </c>
      <c r="AI40" s="302"/>
      <c r="AJ40" s="303"/>
      <c r="AK40">
        <v>18.349819444444446</v>
      </c>
      <c r="AL40" s="521"/>
      <c r="AM40">
        <v>4.9000000000000004</v>
      </c>
      <c r="AN40" s="303">
        <v>42244</v>
      </c>
      <c r="AO40">
        <v>130</v>
      </c>
      <c r="AP40" s="303">
        <v>42170</v>
      </c>
      <c r="AQ40" s="302"/>
      <c r="AR40" s="303"/>
      <c r="AS40" s="302"/>
      <c r="AT40" s="303"/>
      <c r="AU40">
        <v>105</v>
      </c>
      <c r="AV40" s="302"/>
      <c r="AW40" s="302"/>
      <c r="AX40" s="302"/>
      <c r="AY40" s="302"/>
      <c r="AZ40" s="302"/>
      <c r="BA40" s="302"/>
      <c r="BB40" s="302"/>
      <c r="BC40" s="302"/>
      <c r="BD40" s="302"/>
      <c r="BE40" s="302"/>
      <c r="BF40" s="302"/>
      <c r="BG40" s="302"/>
      <c r="BH40" s="302"/>
      <c r="BI40" s="302"/>
      <c r="BJ40" s="302"/>
      <c r="BM40">
        <v>6.3</v>
      </c>
      <c r="BS40">
        <v>51.5</v>
      </c>
      <c r="BY40">
        <v>50.5</v>
      </c>
      <c r="CA40">
        <v>19.100000000000001</v>
      </c>
      <c r="CC40">
        <v>60.1</v>
      </c>
      <c r="CI40">
        <v>8.6</v>
      </c>
      <c r="CO40" t="s">
        <v>8698</v>
      </c>
      <c r="CR40">
        <v>5</v>
      </c>
      <c r="CT40" s="304" t="s">
        <v>11678</v>
      </c>
    </row>
    <row r="41" spans="1:98" s="304" customFormat="1">
      <c r="A41" s="304" t="s">
        <v>8507</v>
      </c>
      <c r="B41" s="463">
        <v>5</v>
      </c>
      <c r="C41" s="296" t="s">
        <v>7629</v>
      </c>
      <c r="D41" s="296" t="s">
        <v>7466</v>
      </c>
      <c r="E41" s="296" t="s">
        <v>7629</v>
      </c>
      <c r="F41" s="296"/>
      <c r="G41" s="296" t="s">
        <v>8507</v>
      </c>
      <c r="H41" s="297" t="s">
        <v>8696</v>
      </c>
      <c r="I41" s="297">
        <v>2</v>
      </c>
      <c r="J41" s="298">
        <v>204</v>
      </c>
      <c r="K41" s="299"/>
      <c r="L41" s="299"/>
      <c r="M41" s="299">
        <v>5</v>
      </c>
      <c r="N41" s="299">
        <v>7</v>
      </c>
      <c r="O41" s="300">
        <v>43</v>
      </c>
      <c r="P41" s="301">
        <v>42090</v>
      </c>
      <c r="Q41" s="302"/>
      <c r="R41" s="303"/>
      <c r="S41" s="289">
        <v>3.95</v>
      </c>
      <c r="T41" s="303">
        <v>42208</v>
      </c>
      <c r="U41" s="302"/>
      <c r="V41" s="303"/>
      <c r="W41" s="302"/>
      <c r="X41" s="303"/>
      <c r="Y41" s="302">
        <v>13.11</v>
      </c>
      <c r="Z41" s="303">
        <v>42208</v>
      </c>
      <c r="AA41">
        <v>14.4</v>
      </c>
      <c r="AB41" s="303"/>
      <c r="AC41" s="302"/>
      <c r="AD41" s="303"/>
      <c r="AE41" s="302"/>
      <c r="AF41" s="303"/>
      <c r="AG41">
        <v>48817.611111111109</v>
      </c>
      <c r="AH41" s="521">
        <f>(AK41*10000)/AM41</f>
        <v>48817.611111111109</v>
      </c>
      <c r="AI41" s="302"/>
      <c r="AJ41" s="303"/>
      <c r="AK41">
        <v>24.408805555555553</v>
      </c>
      <c r="AL41" s="521"/>
      <c r="AM41">
        <v>5</v>
      </c>
      <c r="AN41" s="303">
        <v>42244</v>
      </c>
      <c r="AO41">
        <v>110</v>
      </c>
      <c r="AP41" s="303">
        <v>42170</v>
      </c>
      <c r="AQ41" s="302"/>
      <c r="AR41" s="303"/>
      <c r="AS41" s="302"/>
      <c r="AT41" s="303"/>
      <c r="AU41">
        <v>106</v>
      </c>
      <c r="AV41" s="302"/>
      <c r="AW41" s="302"/>
      <c r="AX41" s="302"/>
      <c r="AY41" s="302"/>
      <c r="AZ41" s="302"/>
      <c r="BA41" s="302"/>
      <c r="BB41" s="302"/>
      <c r="BC41" s="302"/>
      <c r="BD41" s="302"/>
      <c r="BE41" s="302"/>
      <c r="BF41" s="302"/>
      <c r="BG41" s="302"/>
      <c r="BH41" s="302"/>
      <c r="BI41" s="302"/>
      <c r="BJ41" s="302"/>
      <c r="BM41">
        <v>5.9</v>
      </c>
      <c r="BS41">
        <v>54.5</v>
      </c>
      <c r="BY41">
        <v>47.9</v>
      </c>
      <c r="CA41">
        <v>22.4</v>
      </c>
      <c r="CC41">
        <v>62.3</v>
      </c>
      <c r="CI41">
        <v>9.1999999999999993</v>
      </c>
      <c r="CO41" t="s">
        <v>8698</v>
      </c>
      <c r="CR41">
        <v>5</v>
      </c>
      <c r="CT41" s="304" t="s">
        <v>11678</v>
      </c>
    </row>
    <row r="42" spans="1:98" s="304" customFormat="1">
      <c r="A42" s="304" t="s">
        <v>8507</v>
      </c>
      <c r="B42" s="463">
        <v>8</v>
      </c>
      <c r="C42" s="296" t="s">
        <v>7645</v>
      </c>
      <c r="D42" s="296" t="s">
        <v>7480</v>
      </c>
      <c r="E42" s="296" t="s">
        <v>7645</v>
      </c>
      <c r="F42" s="296"/>
      <c r="G42" s="296" t="s">
        <v>8507</v>
      </c>
      <c r="H42" s="297" t="s">
        <v>8696</v>
      </c>
      <c r="I42" s="297">
        <v>2</v>
      </c>
      <c r="J42" s="298">
        <v>212</v>
      </c>
      <c r="K42" s="299"/>
      <c r="L42" s="299"/>
      <c r="M42" s="299">
        <v>5</v>
      </c>
      <c r="N42" s="299">
        <v>9</v>
      </c>
      <c r="O42" s="300">
        <v>46</v>
      </c>
      <c r="P42" s="301">
        <v>42090</v>
      </c>
      <c r="Q42" s="302"/>
      <c r="R42" s="303"/>
      <c r="S42" s="289">
        <v>3.1</v>
      </c>
      <c r="T42" s="303">
        <v>42208</v>
      </c>
      <c r="U42" s="302"/>
      <c r="V42" s="303"/>
      <c r="W42" s="302"/>
      <c r="X42" s="303"/>
      <c r="Y42" s="302">
        <v>9.41</v>
      </c>
      <c r="Z42" s="303">
        <v>42208</v>
      </c>
      <c r="AA42">
        <v>14.4</v>
      </c>
      <c r="AB42" s="303"/>
      <c r="AC42" s="302"/>
      <c r="AD42" s="303"/>
      <c r="AE42" s="302"/>
      <c r="AF42" s="303"/>
      <c r="AG42">
        <v>35318.312757201653</v>
      </c>
      <c r="AH42" s="521">
        <f>(AK42*10000)/AM42</f>
        <v>35318.312757201653</v>
      </c>
      <c r="AI42" s="302"/>
      <c r="AJ42" s="303"/>
      <c r="AK42">
        <v>19.071888888888893</v>
      </c>
      <c r="AL42" s="521"/>
      <c r="AM42">
        <v>5.4</v>
      </c>
      <c r="AN42" s="303">
        <v>42244</v>
      </c>
      <c r="AO42">
        <v>145</v>
      </c>
      <c r="AP42" s="303">
        <v>42170</v>
      </c>
      <c r="AQ42" s="302"/>
      <c r="AR42" s="303"/>
      <c r="AS42" s="302"/>
      <c r="AT42" s="303"/>
      <c r="AU42">
        <v>108</v>
      </c>
      <c r="AV42" s="302"/>
      <c r="AW42" s="302"/>
      <c r="AX42" s="302"/>
      <c r="AY42" s="302"/>
      <c r="AZ42" s="302"/>
      <c r="BA42" s="302"/>
      <c r="BB42" s="302"/>
      <c r="BC42" s="302"/>
      <c r="BD42" s="302"/>
      <c r="BE42" s="302"/>
      <c r="BF42" s="302"/>
      <c r="BG42" s="302"/>
      <c r="BH42" s="302"/>
      <c r="BI42" s="302"/>
      <c r="BJ42" s="302"/>
      <c r="BM42">
        <v>1.7</v>
      </c>
      <c r="BS42">
        <v>51.6</v>
      </c>
      <c r="BY42">
        <v>44</v>
      </c>
      <c r="CA42">
        <v>24.7</v>
      </c>
      <c r="CC42">
        <v>74.400000000000006</v>
      </c>
      <c r="CI42">
        <v>9.6</v>
      </c>
      <c r="CO42" t="s">
        <v>8698</v>
      </c>
      <c r="CR42">
        <v>4</v>
      </c>
      <c r="CT42" s="304" t="s">
        <v>11678</v>
      </c>
    </row>
    <row r="43" spans="1:98" s="304" customFormat="1">
      <c r="A43" s="304" t="s">
        <v>8507</v>
      </c>
      <c r="B43" s="463">
        <v>12</v>
      </c>
      <c r="C43" s="296" t="s">
        <v>7655</v>
      </c>
      <c r="D43" s="296" t="s">
        <v>8501</v>
      </c>
      <c r="E43" s="296" t="s">
        <v>7655</v>
      </c>
      <c r="F43" s="296"/>
      <c r="G43" s="296" t="s">
        <v>8507</v>
      </c>
      <c r="H43" s="297" t="s">
        <v>8697</v>
      </c>
      <c r="I43" s="297">
        <v>1</v>
      </c>
      <c r="J43" s="298">
        <v>104</v>
      </c>
      <c r="K43" s="299"/>
      <c r="L43" s="299"/>
      <c r="M43" s="299">
        <v>5</v>
      </c>
      <c r="N43" s="299">
        <v>1</v>
      </c>
      <c r="O43" s="300">
        <v>44</v>
      </c>
      <c r="P43" s="301">
        <v>42090</v>
      </c>
      <c r="Q43" s="302"/>
      <c r="R43" s="303"/>
      <c r="S43" s="289">
        <v>3.9</v>
      </c>
      <c r="T43" s="303">
        <v>42208</v>
      </c>
      <c r="U43" s="302"/>
      <c r="V43" s="303"/>
      <c r="W43" s="302"/>
      <c r="X43" s="303"/>
      <c r="Y43" s="302">
        <v>13.97</v>
      </c>
      <c r="Z43" s="303">
        <v>42208</v>
      </c>
      <c r="AA43">
        <v>14.4</v>
      </c>
      <c r="AB43" s="303"/>
      <c r="AC43" s="302"/>
      <c r="AD43" s="303"/>
      <c r="AE43" s="302"/>
      <c r="AF43" s="303"/>
      <c r="AG43">
        <v>46703.125</v>
      </c>
      <c r="AH43" s="521">
        <f>(AK43*10000)/AM43</f>
        <v>46703.125</v>
      </c>
      <c r="AI43" s="302"/>
      <c r="AJ43" s="303"/>
      <c r="AK43">
        <v>24.285625</v>
      </c>
      <c r="AL43" s="521"/>
      <c r="AM43">
        <v>5.2</v>
      </c>
      <c r="AN43" s="303">
        <v>42244</v>
      </c>
      <c r="AO43">
        <v>115</v>
      </c>
      <c r="AP43" s="303">
        <v>42170</v>
      </c>
      <c r="AQ43" s="302"/>
      <c r="AR43" s="303"/>
      <c r="AS43" s="302"/>
      <c r="AT43" s="303"/>
      <c r="AU43">
        <v>107</v>
      </c>
      <c r="AV43" s="302"/>
      <c r="AW43" s="302"/>
      <c r="AX43" s="302"/>
      <c r="AY43" s="302"/>
      <c r="AZ43" s="302"/>
      <c r="BA43" s="302"/>
      <c r="BB43" s="302"/>
      <c r="BC43" s="302"/>
      <c r="BD43" s="302"/>
      <c r="BE43" s="302"/>
      <c r="BF43" s="302"/>
      <c r="BG43" s="302"/>
      <c r="BH43" s="302"/>
      <c r="BI43" s="302"/>
      <c r="BJ43" s="302"/>
      <c r="BM43">
        <v>0.8</v>
      </c>
      <c r="BS43">
        <v>55.8</v>
      </c>
      <c r="BY43">
        <v>51.3</v>
      </c>
      <c r="CA43">
        <v>18.399999999999999</v>
      </c>
      <c r="CC43">
        <v>62.7</v>
      </c>
      <c r="CI43">
        <v>8.5</v>
      </c>
      <c r="CO43" t="s">
        <v>8698</v>
      </c>
      <c r="CR43">
        <v>3</v>
      </c>
      <c r="CT43" s="304" t="s">
        <v>11678</v>
      </c>
    </row>
    <row r="44" spans="1:98" s="304" customFormat="1">
      <c r="A44" s="304" t="s">
        <v>8507</v>
      </c>
      <c r="B44" s="463">
        <v>13</v>
      </c>
      <c r="C44" s="296" t="s">
        <v>7667</v>
      </c>
      <c r="D44" s="296" t="s">
        <v>7499</v>
      </c>
      <c r="E44" s="296" t="s">
        <v>7667</v>
      </c>
      <c r="F44" s="296"/>
      <c r="G44" s="296" t="s">
        <v>8507</v>
      </c>
      <c r="H44" s="297" t="s">
        <v>8697</v>
      </c>
      <c r="I44" s="297">
        <v>1</v>
      </c>
      <c r="J44" s="298">
        <v>108</v>
      </c>
      <c r="K44" s="299"/>
      <c r="L44" s="299"/>
      <c r="M44" s="299">
        <v>5</v>
      </c>
      <c r="N44" s="299">
        <v>2</v>
      </c>
      <c r="O44" s="300">
        <v>30</v>
      </c>
      <c r="P44" s="301">
        <v>42090</v>
      </c>
      <c r="Q44" s="302"/>
      <c r="R44" s="303"/>
      <c r="S44" s="289">
        <v>3.9</v>
      </c>
      <c r="T44" s="303">
        <v>42208</v>
      </c>
      <c r="U44" s="302"/>
      <c r="V44" s="303"/>
      <c r="W44" s="302"/>
      <c r="X44" s="303"/>
      <c r="Y44" s="302">
        <v>13.71</v>
      </c>
      <c r="Z44" s="303">
        <v>42208</v>
      </c>
      <c r="AA44">
        <v>14.4</v>
      </c>
      <c r="AB44" s="303"/>
      <c r="AC44" s="302"/>
      <c r="AD44" s="303"/>
      <c r="AE44" s="302"/>
      <c r="AF44" s="303"/>
      <c r="AG44">
        <v>45022.530864197521</v>
      </c>
      <c r="AH44" s="521">
        <f>(AK44*10000)/AM44</f>
        <v>45022.530864197521</v>
      </c>
      <c r="AI44" s="302"/>
      <c r="AJ44" s="303"/>
      <c r="AK44">
        <v>24.312166666666663</v>
      </c>
      <c r="AL44" s="521"/>
      <c r="AM44">
        <v>5.4</v>
      </c>
      <c r="AN44" s="303">
        <v>42244</v>
      </c>
      <c r="AO44">
        <v>140</v>
      </c>
      <c r="AP44" s="303">
        <v>42170</v>
      </c>
      <c r="AQ44" s="302"/>
      <c r="AR44" s="303"/>
      <c r="AS44" s="302"/>
      <c r="AT44" s="303"/>
      <c r="AU44">
        <v>108</v>
      </c>
      <c r="AV44" s="302"/>
      <c r="AW44" s="302"/>
      <c r="AX44" s="302"/>
      <c r="AY44" s="302"/>
      <c r="AZ44" s="302"/>
      <c r="BA44" s="302"/>
      <c r="BB44" s="302"/>
      <c r="BC44" s="302"/>
      <c r="BD44" s="302"/>
      <c r="BE44" s="302"/>
      <c r="BF44" s="302"/>
      <c r="BG44" s="302"/>
      <c r="BH44" s="302"/>
      <c r="BI44" s="302"/>
      <c r="BJ44" s="302"/>
      <c r="BM44">
        <v>0.6</v>
      </c>
      <c r="BS44">
        <v>59.6</v>
      </c>
      <c r="BY44">
        <v>50.3</v>
      </c>
      <c r="CA44">
        <v>17.100000000000001</v>
      </c>
      <c r="CC44">
        <v>24.6</v>
      </c>
      <c r="CI44">
        <v>8.4</v>
      </c>
      <c r="CO44" t="s">
        <v>8698</v>
      </c>
      <c r="CR44">
        <v>3</v>
      </c>
      <c r="CT44" s="304" t="s">
        <v>11678</v>
      </c>
    </row>
    <row r="45" spans="1:98" s="304" customFormat="1">
      <c r="A45" s="304" t="s">
        <v>8507</v>
      </c>
      <c r="B45" s="463">
        <v>15</v>
      </c>
      <c r="C45" s="296" t="s">
        <v>7739</v>
      </c>
      <c r="D45" s="296" t="s">
        <v>7823</v>
      </c>
      <c r="E45" s="296" t="s">
        <v>7739</v>
      </c>
      <c r="F45" s="296"/>
      <c r="G45" s="296" t="s">
        <v>8507</v>
      </c>
      <c r="H45" s="297" t="s">
        <v>8697</v>
      </c>
      <c r="I45" s="297">
        <v>1</v>
      </c>
      <c r="J45" s="298">
        <v>124</v>
      </c>
      <c r="K45" s="299"/>
      <c r="L45" s="299"/>
      <c r="M45" s="299">
        <v>5</v>
      </c>
      <c r="N45" s="299">
        <v>6</v>
      </c>
      <c r="O45" s="300">
        <v>34</v>
      </c>
      <c r="P45" s="301">
        <v>42090</v>
      </c>
      <c r="Q45" s="302"/>
      <c r="R45" s="303"/>
      <c r="S45" s="289">
        <v>3.1</v>
      </c>
      <c r="T45" s="303">
        <v>42208</v>
      </c>
      <c r="U45" s="302"/>
      <c r="V45" s="303"/>
      <c r="W45" s="302"/>
      <c r="X45" s="303"/>
      <c r="Y45" s="302">
        <v>10.44</v>
      </c>
      <c r="Z45" s="303">
        <v>42208</v>
      </c>
      <c r="AA45">
        <v>14.4</v>
      </c>
      <c r="AB45" s="303"/>
      <c r="AC45" s="302"/>
      <c r="AD45" s="303"/>
      <c r="AE45" s="302"/>
      <c r="AF45" s="303"/>
      <c r="AG45">
        <v>26605.941358024687</v>
      </c>
      <c r="AH45" s="521">
        <f>(AK45*10000)/AM45</f>
        <v>26605.941358024687</v>
      </c>
      <c r="AI45" s="302"/>
      <c r="AJ45" s="303"/>
      <c r="AK45">
        <v>19.156277777777774</v>
      </c>
      <c r="AL45" s="521"/>
      <c r="AM45">
        <v>7.2</v>
      </c>
      <c r="AN45" s="303">
        <v>42244</v>
      </c>
      <c r="AO45">
        <v>115</v>
      </c>
      <c r="AP45" s="303">
        <v>42170</v>
      </c>
      <c r="AQ45" s="302"/>
      <c r="AR45" s="303"/>
      <c r="AS45" s="302"/>
      <c r="AT45" s="303"/>
      <c r="AU45">
        <v>108</v>
      </c>
      <c r="AV45" s="302"/>
      <c r="AW45" s="302"/>
      <c r="AX45" s="302"/>
      <c r="AY45" s="302"/>
      <c r="AZ45" s="302"/>
      <c r="BA45" s="302"/>
      <c r="BB45" s="302"/>
      <c r="BC45" s="302"/>
      <c r="BD45" s="302"/>
      <c r="BE45" s="302"/>
      <c r="BF45" s="302"/>
      <c r="BG45" s="302"/>
      <c r="BH45" s="302"/>
      <c r="BI45" s="302"/>
      <c r="BJ45" s="302"/>
      <c r="BM45">
        <v>46.5</v>
      </c>
      <c r="BS45">
        <v>5.7</v>
      </c>
      <c r="BY45">
        <v>48.6</v>
      </c>
      <c r="CA45">
        <v>21.9</v>
      </c>
      <c r="CC45">
        <v>89.6</v>
      </c>
      <c r="CI45">
        <v>9.1999999999999993</v>
      </c>
      <c r="CO45" t="s">
        <v>8698</v>
      </c>
      <c r="CR45">
        <v>5</v>
      </c>
      <c r="CT45" s="304" t="s">
        <v>11678</v>
      </c>
    </row>
    <row r="46" spans="1:98" s="304" customFormat="1">
      <c r="A46" s="304" t="s">
        <v>8507</v>
      </c>
      <c r="B46" s="463">
        <v>19</v>
      </c>
      <c r="C46" s="296" t="s">
        <v>7745</v>
      </c>
      <c r="D46" s="296" t="s">
        <v>7829</v>
      </c>
      <c r="E46" s="296" t="s">
        <v>7745</v>
      </c>
      <c r="F46" s="296"/>
      <c r="G46" s="296" t="s">
        <v>8507</v>
      </c>
      <c r="H46" s="297" t="s">
        <v>8697</v>
      </c>
      <c r="I46" s="297">
        <v>1</v>
      </c>
      <c r="J46" s="298">
        <v>120</v>
      </c>
      <c r="K46" s="299"/>
      <c r="L46" s="299"/>
      <c r="M46" s="299">
        <v>5</v>
      </c>
      <c r="N46" s="299">
        <v>5</v>
      </c>
      <c r="O46" s="300">
        <v>26</v>
      </c>
      <c r="P46" s="301">
        <v>42090</v>
      </c>
      <c r="Q46" s="302"/>
      <c r="R46" s="303"/>
      <c r="S46" s="289">
        <v>3.75</v>
      </c>
      <c r="T46" s="303">
        <v>42208</v>
      </c>
      <c r="U46" s="302"/>
      <c r="V46" s="303"/>
      <c r="W46" s="302"/>
      <c r="X46" s="303"/>
      <c r="Y46" s="302">
        <v>13.18</v>
      </c>
      <c r="Z46" s="303">
        <v>42208</v>
      </c>
      <c r="AA46">
        <v>14.4</v>
      </c>
      <c r="AB46" s="303"/>
      <c r="AC46" s="302"/>
      <c r="AD46" s="303"/>
      <c r="AE46" s="302"/>
      <c r="AF46" s="303"/>
      <c r="AG46">
        <v>43007.330246913582</v>
      </c>
      <c r="AH46" s="521">
        <f>(AK46*10000)/AM46</f>
        <v>43007.330246913582</v>
      </c>
      <c r="AI46" s="302"/>
      <c r="AJ46" s="303"/>
      <c r="AK46">
        <v>23.223958333333336</v>
      </c>
      <c r="AL46" s="521"/>
      <c r="AM46">
        <v>5.4</v>
      </c>
      <c r="AN46" s="303">
        <v>42244</v>
      </c>
      <c r="AO46">
        <v>130</v>
      </c>
      <c r="AP46" s="303">
        <v>42170</v>
      </c>
      <c r="AQ46" s="302"/>
      <c r="AR46" s="303"/>
      <c r="AS46" s="302"/>
      <c r="AT46" s="303"/>
      <c r="AU46">
        <v>105</v>
      </c>
      <c r="AV46" s="302"/>
      <c r="AW46" s="302"/>
      <c r="AX46" s="302"/>
      <c r="AY46" s="302"/>
      <c r="AZ46" s="302"/>
      <c r="BA46" s="302"/>
      <c r="BB46" s="302"/>
      <c r="BC46" s="302"/>
      <c r="BD46" s="302"/>
      <c r="BE46" s="302"/>
      <c r="BF46" s="302"/>
      <c r="BG46" s="302"/>
      <c r="BH46" s="302"/>
      <c r="BI46" s="302"/>
      <c r="BJ46" s="302"/>
      <c r="BM46">
        <v>44.4</v>
      </c>
      <c r="BS46">
        <v>9.1</v>
      </c>
      <c r="BY46">
        <v>50.6</v>
      </c>
      <c r="CA46">
        <v>19.399999999999999</v>
      </c>
      <c r="CC46">
        <v>73.8</v>
      </c>
      <c r="CI46">
        <v>9</v>
      </c>
      <c r="CO46" t="s">
        <v>8698</v>
      </c>
      <c r="CR46">
        <v>5</v>
      </c>
      <c r="CT46" s="304" t="s">
        <v>11678</v>
      </c>
    </row>
    <row r="47" spans="1:98" s="304" customFormat="1">
      <c r="A47" s="304" t="s">
        <v>8507</v>
      </c>
      <c r="B47" s="463">
        <v>20</v>
      </c>
      <c r="C47" s="296" t="s">
        <v>7746</v>
      </c>
      <c r="D47" s="296" t="s">
        <v>7830</v>
      </c>
      <c r="E47" s="296" t="s">
        <v>7746</v>
      </c>
      <c r="F47" s="296"/>
      <c r="G47" s="296" t="s">
        <v>8507</v>
      </c>
      <c r="H47" s="297" t="s">
        <v>8696</v>
      </c>
      <c r="I47" s="297">
        <v>2</v>
      </c>
      <c r="J47" s="298">
        <v>208</v>
      </c>
      <c r="K47" s="299"/>
      <c r="L47" s="299"/>
      <c r="M47" s="299">
        <v>5</v>
      </c>
      <c r="N47" s="299">
        <v>8</v>
      </c>
      <c r="O47" s="300">
        <v>52</v>
      </c>
      <c r="P47" s="301">
        <v>42090</v>
      </c>
      <c r="Q47" s="302"/>
      <c r="R47" s="303"/>
      <c r="S47" s="289">
        <v>5.2</v>
      </c>
      <c r="T47" s="303">
        <v>42208</v>
      </c>
      <c r="U47" s="302"/>
      <c r="V47" s="303"/>
      <c r="W47" s="302"/>
      <c r="X47" s="303"/>
      <c r="Y47" s="302">
        <v>16.850000000000001</v>
      </c>
      <c r="Z47" s="303">
        <v>42208</v>
      </c>
      <c r="AA47">
        <v>14.4</v>
      </c>
      <c r="AB47" s="303"/>
      <c r="AC47" s="302"/>
      <c r="AD47" s="303"/>
      <c r="AE47" s="302"/>
      <c r="AF47" s="303"/>
      <c r="AG47">
        <v>56684.307992202717</v>
      </c>
      <c r="AH47" s="521">
        <f>(AK47*10000)/AM47</f>
        <v>56684.307992202717</v>
      </c>
      <c r="AI47" s="302"/>
      <c r="AJ47" s="303"/>
      <c r="AK47">
        <v>32.31005555555555</v>
      </c>
      <c r="AL47" s="521"/>
      <c r="AM47">
        <v>5.7</v>
      </c>
      <c r="AN47" s="303">
        <v>42244</v>
      </c>
      <c r="AO47">
        <v>140</v>
      </c>
      <c r="AP47" s="303">
        <v>42170</v>
      </c>
      <c r="AQ47" s="302"/>
      <c r="AR47" s="303"/>
      <c r="AS47" s="302"/>
      <c r="AT47" s="303"/>
      <c r="AU47">
        <v>110</v>
      </c>
      <c r="AV47" s="302"/>
      <c r="AW47" s="302"/>
      <c r="AX47" s="302"/>
      <c r="AY47" s="302"/>
      <c r="AZ47" s="302"/>
      <c r="BA47" s="302"/>
      <c r="BB47" s="302"/>
      <c r="BC47" s="302"/>
      <c r="BD47" s="302"/>
      <c r="BE47" s="302"/>
      <c r="BF47" s="302"/>
      <c r="BG47" s="302"/>
      <c r="BH47" s="302"/>
      <c r="BI47" s="302"/>
      <c r="BJ47" s="302"/>
      <c r="BM47">
        <v>35.9</v>
      </c>
      <c r="BS47">
        <v>21.2</v>
      </c>
      <c r="BY47">
        <v>46.5</v>
      </c>
      <c r="CA47">
        <v>23.6</v>
      </c>
      <c r="CC47">
        <v>72.2</v>
      </c>
      <c r="CI47">
        <v>8.6999999999999993</v>
      </c>
      <c r="CO47" t="s">
        <v>8698</v>
      </c>
      <c r="CR47">
        <v>4</v>
      </c>
      <c r="CT47" s="304" t="s">
        <v>11678</v>
      </c>
    </row>
    <row r="48" spans="1:98" s="304" customFormat="1">
      <c r="A48" s="304" t="s">
        <v>8507</v>
      </c>
      <c r="B48" s="463">
        <v>21</v>
      </c>
      <c r="C48" s="296" t="s">
        <v>7748</v>
      </c>
      <c r="D48" s="296" t="s">
        <v>7832</v>
      </c>
      <c r="E48" s="296" t="s">
        <v>7748</v>
      </c>
      <c r="F48" s="296"/>
      <c r="G48" s="296" t="s">
        <v>8507</v>
      </c>
      <c r="H48" s="297" t="s">
        <v>8697</v>
      </c>
      <c r="I48" s="297">
        <v>1</v>
      </c>
      <c r="J48" s="298">
        <v>112</v>
      </c>
      <c r="K48" s="299"/>
      <c r="L48" s="299"/>
      <c r="M48" s="299">
        <v>5</v>
      </c>
      <c r="N48" s="299">
        <v>3</v>
      </c>
      <c r="O48" s="300">
        <v>60</v>
      </c>
      <c r="P48" s="301">
        <v>42090</v>
      </c>
      <c r="Q48" s="302"/>
      <c r="R48" s="303"/>
      <c r="S48" s="289">
        <v>3.75</v>
      </c>
      <c r="T48" s="303">
        <v>42208</v>
      </c>
      <c r="U48" s="302"/>
      <c r="V48" s="303"/>
      <c r="W48" s="302"/>
      <c r="X48" s="303"/>
      <c r="Y48" s="302">
        <v>13.43</v>
      </c>
      <c r="Z48" s="303">
        <v>42208</v>
      </c>
      <c r="AA48">
        <v>14.4</v>
      </c>
      <c r="AB48" s="303"/>
      <c r="AC48" s="302"/>
      <c r="AD48" s="303"/>
      <c r="AE48" s="302"/>
      <c r="AF48" s="303"/>
      <c r="AG48">
        <v>46703.125000000007</v>
      </c>
      <c r="AH48" s="521">
        <f>(AK48*10000)/AM48</f>
        <v>46703.125000000007</v>
      </c>
      <c r="AI48" s="302"/>
      <c r="AJ48" s="303"/>
      <c r="AK48">
        <v>23.351562500000004</v>
      </c>
      <c r="AL48" s="521"/>
      <c r="AM48">
        <v>5</v>
      </c>
      <c r="AN48" s="303">
        <v>42244</v>
      </c>
      <c r="AO48">
        <v>135</v>
      </c>
      <c r="AP48" s="303">
        <v>42170</v>
      </c>
      <c r="AQ48" s="302"/>
      <c r="AR48" s="303"/>
      <c r="AS48" s="302"/>
      <c r="AT48" s="303"/>
      <c r="AU48">
        <v>109</v>
      </c>
      <c r="AV48" s="302"/>
      <c r="AW48" s="302"/>
      <c r="AX48" s="302"/>
      <c r="AY48" s="302"/>
      <c r="AZ48" s="302"/>
      <c r="BA48" s="302"/>
      <c r="BB48" s="302"/>
      <c r="BC48" s="302"/>
      <c r="BD48" s="302"/>
      <c r="BE48" s="302"/>
      <c r="BF48" s="302"/>
      <c r="BG48" s="302"/>
      <c r="BH48" s="302"/>
      <c r="BI48" s="302"/>
      <c r="BJ48" s="302"/>
      <c r="BM48">
        <v>39.6</v>
      </c>
      <c r="BS48">
        <v>19</v>
      </c>
      <c r="BY48">
        <v>51.3</v>
      </c>
      <c r="CA48">
        <v>18.2</v>
      </c>
      <c r="CC48">
        <v>66.3</v>
      </c>
      <c r="CI48">
        <v>8.5</v>
      </c>
      <c r="CO48" s="304" t="s">
        <v>11676</v>
      </c>
      <c r="CR48">
        <v>6</v>
      </c>
      <c r="CT48" s="304" t="s">
        <v>11678</v>
      </c>
    </row>
    <row r="49" spans="1:99" s="304" customFormat="1">
      <c r="A49" s="304" t="s">
        <v>8507</v>
      </c>
      <c r="B49" s="523">
        <v>24</v>
      </c>
      <c r="C49" s="154" t="s">
        <v>8299</v>
      </c>
      <c r="D49" s="296" t="s">
        <v>8299</v>
      </c>
      <c r="E49" s="173" t="s">
        <v>7753</v>
      </c>
      <c r="F49" s="154"/>
      <c r="G49" s="154" t="s">
        <v>8507</v>
      </c>
      <c r="H49" s="297" t="s">
        <v>8696</v>
      </c>
      <c r="I49" s="297">
        <v>2</v>
      </c>
      <c r="J49" s="298">
        <v>220</v>
      </c>
      <c r="K49" s="299"/>
      <c r="L49" s="299"/>
      <c r="M49" s="299">
        <v>5</v>
      </c>
      <c r="N49" s="299">
        <v>11</v>
      </c>
      <c r="O49" s="300">
        <v>58</v>
      </c>
      <c r="P49" s="301">
        <v>42090</v>
      </c>
      <c r="Q49" s="302"/>
      <c r="R49" s="303"/>
      <c r="S49" s="289">
        <v>5.6</v>
      </c>
      <c r="T49" s="303">
        <v>42208</v>
      </c>
      <c r="U49" s="302"/>
      <c r="V49" s="303"/>
      <c r="W49" s="302"/>
      <c r="X49" s="303"/>
      <c r="Y49" s="302">
        <v>19.28</v>
      </c>
      <c r="Z49" s="303">
        <v>42208</v>
      </c>
      <c r="AA49">
        <v>14.4</v>
      </c>
      <c r="AB49" s="303"/>
      <c r="AC49" s="302"/>
      <c r="AD49" s="303"/>
      <c r="AE49" s="302"/>
      <c r="AF49" s="303"/>
      <c r="AG49">
        <v>66401.282051282033</v>
      </c>
      <c r="AH49" s="521">
        <f>(AK49*10000)/AM49</f>
        <v>66401.282051282033</v>
      </c>
      <c r="AI49" s="302"/>
      <c r="AJ49" s="303"/>
      <c r="AK49">
        <v>34.528666666666659</v>
      </c>
      <c r="AL49" s="521"/>
      <c r="AM49">
        <v>5.2</v>
      </c>
      <c r="AN49" s="303">
        <v>42244</v>
      </c>
      <c r="AO49">
        <v>125</v>
      </c>
      <c r="AP49" s="303">
        <v>42170</v>
      </c>
      <c r="AQ49" s="302"/>
      <c r="AR49" s="303"/>
      <c r="AS49" s="302"/>
      <c r="AT49" s="303"/>
      <c r="AU49"/>
      <c r="AV49" s="302"/>
      <c r="AW49" s="302"/>
      <c r="AX49" s="302"/>
      <c r="AY49" s="302"/>
      <c r="AZ49" s="302"/>
      <c r="BA49" s="302"/>
      <c r="BB49" s="302"/>
      <c r="BC49" s="302"/>
      <c r="BD49" s="302"/>
      <c r="BE49" s="302"/>
      <c r="BF49" s="302"/>
      <c r="BG49" s="302"/>
      <c r="BH49" s="302"/>
      <c r="BI49" s="302"/>
      <c r="BJ49" s="302"/>
      <c r="BM49">
        <v>4.0999999999999996</v>
      </c>
      <c r="BS49">
        <v>55.4</v>
      </c>
      <c r="BY49">
        <v>49.8</v>
      </c>
      <c r="CA49">
        <v>19.3</v>
      </c>
      <c r="CC49">
        <v>22.9</v>
      </c>
      <c r="CI49">
        <v>9.4</v>
      </c>
      <c r="CO49" t="s">
        <v>8698</v>
      </c>
      <c r="CR49">
        <v>2</v>
      </c>
      <c r="CT49" s="304" t="s">
        <v>11678</v>
      </c>
    </row>
    <row r="50" spans="1:99" s="304" customFormat="1">
      <c r="A50" s="178" t="s">
        <v>11649</v>
      </c>
      <c r="B50" s="523">
        <v>1</v>
      </c>
      <c r="C50" s="154" t="s">
        <v>8299</v>
      </c>
      <c r="D50" s="296" t="s">
        <v>8299</v>
      </c>
      <c r="E50" s="173" t="s">
        <v>7753</v>
      </c>
      <c r="F50" s="173"/>
      <c r="G50" s="173" t="s">
        <v>11649</v>
      </c>
      <c r="H50" s="174" t="s">
        <v>8697</v>
      </c>
      <c r="I50" s="174">
        <v>1</v>
      </c>
      <c r="J50" s="526">
        <v>101</v>
      </c>
      <c r="K50" s="175"/>
      <c r="L50" s="175"/>
      <c r="M50" s="175">
        <v>7</v>
      </c>
      <c r="N50" s="175">
        <v>2</v>
      </c>
      <c r="O50" s="294">
        <v>32</v>
      </c>
      <c r="P50" s="172">
        <v>42090</v>
      </c>
      <c r="Q50" s="176"/>
      <c r="R50" s="177"/>
      <c r="S50" s="177"/>
      <c r="T50" s="177"/>
      <c r="U50" s="176"/>
      <c r="V50" s="177"/>
      <c r="W50" s="176"/>
      <c r="X50" s="177"/>
      <c r="Y50" s="176"/>
      <c r="Z50" s="177"/>
      <c r="AA50">
        <v>14.4</v>
      </c>
      <c r="AB50" s="177"/>
      <c r="AC50" s="176"/>
      <c r="AD50" s="177"/>
      <c r="AE50" s="176"/>
      <c r="AF50" s="177"/>
      <c r="AG50" s="176" t="e">
        <v>#DIV/0!</v>
      </c>
      <c r="AH50" s="521" t="e">
        <f>(AK50*10000)/AM50</f>
        <v>#DIV/0!</v>
      </c>
      <c r="AI50" s="176"/>
      <c r="AJ50" s="177"/>
      <c r="AK50" s="176">
        <v>0</v>
      </c>
      <c r="AL50" s="521"/>
      <c r="AM50" s="177"/>
      <c r="AN50" s="177"/>
      <c r="AO50">
        <v>140</v>
      </c>
      <c r="AP50" s="303">
        <v>42170</v>
      </c>
      <c r="AQ50" s="176"/>
      <c r="AR50" s="177"/>
      <c r="AS50" s="176"/>
      <c r="AT50" s="177"/>
      <c r="AU50">
        <v>109</v>
      </c>
      <c r="AV50" s="176"/>
      <c r="AW50" s="176"/>
      <c r="AX50" s="176"/>
      <c r="AY50" s="176"/>
      <c r="AZ50" s="176"/>
      <c r="BA50" s="176"/>
      <c r="BB50" s="176"/>
      <c r="BC50" s="176"/>
      <c r="BD50" s="176"/>
      <c r="BE50" s="176"/>
      <c r="BF50" s="176"/>
      <c r="BG50" s="176"/>
      <c r="BH50" s="176"/>
      <c r="BI50" s="176"/>
      <c r="BJ50" s="176"/>
      <c r="BK50" s="178"/>
      <c r="BL50" s="178"/>
      <c r="BM50" s="178"/>
      <c r="BN50" s="178"/>
      <c r="BO50" s="178"/>
      <c r="BP50" s="178"/>
      <c r="BQ50" s="178"/>
      <c r="BR50" s="178"/>
      <c r="BS50" s="178"/>
      <c r="BT50" s="178"/>
      <c r="BU50" s="178"/>
      <c r="BV50" s="178"/>
      <c r="BW50" s="178"/>
      <c r="BX50" s="178"/>
      <c r="BY50" s="178"/>
      <c r="BZ50" s="178"/>
      <c r="CA50" s="178"/>
      <c r="CB50" s="178"/>
      <c r="CC50" s="178"/>
      <c r="CD50" s="178"/>
      <c r="CE50" s="178"/>
      <c r="CF50" s="178"/>
      <c r="CG50" s="178"/>
      <c r="CH50" s="178"/>
      <c r="CI50" s="178"/>
      <c r="CJ50" s="178"/>
      <c r="CK50" s="178"/>
      <c r="CL50" s="178"/>
      <c r="CM50" s="178"/>
      <c r="CN50" s="178"/>
      <c r="CO50" t="s">
        <v>8159</v>
      </c>
      <c r="CP50" s="178"/>
      <c r="CQ50" s="178"/>
      <c r="CR50">
        <v>1</v>
      </c>
      <c r="CS50" s="178"/>
      <c r="CT50" s="304" t="s">
        <v>11678</v>
      </c>
      <c r="CU50" s="178"/>
    </row>
    <row r="51" spans="1:99" s="304" customFormat="1">
      <c r="A51" s="178" t="s">
        <v>11649</v>
      </c>
      <c r="B51" s="523">
        <v>1</v>
      </c>
      <c r="C51" s="154" t="s">
        <v>8299</v>
      </c>
      <c r="D51" s="296" t="s">
        <v>8299</v>
      </c>
      <c r="E51" s="173" t="s">
        <v>7753</v>
      </c>
      <c r="F51" s="173"/>
      <c r="G51" s="173" t="s">
        <v>11649</v>
      </c>
      <c r="H51" s="174" t="s">
        <v>8696</v>
      </c>
      <c r="I51" s="174">
        <v>2</v>
      </c>
      <c r="J51" s="526">
        <v>203</v>
      </c>
      <c r="K51" s="175"/>
      <c r="L51" s="175"/>
      <c r="M51" s="175">
        <v>7</v>
      </c>
      <c r="N51" s="175">
        <v>10</v>
      </c>
      <c r="O51" s="294">
        <v>36</v>
      </c>
      <c r="P51" s="172">
        <v>42090</v>
      </c>
      <c r="Q51" s="176"/>
      <c r="R51" s="177"/>
      <c r="S51" s="177"/>
      <c r="T51" s="177"/>
      <c r="U51" s="176"/>
      <c r="V51" s="177"/>
      <c r="W51" s="176"/>
      <c r="X51" s="177"/>
      <c r="Y51" s="176"/>
      <c r="Z51" s="177"/>
      <c r="AA51">
        <v>14.4</v>
      </c>
      <c r="AB51" s="177"/>
      <c r="AC51" s="176"/>
      <c r="AD51" s="177"/>
      <c r="AE51" s="176"/>
      <c r="AF51" s="177"/>
      <c r="AG51" s="176" t="e">
        <v>#DIV/0!</v>
      </c>
      <c r="AH51" s="521" t="e">
        <f>(AK51*10000)/AM51</f>
        <v>#DIV/0!</v>
      </c>
      <c r="AI51" s="176"/>
      <c r="AJ51" s="177"/>
      <c r="AK51" s="176">
        <v>0</v>
      </c>
      <c r="AL51" s="521"/>
      <c r="AM51" s="177"/>
      <c r="AN51" s="177"/>
      <c r="AO51">
        <v>120</v>
      </c>
      <c r="AP51" s="303">
        <v>42170</v>
      </c>
      <c r="AQ51" s="176"/>
      <c r="AR51" s="177"/>
      <c r="AS51" s="176"/>
      <c r="AT51" s="177"/>
      <c r="AU51">
        <v>110</v>
      </c>
      <c r="AV51" s="176"/>
      <c r="AW51" s="176"/>
      <c r="AX51" s="176"/>
      <c r="AY51" s="176"/>
      <c r="AZ51" s="176"/>
      <c r="BA51" s="176"/>
      <c r="BB51" s="176"/>
      <c r="BC51" s="176"/>
      <c r="BD51" s="176"/>
      <c r="BE51" s="176"/>
      <c r="BF51" s="176"/>
      <c r="BG51" s="176"/>
      <c r="BH51" s="176"/>
      <c r="BI51" s="176"/>
      <c r="BJ51" s="176"/>
      <c r="BK51" s="178"/>
      <c r="BL51" s="178"/>
      <c r="BM51" s="178"/>
      <c r="BN51" s="178"/>
      <c r="BO51" s="178"/>
      <c r="BP51" s="178"/>
      <c r="BQ51" s="178"/>
      <c r="BR51" s="178"/>
      <c r="BS51" s="178"/>
      <c r="BT51" s="178"/>
      <c r="BU51" s="178"/>
      <c r="BV51" s="178"/>
      <c r="BW51" s="178"/>
      <c r="BX51" s="178"/>
      <c r="BY51" s="178"/>
      <c r="BZ51" s="178"/>
      <c r="CA51" s="178"/>
      <c r="CB51" s="178"/>
      <c r="CC51" s="178"/>
      <c r="CD51" s="178"/>
      <c r="CE51" s="178"/>
      <c r="CF51" s="178"/>
      <c r="CG51" s="178"/>
      <c r="CH51" s="178"/>
      <c r="CI51" s="178"/>
      <c r="CJ51" s="178"/>
      <c r="CK51" s="178"/>
      <c r="CL51" s="178"/>
      <c r="CM51" s="178"/>
      <c r="CN51" s="178"/>
      <c r="CO51" t="s">
        <v>8159</v>
      </c>
      <c r="CP51" s="178"/>
      <c r="CQ51" s="178"/>
      <c r="CR51">
        <v>1</v>
      </c>
      <c r="CS51" s="178"/>
      <c r="CT51" s="304" t="s">
        <v>11678</v>
      </c>
      <c r="CU51" s="178"/>
    </row>
    <row r="52" spans="1:99" s="304" customFormat="1">
      <c r="A52" s="178" t="s">
        <v>11649</v>
      </c>
      <c r="B52" s="523">
        <v>2</v>
      </c>
      <c r="C52" s="296" t="s">
        <v>8269</v>
      </c>
      <c r="D52" s="296" t="s">
        <v>8269</v>
      </c>
      <c r="E52" s="173" t="s">
        <v>7707</v>
      </c>
      <c r="F52" s="173"/>
      <c r="G52" s="173" t="s">
        <v>11649</v>
      </c>
      <c r="H52" s="174" t="s">
        <v>8697</v>
      </c>
      <c r="I52" s="174">
        <v>1</v>
      </c>
      <c r="J52" s="526">
        <v>102</v>
      </c>
      <c r="K52" s="175"/>
      <c r="L52" s="175"/>
      <c r="M52" s="175">
        <v>7</v>
      </c>
      <c r="N52" s="175">
        <v>3</v>
      </c>
      <c r="O52" s="294">
        <v>32</v>
      </c>
      <c r="P52" s="172">
        <v>42090</v>
      </c>
      <c r="Q52" s="176"/>
      <c r="R52" s="177"/>
      <c r="S52" s="177"/>
      <c r="T52" s="177"/>
      <c r="U52" s="176"/>
      <c r="V52" s="177"/>
      <c r="W52" s="176"/>
      <c r="X52" s="177"/>
      <c r="Y52" s="176"/>
      <c r="Z52" s="177"/>
      <c r="AA52">
        <v>14.4</v>
      </c>
      <c r="AB52" s="177"/>
      <c r="AC52" s="176"/>
      <c r="AD52" s="177"/>
      <c r="AE52" s="176"/>
      <c r="AF52" s="177"/>
      <c r="AG52" s="176" t="e">
        <v>#DIV/0!</v>
      </c>
      <c r="AH52" s="521" t="e">
        <f>(AK52*10000)/AM52</f>
        <v>#DIV/0!</v>
      </c>
      <c r="AI52" s="176"/>
      <c r="AJ52" s="177"/>
      <c r="AK52" s="176">
        <v>0</v>
      </c>
      <c r="AL52" s="521"/>
      <c r="AM52" s="177"/>
      <c r="AN52" s="177"/>
      <c r="AO52">
        <v>115</v>
      </c>
      <c r="AP52" s="303">
        <v>42170</v>
      </c>
      <c r="AQ52" s="176"/>
      <c r="AR52" s="177"/>
      <c r="AS52" s="176"/>
      <c r="AT52" s="177"/>
      <c r="AU52">
        <v>105</v>
      </c>
      <c r="AV52" s="176"/>
      <c r="AW52" s="176"/>
      <c r="AX52" s="176"/>
      <c r="AY52" s="176"/>
      <c r="AZ52" s="176"/>
      <c r="BA52" s="176"/>
      <c r="BB52" s="176"/>
      <c r="BC52" s="176"/>
      <c r="BD52" s="176"/>
      <c r="BE52" s="176"/>
      <c r="BF52" s="176"/>
      <c r="BG52" s="176"/>
      <c r="BH52" s="176"/>
      <c r="BI52" s="176"/>
      <c r="BJ52" s="176"/>
      <c r="BK52" s="178"/>
      <c r="BL52" s="178"/>
      <c r="BM52" s="178"/>
      <c r="BN52" s="178"/>
      <c r="BO52" s="178"/>
      <c r="BP52" s="178"/>
      <c r="BQ52" s="178"/>
      <c r="BR52" s="178"/>
      <c r="BS52" s="178"/>
      <c r="BT52" s="178"/>
      <c r="BU52" s="178"/>
      <c r="BV52" s="178"/>
      <c r="BW52" s="178"/>
      <c r="BX52" s="178"/>
      <c r="BY52" s="178"/>
      <c r="BZ52" s="178"/>
      <c r="CA52" s="178"/>
      <c r="CB52" s="178"/>
      <c r="CC52" s="178"/>
      <c r="CD52" s="178"/>
      <c r="CE52" s="178"/>
      <c r="CF52" s="178"/>
      <c r="CG52" s="178"/>
      <c r="CH52" s="178"/>
      <c r="CI52" s="178"/>
      <c r="CJ52" s="178"/>
      <c r="CK52" s="178"/>
      <c r="CL52" s="178"/>
      <c r="CM52" s="178"/>
      <c r="CN52" s="178"/>
      <c r="CO52" t="s">
        <v>8159</v>
      </c>
      <c r="CP52" s="178"/>
      <c r="CQ52" s="178"/>
      <c r="CR52">
        <v>2</v>
      </c>
      <c r="CS52" s="178"/>
      <c r="CT52" s="304" t="s">
        <v>11678</v>
      </c>
      <c r="CU52" s="178"/>
    </row>
    <row r="53" spans="1:99" s="304" customFormat="1">
      <c r="A53" s="178" t="s">
        <v>11649</v>
      </c>
      <c r="B53" s="523">
        <v>2</v>
      </c>
      <c r="C53" s="296" t="s">
        <v>8269</v>
      </c>
      <c r="D53" s="296" t="s">
        <v>8269</v>
      </c>
      <c r="E53" s="173" t="s">
        <v>7707</v>
      </c>
      <c r="F53" s="173"/>
      <c r="G53" s="173" t="s">
        <v>11649</v>
      </c>
      <c r="H53" s="174" t="s">
        <v>8696</v>
      </c>
      <c r="I53" s="174">
        <v>2</v>
      </c>
      <c r="J53" s="526">
        <v>201</v>
      </c>
      <c r="K53" s="175"/>
      <c r="L53" s="175"/>
      <c r="M53" s="175">
        <v>7</v>
      </c>
      <c r="N53" s="175">
        <v>8</v>
      </c>
      <c r="O53" s="294">
        <v>70</v>
      </c>
      <c r="P53" s="172">
        <v>42090</v>
      </c>
      <c r="Q53" s="176"/>
      <c r="R53" s="177"/>
      <c r="S53" s="177"/>
      <c r="T53" s="177"/>
      <c r="U53" s="176"/>
      <c r="V53" s="177"/>
      <c r="W53" s="176"/>
      <c r="X53" s="177"/>
      <c r="Y53" s="176"/>
      <c r="Z53" s="177"/>
      <c r="AA53">
        <v>14.4</v>
      </c>
      <c r="AB53" s="177"/>
      <c r="AC53" s="176"/>
      <c r="AD53" s="177"/>
      <c r="AE53" s="176"/>
      <c r="AF53" s="177"/>
      <c r="AG53" s="176" t="e">
        <v>#DIV/0!</v>
      </c>
      <c r="AH53" s="521" t="e">
        <f>(AK53*10000)/AM53</f>
        <v>#DIV/0!</v>
      </c>
      <c r="AI53" s="176"/>
      <c r="AJ53" s="177"/>
      <c r="AK53" s="176">
        <v>0</v>
      </c>
      <c r="AL53" s="521"/>
      <c r="AM53" s="177"/>
      <c r="AN53" s="177"/>
      <c r="AO53">
        <v>125</v>
      </c>
      <c r="AP53" s="303">
        <v>42170</v>
      </c>
      <c r="AQ53" s="176"/>
      <c r="AR53" s="177"/>
      <c r="AS53" s="176"/>
      <c r="AT53" s="177"/>
      <c r="AU53">
        <v>104</v>
      </c>
      <c r="AV53" s="176"/>
      <c r="AW53" s="176"/>
      <c r="AX53" s="176"/>
      <c r="AY53" s="176"/>
      <c r="AZ53" s="176"/>
      <c r="BA53" s="176"/>
      <c r="BB53" s="176"/>
      <c r="BC53" s="176"/>
      <c r="BD53" s="176"/>
      <c r="BE53" s="176"/>
      <c r="BF53" s="176"/>
      <c r="BG53" s="176"/>
      <c r="BH53" s="176"/>
      <c r="BI53" s="176"/>
      <c r="BJ53" s="176"/>
      <c r="BK53" s="178"/>
      <c r="BL53" s="178"/>
      <c r="BM53" s="178"/>
      <c r="BN53" s="178"/>
      <c r="BO53" s="178"/>
      <c r="BP53" s="178"/>
      <c r="BQ53" s="178"/>
      <c r="BR53" s="178"/>
      <c r="BS53" s="178"/>
      <c r="BT53" s="178"/>
      <c r="BU53" s="178"/>
      <c r="BV53" s="178"/>
      <c r="BW53" s="178"/>
      <c r="BX53" s="178"/>
      <c r="BY53" s="178"/>
      <c r="BZ53" s="178"/>
      <c r="CA53" s="178"/>
      <c r="CB53" s="178"/>
      <c r="CC53" s="178"/>
      <c r="CD53" s="178"/>
      <c r="CE53" s="178"/>
      <c r="CF53" s="178"/>
      <c r="CG53" s="178"/>
      <c r="CH53" s="178"/>
      <c r="CI53" s="178"/>
      <c r="CJ53" s="178"/>
      <c r="CK53" s="178"/>
      <c r="CL53" s="178"/>
      <c r="CM53" s="178"/>
      <c r="CN53" s="178"/>
      <c r="CO53" t="s">
        <v>8159</v>
      </c>
      <c r="CP53" s="178"/>
      <c r="CQ53" s="178"/>
      <c r="CR53">
        <v>2</v>
      </c>
      <c r="CS53" s="178"/>
      <c r="CT53" s="304" t="s">
        <v>11678</v>
      </c>
      <c r="CU53" s="178"/>
    </row>
    <row r="54" spans="1:99" s="304" customFormat="1">
      <c r="A54" s="178" t="s">
        <v>11649</v>
      </c>
      <c r="B54" s="523">
        <v>3</v>
      </c>
      <c r="C54" s="296" t="s">
        <v>7845</v>
      </c>
      <c r="D54" s="296" t="s">
        <v>7845</v>
      </c>
      <c r="E54" s="173"/>
      <c r="F54" s="173"/>
      <c r="G54" s="173" t="s">
        <v>11649</v>
      </c>
      <c r="H54" s="174" t="s">
        <v>8697</v>
      </c>
      <c r="I54" s="174">
        <v>1</v>
      </c>
      <c r="J54" s="526">
        <v>103</v>
      </c>
      <c r="K54" s="175"/>
      <c r="L54" s="175"/>
      <c r="M54" s="175">
        <v>7</v>
      </c>
      <c r="N54" s="175">
        <v>4</v>
      </c>
      <c r="O54" s="294">
        <v>34</v>
      </c>
      <c r="P54" s="172">
        <v>42090</v>
      </c>
      <c r="Q54" s="176"/>
      <c r="R54" s="177"/>
      <c r="S54" s="177"/>
      <c r="T54" s="177"/>
      <c r="U54" s="176"/>
      <c r="V54" s="177"/>
      <c r="W54" s="176"/>
      <c r="X54" s="177"/>
      <c r="Y54" s="176"/>
      <c r="Z54" s="177"/>
      <c r="AA54">
        <v>14.4</v>
      </c>
      <c r="AB54" s="177"/>
      <c r="AC54" s="176"/>
      <c r="AD54" s="177"/>
      <c r="AE54" s="176"/>
      <c r="AF54" s="177"/>
      <c r="AG54" s="176" t="e">
        <v>#DIV/0!</v>
      </c>
      <c r="AH54" s="521" t="e">
        <f>(AK54*10000)/AM54</f>
        <v>#DIV/0!</v>
      </c>
      <c r="AI54" s="176"/>
      <c r="AJ54" s="177"/>
      <c r="AK54" s="176">
        <v>0</v>
      </c>
      <c r="AL54" s="521"/>
      <c r="AM54" s="177"/>
      <c r="AN54" s="177"/>
      <c r="AO54">
        <v>135</v>
      </c>
      <c r="AP54" s="303">
        <v>42170</v>
      </c>
      <c r="AQ54" s="176"/>
      <c r="AR54" s="177"/>
      <c r="AS54" s="176"/>
      <c r="AT54" s="177"/>
      <c r="AU54">
        <v>104</v>
      </c>
      <c r="AV54" s="176"/>
      <c r="AW54" s="176"/>
      <c r="AX54" s="176"/>
      <c r="AY54" s="176"/>
      <c r="AZ54" s="176"/>
      <c r="BA54" s="176"/>
      <c r="BB54" s="176"/>
      <c r="BC54" s="176"/>
      <c r="BD54" s="176"/>
      <c r="BE54" s="176"/>
      <c r="BF54" s="176"/>
      <c r="BG54" s="176"/>
      <c r="BH54" s="176"/>
      <c r="BI54" s="176"/>
      <c r="BJ54" s="176"/>
      <c r="BK54" s="178"/>
      <c r="BL54" s="178"/>
      <c r="BM54" s="178"/>
      <c r="BN54" s="178"/>
      <c r="BO54" s="178"/>
      <c r="BP54" s="178"/>
      <c r="BQ54" s="178"/>
      <c r="BR54" s="178"/>
      <c r="BS54" s="178"/>
      <c r="BT54" s="178"/>
      <c r="BU54" s="178"/>
      <c r="BV54" s="178"/>
      <c r="BW54" s="178"/>
      <c r="BX54" s="178"/>
      <c r="BY54" s="178"/>
      <c r="BZ54" s="178"/>
      <c r="CA54" s="178"/>
      <c r="CB54" s="178"/>
      <c r="CC54" s="178"/>
      <c r="CD54" s="178"/>
      <c r="CE54" s="178"/>
      <c r="CF54" s="178"/>
      <c r="CG54" s="178"/>
      <c r="CH54" s="178"/>
      <c r="CI54" s="178"/>
      <c r="CJ54" s="178"/>
      <c r="CK54" s="178"/>
      <c r="CL54" s="178"/>
      <c r="CM54" s="178"/>
      <c r="CN54" s="178"/>
      <c r="CO54" t="s">
        <v>8159</v>
      </c>
      <c r="CP54" s="178"/>
      <c r="CQ54" s="178"/>
      <c r="CR54">
        <v>2</v>
      </c>
      <c r="CS54" s="178"/>
      <c r="CT54" s="304" t="s">
        <v>11678</v>
      </c>
      <c r="CU54" s="178"/>
    </row>
    <row r="55" spans="1:99" s="304" customFormat="1">
      <c r="A55" s="178" t="s">
        <v>11649</v>
      </c>
      <c r="B55" s="523">
        <v>3</v>
      </c>
      <c r="C55" s="296" t="s">
        <v>7845</v>
      </c>
      <c r="D55" s="296" t="s">
        <v>7845</v>
      </c>
      <c r="E55" s="173"/>
      <c r="F55" s="173"/>
      <c r="G55" s="173" t="s">
        <v>11649</v>
      </c>
      <c r="H55" s="174" t="s">
        <v>8696</v>
      </c>
      <c r="I55" s="174">
        <v>2</v>
      </c>
      <c r="J55" s="526">
        <v>202</v>
      </c>
      <c r="K55" s="175"/>
      <c r="L55" s="175"/>
      <c r="M55" s="175">
        <v>7</v>
      </c>
      <c r="N55" s="175">
        <v>9</v>
      </c>
      <c r="O55" s="294">
        <v>47</v>
      </c>
      <c r="P55" s="172">
        <v>42090</v>
      </c>
      <c r="Q55" s="176"/>
      <c r="R55" s="177"/>
      <c r="S55" s="177"/>
      <c r="T55" s="177"/>
      <c r="U55" s="176"/>
      <c r="V55" s="177"/>
      <c r="W55" s="176"/>
      <c r="X55" s="177"/>
      <c r="Y55" s="176"/>
      <c r="Z55" s="177"/>
      <c r="AA55">
        <v>14.4</v>
      </c>
      <c r="AB55" s="177"/>
      <c r="AC55" s="176"/>
      <c r="AD55" s="177"/>
      <c r="AE55" s="176"/>
      <c r="AF55" s="177"/>
      <c r="AG55" s="176" t="e">
        <v>#DIV/0!</v>
      </c>
      <c r="AH55" s="521" t="e">
        <f>(AK55*10000)/AM55</f>
        <v>#DIV/0!</v>
      </c>
      <c r="AI55" s="176"/>
      <c r="AJ55" s="177"/>
      <c r="AK55" s="176">
        <v>0</v>
      </c>
      <c r="AL55" s="521"/>
      <c r="AM55" s="177"/>
      <c r="AN55" s="177"/>
      <c r="AO55">
        <v>125</v>
      </c>
      <c r="AP55" s="303">
        <v>42170</v>
      </c>
      <c r="AQ55" s="176"/>
      <c r="AR55" s="177"/>
      <c r="AS55" s="176"/>
      <c r="AT55" s="177"/>
      <c r="AU55">
        <v>102</v>
      </c>
      <c r="AV55" s="176"/>
      <c r="AW55" s="176"/>
      <c r="AX55" s="176"/>
      <c r="AY55" s="176"/>
      <c r="AZ55" s="176"/>
      <c r="BA55" s="176"/>
      <c r="BB55" s="176"/>
      <c r="BC55" s="176"/>
      <c r="BD55" s="176"/>
      <c r="BE55" s="176"/>
      <c r="BF55" s="176"/>
      <c r="BG55" s="176"/>
      <c r="BH55" s="176"/>
      <c r="BI55" s="176"/>
      <c r="BJ55" s="176"/>
      <c r="BK55" s="178"/>
      <c r="BL55" s="178"/>
      <c r="BM55" s="178"/>
      <c r="BN55" s="178"/>
      <c r="BO55" s="178"/>
      <c r="BP55" s="178"/>
      <c r="BQ55" s="178"/>
      <c r="BR55" s="178"/>
      <c r="BS55" s="178"/>
      <c r="BT55" s="178"/>
      <c r="BU55" s="178"/>
      <c r="BV55" s="178"/>
      <c r="BW55" s="178"/>
      <c r="BX55" s="178"/>
      <c r="BY55" s="178"/>
      <c r="BZ55" s="178"/>
      <c r="CA55" s="178"/>
      <c r="CB55" s="178"/>
      <c r="CC55" s="178"/>
      <c r="CD55" s="178"/>
      <c r="CE55" s="178"/>
      <c r="CF55" s="178"/>
      <c r="CG55" s="178"/>
      <c r="CH55" s="178"/>
      <c r="CI55" s="178"/>
      <c r="CJ55" s="178"/>
      <c r="CK55" s="178"/>
      <c r="CL55" s="178"/>
      <c r="CM55" s="178"/>
      <c r="CN55" s="178"/>
      <c r="CO55" t="s">
        <v>8159</v>
      </c>
      <c r="CP55" s="178"/>
      <c r="CQ55" s="178"/>
      <c r="CR55">
        <v>3</v>
      </c>
      <c r="CS55" s="178"/>
      <c r="CT55" s="304" t="s">
        <v>11678</v>
      </c>
      <c r="CU55" s="178"/>
    </row>
    <row r="56" spans="1:99" s="304" customFormat="1">
      <c r="A56" s="178" t="s">
        <v>11649</v>
      </c>
      <c r="B56" s="523">
        <v>4</v>
      </c>
      <c r="C56" s="154" t="s">
        <v>8299</v>
      </c>
      <c r="D56" s="296" t="s">
        <v>8299</v>
      </c>
      <c r="E56" s="173" t="s">
        <v>7753</v>
      </c>
      <c r="F56" s="173"/>
      <c r="G56" s="173" t="s">
        <v>11649</v>
      </c>
      <c r="H56" s="174" t="s">
        <v>8697</v>
      </c>
      <c r="I56" s="174">
        <v>1</v>
      </c>
      <c r="J56" s="526">
        <v>104</v>
      </c>
      <c r="K56" s="175"/>
      <c r="L56" s="175"/>
      <c r="M56" s="175">
        <v>7</v>
      </c>
      <c r="N56" s="175">
        <v>5</v>
      </c>
      <c r="O56" s="294">
        <v>25</v>
      </c>
      <c r="P56" s="172">
        <v>42090</v>
      </c>
      <c r="Q56" s="176"/>
      <c r="R56" s="177"/>
      <c r="S56" s="177"/>
      <c r="T56" s="177"/>
      <c r="U56" s="176"/>
      <c r="V56" s="177"/>
      <c r="W56" s="176"/>
      <c r="X56" s="177"/>
      <c r="Y56" s="176"/>
      <c r="Z56" s="177"/>
      <c r="AA56">
        <v>14.4</v>
      </c>
      <c r="AB56" s="177"/>
      <c r="AC56" s="176"/>
      <c r="AD56" s="177"/>
      <c r="AE56" s="176"/>
      <c r="AF56" s="177"/>
      <c r="AG56" s="176" t="e">
        <v>#DIV/0!</v>
      </c>
      <c r="AH56" s="521" t="e">
        <f>(AK56*10000)/AM56</f>
        <v>#DIV/0!</v>
      </c>
      <c r="AI56" s="176"/>
      <c r="AJ56" s="177"/>
      <c r="AK56" s="176">
        <v>0</v>
      </c>
      <c r="AL56" s="521"/>
      <c r="AM56" s="177"/>
      <c r="AN56" s="177"/>
      <c r="AO56">
        <v>130</v>
      </c>
      <c r="AP56" s="303">
        <v>42170</v>
      </c>
      <c r="AQ56" s="176"/>
      <c r="AR56" s="177"/>
      <c r="AS56" s="176"/>
      <c r="AT56" s="177"/>
      <c r="AU56">
        <v>110</v>
      </c>
      <c r="AV56" s="176"/>
      <c r="AW56" s="176"/>
      <c r="AX56" s="176"/>
      <c r="AY56" s="176"/>
      <c r="AZ56" s="176"/>
      <c r="BA56" s="176"/>
      <c r="BB56" s="176"/>
      <c r="BC56" s="176"/>
      <c r="BD56" s="176"/>
      <c r="BE56" s="176"/>
      <c r="BF56" s="176"/>
      <c r="BG56" s="176"/>
      <c r="BH56" s="176"/>
      <c r="BI56" s="176"/>
      <c r="BJ56" s="176"/>
      <c r="BK56" s="178"/>
      <c r="BL56" s="178"/>
      <c r="BM56" s="178"/>
      <c r="BN56" s="178"/>
      <c r="BO56" s="178"/>
      <c r="BP56" s="178"/>
      <c r="BQ56" s="178"/>
      <c r="BR56" s="178"/>
      <c r="BS56" s="178"/>
      <c r="BT56" s="178"/>
      <c r="BU56" s="178"/>
      <c r="BV56" s="178"/>
      <c r="BW56" s="178"/>
      <c r="BX56" s="178"/>
      <c r="BY56" s="178"/>
      <c r="BZ56" s="178"/>
      <c r="CA56" s="178"/>
      <c r="CB56" s="178"/>
      <c r="CC56" s="178"/>
      <c r="CD56" s="178"/>
      <c r="CE56" s="178"/>
      <c r="CF56" s="178"/>
      <c r="CG56" s="178"/>
      <c r="CH56" s="178"/>
      <c r="CI56" s="178"/>
      <c r="CJ56" s="178"/>
      <c r="CK56" s="178"/>
      <c r="CL56" s="178"/>
      <c r="CM56" s="178"/>
      <c r="CN56" s="178"/>
      <c r="CO56" t="s">
        <v>8159</v>
      </c>
      <c r="CP56" s="178"/>
      <c r="CQ56" s="178"/>
      <c r="CR56">
        <v>2</v>
      </c>
      <c r="CS56" s="178"/>
      <c r="CT56" s="304" t="s">
        <v>11678</v>
      </c>
      <c r="CU56" s="178"/>
    </row>
    <row r="57" spans="1:99" s="304" customFormat="1">
      <c r="A57" s="178" t="s">
        <v>11649</v>
      </c>
      <c r="B57" s="523">
        <v>4</v>
      </c>
      <c r="C57" s="154" t="s">
        <v>8299</v>
      </c>
      <c r="D57" s="296" t="s">
        <v>8299</v>
      </c>
      <c r="E57" s="173" t="s">
        <v>7753</v>
      </c>
      <c r="F57" s="173"/>
      <c r="G57" s="173" t="s">
        <v>11649</v>
      </c>
      <c r="H57" s="174" t="s">
        <v>8696</v>
      </c>
      <c r="I57" s="174">
        <v>2</v>
      </c>
      <c r="J57" s="526">
        <v>204</v>
      </c>
      <c r="K57" s="175"/>
      <c r="L57" s="175"/>
      <c r="M57" s="175">
        <v>7</v>
      </c>
      <c r="N57" s="175">
        <v>11</v>
      </c>
      <c r="O57" s="294">
        <v>41</v>
      </c>
      <c r="P57" s="172">
        <v>42090</v>
      </c>
      <c r="Q57" s="176"/>
      <c r="R57" s="177"/>
      <c r="S57" s="177"/>
      <c r="T57" s="177"/>
      <c r="U57" s="176"/>
      <c r="V57" s="177"/>
      <c r="W57" s="176"/>
      <c r="X57" s="177"/>
      <c r="Y57" s="176"/>
      <c r="Z57" s="177"/>
      <c r="AA57">
        <v>14.4</v>
      </c>
      <c r="AB57" s="177"/>
      <c r="AC57" s="176"/>
      <c r="AD57" s="177"/>
      <c r="AE57" s="176"/>
      <c r="AF57" s="177"/>
      <c r="AG57" s="176" t="e">
        <v>#DIV/0!</v>
      </c>
      <c r="AH57" s="521" t="e">
        <f>(AK57*10000)/AM57</f>
        <v>#DIV/0!</v>
      </c>
      <c r="AI57" s="176"/>
      <c r="AJ57" s="177"/>
      <c r="AK57" s="176">
        <v>0</v>
      </c>
      <c r="AL57" s="521"/>
      <c r="AM57" s="177"/>
      <c r="AN57" s="177"/>
      <c r="AO57">
        <v>110</v>
      </c>
      <c r="AP57" s="303">
        <v>42170</v>
      </c>
      <c r="AQ57" s="176"/>
      <c r="AR57" s="177"/>
      <c r="AS57" s="176"/>
      <c r="AT57" s="177"/>
      <c r="AU57">
        <v>113</v>
      </c>
      <c r="AV57" s="176"/>
      <c r="AW57" s="176"/>
      <c r="AX57" s="176"/>
      <c r="AY57" s="176"/>
      <c r="AZ57" s="176"/>
      <c r="BA57" s="176"/>
      <c r="BB57" s="176"/>
      <c r="BC57" s="176"/>
      <c r="BD57" s="176"/>
      <c r="BE57" s="176"/>
      <c r="BF57" s="176"/>
      <c r="BG57" s="176"/>
      <c r="BH57" s="176"/>
      <c r="BI57" s="176"/>
      <c r="BJ57" s="176"/>
      <c r="BK57" s="178"/>
      <c r="BL57" s="178"/>
      <c r="BM57" s="178"/>
      <c r="BN57" s="178"/>
      <c r="BO57" s="178"/>
      <c r="BP57" s="178"/>
      <c r="BQ57" s="178"/>
      <c r="BR57" s="178"/>
      <c r="BS57" s="178"/>
      <c r="BT57" s="178"/>
      <c r="BU57" s="178"/>
      <c r="BV57" s="178"/>
      <c r="BW57" s="178"/>
      <c r="BX57" s="178"/>
      <c r="BY57" s="178"/>
      <c r="BZ57" s="178"/>
      <c r="CA57" s="178"/>
      <c r="CB57" s="178"/>
      <c r="CC57" s="178"/>
      <c r="CD57" s="178"/>
      <c r="CE57" s="178"/>
      <c r="CF57" s="178"/>
      <c r="CG57" s="178"/>
      <c r="CH57" s="178"/>
      <c r="CI57" s="178"/>
      <c r="CJ57" s="178"/>
      <c r="CK57" s="178"/>
      <c r="CL57" s="178"/>
      <c r="CM57" s="178"/>
      <c r="CN57" s="178"/>
      <c r="CO57" t="s">
        <v>8159</v>
      </c>
      <c r="CP57" s="178"/>
      <c r="CQ57" s="178"/>
      <c r="CR57">
        <v>2</v>
      </c>
      <c r="CS57" s="178"/>
      <c r="CT57" s="304" t="s">
        <v>11678</v>
      </c>
      <c r="CU57" s="178"/>
    </row>
    <row r="58" spans="1:99" s="304" customFormat="1">
      <c r="A58" s="304" t="s">
        <v>8506</v>
      </c>
      <c r="B58" s="463">
        <v>26</v>
      </c>
      <c r="C58" s="296" t="s">
        <v>7638</v>
      </c>
      <c r="D58" s="296" t="s">
        <v>7474</v>
      </c>
      <c r="E58" s="296" t="s">
        <v>7638</v>
      </c>
      <c r="F58" s="296"/>
      <c r="G58" s="296" t="s">
        <v>8506</v>
      </c>
      <c r="H58" s="297" t="s">
        <v>8697</v>
      </c>
      <c r="I58" s="297">
        <v>1</v>
      </c>
      <c r="J58" s="298">
        <v>1301</v>
      </c>
      <c r="K58" s="299"/>
      <c r="L58" s="299"/>
      <c r="M58" s="299">
        <v>9</v>
      </c>
      <c r="N58" s="299">
        <v>6</v>
      </c>
      <c r="O58" s="300">
        <v>32</v>
      </c>
      <c r="P58" s="301">
        <v>42090</v>
      </c>
      <c r="Q58" s="302"/>
      <c r="R58" s="303"/>
      <c r="S58" s="289">
        <v>4.6500000000000004</v>
      </c>
      <c r="T58" s="303">
        <v>42208</v>
      </c>
      <c r="U58" s="302"/>
      <c r="V58" s="303"/>
      <c r="W58" s="302"/>
      <c r="X58" s="303"/>
      <c r="Y58" s="302">
        <v>15.52</v>
      </c>
      <c r="Z58" s="303">
        <v>42208</v>
      </c>
      <c r="AA58">
        <v>14.4</v>
      </c>
      <c r="AB58" s="303"/>
      <c r="AC58" s="302"/>
      <c r="AD58" s="303"/>
      <c r="AE58" s="302"/>
      <c r="AF58" s="303"/>
      <c r="AG58">
        <v>48259.895833333336</v>
      </c>
      <c r="AH58" s="521">
        <f>(AK58*10000)/AM58</f>
        <v>48259.895833333336</v>
      </c>
      <c r="AI58" s="302"/>
      <c r="AJ58" s="303"/>
      <c r="AK58">
        <v>28.955937500000001</v>
      </c>
      <c r="AL58" s="521"/>
      <c r="AM58">
        <v>6</v>
      </c>
      <c r="AN58" s="303">
        <v>42244</v>
      </c>
      <c r="AO58">
        <v>155</v>
      </c>
      <c r="AP58" s="303">
        <v>42170</v>
      </c>
      <c r="AQ58" s="302"/>
      <c r="AR58" s="303"/>
      <c r="AS58" s="302"/>
      <c r="AT58" s="303"/>
      <c r="AU58">
        <v>109</v>
      </c>
      <c r="AV58" s="303"/>
      <c r="AW58" s="302"/>
      <c r="AX58" s="302"/>
      <c r="AY58" s="302"/>
      <c r="AZ58" s="303"/>
      <c r="BA58" s="302"/>
      <c r="BB58" s="302"/>
      <c r="BC58" s="302"/>
      <c r="BD58" s="302"/>
      <c r="BE58" s="302"/>
      <c r="BF58" s="302"/>
      <c r="BG58" s="302"/>
      <c r="BH58" s="302"/>
      <c r="BI58" s="302"/>
      <c r="BJ58" s="302"/>
      <c r="BM58">
        <v>3.5</v>
      </c>
      <c r="BS58">
        <v>50.9</v>
      </c>
      <c r="BY58">
        <v>47.8</v>
      </c>
      <c r="CA58">
        <v>21</v>
      </c>
      <c r="CC58">
        <v>56.7</v>
      </c>
      <c r="CI58">
        <v>8.5</v>
      </c>
      <c r="CO58" t="s">
        <v>8698</v>
      </c>
      <c r="CR58">
        <v>3</v>
      </c>
      <c r="CT58" s="304" t="s">
        <v>11678</v>
      </c>
    </row>
    <row r="59" spans="1:99" s="304" customFormat="1">
      <c r="A59" s="304" t="s">
        <v>8506</v>
      </c>
      <c r="B59" s="463">
        <v>38</v>
      </c>
      <c r="C59" s="296" t="s">
        <v>7654</v>
      </c>
      <c r="D59" s="296" t="s">
        <v>7488</v>
      </c>
      <c r="E59" s="296" t="s">
        <v>7654</v>
      </c>
      <c r="F59" s="296"/>
      <c r="G59" s="296" t="s">
        <v>8506</v>
      </c>
      <c r="H59" s="297" t="s">
        <v>8696</v>
      </c>
      <c r="I59" s="297">
        <v>2</v>
      </c>
      <c r="J59" s="298">
        <v>261</v>
      </c>
      <c r="K59" s="299"/>
      <c r="L59" s="299"/>
      <c r="M59" s="299">
        <v>9</v>
      </c>
      <c r="N59" s="299">
        <v>8</v>
      </c>
      <c r="O59" s="300">
        <v>55</v>
      </c>
      <c r="P59" s="301">
        <v>42090</v>
      </c>
      <c r="Q59" s="302"/>
      <c r="R59" s="303"/>
      <c r="S59" s="289">
        <v>6.05</v>
      </c>
      <c r="T59" s="303">
        <v>42208</v>
      </c>
      <c r="U59" s="302"/>
      <c r="V59" s="303"/>
      <c r="W59" s="302"/>
      <c r="X59" s="303"/>
      <c r="Y59" s="302">
        <v>20.68</v>
      </c>
      <c r="Z59" s="303">
        <v>42208</v>
      </c>
      <c r="AA59">
        <v>14.4</v>
      </c>
      <c r="AB59" s="303"/>
      <c r="AC59" s="302"/>
      <c r="AD59" s="303"/>
      <c r="AE59" s="302"/>
      <c r="AF59" s="303"/>
      <c r="AG59">
        <v>69842.644032921788</v>
      </c>
      <c r="AH59" s="521">
        <f>(AK59*10000)/AM59</f>
        <v>69842.644032921788</v>
      </c>
      <c r="AI59" s="302"/>
      <c r="AJ59" s="303"/>
      <c r="AK59">
        <v>37.71502777777777</v>
      </c>
      <c r="AL59" s="521"/>
      <c r="AM59">
        <v>5.4</v>
      </c>
      <c r="AN59" s="303">
        <v>42244</v>
      </c>
      <c r="AO59">
        <v>120</v>
      </c>
      <c r="AP59" s="303">
        <v>42170</v>
      </c>
      <c r="AQ59" s="302"/>
      <c r="AR59" s="303"/>
      <c r="AS59" s="302"/>
      <c r="AT59" s="303"/>
      <c r="AU59">
        <v>110</v>
      </c>
      <c r="AV59" s="303"/>
      <c r="AW59" s="302"/>
      <c r="AX59" s="302"/>
      <c r="AY59" s="302"/>
      <c r="AZ59" s="303"/>
      <c r="BA59" s="302"/>
      <c r="BB59" s="302"/>
      <c r="BC59" s="302"/>
      <c r="BD59" s="302"/>
      <c r="BE59" s="302"/>
      <c r="BF59" s="302"/>
      <c r="BG59" s="302"/>
      <c r="BH59" s="302"/>
      <c r="BI59" s="302"/>
      <c r="BJ59" s="302"/>
      <c r="BM59">
        <v>1.7</v>
      </c>
      <c r="BS59">
        <v>55.5</v>
      </c>
      <c r="BY59">
        <v>48.9</v>
      </c>
      <c r="CA59">
        <v>18.899999999999999</v>
      </c>
      <c r="CC59">
        <v>61</v>
      </c>
      <c r="CI59">
        <v>8.4</v>
      </c>
      <c r="CO59" t="s">
        <v>8698</v>
      </c>
      <c r="CR59">
        <v>2</v>
      </c>
      <c r="CT59" s="304" t="s">
        <v>11678</v>
      </c>
    </row>
    <row r="60" spans="1:99" s="304" customFormat="1">
      <c r="A60" s="304" t="s">
        <v>8506</v>
      </c>
      <c r="B60" s="463">
        <v>63</v>
      </c>
      <c r="C60" s="296" t="s">
        <v>7681</v>
      </c>
      <c r="D60" s="296" t="s">
        <v>7511</v>
      </c>
      <c r="E60" s="296" t="s">
        <v>7681</v>
      </c>
      <c r="F60" s="296"/>
      <c r="G60" s="296" t="s">
        <v>8506</v>
      </c>
      <c r="H60" s="297" t="s">
        <v>8696</v>
      </c>
      <c r="I60" s="297">
        <v>2</v>
      </c>
      <c r="J60" s="298">
        <v>2121</v>
      </c>
      <c r="K60" s="299"/>
      <c r="L60" s="299"/>
      <c r="M60" s="299">
        <v>9</v>
      </c>
      <c r="N60" s="299">
        <v>9</v>
      </c>
      <c r="O60" s="300">
        <v>64</v>
      </c>
      <c r="P60" s="301">
        <v>42090</v>
      </c>
      <c r="Q60" s="302"/>
      <c r="R60" s="303"/>
      <c r="S60" s="289">
        <v>6.35</v>
      </c>
      <c r="T60" s="303">
        <v>42208</v>
      </c>
      <c r="U60" s="302"/>
      <c r="V60" s="303"/>
      <c r="W60" s="302"/>
      <c r="X60" s="303"/>
      <c r="Y60" s="302">
        <v>21.75</v>
      </c>
      <c r="Z60" s="303">
        <v>42208</v>
      </c>
      <c r="AA60">
        <v>14.4</v>
      </c>
      <c r="AB60" s="303"/>
      <c r="AC60" s="302"/>
      <c r="AD60" s="303"/>
      <c r="AE60" s="302"/>
      <c r="AF60" s="303"/>
      <c r="AG60">
        <v>74689.046121593288</v>
      </c>
      <c r="AH60" s="521">
        <f>(AK60*10000)/AM60</f>
        <v>74689.046121593288</v>
      </c>
      <c r="AI60" s="302"/>
      <c r="AJ60" s="303"/>
      <c r="AK60">
        <v>39.58519444444444</v>
      </c>
      <c r="AL60" s="521"/>
      <c r="AM60">
        <v>5.3</v>
      </c>
      <c r="AN60" s="303">
        <v>42244</v>
      </c>
      <c r="AO60">
        <v>130</v>
      </c>
      <c r="AP60" s="303">
        <v>42170</v>
      </c>
      <c r="AQ60" s="302"/>
      <c r="AR60" s="303"/>
      <c r="AS60" s="302"/>
      <c r="AT60" s="303"/>
      <c r="AU60">
        <v>104</v>
      </c>
      <c r="AV60" s="303"/>
      <c r="AW60" s="302"/>
      <c r="AX60" s="302"/>
      <c r="AY60" s="302"/>
      <c r="AZ60" s="303"/>
      <c r="BA60" s="302"/>
      <c r="BB60" s="302"/>
      <c r="BC60" s="302"/>
      <c r="BD60" s="302"/>
      <c r="BE60" s="302"/>
      <c r="BF60" s="302"/>
      <c r="BG60" s="302"/>
      <c r="BH60" s="302"/>
      <c r="BI60" s="302"/>
      <c r="BJ60" s="302"/>
      <c r="BM60">
        <v>4.2</v>
      </c>
      <c r="BS60">
        <v>55.6</v>
      </c>
      <c r="BY60">
        <v>49</v>
      </c>
      <c r="CA60">
        <v>21.3</v>
      </c>
      <c r="CC60">
        <v>16.7</v>
      </c>
      <c r="CI60">
        <v>8.4</v>
      </c>
      <c r="CO60" t="s">
        <v>8698</v>
      </c>
      <c r="CR60">
        <v>4</v>
      </c>
      <c r="CT60" s="304" t="s">
        <v>11678</v>
      </c>
    </row>
    <row r="61" spans="1:99" s="304" customFormat="1">
      <c r="A61" s="304" t="s">
        <v>8506</v>
      </c>
      <c r="B61" s="463">
        <v>85</v>
      </c>
      <c r="C61" s="296" t="s">
        <v>7703</v>
      </c>
      <c r="D61" s="296" t="s">
        <v>7532</v>
      </c>
      <c r="E61" s="296" t="s">
        <v>7703</v>
      </c>
      <c r="F61" s="296"/>
      <c r="G61" s="296" t="s">
        <v>8506</v>
      </c>
      <c r="H61" s="297" t="s">
        <v>8696</v>
      </c>
      <c r="I61" s="297">
        <v>2</v>
      </c>
      <c r="J61" s="298">
        <v>2301</v>
      </c>
      <c r="K61" s="299"/>
      <c r="L61" s="299"/>
      <c r="M61" s="299">
        <v>9</v>
      </c>
      <c r="N61" s="299">
        <v>12</v>
      </c>
      <c r="O61" s="300">
        <v>20</v>
      </c>
      <c r="P61" s="301">
        <v>42090</v>
      </c>
      <c r="Q61" s="302"/>
      <c r="R61" s="303"/>
      <c r="S61" s="289">
        <v>5.75</v>
      </c>
      <c r="T61" s="303">
        <v>42208</v>
      </c>
      <c r="U61" s="302"/>
      <c r="V61" s="303"/>
      <c r="W61" s="302"/>
      <c r="X61" s="303"/>
      <c r="Y61" s="302">
        <v>19.23</v>
      </c>
      <c r="Z61" s="303">
        <v>42208</v>
      </c>
      <c r="AA61">
        <v>14.4</v>
      </c>
      <c r="AB61" s="303"/>
      <c r="AC61" s="302"/>
      <c r="AD61" s="303"/>
      <c r="AE61" s="302"/>
      <c r="AF61" s="303"/>
      <c r="AG61">
        <v>67557.979559748434</v>
      </c>
      <c r="AH61" s="521">
        <f>(AK61*10000)/AM61</f>
        <v>67557.979559748434</v>
      </c>
      <c r="AI61" s="302"/>
      <c r="AJ61" s="303"/>
      <c r="AK61">
        <v>35.805729166666666</v>
      </c>
      <c r="AL61" s="521"/>
      <c r="AM61">
        <v>5.3</v>
      </c>
      <c r="AN61" s="303">
        <v>42244</v>
      </c>
      <c r="AO61">
        <v>130</v>
      </c>
      <c r="AP61" s="303">
        <v>42170</v>
      </c>
      <c r="AQ61" s="302"/>
      <c r="AR61" s="303"/>
      <c r="AS61" s="302"/>
      <c r="AT61" s="303"/>
      <c r="AU61">
        <v>110</v>
      </c>
      <c r="AV61" s="303"/>
      <c r="AW61" s="302"/>
      <c r="AX61" s="302"/>
      <c r="AY61" s="302"/>
      <c r="AZ61" s="303"/>
      <c r="BA61" s="302"/>
      <c r="BB61" s="302"/>
      <c r="BC61" s="302"/>
      <c r="BD61" s="302"/>
      <c r="BE61" s="302"/>
      <c r="BF61" s="302"/>
      <c r="BG61" s="302"/>
      <c r="BH61" s="302"/>
      <c r="BI61" s="302"/>
      <c r="BJ61" s="302"/>
      <c r="BM61">
        <v>0.2</v>
      </c>
      <c r="BS61">
        <v>59.1</v>
      </c>
      <c r="BY61">
        <v>47.9</v>
      </c>
      <c r="CA61">
        <v>21.2</v>
      </c>
      <c r="CC61">
        <v>18.399999999999999</v>
      </c>
      <c r="CI61">
        <v>8.5</v>
      </c>
      <c r="CO61" t="s">
        <v>8698</v>
      </c>
      <c r="CR61">
        <v>2</v>
      </c>
      <c r="CT61" s="304" t="s">
        <v>11678</v>
      </c>
    </row>
    <row r="62" spans="1:99" s="304" customFormat="1">
      <c r="A62" s="304" t="s">
        <v>8506</v>
      </c>
      <c r="B62" s="463">
        <v>108</v>
      </c>
      <c r="C62" s="296" t="s">
        <v>7726</v>
      </c>
      <c r="D62" s="296" t="s">
        <v>7552</v>
      </c>
      <c r="E62" s="296" t="s">
        <v>7726</v>
      </c>
      <c r="F62" s="296"/>
      <c r="G62" s="296" t="s">
        <v>8506</v>
      </c>
      <c r="H62" s="297" t="s">
        <v>8697</v>
      </c>
      <c r="I62" s="297">
        <v>1</v>
      </c>
      <c r="J62" s="298">
        <v>161</v>
      </c>
      <c r="K62" s="299"/>
      <c r="L62" s="299"/>
      <c r="M62" s="299">
        <v>9</v>
      </c>
      <c r="N62" s="299">
        <v>2</v>
      </c>
      <c r="O62" s="300">
        <v>30</v>
      </c>
      <c r="P62" s="301">
        <v>42090</v>
      </c>
      <c r="Q62" s="302"/>
      <c r="R62" s="303"/>
      <c r="S62" s="289">
        <v>5.35</v>
      </c>
      <c r="T62" s="303">
        <v>42208</v>
      </c>
      <c r="U62" s="302"/>
      <c r="V62" s="303"/>
      <c r="W62" s="302"/>
      <c r="X62" s="303"/>
      <c r="Y62" s="302">
        <v>20.51</v>
      </c>
      <c r="Z62" s="303">
        <v>42208</v>
      </c>
      <c r="AA62">
        <v>14.4</v>
      </c>
      <c r="AB62" s="303"/>
      <c r="AC62" s="302"/>
      <c r="AD62" s="303"/>
      <c r="AE62" s="302"/>
      <c r="AF62" s="303"/>
      <c r="AG62">
        <v>70882.757092198575</v>
      </c>
      <c r="AH62" s="521">
        <f>(AK62*10000)/AM62</f>
        <v>70882.757092198575</v>
      </c>
      <c r="AI62" s="302"/>
      <c r="AJ62" s="303"/>
      <c r="AK62">
        <v>33.314895833333331</v>
      </c>
      <c r="AL62" s="521"/>
      <c r="AM62">
        <v>4.7</v>
      </c>
      <c r="AN62" s="303">
        <v>42244</v>
      </c>
      <c r="AO62">
        <v>140</v>
      </c>
      <c r="AP62" s="303">
        <v>42170</v>
      </c>
      <c r="AQ62" s="302"/>
      <c r="AR62" s="303"/>
      <c r="AS62" s="302"/>
      <c r="AT62" s="303"/>
      <c r="AU62">
        <v>105</v>
      </c>
      <c r="AV62" s="303"/>
      <c r="AW62" s="302"/>
      <c r="AX62" s="302"/>
      <c r="AY62" s="302"/>
      <c r="AZ62" s="303"/>
      <c r="BA62" s="302"/>
      <c r="BB62" s="302"/>
      <c r="BC62" s="302"/>
      <c r="BD62" s="302"/>
      <c r="BE62" s="302"/>
      <c r="BF62" s="302"/>
      <c r="BG62" s="302"/>
      <c r="BH62" s="302"/>
      <c r="BI62" s="302"/>
      <c r="BJ62" s="302"/>
      <c r="BM62">
        <v>-3.6</v>
      </c>
      <c r="BS62">
        <v>65.7</v>
      </c>
      <c r="BY62">
        <v>54.9</v>
      </c>
      <c r="CA62">
        <v>15.1</v>
      </c>
      <c r="CC62">
        <v>20.7</v>
      </c>
      <c r="CI62">
        <v>8.5</v>
      </c>
      <c r="CO62" t="s">
        <v>8698</v>
      </c>
      <c r="CR62">
        <v>2</v>
      </c>
      <c r="CT62" s="304" t="s">
        <v>11678</v>
      </c>
    </row>
    <row r="63" spans="1:99" s="304" customFormat="1">
      <c r="A63" s="304" t="s">
        <v>8506</v>
      </c>
      <c r="B63" s="463">
        <v>42</v>
      </c>
      <c r="C63" s="296" t="s">
        <v>7659</v>
      </c>
      <c r="D63" s="296" t="s">
        <v>7492</v>
      </c>
      <c r="E63" s="296" t="s">
        <v>7659</v>
      </c>
      <c r="F63" s="296"/>
      <c r="G63" s="296" t="s">
        <v>8506</v>
      </c>
      <c r="H63" s="297" t="s">
        <v>8696</v>
      </c>
      <c r="I63" s="297">
        <v>2</v>
      </c>
      <c r="J63" s="298">
        <v>202</v>
      </c>
      <c r="K63" s="299"/>
      <c r="L63" s="299"/>
      <c r="M63" s="299">
        <v>10</v>
      </c>
      <c r="N63" s="299">
        <v>7</v>
      </c>
      <c r="O63" s="300">
        <v>47</v>
      </c>
      <c r="P63" s="301">
        <v>42090</v>
      </c>
      <c r="Q63" s="302"/>
      <c r="R63" s="303"/>
      <c r="S63" s="289">
        <v>5.9</v>
      </c>
      <c r="T63" s="303">
        <v>42208</v>
      </c>
      <c r="U63" s="302"/>
      <c r="V63" s="303"/>
      <c r="W63" s="302"/>
      <c r="X63" s="303"/>
      <c r="Y63" s="302">
        <v>21.1</v>
      </c>
      <c r="Z63" s="303">
        <v>42208</v>
      </c>
      <c r="AA63">
        <v>14.4</v>
      </c>
      <c r="AB63" s="303"/>
      <c r="AC63" s="302"/>
      <c r="AD63" s="303"/>
      <c r="AE63" s="302"/>
      <c r="AF63" s="303"/>
      <c r="AG63">
        <v>76708.535879629635</v>
      </c>
      <c r="AH63" s="521">
        <f>(AK63*10000)/AM63</f>
        <v>76708.535879629635</v>
      </c>
      <c r="AI63" s="302"/>
      <c r="AJ63" s="303"/>
      <c r="AK63">
        <v>36.820097222222223</v>
      </c>
      <c r="AL63" s="521"/>
      <c r="AM63">
        <v>4.8</v>
      </c>
      <c r="AN63" s="303">
        <v>42244</v>
      </c>
      <c r="AO63">
        <v>135</v>
      </c>
      <c r="AP63" s="303">
        <v>42170</v>
      </c>
      <c r="AQ63" s="302"/>
      <c r="AR63" s="303"/>
      <c r="AS63" s="302"/>
      <c r="AT63" s="303"/>
      <c r="AU63">
        <v>113</v>
      </c>
      <c r="AV63" s="303"/>
      <c r="AW63" s="302"/>
      <c r="AX63" s="302"/>
      <c r="AY63" s="302"/>
      <c r="AZ63" s="303"/>
      <c r="BA63" s="302"/>
      <c r="BB63" s="302"/>
      <c r="BC63" s="302"/>
      <c r="BD63" s="302"/>
      <c r="BE63" s="302"/>
      <c r="BF63" s="302"/>
      <c r="BG63" s="302"/>
      <c r="BH63" s="302"/>
      <c r="BI63" s="302"/>
      <c r="BJ63" s="302"/>
      <c r="BM63">
        <v>-1.3</v>
      </c>
      <c r="BS63">
        <v>63</v>
      </c>
      <c r="BY63">
        <v>51.1</v>
      </c>
      <c r="CA63">
        <v>17.8</v>
      </c>
      <c r="CC63">
        <v>13.3</v>
      </c>
      <c r="CI63">
        <v>8.3000000000000007</v>
      </c>
      <c r="CO63" t="s">
        <v>8698</v>
      </c>
      <c r="CR63">
        <v>2</v>
      </c>
      <c r="CT63" s="304" t="s">
        <v>11678</v>
      </c>
    </row>
    <row r="64" spans="1:99" s="304" customFormat="1">
      <c r="A64" s="304" t="s">
        <v>8506</v>
      </c>
      <c r="B64" s="463">
        <v>66</v>
      </c>
      <c r="C64" s="296" t="s">
        <v>7684</v>
      </c>
      <c r="D64" s="296" t="s">
        <v>7514</v>
      </c>
      <c r="E64" s="296" t="s">
        <v>7684</v>
      </c>
      <c r="F64" s="296"/>
      <c r="G64" s="296" t="s">
        <v>8506</v>
      </c>
      <c r="H64" s="297" t="s">
        <v>8697</v>
      </c>
      <c r="I64" s="297">
        <v>1</v>
      </c>
      <c r="J64" s="305">
        <v>1122</v>
      </c>
      <c r="K64" s="299"/>
      <c r="L64" s="299"/>
      <c r="M64" s="299">
        <v>10</v>
      </c>
      <c r="N64" s="299">
        <v>3</v>
      </c>
      <c r="O64" s="300">
        <v>40</v>
      </c>
      <c r="P64" s="301">
        <v>42090</v>
      </c>
      <c r="Q64" s="306"/>
      <c r="R64" s="303"/>
      <c r="S64" s="289">
        <v>4.9000000000000004</v>
      </c>
      <c r="T64" s="303">
        <v>42208</v>
      </c>
      <c r="U64" s="307"/>
      <c r="V64" s="303"/>
      <c r="W64" s="306"/>
      <c r="X64" s="303"/>
      <c r="Y64" s="306">
        <v>17.559999999999999</v>
      </c>
      <c r="Z64" s="303">
        <v>42208</v>
      </c>
      <c r="AA64">
        <v>14.4</v>
      </c>
      <c r="AB64" s="303"/>
      <c r="AC64" s="306"/>
      <c r="AD64" s="303"/>
      <c r="AE64" s="302"/>
      <c r="AF64" s="303"/>
      <c r="AG64">
        <v>55720.17676767677</v>
      </c>
      <c r="AH64" s="521">
        <f>(AK64*10000)/AM64</f>
        <v>55720.17676767677</v>
      </c>
      <c r="AI64" s="302"/>
      <c r="AJ64" s="303"/>
      <c r="AK64">
        <v>30.646097222222224</v>
      </c>
      <c r="AL64" s="521"/>
      <c r="AM64">
        <v>5.5</v>
      </c>
      <c r="AN64" s="303">
        <v>42244</v>
      </c>
      <c r="AO64">
        <v>125</v>
      </c>
      <c r="AP64" s="303">
        <v>42170</v>
      </c>
      <c r="AQ64" s="306"/>
      <c r="AR64" s="303"/>
      <c r="AS64" s="306"/>
      <c r="AT64" s="303"/>
      <c r="AU64">
        <v>109</v>
      </c>
      <c r="AV64" s="303"/>
      <c r="AW64" s="302"/>
      <c r="AX64" s="302"/>
      <c r="AY64" s="302"/>
      <c r="AZ64" s="303"/>
      <c r="BA64" s="302"/>
      <c r="BB64" s="302"/>
      <c r="BC64" s="302"/>
      <c r="BD64" s="302"/>
      <c r="BE64" s="302"/>
      <c r="BF64" s="302"/>
      <c r="BG64" s="302"/>
      <c r="BH64" s="302"/>
      <c r="BI64" s="302"/>
      <c r="BJ64" s="302"/>
      <c r="BM64">
        <v>1.8</v>
      </c>
      <c r="BS64">
        <v>59</v>
      </c>
      <c r="BY64">
        <v>51.1</v>
      </c>
      <c r="CA64">
        <v>17.2</v>
      </c>
      <c r="CC64">
        <v>17.100000000000001</v>
      </c>
      <c r="CI64">
        <v>8.1</v>
      </c>
      <c r="CO64" t="s">
        <v>8698</v>
      </c>
      <c r="CR64">
        <v>2</v>
      </c>
      <c r="CT64" s="304" t="s">
        <v>11678</v>
      </c>
    </row>
    <row r="65" spans="1:98" s="304" customFormat="1">
      <c r="A65" s="304" t="s">
        <v>8506</v>
      </c>
      <c r="B65" s="463">
        <v>95</v>
      </c>
      <c r="C65" s="296" t="s">
        <v>7713</v>
      </c>
      <c r="D65" s="296" t="s">
        <v>7540</v>
      </c>
      <c r="E65" s="296" t="s">
        <v>7713</v>
      </c>
      <c r="F65" s="296"/>
      <c r="G65" s="296" t="s">
        <v>8506</v>
      </c>
      <c r="H65" s="297" t="s">
        <v>8697</v>
      </c>
      <c r="I65" s="297">
        <v>1</v>
      </c>
      <c r="J65" s="298">
        <v>1182</v>
      </c>
      <c r="K65" s="299"/>
      <c r="L65" s="299"/>
      <c r="M65" s="299">
        <v>10</v>
      </c>
      <c r="N65" s="299">
        <v>4</v>
      </c>
      <c r="O65" s="300">
        <v>45</v>
      </c>
      <c r="P65" s="301">
        <v>42090</v>
      </c>
      <c r="Q65" s="302"/>
      <c r="R65" s="303"/>
      <c r="S65" s="289">
        <v>3.45</v>
      </c>
      <c r="T65" s="303">
        <v>42208</v>
      </c>
      <c r="U65" s="302"/>
      <c r="V65" s="303"/>
      <c r="W65" s="302"/>
      <c r="X65" s="303"/>
      <c r="Y65" s="302">
        <v>12.71</v>
      </c>
      <c r="Z65" s="303">
        <v>42208</v>
      </c>
      <c r="AA65">
        <v>14.4</v>
      </c>
      <c r="AB65" s="303"/>
      <c r="AC65" s="302"/>
      <c r="AD65" s="303"/>
      <c r="AE65" s="302"/>
      <c r="AF65" s="303"/>
      <c r="AG65">
        <v>44903.906249999993</v>
      </c>
      <c r="AH65" s="521">
        <f>(AK65*10000)/AM65</f>
        <v>44903.906249999993</v>
      </c>
      <c r="AI65" s="302"/>
      <c r="AJ65" s="303"/>
      <c r="AK65">
        <v>21.553874999999998</v>
      </c>
      <c r="AL65" s="521"/>
      <c r="AM65">
        <v>4.8</v>
      </c>
      <c r="AN65" s="303">
        <v>42244</v>
      </c>
      <c r="AO65">
        <v>120</v>
      </c>
      <c r="AP65" s="303">
        <v>42170</v>
      </c>
      <c r="AQ65" s="302"/>
      <c r="AR65" s="303"/>
      <c r="AS65" s="302"/>
      <c r="AT65" s="303"/>
      <c r="AU65">
        <v>104</v>
      </c>
      <c r="AV65" s="303"/>
      <c r="AW65" s="302"/>
      <c r="AX65" s="302"/>
      <c r="AY65" s="302"/>
      <c r="AZ65" s="303"/>
      <c r="BA65" s="302"/>
      <c r="BB65" s="302"/>
      <c r="BC65" s="302"/>
      <c r="BD65" s="302"/>
      <c r="BE65" s="302"/>
      <c r="BF65" s="302"/>
      <c r="BG65" s="302"/>
      <c r="BH65" s="302"/>
      <c r="BI65" s="302"/>
      <c r="BJ65" s="302"/>
      <c r="BM65">
        <v>0.7</v>
      </c>
      <c r="BS65">
        <v>61.2</v>
      </c>
      <c r="BY65">
        <v>52.6</v>
      </c>
      <c r="CA65">
        <v>16.399999999999999</v>
      </c>
      <c r="CC65">
        <v>22</v>
      </c>
      <c r="CI65">
        <v>8.1999999999999993</v>
      </c>
      <c r="CO65" t="s">
        <v>8698</v>
      </c>
      <c r="CR65">
        <v>4</v>
      </c>
      <c r="CT65" s="304" t="s">
        <v>11678</v>
      </c>
    </row>
    <row r="66" spans="1:98" s="304" customFormat="1">
      <c r="A66" s="304" t="s">
        <v>8506</v>
      </c>
      <c r="B66" s="463">
        <v>118</v>
      </c>
      <c r="C66" s="296" t="s">
        <v>7737</v>
      </c>
      <c r="D66" s="296" t="s">
        <v>7821</v>
      </c>
      <c r="E66" s="296" t="s">
        <v>7737</v>
      </c>
      <c r="F66" s="296"/>
      <c r="G66" s="296" t="s">
        <v>8506</v>
      </c>
      <c r="H66" s="297" t="s">
        <v>8697</v>
      </c>
      <c r="I66" s="297">
        <v>1</v>
      </c>
      <c r="J66" s="298">
        <v>102</v>
      </c>
      <c r="K66" s="299"/>
      <c r="L66" s="299"/>
      <c r="M66" s="299">
        <v>10</v>
      </c>
      <c r="N66" s="299">
        <v>1</v>
      </c>
      <c r="O66" s="300">
        <v>24</v>
      </c>
      <c r="P66" s="301">
        <v>42090</v>
      </c>
      <c r="Q66" s="302"/>
      <c r="R66" s="303"/>
      <c r="S66" s="289">
        <v>3.75</v>
      </c>
      <c r="T66" s="303">
        <v>42208</v>
      </c>
      <c r="U66" s="302"/>
      <c r="V66" s="303"/>
      <c r="W66" s="302"/>
      <c r="X66" s="303"/>
      <c r="Y66" s="302">
        <v>13.45</v>
      </c>
      <c r="Z66" s="303">
        <v>42208</v>
      </c>
      <c r="AA66">
        <v>14.4</v>
      </c>
      <c r="AB66" s="303"/>
      <c r="AC66" s="302"/>
      <c r="AD66" s="303"/>
      <c r="AE66" s="302"/>
      <c r="AF66" s="303"/>
      <c r="AG66">
        <v>49955.673758865254</v>
      </c>
      <c r="AH66" s="521">
        <f>(AK66*10000)/AM66</f>
        <v>49955.673758865254</v>
      </c>
      <c r="AI66" s="302"/>
      <c r="AJ66" s="303"/>
      <c r="AK66">
        <v>23.479166666666671</v>
      </c>
      <c r="AL66" s="521"/>
      <c r="AM66">
        <v>4.7</v>
      </c>
      <c r="AN66" s="303">
        <v>42244</v>
      </c>
      <c r="AO66">
        <v>130</v>
      </c>
      <c r="AP66" s="303">
        <v>42170</v>
      </c>
      <c r="AQ66" s="302"/>
      <c r="AR66" s="303"/>
      <c r="AS66" s="302"/>
      <c r="AT66" s="303"/>
      <c r="AU66">
        <v>107</v>
      </c>
      <c r="AV66" s="303"/>
      <c r="AW66" s="302"/>
      <c r="AX66" s="302"/>
      <c r="AY66" s="302"/>
      <c r="AZ66" s="303"/>
      <c r="BA66" s="302"/>
      <c r="BB66" s="302"/>
      <c r="BC66" s="302"/>
      <c r="BD66" s="302"/>
      <c r="BE66" s="302"/>
      <c r="BF66" s="302"/>
      <c r="BG66" s="302"/>
      <c r="BH66" s="302"/>
      <c r="BI66" s="302"/>
      <c r="BJ66" s="302"/>
      <c r="BM66">
        <v>32.5</v>
      </c>
      <c r="BS66">
        <v>30.3</v>
      </c>
      <c r="BY66">
        <v>51.1</v>
      </c>
      <c r="CA66">
        <v>18.3</v>
      </c>
      <c r="CC66">
        <v>57.9</v>
      </c>
      <c r="CI66">
        <v>8</v>
      </c>
      <c r="CO66" t="s">
        <v>8698</v>
      </c>
      <c r="CR66">
        <v>2</v>
      </c>
      <c r="CT66" s="304" t="s">
        <v>11678</v>
      </c>
    </row>
    <row r="67" spans="1:98" s="304" customFormat="1">
      <c r="A67" s="304" t="s">
        <v>8506</v>
      </c>
      <c r="B67" s="463">
        <v>119</v>
      </c>
      <c r="C67" s="296" t="s">
        <v>7738</v>
      </c>
      <c r="D67" s="296" t="s">
        <v>7822</v>
      </c>
      <c r="E67" s="296" t="s">
        <v>7738</v>
      </c>
      <c r="F67" s="296"/>
      <c r="G67" s="296" t="s">
        <v>8506</v>
      </c>
      <c r="H67" s="297" t="s">
        <v>8696</v>
      </c>
      <c r="I67" s="297">
        <v>2</v>
      </c>
      <c r="J67" s="298">
        <v>262</v>
      </c>
      <c r="K67" s="299"/>
      <c r="L67" s="299"/>
      <c r="M67" s="299">
        <v>10</v>
      </c>
      <c r="N67" s="299">
        <v>8</v>
      </c>
      <c r="O67" s="300">
        <v>56</v>
      </c>
      <c r="P67" s="301">
        <v>42090</v>
      </c>
      <c r="Q67" s="302"/>
      <c r="R67" s="303"/>
      <c r="S67" s="289">
        <v>4.45</v>
      </c>
      <c r="T67" s="303">
        <v>42208</v>
      </c>
      <c r="U67" s="302"/>
      <c r="V67" s="303"/>
      <c r="W67" s="302"/>
      <c r="X67" s="303"/>
      <c r="Y67" s="302">
        <v>14.96</v>
      </c>
      <c r="Z67" s="303">
        <v>42208</v>
      </c>
      <c r="AA67">
        <v>14.4</v>
      </c>
      <c r="AB67" s="303"/>
      <c r="AC67" s="302"/>
      <c r="AD67" s="303"/>
      <c r="AE67" s="302"/>
      <c r="AF67" s="303"/>
      <c r="AG67">
        <v>61780.833333333321</v>
      </c>
      <c r="AH67" s="521">
        <f>(AK67*10000)/AM67</f>
        <v>61780.833333333321</v>
      </c>
      <c r="AI67" s="302"/>
      <c r="AJ67" s="303"/>
      <c r="AK67">
        <v>27.801374999999993</v>
      </c>
      <c r="AL67" s="521"/>
      <c r="AM67">
        <v>4.5</v>
      </c>
      <c r="AN67" s="303">
        <v>42244</v>
      </c>
      <c r="AO67">
        <v>130</v>
      </c>
      <c r="AP67" s="303">
        <v>42170</v>
      </c>
      <c r="AQ67" s="302"/>
      <c r="AR67" s="303"/>
      <c r="AS67" s="302"/>
      <c r="AT67" s="303"/>
      <c r="AU67">
        <v>113</v>
      </c>
      <c r="AV67" s="303"/>
      <c r="AW67" s="302"/>
      <c r="AX67" s="302"/>
      <c r="AY67" s="302"/>
      <c r="AZ67" s="303"/>
      <c r="BA67" s="302"/>
      <c r="BB67" s="302"/>
      <c r="BC67" s="302"/>
      <c r="BD67" s="302"/>
      <c r="BE67" s="302"/>
      <c r="BF67" s="302"/>
      <c r="BG67" s="302"/>
      <c r="BH67" s="302"/>
      <c r="BI67" s="302"/>
      <c r="BJ67" s="302"/>
      <c r="BM67">
        <v>41.7</v>
      </c>
      <c r="BS67">
        <v>17.899999999999999</v>
      </c>
      <c r="BY67">
        <v>48</v>
      </c>
      <c r="CA67">
        <v>21.8</v>
      </c>
      <c r="CC67">
        <v>62.9</v>
      </c>
      <c r="CI67">
        <v>8.1999999999999993</v>
      </c>
      <c r="CO67" t="s">
        <v>8698</v>
      </c>
      <c r="CR67">
        <v>3</v>
      </c>
      <c r="CT67" s="304" t="s">
        <v>11678</v>
      </c>
    </row>
    <row r="68" spans="1:98" s="304" customFormat="1">
      <c r="A68" s="304" t="s">
        <v>8506</v>
      </c>
      <c r="B68" s="463">
        <v>130</v>
      </c>
      <c r="C68" s="296" t="s">
        <v>7758</v>
      </c>
      <c r="D68" s="296" t="s">
        <v>7568</v>
      </c>
      <c r="E68" s="296" t="s">
        <v>7758</v>
      </c>
      <c r="F68" s="296"/>
      <c r="G68" s="296" t="s">
        <v>8506</v>
      </c>
      <c r="H68" s="297" t="s">
        <v>8696</v>
      </c>
      <c r="I68" s="297">
        <v>2</v>
      </c>
      <c r="J68" s="298">
        <v>2182</v>
      </c>
      <c r="K68" s="299"/>
      <c r="L68" s="299"/>
      <c r="M68" s="299">
        <v>10</v>
      </c>
      <c r="N68" s="299">
        <v>10</v>
      </c>
      <c r="O68" s="300">
        <v>36</v>
      </c>
      <c r="P68" s="301">
        <v>42090</v>
      </c>
      <c r="Q68" s="302"/>
      <c r="R68" s="303"/>
      <c r="S68" s="289">
        <v>5.15</v>
      </c>
      <c r="T68" s="303">
        <v>42208</v>
      </c>
      <c r="U68" s="302"/>
      <c r="V68" s="303"/>
      <c r="W68" s="302"/>
      <c r="X68" s="303"/>
      <c r="Y68" s="302">
        <v>17.78</v>
      </c>
      <c r="Z68" s="303">
        <v>42208</v>
      </c>
      <c r="AA68">
        <v>14.4</v>
      </c>
      <c r="AB68" s="303"/>
      <c r="AC68" s="302"/>
      <c r="AD68" s="303"/>
      <c r="AE68" s="302"/>
      <c r="AF68" s="303"/>
      <c r="AG68">
        <v>61739.476495726485</v>
      </c>
      <c r="AH68" s="521">
        <f>(AK68*10000)/AM68</f>
        <v>61739.476495726485</v>
      </c>
      <c r="AI68" s="302"/>
      <c r="AJ68" s="303"/>
      <c r="AK68">
        <v>32.104527777777776</v>
      </c>
      <c r="AL68" s="521"/>
      <c r="AM68">
        <v>5.2</v>
      </c>
      <c r="AN68" s="303">
        <v>42244</v>
      </c>
      <c r="AO68">
        <v>125</v>
      </c>
      <c r="AP68" s="303">
        <v>42170</v>
      </c>
      <c r="AQ68" s="302"/>
      <c r="AR68" s="303"/>
      <c r="AS68" s="302"/>
      <c r="AT68" s="303"/>
      <c r="AU68">
        <v>110</v>
      </c>
      <c r="AV68" s="303"/>
      <c r="AW68" s="302"/>
      <c r="AX68" s="302"/>
      <c r="AY68" s="302"/>
      <c r="AZ68" s="303"/>
      <c r="BA68" s="302"/>
      <c r="BB68" s="302"/>
      <c r="BC68" s="302"/>
      <c r="BD68" s="302"/>
      <c r="BE68" s="302"/>
      <c r="BF68" s="302"/>
      <c r="BG68" s="302"/>
      <c r="BH68" s="302"/>
      <c r="BI68" s="302"/>
      <c r="BJ68" s="302"/>
      <c r="BM68">
        <v>0.5</v>
      </c>
      <c r="BS68">
        <v>59.8</v>
      </c>
      <c r="BY68">
        <v>49.4</v>
      </c>
      <c r="CA68">
        <v>19.399999999999999</v>
      </c>
      <c r="CC68">
        <v>18.899999999999999</v>
      </c>
      <c r="CI68">
        <v>8.4</v>
      </c>
      <c r="CO68" t="s">
        <v>8698</v>
      </c>
      <c r="CR68">
        <v>1</v>
      </c>
      <c r="CT68" s="304" t="s">
        <v>11678</v>
      </c>
    </row>
    <row r="69" spans="1:98" s="304" customFormat="1">
      <c r="A69" s="304" t="s">
        <v>8506</v>
      </c>
      <c r="B69" s="463">
        <v>141</v>
      </c>
      <c r="C69" s="296" t="s">
        <v>7769</v>
      </c>
      <c r="D69" s="296" t="s">
        <v>7570</v>
      </c>
      <c r="E69" s="296" t="s">
        <v>7769</v>
      </c>
      <c r="F69" s="296"/>
      <c r="G69" s="296" t="s">
        <v>8506</v>
      </c>
      <c r="H69" s="297" t="s">
        <v>8696</v>
      </c>
      <c r="I69" s="297">
        <v>2</v>
      </c>
      <c r="J69" s="298">
        <v>2122</v>
      </c>
      <c r="K69" s="299"/>
      <c r="L69" s="299"/>
      <c r="M69" s="299">
        <v>10</v>
      </c>
      <c r="N69" s="299">
        <v>9</v>
      </c>
      <c r="O69" s="300">
        <v>34</v>
      </c>
      <c r="P69" s="301">
        <v>42090</v>
      </c>
      <c r="Q69" s="302"/>
      <c r="R69" s="303"/>
      <c r="S69" s="289">
        <v>6.25</v>
      </c>
      <c r="T69" s="303">
        <v>42208</v>
      </c>
      <c r="U69" s="302"/>
      <c r="V69" s="303"/>
      <c r="W69" s="302"/>
      <c r="X69" s="303"/>
      <c r="Y69" s="302">
        <v>22.17</v>
      </c>
      <c r="Z69" s="303">
        <v>42208</v>
      </c>
      <c r="AA69">
        <v>14.4</v>
      </c>
      <c r="AB69" s="303"/>
      <c r="AC69" s="302"/>
      <c r="AD69" s="303"/>
      <c r="AE69" s="302"/>
      <c r="AF69" s="303"/>
      <c r="AG69">
        <v>66955.51963601532</v>
      </c>
      <c r="AH69" s="521">
        <f>(AK69*10000)/AM69</f>
        <v>66955.51963601532</v>
      </c>
      <c r="AI69" s="302"/>
      <c r="AJ69" s="303"/>
      <c r="AK69">
        <v>38.834201388888886</v>
      </c>
      <c r="AL69" s="521"/>
      <c r="AM69">
        <v>5.8</v>
      </c>
      <c r="AN69" s="303">
        <v>42244</v>
      </c>
      <c r="AO69">
        <v>135</v>
      </c>
      <c r="AP69" s="303">
        <v>42170</v>
      </c>
      <c r="AQ69" s="302"/>
      <c r="AR69" s="303"/>
      <c r="AS69" s="302"/>
      <c r="AT69" s="303"/>
      <c r="AU69">
        <v>105</v>
      </c>
      <c r="AV69" s="303"/>
      <c r="AW69" s="302"/>
      <c r="AX69" s="302"/>
      <c r="AY69" s="302"/>
      <c r="AZ69" s="303"/>
      <c r="BA69" s="302"/>
      <c r="BB69" s="302"/>
      <c r="BC69" s="302"/>
      <c r="BD69" s="302"/>
      <c r="BE69" s="302"/>
      <c r="BF69" s="302"/>
      <c r="BG69" s="302"/>
      <c r="BH69" s="302"/>
      <c r="BI69" s="302"/>
      <c r="BJ69" s="302"/>
      <c r="BM69">
        <v>-0.7</v>
      </c>
      <c r="BS69">
        <v>61.6</v>
      </c>
      <c r="BY69">
        <v>50.9</v>
      </c>
      <c r="CA69">
        <v>19.3</v>
      </c>
      <c r="CC69">
        <v>17.600000000000001</v>
      </c>
      <c r="CI69">
        <v>8.6999999999999993</v>
      </c>
      <c r="CO69" t="s">
        <v>8698</v>
      </c>
      <c r="CR69">
        <v>2</v>
      </c>
      <c r="CT69" s="304" t="s">
        <v>11678</v>
      </c>
    </row>
    <row r="70" spans="1:98" s="304" customFormat="1">
      <c r="A70" s="304" t="s">
        <v>8506</v>
      </c>
      <c r="B70" s="463">
        <v>160</v>
      </c>
      <c r="C70" s="296" t="s">
        <v>7788</v>
      </c>
      <c r="D70" s="296" t="s">
        <v>7589</v>
      </c>
      <c r="E70" s="296" t="s">
        <v>7788</v>
      </c>
      <c r="F70" s="296"/>
      <c r="G70" s="296" t="s">
        <v>8506</v>
      </c>
      <c r="H70" s="297" t="s">
        <v>8697</v>
      </c>
      <c r="I70" s="297">
        <v>1</v>
      </c>
      <c r="J70" s="298">
        <v>162</v>
      </c>
      <c r="K70" s="299"/>
      <c r="L70" s="299"/>
      <c r="M70" s="299">
        <v>10</v>
      </c>
      <c r="N70" s="299">
        <v>2</v>
      </c>
      <c r="O70" s="300">
        <v>46</v>
      </c>
      <c r="P70" s="301">
        <v>42090</v>
      </c>
      <c r="Q70" s="302"/>
      <c r="R70" s="303"/>
      <c r="S70" s="289">
        <v>4.8499999999999996</v>
      </c>
      <c r="T70" s="303">
        <v>42208</v>
      </c>
      <c r="U70" s="302"/>
      <c r="V70" s="303"/>
      <c r="W70" s="302"/>
      <c r="X70" s="303"/>
      <c r="Y70" s="302">
        <v>18.079999999999998</v>
      </c>
      <c r="Z70" s="303">
        <v>42208</v>
      </c>
      <c r="AA70">
        <v>14.4</v>
      </c>
      <c r="AB70" s="303"/>
      <c r="AC70" s="302"/>
      <c r="AD70" s="303"/>
      <c r="AE70" s="302"/>
      <c r="AF70" s="303"/>
      <c r="AG70">
        <v>56859.132599580698</v>
      </c>
      <c r="AH70" s="521">
        <f>(AK70*10000)/AM70</f>
        <v>56859.132599580698</v>
      </c>
      <c r="AI70" s="302"/>
      <c r="AJ70" s="303"/>
      <c r="AK70">
        <v>30.135340277777772</v>
      </c>
      <c r="AL70" s="521"/>
      <c r="AM70">
        <v>5.3</v>
      </c>
      <c r="AN70" s="303">
        <v>42244</v>
      </c>
      <c r="AO70">
        <v>150</v>
      </c>
      <c r="AP70" s="303">
        <v>42170</v>
      </c>
      <c r="AQ70" s="302"/>
      <c r="AR70" s="303"/>
      <c r="AS70" s="302"/>
      <c r="AT70" s="303"/>
      <c r="AU70">
        <v>107</v>
      </c>
      <c r="AV70" s="303"/>
      <c r="AW70" s="302"/>
      <c r="AX70" s="302"/>
      <c r="AY70" s="302"/>
      <c r="AZ70" s="303"/>
      <c r="BA70" s="302"/>
      <c r="BB70" s="302"/>
      <c r="BC70" s="302"/>
      <c r="BD70" s="302"/>
      <c r="BE70" s="302"/>
      <c r="BF70" s="302"/>
      <c r="BG70" s="302"/>
      <c r="BH70" s="302"/>
      <c r="BI70" s="302"/>
      <c r="BJ70" s="302"/>
      <c r="BM70">
        <v>-2</v>
      </c>
      <c r="BS70">
        <v>63</v>
      </c>
      <c r="BY70">
        <v>53.5</v>
      </c>
      <c r="CA70">
        <v>14.5</v>
      </c>
      <c r="CC70">
        <v>15.3</v>
      </c>
      <c r="CI70">
        <v>8.6999999999999993</v>
      </c>
      <c r="CO70" t="s">
        <v>8698</v>
      </c>
      <c r="CR70">
        <v>2</v>
      </c>
      <c r="CT70" s="304" t="s">
        <v>11678</v>
      </c>
    </row>
    <row r="71" spans="1:98" s="304" customFormat="1">
      <c r="A71" s="304" t="s">
        <v>8506</v>
      </c>
      <c r="B71" s="463">
        <v>164</v>
      </c>
      <c r="C71" s="296" t="s">
        <v>7792</v>
      </c>
      <c r="D71" s="296" t="s">
        <v>7593</v>
      </c>
      <c r="E71" s="296" t="s">
        <v>7792</v>
      </c>
      <c r="F71" s="296"/>
      <c r="G71" s="296" t="s">
        <v>8506</v>
      </c>
      <c r="H71" s="297" t="s">
        <v>8697</v>
      </c>
      <c r="I71" s="297">
        <v>1</v>
      </c>
      <c r="J71" s="298">
        <v>1302</v>
      </c>
      <c r="K71" s="299"/>
      <c r="L71" s="299"/>
      <c r="M71" s="299">
        <v>10</v>
      </c>
      <c r="N71" s="299">
        <v>6</v>
      </c>
      <c r="O71" s="300">
        <v>26</v>
      </c>
      <c r="P71" s="301">
        <v>42090</v>
      </c>
      <c r="Q71" s="302"/>
      <c r="R71" s="303"/>
      <c r="S71" s="289">
        <v>7</v>
      </c>
      <c r="T71" s="303">
        <v>42208</v>
      </c>
      <c r="U71" s="302"/>
      <c r="V71" s="303"/>
      <c r="W71" s="302"/>
      <c r="X71" s="303"/>
      <c r="Y71" s="302">
        <v>25.18</v>
      </c>
      <c r="Z71" s="303">
        <v>42208</v>
      </c>
      <c r="AA71">
        <v>14.4</v>
      </c>
      <c r="AB71" s="303"/>
      <c r="AC71" s="302"/>
      <c r="AD71" s="303"/>
      <c r="AE71" s="302"/>
      <c r="AF71" s="303"/>
      <c r="AG71">
        <v>87560.277777777781</v>
      </c>
      <c r="AH71" s="521">
        <f>(AK71*10000)/AM71</f>
        <v>87560.277777777781</v>
      </c>
      <c r="AI71" s="302"/>
      <c r="AJ71" s="303"/>
      <c r="AK71">
        <v>43.780138888888885</v>
      </c>
      <c r="AL71" s="521"/>
      <c r="AM71">
        <v>5</v>
      </c>
      <c r="AN71" s="303">
        <v>42244</v>
      </c>
      <c r="AO71">
        <v>155</v>
      </c>
      <c r="AP71" s="303">
        <v>42170</v>
      </c>
      <c r="AQ71" s="302"/>
      <c r="AR71" s="303"/>
      <c r="AS71" s="302"/>
      <c r="AT71" s="303"/>
      <c r="AU71">
        <v>107</v>
      </c>
      <c r="AV71" s="303"/>
      <c r="AW71" s="302"/>
      <c r="AX71" s="302"/>
      <c r="AY71" s="302"/>
      <c r="AZ71" s="303"/>
      <c r="BA71" s="302"/>
      <c r="BB71" s="302"/>
      <c r="BC71" s="302"/>
      <c r="BD71" s="302"/>
      <c r="BE71" s="302"/>
      <c r="BF71" s="302"/>
      <c r="BG71" s="302"/>
      <c r="BH71" s="302"/>
      <c r="BI71" s="302"/>
      <c r="BJ71" s="302"/>
      <c r="BM71">
        <v>0.8</v>
      </c>
      <c r="BS71">
        <v>59.5</v>
      </c>
      <c r="BY71">
        <v>51.3</v>
      </c>
      <c r="CA71">
        <v>17.100000000000001</v>
      </c>
      <c r="CC71">
        <v>16</v>
      </c>
      <c r="CI71">
        <v>8.1</v>
      </c>
      <c r="CO71" t="s">
        <v>8698</v>
      </c>
      <c r="CR71">
        <v>2</v>
      </c>
      <c r="CT71" s="304" t="s">
        <v>11678</v>
      </c>
    </row>
    <row r="72" spans="1:98" s="304" customFormat="1">
      <c r="A72" s="304" t="s">
        <v>8506</v>
      </c>
      <c r="B72" s="463">
        <v>165</v>
      </c>
      <c r="C72" s="296" t="s">
        <v>7793</v>
      </c>
      <c r="D72" s="296" t="s">
        <v>7594</v>
      </c>
      <c r="E72" s="296" t="s">
        <v>7793</v>
      </c>
      <c r="F72" s="296"/>
      <c r="G72" s="296" t="s">
        <v>8506</v>
      </c>
      <c r="H72" s="297" t="s">
        <v>8696</v>
      </c>
      <c r="I72" s="297">
        <v>2</v>
      </c>
      <c r="J72" s="298">
        <v>2242</v>
      </c>
      <c r="K72" s="299"/>
      <c r="L72" s="299"/>
      <c r="M72" s="299">
        <v>10</v>
      </c>
      <c r="N72" s="299">
        <v>11</v>
      </c>
      <c r="O72" s="300">
        <v>38</v>
      </c>
      <c r="P72" s="301">
        <v>42090</v>
      </c>
      <c r="Q72" s="302"/>
      <c r="R72" s="303"/>
      <c r="S72" s="289">
        <v>6.4</v>
      </c>
      <c r="T72" s="303">
        <v>42208</v>
      </c>
      <c r="U72" s="302"/>
      <c r="V72" s="303"/>
      <c r="W72" s="302"/>
      <c r="X72" s="303"/>
      <c r="Y72" s="302">
        <v>22.24</v>
      </c>
      <c r="Z72" s="303">
        <v>42208</v>
      </c>
      <c r="AA72">
        <v>14.4</v>
      </c>
      <c r="AB72" s="303"/>
      <c r="AC72" s="302"/>
      <c r="AD72" s="303"/>
      <c r="AE72" s="302"/>
      <c r="AF72" s="303"/>
      <c r="AG72">
        <v>85443.026004728148</v>
      </c>
      <c r="AH72" s="521">
        <f>(AK72*10000)/AM72</f>
        <v>85443.026004728148</v>
      </c>
      <c r="AI72" s="302"/>
      <c r="AJ72" s="303"/>
      <c r="AK72">
        <v>40.158222222222228</v>
      </c>
      <c r="AL72" s="521"/>
      <c r="AM72">
        <v>4.7</v>
      </c>
      <c r="AN72" s="303">
        <v>42244</v>
      </c>
      <c r="AO72">
        <v>130</v>
      </c>
      <c r="AP72" s="303">
        <v>42170</v>
      </c>
      <c r="AQ72" s="302"/>
      <c r="AR72" s="303"/>
      <c r="AS72" s="302"/>
      <c r="AT72" s="303"/>
      <c r="AU72">
        <v>112</v>
      </c>
      <c r="AV72" s="303"/>
      <c r="AW72" s="302"/>
      <c r="AX72" s="302"/>
      <c r="AY72" s="302"/>
      <c r="AZ72" s="303"/>
      <c r="BA72" s="302"/>
      <c r="BB72" s="302"/>
      <c r="BC72" s="302"/>
      <c r="BD72" s="302"/>
      <c r="BE72" s="302"/>
      <c r="BF72" s="302"/>
      <c r="BG72" s="302"/>
      <c r="BH72" s="302"/>
      <c r="BI72" s="302"/>
      <c r="BJ72" s="302"/>
      <c r="BM72">
        <v>-1.1000000000000001</v>
      </c>
      <c r="BS72">
        <v>62.2</v>
      </c>
      <c r="BY72">
        <v>49.4</v>
      </c>
      <c r="CA72">
        <v>19.7</v>
      </c>
      <c r="CC72">
        <v>18.899999999999999</v>
      </c>
      <c r="CI72">
        <v>7.8</v>
      </c>
      <c r="CO72" t="s">
        <v>8698</v>
      </c>
      <c r="CR72">
        <v>1</v>
      </c>
      <c r="CT72" s="304" t="s">
        <v>11678</v>
      </c>
    </row>
    <row r="73" spans="1:98" s="304" customFormat="1">
      <c r="A73" s="304" t="s">
        <v>8506</v>
      </c>
      <c r="B73" s="463">
        <v>41</v>
      </c>
      <c r="C73" s="296" t="s">
        <v>7658</v>
      </c>
      <c r="D73" s="296" t="s">
        <v>7491</v>
      </c>
      <c r="E73" s="296" t="s">
        <v>7658</v>
      </c>
      <c r="F73" s="296"/>
      <c r="G73" s="296" t="s">
        <v>8506</v>
      </c>
      <c r="H73" s="297" t="s">
        <v>8697</v>
      </c>
      <c r="I73" s="297">
        <v>1</v>
      </c>
      <c r="J73" s="298">
        <v>1123</v>
      </c>
      <c r="K73" s="299"/>
      <c r="L73" s="299"/>
      <c r="M73" s="299">
        <v>11</v>
      </c>
      <c r="N73" s="299">
        <v>3</v>
      </c>
      <c r="O73" s="300">
        <v>48</v>
      </c>
      <c r="P73" s="301">
        <v>42090</v>
      </c>
      <c r="Q73" s="302"/>
      <c r="R73" s="303"/>
      <c r="S73" s="289">
        <v>5.4</v>
      </c>
      <c r="T73" s="303">
        <v>42208</v>
      </c>
      <c r="U73" s="302"/>
      <c r="V73" s="303"/>
      <c r="W73" s="302"/>
      <c r="X73" s="303"/>
      <c r="Y73" s="302">
        <v>19.489999999999998</v>
      </c>
      <c r="Z73" s="303">
        <v>42208</v>
      </c>
      <c r="AA73">
        <v>14.4</v>
      </c>
      <c r="AB73" s="303"/>
      <c r="AC73" s="302"/>
      <c r="AD73" s="303"/>
      <c r="AE73" s="302"/>
      <c r="AF73" s="303"/>
      <c r="AG73">
        <v>76840.909090909088</v>
      </c>
      <c r="AH73" s="521">
        <f>(AK73*10000)/AM73</f>
        <v>76840.909090909088</v>
      </c>
      <c r="AI73" s="302"/>
      <c r="AJ73" s="303"/>
      <c r="AK73">
        <v>33.81</v>
      </c>
      <c r="AL73" s="521"/>
      <c r="AM73">
        <v>4.4000000000000004</v>
      </c>
      <c r="AN73" s="303">
        <v>42244</v>
      </c>
      <c r="AO73">
        <v>140</v>
      </c>
      <c r="AP73" s="303">
        <v>42170</v>
      </c>
      <c r="AQ73" s="302"/>
      <c r="AR73" s="303"/>
      <c r="AS73" s="302"/>
      <c r="AT73" s="303"/>
      <c r="AU73">
        <v>110</v>
      </c>
      <c r="AV73" s="303"/>
      <c r="AW73" s="302"/>
      <c r="AX73" s="302"/>
      <c r="AY73" s="302"/>
      <c r="AZ73" s="303"/>
      <c r="BA73" s="302"/>
      <c r="BB73" s="302"/>
      <c r="BC73" s="302"/>
      <c r="BD73" s="302"/>
      <c r="BE73" s="302"/>
      <c r="BF73" s="302"/>
      <c r="BG73" s="302"/>
      <c r="BH73" s="302"/>
      <c r="BI73" s="302"/>
      <c r="BJ73" s="302"/>
      <c r="BM73">
        <v>-2.5</v>
      </c>
      <c r="BS73">
        <v>63.1</v>
      </c>
      <c r="BY73">
        <v>51.4</v>
      </c>
      <c r="CA73">
        <v>15</v>
      </c>
      <c r="CC73">
        <v>13.6</v>
      </c>
      <c r="CI73">
        <v>8</v>
      </c>
      <c r="CO73" t="s">
        <v>8698</v>
      </c>
      <c r="CR73">
        <v>2</v>
      </c>
      <c r="CT73" s="304" t="s">
        <v>11678</v>
      </c>
    </row>
    <row r="74" spans="1:98" s="304" customFormat="1">
      <c r="A74" s="304" t="s">
        <v>8506</v>
      </c>
      <c r="B74" s="463">
        <v>43</v>
      </c>
      <c r="C74" s="296" t="s">
        <v>7660</v>
      </c>
      <c r="D74" s="296" t="s">
        <v>7493</v>
      </c>
      <c r="E74" s="296" t="s">
        <v>7660</v>
      </c>
      <c r="F74" s="296"/>
      <c r="G74" s="296" t="s">
        <v>8506</v>
      </c>
      <c r="H74" s="297" t="s">
        <v>8696</v>
      </c>
      <c r="I74" s="297">
        <v>2</v>
      </c>
      <c r="J74" s="298">
        <v>2123</v>
      </c>
      <c r="K74" s="299"/>
      <c r="L74" s="299"/>
      <c r="M74" s="299">
        <v>11</v>
      </c>
      <c r="N74" s="299">
        <v>9</v>
      </c>
      <c r="O74" s="300">
        <v>52</v>
      </c>
      <c r="P74" s="301">
        <v>42090</v>
      </c>
      <c r="Q74" s="302"/>
      <c r="R74" s="303"/>
      <c r="S74" s="289">
        <v>5.45</v>
      </c>
      <c r="T74" s="303">
        <v>42208</v>
      </c>
      <c r="U74" s="302"/>
      <c r="V74" s="303"/>
      <c r="W74" s="302"/>
      <c r="X74" s="303"/>
      <c r="Y74" s="302">
        <v>18.75</v>
      </c>
      <c r="Z74" s="303">
        <v>42208</v>
      </c>
      <c r="AA74">
        <v>14.4</v>
      </c>
      <c r="AB74" s="303"/>
      <c r="AC74" s="302"/>
      <c r="AD74" s="303"/>
      <c r="AE74" s="302"/>
      <c r="AF74" s="303"/>
      <c r="AG74">
        <v>61907.045454545441</v>
      </c>
      <c r="AH74" s="521">
        <f>(AK74*10000)/AM74</f>
        <v>61907.045454545441</v>
      </c>
      <c r="AI74" s="302"/>
      <c r="AJ74" s="303"/>
      <c r="AK74">
        <v>34.048874999999995</v>
      </c>
      <c r="AL74" s="521"/>
      <c r="AM74">
        <v>5.5</v>
      </c>
      <c r="AN74" s="303">
        <v>42244</v>
      </c>
      <c r="AO74">
        <v>145</v>
      </c>
      <c r="AP74" s="303">
        <v>42170</v>
      </c>
      <c r="AQ74" s="302"/>
      <c r="AR74" s="303"/>
      <c r="AS74" s="302"/>
      <c r="AT74" s="303"/>
      <c r="AU74">
        <v>109</v>
      </c>
      <c r="AV74" s="303"/>
      <c r="AW74" s="302"/>
      <c r="AX74" s="302"/>
      <c r="AY74" s="302"/>
      <c r="AZ74" s="303"/>
      <c r="BA74" s="302"/>
      <c r="BB74" s="302"/>
      <c r="BC74" s="302"/>
      <c r="BD74" s="302"/>
      <c r="BE74" s="302"/>
      <c r="BF74" s="302"/>
      <c r="BG74" s="302"/>
      <c r="BH74" s="302"/>
      <c r="BI74" s="302"/>
      <c r="BJ74" s="302"/>
      <c r="BM74">
        <v>0.7</v>
      </c>
      <c r="BS74">
        <v>61.3</v>
      </c>
      <c r="BY74">
        <v>49.1</v>
      </c>
      <c r="CA74">
        <v>19.8</v>
      </c>
      <c r="CC74">
        <v>16.399999999999999</v>
      </c>
      <c r="CI74">
        <v>8.1999999999999993</v>
      </c>
      <c r="CO74" t="s">
        <v>8698</v>
      </c>
      <c r="CR74">
        <v>2</v>
      </c>
      <c r="CT74" s="304" t="s">
        <v>11678</v>
      </c>
    </row>
    <row r="75" spans="1:98" s="304" customFormat="1">
      <c r="A75" s="304" t="s">
        <v>8506</v>
      </c>
      <c r="B75" s="463">
        <v>84</v>
      </c>
      <c r="C75" s="296" t="s">
        <v>7702</v>
      </c>
      <c r="D75" s="296" t="s">
        <v>7531</v>
      </c>
      <c r="E75" s="296" t="s">
        <v>7702</v>
      </c>
      <c r="F75" s="296"/>
      <c r="G75" s="296" t="s">
        <v>8506</v>
      </c>
      <c r="H75" s="297" t="s">
        <v>8696</v>
      </c>
      <c r="I75" s="297">
        <v>2</v>
      </c>
      <c r="J75" s="298">
        <v>2303</v>
      </c>
      <c r="K75" s="299"/>
      <c r="L75" s="299"/>
      <c r="M75" s="299">
        <v>11</v>
      </c>
      <c r="N75" s="299">
        <v>12</v>
      </c>
      <c r="O75" s="300">
        <v>21</v>
      </c>
      <c r="P75" s="301">
        <v>42090</v>
      </c>
      <c r="Q75" s="302"/>
      <c r="R75" s="303"/>
      <c r="S75" s="289">
        <v>4.5999999999999996</v>
      </c>
      <c r="T75" s="303">
        <v>42208</v>
      </c>
      <c r="U75" s="302"/>
      <c r="V75" s="303"/>
      <c r="W75" s="302"/>
      <c r="X75" s="303"/>
      <c r="Y75" s="302">
        <v>14.99</v>
      </c>
      <c r="Z75" s="303">
        <v>42208</v>
      </c>
      <c r="AA75">
        <v>14.4</v>
      </c>
      <c r="AB75" s="303"/>
      <c r="AC75" s="302"/>
      <c r="AD75" s="303"/>
      <c r="AE75" s="302"/>
      <c r="AF75" s="303"/>
      <c r="AG75">
        <v>57476.999999999985</v>
      </c>
      <c r="AH75" s="521">
        <f>(AK75*10000)/AM75</f>
        <v>57476.999999999985</v>
      </c>
      <c r="AI75" s="302"/>
      <c r="AJ75" s="303"/>
      <c r="AK75">
        <v>28.738499999999995</v>
      </c>
      <c r="AL75" s="521"/>
      <c r="AM75">
        <v>5</v>
      </c>
      <c r="AN75" s="303">
        <v>42244</v>
      </c>
      <c r="AO75">
        <v>130</v>
      </c>
      <c r="AP75" s="303">
        <v>42170</v>
      </c>
      <c r="AQ75" s="302"/>
      <c r="AR75" s="303"/>
      <c r="AS75" s="302"/>
      <c r="AT75" s="303"/>
      <c r="AU75">
        <v>115</v>
      </c>
      <c r="AV75" s="303"/>
      <c r="AW75" s="302"/>
      <c r="AX75" s="302"/>
      <c r="AY75" s="302"/>
      <c r="AZ75" s="303"/>
      <c r="BA75" s="302"/>
      <c r="BB75" s="302"/>
      <c r="BC75" s="302"/>
      <c r="BD75" s="302"/>
      <c r="BE75" s="302"/>
      <c r="BF75" s="302"/>
      <c r="BG75" s="302"/>
      <c r="BH75" s="302"/>
      <c r="BI75" s="302"/>
      <c r="BJ75" s="302"/>
      <c r="BM75">
        <v>0.3</v>
      </c>
      <c r="BS75">
        <v>59.5</v>
      </c>
      <c r="BY75">
        <v>46.5</v>
      </c>
      <c r="CA75">
        <v>19.3</v>
      </c>
      <c r="CC75">
        <v>19</v>
      </c>
      <c r="CI75">
        <v>8.1999999999999993</v>
      </c>
      <c r="CO75" t="s">
        <v>8698</v>
      </c>
      <c r="CR75">
        <v>2</v>
      </c>
      <c r="CT75" s="304" t="s">
        <v>11678</v>
      </c>
    </row>
    <row r="76" spans="1:98" s="304" customFormat="1">
      <c r="A76" s="304" t="s">
        <v>8506</v>
      </c>
      <c r="B76" s="463">
        <v>103</v>
      </c>
      <c r="C76" s="296" t="s">
        <v>7721</v>
      </c>
      <c r="D76" s="296" t="s">
        <v>7548</v>
      </c>
      <c r="E76" s="296" t="s">
        <v>7721</v>
      </c>
      <c r="F76" s="296"/>
      <c r="G76" s="296" t="s">
        <v>8506</v>
      </c>
      <c r="H76" s="297" t="s">
        <v>8697</v>
      </c>
      <c r="I76" s="297">
        <v>1</v>
      </c>
      <c r="J76" s="298">
        <v>103</v>
      </c>
      <c r="K76" s="299"/>
      <c r="L76" s="299"/>
      <c r="M76" s="299">
        <v>11</v>
      </c>
      <c r="N76" s="299">
        <v>1</v>
      </c>
      <c r="O76" s="300">
        <v>48</v>
      </c>
      <c r="P76" s="301">
        <v>42090</v>
      </c>
      <c r="Q76" s="302"/>
      <c r="R76" s="303"/>
      <c r="S76" s="289">
        <v>4.45</v>
      </c>
      <c r="T76" s="303">
        <v>42208</v>
      </c>
      <c r="U76" s="302"/>
      <c r="V76" s="303"/>
      <c r="W76" s="302"/>
      <c r="X76" s="303"/>
      <c r="Y76" s="302">
        <v>16.850000000000001</v>
      </c>
      <c r="Z76" s="303">
        <v>42208</v>
      </c>
      <c r="AA76">
        <v>14.4</v>
      </c>
      <c r="AB76" s="303"/>
      <c r="AC76" s="302"/>
      <c r="AD76" s="303"/>
      <c r="AE76" s="302"/>
      <c r="AF76" s="303"/>
      <c r="AG76">
        <v>52100.938786008235</v>
      </c>
      <c r="AH76" s="521">
        <f>(AK76*10000)/AM76</f>
        <v>52100.938786008235</v>
      </c>
      <c r="AI76" s="302"/>
      <c r="AJ76" s="303"/>
      <c r="AK76">
        <v>28.13450694444445</v>
      </c>
      <c r="AL76" s="521"/>
      <c r="AM76">
        <v>5.4</v>
      </c>
      <c r="AN76" s="303">
        <v>42244</v>
      </c>
      <c r="AO76">
        <v>135</v>
      </c>
      <c r="AP76" s="303">
        <v>42170</v>
      </c>
      <c r="AQ76" s="302"/>
      <c r="AR76" s="303"/>
      <c r="AS76" s="302"/>
      <c r="AT76" s="303"/>
      <c r="AU76">
        <v>105</v>
      </c>
      <c r="AV76" s="303"/>
      <c r="AW76" s="302"/>
      <c r="AX76" s="302"/>
      <c r="AY76" s="302"/>
      <c r="AZ76" s="303"/>
      <c r="BA76" s="302"/>
      <c r="BB76" s="302"/>
      <c r="BC76" s="302"/>
      <c r="BD76" s="302"/>
      <c r="BE76" s="302"/>
      <c r="BF76" s="302"/>
      <c r="BG76" s="302"/>
      <c r="BH76" s="302"/>
      <c r="BI76" s="302"/>
      <c r="BJ76" s="302"/>
      <c r="BM76">
        <v>-2.1</v>
      </c>
      <c r="BS76">
        <v>63.7</v>
      </c>
      <c r="BY76">
        <v>53.4</v>
      </c>
      <c r="CA76">
        <v>15.1</v>
      </c>
      <c r="CC76">
        <v>11.4</v>
      </c>
      <c r="CI76">
        <v>7.1</v>
      </c>
      <c r="CO76" t="s">
        <v>8698</v>
      </c>
      <c r="CR76">
        <v>2</v>
      </c>
      <c r="CT76" s="304" t="s">
        <v>11678</v>
      </c>
    </row>
    <row r="77" spans="1:98" s="304" customFormat="1">
      <c r="A77" s="304" t="s">
        <v>8506</v>
      </c>
      <c r="B77" s="463">
        <v>131</v>
      </c>
      <c r="C77" s="296" t="s">
        <v>7759</v>
      </c>
      <c r="D77" s="296" t="s">
        <v>7834</v>
      </c>
      <c r="E77" s="296" t="s">
        <v>7759</v>
      </c>
      <c r="F77" s="296"/>
      <c r="G77" s="296" t="s">
        <v>8506</v>
      </c>
      <c r="H77" s="297" t="s">
        <v>8696</v>
      </c>
      <c r="I77" s="297">
        <v>2</v>
      </c>
      <c r="J77" s="298">
        <v>2183</v>
      </c>
      <c r="K77" s="299"/>
      <c r="L77" s="299"/>
      <c r="M77" s="299">
        <v>11</v>
      </c>
      <c r="N77" s="299">
        <v>10</v>
      </c>
      <c r="O77" s="300">
        <v>46</v>
      </c>
      <c r="P77" s="301">
        <v>42090</v>
      </c>
      <c r="Q77" s="302"/>
      <c r="R77" s="303"/>
      <c r="S77" s="289">
        <v>6.5</v>
      </c>
      <c r="T77" s="303">
        <v>42208</v>
      </c>
      <c r="U77" s="302"/>
      <c r="V77" s="303"/>
      <c r="W77" s="302"/>
      <c r="X77" s="303"/>
      <c r="Y77" s="302">
        <v>22.46</v>
      </c>
      <c r="Z77" s="303">
        <v>42208</v>
      </c>
      <c r="AA77">
        <v>14.4</v>
      </c>
      <c r="AB77" s="303"/>
      <c r="AC77" s="302"/>
      <c r="AD77" s="303"/>
      <c r="AE77" s="302"/>
      <c r="AF77" s="303"/>
      <c r="AG77">
        <v>82423.611111111095</v>
      </c>
      <c r="AH77" s="521">
        <f>(AK77*10000)/AM77</f>
        <v>82423.611111111095</v>
      </c>
      <c r="AI77" s="302"/>
      <c r="AJ77" s="303"/>
      <c r="AK77">
        <v>40.387569444444438</v>
      </c>
      <c r="AL77" s="521"/>
      <c r="AM77">
        <v>4.9000000000000004</v>
      </c>
      <c r="AN77" s="303">
        <v>42244</v>
      </c>
      <c r="AO77">
        <v>135</v>
      </c>
      <c r="AP77" s="303">
        <v>42170</v>
      </c>
      <c r="AQ77" s="302"/>
      <c r="AR77" s="303"/>
      <c r="AS77" s="302"/>
      <c r="AT77" s="303"/>
      <c r="AU77">
        <v>110</v>
      </c>
      <c r="AV77" s="303"/>
      <c r="AW77" s="302"/>
      <c r="AX77" s="302"/>
      <c r="AY77" s="302"/>
      <c r="AZ77" s="303"/>
      <c r="BA77" s="302"/>
      <c r="BB77" s="302"/>
      <c r="BC77" s="302"/>
      <c r="BD77" s="302"/>
      <c r="BE77" s="302"/>
      <c r="BF77" s="302"/>
      <c r="BG77" s="302"/>
      <c r="BH77" s="302"/>
      <c r="BI77" s="302"/>
      <c r="BJ77" s="302"/>
      <c r="BM77">
        <v>4.4000000000000004</v>
      </c>
      <c r="BS77">
        <v>64.8</v>
      </c>
      <c r="BY77">
        <v>49.6</v>
      </c>
      <c r="CA77">
        <v>18.600000000000001</v>
      </c>
      <c r="CC77">
        <v>16.399999999999999</v>
      </c>
      <c r="CI77">
        <v>8.6999999999999993</v>
      </c>
      <c r="CO77" t="s">
        <v>8698</v>
      </c>
      <c r="CR77">
        <v>1</v>
      </c>
      <c r="CT77" s="304" t="s">
        <v>11678</v>
      </c>
    </row>
    <row r="78" spans="1:98" s="304" customFormat="1">
      <c r="A78" s="304" t="s">
        <v>8506</v>
      </c>
      <c r="B78" s="463">
        <v>142</v>
      </c>
      <c r="C78" s="296" t="s">
        <v>7770</v>
      </c>
      <c r="D78" s="296" t="s">
        <v>7571</v>
      </c>
      <c r="E78" s="296" t="s">
        <v>7770</v>
      </c>
      <c r="F78" s="296"/>
      <c r="G78" s="296" t="s">
        <v>8506</v>
      </c>
      <c r="H78" s="297" t="s">
        <v>8697</v>
      </c>
      <c r="I78" s="297">
        <v>1</v>
      </c>
      <c r="J78" s="298">
        <v>163</v>
      </c>
      <c r="K78" s="299"/>
      <c r="L78" s="299"/>
      <c r="M78" s="299">
        <v>11</v>
      </c>
      <c r="N78" s="299">
        <v>2</v>
      </c>
      <c r="O78" s="300">
        <v>41</v>
      </c>
      <c r="P78" s="301">
        <v>42090</v>
      </c>
      <c r="Q78" s="302"/>
      <c r="R78" s="303"/>
      <c r="S78" s="289">
        <v>5.3</v>
      </c>
      <c r="T78" s="303">
        <v>42208</v>
      </c>
      <c r="U78" s="302"/>
      <c r="V78" s="303"/>
      <c r="W78" s="302"/>
      <c r="X78" s="303"/>
      <c r="Y78" s="302">
        <v>20.82</v>
      </c>
      <c r="Z78" s="303">
        <v>42208</v>
      </c>
      <c r="AA78">
        <v>14.4</v>
      </c>
      <c r="AB78" s="303"/>
      <c r="AC78" s="302"/>
      <c r="AD78" s="303"/>
      <c r="AE78" s="302"/>
      <c r="AF78" s="303"/>
      <c r="AG78">
        <v>75745.833333333314</v>
      </c>
      <c r="AH78" s="521">
        <f>(AK78*10000)/AM78</f>
        <v>75745.833333333314</v>
      </c>
      <c r="AI78" s="302"/>
      <c r="AJ78" s="303"/>
      <c r="AK78">
        <v>33.328166666666661</v>
      </c>
      <c r="AL78" s="521"/>
      <c r="AM78">
        <v>4.4000000000000004</v>
      </c>
      <c r="AN78" s="303">
        <v>42244</v>
      </c>
      <c r="AO78">
        <v>145</v>
      </c>
      <c r="AP78" s="303">
        <v>42170</v>
      </c>
      <c r="AQ78" s="302"/>
      <c r="AR78" s="303"/>
      <c r="AS78" s="302"/>
      <c r="AT78" s="303"/>
      <c r="AU78">
        <v>103</v>
      </c>
      <c r="AV78" s="303"/>
      <c r="AW78" s="302"/>
      <c r="AX78" s="302"/>
      <c r="AY78" s="302"/>
      <c r="AZ78" s="303"/>
      <c r="BA78" s="302"/>
      <c r="BB78" s="302"/>
      <c r="BC78" s="302"/>
      <c r="BD78" s="302"/>
      <c r="BE78" s="302"/>
      <c r="BF78" s="302"/>
      <c r="BG78" s="302"/>
      <c r="BH78" s="302"/>
      <c r="BI78" s="302"/>
      <c r="BJ78" s="302"/>
      <c r="BM78">
        <v>-7.6</v>
      </c>
      <c r="BS78">
        <v>66.900000000000006</v>
      </c>
      <c r="BY78">
        <v>55.7</v>
      </c>
      <c r="CA78">
        <v>13.5</v>
      </c>
      <c r="CC78">
        <v>12.7</v>
      </c>
      <c r="CI78">
        <v>7.6</v>
      </c>
      <c r="CO78" t="s">
        <v>8698</v>
      </c>
      <c r="CR78">
        <v>1</v>
      </c>
      <c r="CT78" s="304" t="s">
        <v>11678</v>
      </c>
    </row>
    <row r="79" spans="1:98" s="304" customFormat="1">
      <c r="A79" s="304" t="s">
        <v>8506</v>
      </c>
      <c r="B79" s="463">
        <v>86</v>
      </c>
      <c r="C79" s="296" t="s">
        <v>7704</v>
      </c>
      <c r="D79" s="296" t="s">
        <v>7533</v>
      </c>
      <c r="E79" s="296" t="s">
        <v>7704</v>
      </c>
      <c r="F79" s="296"/>
      <c r="G79" s="296" t="s">
        <v>8506</v>
      </c>
      <c r="H79" s="297" t="s">
        <v>8697</v>
      </c>
      <c r="I79" s="297">
        <v>1</v>
      </c>
      <c r="J79" s="298">
        <v>1184</v>
      </c>
      <c r="K79" s="299"/>
      <c r="L79" s="299"/>
      <c r="M79" s="299">
        <v>12</v>
      </c>
      <c r="N79" s="299">
        <v>4</v>
      </c>
      <c r="O79" s="300">
        <v>31</v>
      </c>
      <c r="P79" s="301">
        <v>42090</v>
      </c>
      <c r="Q79" s="302"/>
      <c r="R79" s="303"/>
      <c r="S79" s="289">
        <v>4.1500000000000004</v>
      </c>
      <c r="T79" s="303">
        <v>42208</v>
      </c>
      <c r="U79" s="302"/>
      <c r="V79" s="303"/>
      <c r="W79" s="302"/>
      <c r="X79" s="303"/>
      <c r="Y79" s="302">
        <v>15.44</v>
      </c>
      <c r="Z79" s="303">
        <v>42208</v>
      </c>
      <c r="AA79">
        <v>14.4</v>
      </c>
      <c r="AB79" s="303"/>
      <c r="AC79" s="302"/>
      <c r="AD79" s="303"/>
      <c r="AE79" s="302"/>
      <c r="AF79" s="303"/>
      <c r="AG79">
        <v>61395.023148148146</v>
      </c>
      <c r="AH79" s="521">
        <f>(AK79*10000)/AM79</f>
        <v>61395.023148148146</v>
      </c>
      <c r="AI79" s="302"/>
      <c r="AJ79" s="303"/>
      <c r="AK79">
        <v>25.785909722222222</v>
      </c>
      <c r="AL79" s="521"/>
      <c r="AM79">
        <v>4.2</v>
      </c>
      <c r="AN79" s="303">
        <v>42244</v>
      </c>
      <c r="AO79">
        <v>150</v>
      </c>
      <c r="AP79" s="303">
        <v>42170</v>
      </c>
      <c r="AQ79" s="302"/>
      <c r="AR79" s="303"/>
      <c r="AS79" s="302"/>
      <c r="AT79" s="303"/>
      <c r="AU79">
        <v>111</v>
      </c>
      <c r="AV79" s="303"/>
      <c r="AW79" s="302"/>
      <c r="AX79" s="302"/>
      <c r="AY79" s="302"/>
      <c r="AZ79" s="303"/>
      <c r="BA79" s="302"/>
      <c r="BB79" s="302"/>
      <c r="BC79" s="302"/>
      <c r="BD79" s="302"/>
      <c r="BE79" s="302"/>
      <c r="BF79" s="302"/>
      <c r="BG79" s="302"/>
      <c r="BH79" s="302"/>
      <c r="BI79" s="302"/>
      <c r="BJ79" s="302"/>
      <c r="BM79">
        <v>-2</v>
      </c>
      <c r="BS79">
        <v>62.9</v>
      </c>
      <c r="BY79">
        <v>53.4</v>
      </c>
      <c r="CA79">
        <v>15.2</v>
      </c>
      <c r="CC79">
        <v>19.100000000000001</v>
      </c>
      <c r="CI79">
        <v>8.6999999999999993</v>
      </c>
      <c r="CO79" t="s">
        <v>8698</v>
      </c>
      <c r="CR79">
        <v>2</v>
      </c>
      <c r="CT79" s="304" t="s">
        <v>11678</v>
      </c>
    </row>
    <row r="80" spans="1:98" s="304" customFormat="1">
      <c r="A80" s="304" t="s">
        <v>8506</v>
      </c>
      <c r="B80" s="463">
        <v>115</v>
      </c>
      <c r="C80" s="296" t="s">
        <v>7734</v>
      </c>
      <c r="D80" s="296" t="s">
        <v>7560</v>
      </c>
      <c r="E80" s="296" t="s">
        <v>7734</v>
      </c>
      <c r="F80" s="296"/>
      <c r="G80" s="296" t="s">
        <v>8506</v>
      </c>
      <c r="H80" s="297" t="s">
        <v>8696</v>
      </c>
      <c r="I80" s="297">
        <v>2</v>
      </c>
      <c r="J80" s="298">
        <v>264</v>
      </c>
      <c r="K80" s="299"/>
      <c r="L80" s="299"/>
      <c r="M80" s="299">
        <v>12</v>
      </c>
      <c r="N80" s="299">
        <v>8</v>
      </c>
      <c r="O80" s="300">
        <v>60</v>
      </c>
      <c r="P80" s="301">
        <v>42090</v>
      </c>
      <c r="Q80" s="302"/>
      <c r="R80" s="303"/>
      <c r="S80" s="289">
        <v>5.2</v>
      </c>
      <c r="T80" s="303">
        <v>42208</v>
      </c>
      <c r="U80" s="302"/>
      <c r="V80" s="303"/>
      <c r="W80" s="302"/>
      <c r="X80" s="303"/>
      <c r="Y80" s="302">
        <v>17.64</v>
      </c>
      <c r="Z80" s="303">
        <v>42208</v>
      </c>
      <c r="AA80">
        <v>14.4</v>
      </c>
      <c r="AB80" s="303"/>
      <c r="AC80" s="302"/>
      <c r="AD80" s="303"/>
      <c r="AE80" s="302"/>
      <c r="AF80" s="303"/>
      <c r="AG80">
        <v>63075.490196078434</v>
      </c>
      <c r="AH80" s="521">
        <f>(AK80*10000)/AM80</f>
        <v>63075.490196078434</v>
      </c>
      <c r="AI80" s="302"/>
      <c r="AJ80" s="303"/>
      <c r="AK80">
        <v>32.168500000000002</v>
      </c>
      <c r="AL80" s="521"/>
      <c r="AM80">
        <v>5.0999999999999996</v>
      </c>
      <c r="AN80" s="303">
        <v>42244</v>
      </c>
      <c r="AO80">
        <v>120</v>
      </c>
      <c r="AP80" s="303">
        <v>42170</v>
      </c>
      <c r="AQ80" s="302"/>
      <c r="AR80" s="303"/>
      <c r="AS80" s="302"/>
      <c r="AT80" s="303"/>
      <c r="AU80">
        <v>113</v>
      </c>
      <c r="AV80" s="303"/>
      <c r="AW80" s="302"/>
      <c r="AX80" s="302"/>
      <c r="AY80" s="302"/>
      <c r="AZ80" s="303"/>
      <c r="BA80" s="302"/>
      <c r="BB80" s="302"/>
      <c r="BC80" s="302"/>
      <c r="BD80" s="302"/>
      <c r="BE80" s="302"/>
      <c r="BF80" s="302"/>
      <c r="BG80" s="302"/>
      <c r="BH80" s="302"/>
      <c r="BI80" s="302"/>
      <c r="BJ80" s="302"/>
      <c r="BM80">
        <v>44.3</v>
      </c>
      <c r="BS80">
        <v>12.4</v>
      </c>
      <c r="BY80">
        <v>48.9</v>
      </c>
      <c r="CA80">
        <v>20.7</v>
      </c>
      <c r="CC80">
        <v>66.900000000000006</v>
      </c>
      <c r="CI80">
        <v>9.1</v>
      </c>
      <c r="CO80" t="s">
        <v>8698</v>
      </c>
      <c r="CR80">
        <v>3</v>
      </c>
      <c r="CT80" s="304" t="s">
        <v>11678</v>
      </c>
    </row>
    <row r="81" spans="1:98" s="304" customFormat="1">
      <c r="A81" s="304" t="s">
        <v>8506</v>
      </c>
      <c r="B81" s="463">
        <v>125</v>
      </c>
      <c r="C81" s="296" t="s">
        <v>7752</v>
      </c>
      <c r="D81" s="296" t="s">
        <v>7563</v>
      </c>
      <c r="E81" s="296" t="s">
        <v>7752</v>
      </c>
      <c r="F81" s="296"/>
      <c r="G81" s="296" t="s">
        <v>8506</v>
      </c>
      <c r="H81" s="297" t="s">
        <v>8696</v>
      </c>
      <c r="I81" s="297">
        <v>2</v>
      </c>
      <c r="J81" s="298">
        <v>2124</v>
      </c>
      <c r="K81" s="299"/>
      <c r="L81" s="299"/>
      <c r="M81" s="299">
        <v>12</v>
      </c>
      <c r="N81" s="299">
        <v>9</v>
      </c>
      <c r="O81" s="300">
        <v>51</v>
      </c>
      <c r="P81" s="301">
        <v>42090</v>
      </c>
      <c r="Q81" s="302"/>
      <c r="R81" s="303"/>
      <c r="S81" s="289">
        <v>4.8499999999999996</v>
      </c>
      <c r="T81" s="303">
        <v>42208</v>
      </c>
      <c r="U81" s="302"/>
      <c r="V81" s="303"/>
      <c r="W81" s="302"/>
      <c r="X81" s="303"/>
      <c r="Y81" s="302">
        <v>16.22</v>
      </c>
      <c r="Z81" s="303">
        <v>42208</v>
      </c>
      <c r="AA81">
        <v>14.4</v>
      </c>
      <c r="AB81" s="303"/>
      <c r="AC81" s="302"/>
      <c r="AD81" s="303"/>
      <c r="AE81" s="302"/>
      <c r="AF81" s="303"/>
      <c r="AG81">
        <v>61904.861111111102</v>
      </c>
      <c r="AH81" s="521">
        <f>(AK81*10000)/AM81</f>
        <v>61904.861111111102</v>
      </c>
      <c r="AI81" s="302"/>
      <c r="AJ81" s="303"/>
      <c r="AK81">
        <v>30.333381944444444</v>
      </c>
      <c r="AL81" s="521"/>
      <c r="AM81">
        <v>4.9000000000000004</v>
      </c>
      <c r="AN81" s="303">
        <v>42244</v>
      </c>
      <c r="AO81">
        <v>135</v>
      </c>
      <c r="AP81" s="303">
        <v>42170</v>
      </c>
      <c r="AQ81" s="302"/>
      <c r="AR81" s="303"/>
      <c r="AS81" s="302"/>
      <c r="AT81" s="303"/>
      <c r="AU81">
        <v>109</v>
      </c>
      <c r="AV81" s="303"/>
      <c r="AW81" s="302"/>
      <c r="AX81" s="302"/>
      <c r="AY81" s="302"/>
      <c r="AZ81" s="303"/>
      <c r="BA81" s="302"/>
      <c r="BB81" s="302"/>
      <c r="BC81" s="302"/>
      <c r="BD81" s="302"/>
      <c r="BE81" s="302"/>
      <c r="BF81" s="302"/>
      <c r="BG81" s="302"/>
      <c r="BH81" s="302"/>
      <c r="BI81" s="302"/>
      <c r="BJ81" s="302"/>
      <c r="BM81">
        <v>-4.4000000000000004</v>
      </c>
      <c r="BS81">
        <v>60.1</v>
      </c>
      <c r="BY81">
        <v>47.7</v>
      </c>
      <c r="CA81">
        <v>20.8</v>
      </c>
      <c r="CC81">
        <v>15.4</v>
      </c>
      <c r="CI81">
        <v>8.1</v>
      </c>
      <c r="CO81" t="s">
        <v>8698</v>
      </c>
      <c r="CR81">
        <v>3</v>
      </c>
      <c r="CT81" s="304" t="s">
        <v>11678</v>
      </c>
    </row>
    <row r="82" spans="1:98" s="304" customFormat="1">
      <c r="A82" s="304" t="s">
        <v>8506</v>
      </c>
      <c r="B82" s="463">
        <v>138</v>
      </c>
      <c r="C82" s="296" t="s">
        <v>7766</v>
      </c>
      <c r="D82" s="296" t="s">
        <v>7840</v>
      </c>
      <c r="E82" s="296" t="s">
        <v>7766</v>
      </c>
      <c r="F82" s="296"/>
      <c r="G82" s="296" t="s">
        <v>8506</v>
      </c>
      <c r="H82" s="297" t="s">
        <v>8696</v>
      </c>
      <c r="I82" s="297">
        <v>2</v>
      </c>
      <c r="J82" s="298">
        <v>204</v>
      </c>
      <c r="K82" s="299"/>
      <c r="L82" s="299"/>
      <c r="M82" s="299">
        <v>12</v>
      </c>
      <c r="N82" s="299">
        <v>7</v>
      </c>
      <c r="O82" s="300">
        <v>60</v>
      </c>
      <c r="P82" s="301">
        <v>42090</v>
      </c>
      <c r="Q82" s="302"/>
      <c r="R82" s="303"/>
      <c r="S82" s="289">
        <v>6.2</v>
      </c>
      <c r="T82" s="303">
        <v>42208</v>
      </c>
      <c r="U82" s="302"/>
      <c r="V82" s="303"/>
      <c r="W82" s="302"/>
      <c r="X82" s="303"/>
      <c r="Y82" s="302">
        <v>20.93</v>
      </c>
      <c r="Z82" s="303">
        <v>42208</v>
      </c>
      <c r="AA82">
        <v>14.4</v>
      </c>
      <c r="AB82" s="303"/>
      <c r="AC82" s="302"/>
      <c r="AD82" s="303"/>
      <c r="AE82" s="302"/>
      <c r="AF82" s="303"/>
      <c r="AG82">
        <v>93765.432098765436</v>
      </c>
      <c r="AH82" s="521">
        <f>(AK82*10000)/AM82</f>
        <v>93765.432098765436</v>
      </c>
      <c r="AI82" s="302"/>
      <c r="AJ82" s="303"/>
      <c r="AK82">
        <v>42.194444444444443</v>
      </c>
      <c r="AL82" s="521"/>
      <c r="AM82">
        <v>4.5</v>
      </c>
      <c r="AN82" s="303">
        <v>42244</v>
      </c>
      <c r="AO82">
        <v>135</v>
      </c>
      <c r="AP82" s="303">
        <v>42170</v>
      </c>
      <c r="AQ82" s="302"/>
      <c r="AR82" s="303"/>
      <c r="AS82" s="302"/>
      <c r="AT82" s="303"/>
      <c r="AU82">
        <v>104</v>
      </c>
      <c r="AV82" s="303"/>
      <c r="AW82" s="302"/>
      <c r="AX82" s="302"/>
      <c r="AY82" s="302"/>
      <c r="AZ82" s="303"/>
      <c r="BA82" s="302"/>
      <c r="BB82" s="302"/>
      <c r="BC82" s="302"/>
      <c r="BD82" s="302"/>
      <c r="BE82" s="302"/>
      <c r="BF82" s="302"/>
      <c r="BG82" s="302"/>
      <c r="BH82" s="302"/>
      <c r="BI82" s="302"/>
      <c r="BJ82" s="302"/>
      <c r="BM82">
        <v>4.5999999999999996</v>
      </c>
      <c r="BS82">
        <v>62.1</v>
      </c>
      <c r="BY82">
        <v>48.6</v>
      </c>
      <c r="CA82">
        <v>19.399999999999999</v>
      </c>
      <c r="CC82">
        <v>15.4</v>
      </c>
      <c r="CI82"/>
      <c r="CO82" t="s">
        <v>8698</v>
      </c>
      <c r="CR82">
        <v>2</v>
      </c>
      <c r="CT82" s="304" t="s">
        <v>11678</v>
      </c>
    </row>
    <row r="83" spans="1:98" s="304" customFormat="1">
      <c r="A83" s="304" t="s">
        <v>8506</v>
      </c>
      <c r="B83" s="463">
        <v>172</v>
      </c>
      <c r="C83" s="296" t="s">
        <v>7800</v>
      </c>
      <c r="D83" s="296" t="s">
        <v>8688</v>
      </c>
      <c r="E83" s="296" t="s">
        <v>7800</v>
      </c>
      <c r="F83" s="296"/>
      <c r="G83" s="296" t="s">
        <v>8506</v>
      </c>
      <c r="H83" s="297" t="s">
        <v>8696</v>
      </c>
      <c r="I83" s="297">
        <v>2</v>
      </c>
      <c r="J83" s="298">
        <v>2244</v>
      </c>
      <c r="K83" s="299"/>
      <c r="L83" s="299"/>
      <c r="M83" s="299">
        <v>12</v>
      </c>
      <c r="N83" s="299">
        <v>11</v>
      </c>
      <c r="O83" s="300">
        <v>32</v>
      </c>
      <c r="P83" s="301">
        <v>42090</v>
      </c>
      <c r="Q83" s="302"/>
      <c r="R83" s="303"/>
      <c r="S83" s="289">
        <v>5.95</v>
      </c>
      <c r="T83" s="303">
        <v>42208</v>
      </c>
      <c r="U83" s="302"/>
      <c r="V83" s="303"/>
      <c r="W83" s="302"/>
      <c r="X83" s="303"/>
      <c r="Y83" s="302">
        <v>21.09</v>
      </c>
      <c r="Z83" s="303">
        <v>42208</v>
      </c>
      <c r="AA83">
        <v>14.4</v>
      </c>
      <c r="AB83" s="303"/>
      <c r="AC83" s="302"/>
      <c r="AD83" s="303"/>
      <c r="AE83" s="302"/>
      <c r="AF83" s="303"/>
      <c r="AG83">
        <v>64090.732758620674</v>
      </c>
      <c r="AH83" s="521">
        <f>(AK83*10000)/AM83</f>
        <v>64090.732758620674</v>
      </c>
      <c r="AI83" s="302"/>
      <c r="AJ83" s="303"/>
      <c r="AK83">
        <v>37.172624999999989</v>
      </c>
      <c r="AL83" s="521"/>
      <c r="AM83">
        <v>5.8</v>
      </c>
      <c r="AN83" s="303">
        <v>42244</v>
      </c>
      <c r="AO83">
        <v>110</v>
      </c>
      <c r="AP83" s="303">
        <v>42170</v>
      </c>
      <c r="AQ83" s="302"/>
      <c r="AR83" s="303"/>
      <c r="AS83" s="302"/>
      <c r="AT83" s="303"/>
      <c r="AU83">
        <v>112</v>
      </c>
      <c r="AV83" s="303"/>
      <c r="AW83" s="302"/>
      <c r="AX83" s="302"/>
      <c r="AY83" s="302"/>
      <c r="AZ83" s="303"/>
      <c r="BA83" s="302"/>
      <c r="BB83" s="302"/>
      <c r="BC83" s="302"/>
      <c r="BD83" s="302"/>
      <c r="BE83" s="302"/>
      <c r="BF83" s="302"/>
      <c r="BG83" s="302"/>
      <c r="BH83" s="302"/>
      <c r="BI83" s="302"/>
      <c r="BJ83" s="302"/>
      <c r="BM83">
        <v>-0.7</v>
      </c>
      <c r="BS83">
        <v>61.2</v>
      </c>
      <c r="BY83">
        <v>50.6</v>
      </c>
      <c r="CA83">
        <v>19.2</v>
      </c>
      <c r="CC83">
        <v>20.6</v>
      </c>
      <c r="CI83">
        <v>8.1999999999999993</v>
      </c>
      <c r="CO83" t="s">
        <v>8698</v>
      </c>
      <c r="CR83">
        <v>2</v>
      </c>
      <c r="CT83" s="304" t="s">
        <v>11678</v>
      </c>
    </row>
    <row r="84" spans="1:98" s="304" customFormat="1">
      <c r="A84" s="304" t="s">
        <v>8506</v>
      </c>
      <c r="B84" s="463">
        <v>173</v>
      </c>
      <c r="C84" s="296" t="s">
        <v>7801</v>
      </c>
      <c r="D84" s="296" t="s">
        <v>8689</v>
      </c>
      <c r="E84" s="296" t="s">
        <v>7801</v>
      </c>
      <c r="F84" s="296"/>
      <c r="G84" s="296" t="s">
        <v>8506</v>
      </c>
      <c r="H84" s="297" t="s">
        <v>8697</v>
      </c>
      <c r="I84" s="297">
        <v>1</v>
      </c>
      <c r="J84" s="298">
        <v>164</v>
      </c>
      <c r="K84" s="299"/>
      <c r="L84" s="299"/>
      <c r="M84" s="299">
        <v>12</v>
      </c>
      <c r="N84" s="299">
        <v>2</v>
      </c>
      <c r="O84" s="300">
        <v>38</v>
      </c>
      <c r="P84" s="301">
        <v>42090</v>
      </c>
      <c r="Q84" s="302"/>
      <c r="R84" s="303"/>
      <c r="S84" s="289">
        <v>5.6</v>
      </c>
      <c r="T84" s="303">
        <v>42208</v>
      </c>
      <c r="U84" s="302"/>
      <c r="V84" s="303"/>
      <c r="W84" s="302"/>
      <c r="X84" s="303"/>
      <c r="Y84" s="302">
        <v>20.72</v>
      </c>
      <c r="Z84" s="303">
        <v>42208</v>
      </c>
      <c r="AA84">
        <v>14.4</v>
      </c>
      <c r="AB84" s="303"/>
      <c r="AC84" s="302"/>
      <c r="AD84" s="303"/>
      <c r="AE84" s="302"/>
      <c r="AF84" s="303"/>
      <c r="AG84">
        <v>68749.455337690641</v>
      </c>
      <c r="AH84" s="521">
        <f>(AK84*10000)/AM84</f>
        <v>68749.455337690641</v>
      </c>
      <c r="AI84" s="302"/>
      <c r="AJ84" s="303"/>
      <c r="AK84">
        <v>35.062222222222225</v>
      </c>
      <c r="AL84" s="521"/>
      <c r="AM84">
        <v>5.0999999999999996</v>
      </c>
      <c r="AN84" s="303">
        <v>42244</v>
      </c>
      <c r="AO84">
        <v>145</v>
      </c>
      <c r="AP84" s="303">
        <v>42170</v>
      </c>
      <c r="AQ84" s="302"/>
      <c r="AR84" s="303"/>
      <c r="AS84" s="302"/>
      <c r="AT84" s="303"/>
      <c r="AU84">
        <v>109</v>
      </c>
      <c r="AV84" s="303"/>
      <c r="AW84" s="302"/>
      <c r="AX84" s="302"/>
      <c r="AY84" s="302"/>
      <c r="AZ84" s="303"/>
      <c r="BA84" s="302"/>
      <c r="BB84" s="302"/>
      <c r="BC84" s="302"/>
      <c r="BD84" s="302"/>
      <c r="BE84" s="302"/>
      <c r="BF84" s="302"/>
      <c r="BG84" s="302"/>
      <c r="BH84" s="302"/>
      <c r="BI84" s="302"/>
      <c r="BJ84" s="302"/>
      <c r="BM84">
        <v>-2</v>
      </c>
      <c r="BS84">
        <v>61.1</v>
      </c>
      <c r="BY84">
        <v>52.7</v>
      </c>
      <c r="CA84">
        <v>15.4</v>
      </c>
      <c r="CC84">
        <v>17.399999999999999</v>
      </c>
      <c r="CI84">
        <v>8</v>
      </c>
      <c r="CO84" t="s">
        <v>8698</v>
      </c>
      <c r="CR84">
        <v>1</v>
      </c>
      <c r="CT84" s="304" t="s">
        <v>11678</v>
      </c>
    </row>
    <row r="85" spans="1:98" s="304" customFormat="1">
      <c r="A85" s="304" t="s">
        <v>8506</v>
      </c>
      <c r="B85" s="463">
        <v>177</v>
      </c>
      <c r="C85" s="296" t="s">
        <v>7805</v>
      </c>
      <c r="D85" s="296" t="s">
        <v>7602</v>
      </c>
      <c r="E85" s="296" t="s">
        <v>7805</v>
      </c>
      <c r="F85" s="296"/>
      <c r="G85" s="296" t="s">
        <v>8506</v>
      </c>
      <c r="H85" s="297" t="s">
        <v>8697</v>
      </c>
      <c r="I85" s="297">
        <v>1</v>
      </c>
      <c r="J85" s="305">
        <v>1304</v>
      </c>
      <c r="K85" s="299"/>
      <c r="L85" s="299"/>
      <c r="M85" s="299">
        <v>12</v>
      </c>
      <c r="N85" s="299">
        <v>6</v>
      </c>
      <c r="O85" s="300">
        <v>36</v>
      </c>
      <c r="P85" s="301">
        <v>42090</v>
      </c>
      <c r="Q85" s="306"/>
      <c r="R85" s="303"/>
      <c r="S85" s="289">
        <v>6.2</v>
      </c>
      <c r="T85" s="303">
        <v>42208</v>
      </c>
      <c r="U85" s="307"/>
      <c r="V85" s="303"/>
      <c r="W85" s="306"/>
      <c r="X85" s="303"/>
      <c r="Y85" s="306">
        <v>22.62</v>
      </c>
      <c r="Z85" s="303">
        <v>42208</v>
      </c>
      <c r="AA85">
        <v>14.4</v>
      </c>
      <c r="AB85" s="303"/>
      <c r="AC85" s="306"/>
      <c r="AD85" s="303"/>
      <c r="AE85" s="302"/>
      <c r="AF85" s="303"/>
      <c r="AG85">
        <v>63845.036429872496</v>
      </c>
      <c r="AH85" s="521">
        <f>(AK85*10000)/AM85</f>
        <v>63845.036429872496</v>
      </c>
      <c r="AI85" s="302"/>
      <c r="AJ85" s="303"/>
      <c r="AK85">
        <v>38.945472222222222</v>
      </c>
      <c r="AL85" s="521"/>
      <c r="AM85">
        <v>6.1</v>
      </c>
      <c r="AN85" s="303">
        <v>42244</v>
      </c>
      <c r="AO85">
        <v>165</v>
      </c>
      <c r="AP85" s="303">
        <v>42170</v>
      </c>
      <c r="AQ85" s="306"/>
      <c r="AR85" s="303"/>
      <c r="AS85" s="306"/>
      <c r="AT85" s="303"/>
      <c r="AU85">
        <v>104</v>
      </c>
      <c r="AV85" s="303"/>
      <c r="AW85" s="302"/>
      <c r="AX85" s="302"/>
      <c r="AY85" s="302"/>
      <c r="AZ85" s="303"/>
      <c r="BA85" s="302"/>
      <c r="BB85" s="302"/>
      <c r="BC85" s="302"/>
      <c r="BD85" s="302"/>
      <c r="BE85" s="302"/>
      <c r="BF85" s="302"/>
      <c r="BG85" s="302"/>
      <c r="BH85" s="302"/>
      <c r="BI85" s="302"/>
      <c r="BJ85" s="302"/>
      <c r="BM85">
        <v>-1.9</v>
      </c>
      <c r="BS85">
        <v>61.4</v>
      </c>
      <c r="BY85">
        <v>51.8</v>
      </c>
      <c r="CA85">
        <v>17.5</v>
      </c>
      <c r="CC85">
        <v>22</v>
      </c>
      <c r="CI85">
        <v>7.7</v>
      </c>
      <c r="CO85" t="s">
        <v>8698</v>
      </c>
      <c r="CR85">
        <v>2</v>
      </c>
      <c r="CT85" s="304" t="s">
        <v>11678</v>
      </c>
    </row>
    <row r="86" spans="1:98" s="304" customFormat="1">
      <c r="A86" s="304" t="s">
        <v>8506</v>
      </c>
      <c r="B86" s="463">
        <v>180</v>
      </c>
      <c r="C86" s="296" t="s">
        <v>7808</v>
      </c>
      <c r="D86" s="296" t="s">
        <v>7605</v>
      </c>
      <c r="E86" s="296" t="s">
        <v>7808</v>
      </c>
      <c r="F86" s="296"/>
      <c r="G86" s="296" t="s">
        <v>8506</v>
      </c>
      <c r="H86" s="297" t="s">
        <v>8696</v>
      </c>
      <c r="I86" s="297">
        <v>2</v>
      </c>
      <c r="J86" s="298">
        <v>2184</v>
      </c>
      <c r="K86" s="299"/>
      <c r="L86" s="299"/>
      <c r="M86" s="299">
        <v>12</v>
      </c>
      <c r="N86" s="299">
        <v>10</v>
      </c>
      <c r="O86" s="300">
        <v>30</v>
      </c>
      <c r="P86" s="301">
        <v>42090</v>
      </c>
      <c r="Q86" s="302"/>
      <c r="R86" s="303"/>
      <c r="S86" s="289">
        <v>6.25</v>
      </c>
      <c r="T86" s="303">
        <v>42208</v>
      </c>
      <c r="U86" s="302"/>
      <c r="V86" s="303"/>
      <c r="W86" s="302"/>
      <c r="X86" s="303"/>
      <c r="Y86" s="302">
        <v>22.28</v>
      </c>
      <c r="Z86" s="303">
        <v>42208</v>
      </c>
      <c r="AA86">
        <v>14.4</v>
      </c>
      <c r="AB86" s="303"/>
      <c r="AC86" s="302"/>
      <c r="AD86" s="303"/>
      <c r="AE86" s="302"/>
      <c r="AF86" s="303"/>
      <c r="AG86">
        <v>70258.246527777781</v>
      </c>
      <c r="AH86" s="521">
        <f>(AK86*10000)/AM86</f>
        <v>70258.246527777781</v>
      </c>
      <c r="AI86" s="302"/>
      <c r="AJ86" s="303"/>
      <c r="AK86">
        <v>39.344618055555557</v>
      </c>
      <c r="AL86" s="521"/>
      <c r="AM86">
        <v>5.6</v>
      </c>
      <c r="AN86" s="303">
        <v>42244</v>
      </c>
      <c r="AO86">
        <v>125</v>
      </c>
      <c r="AP86" s="303">
        <v>42170</v>
      </c>
      <c r="AQ86" s="302"/>
      <c r="AR86" s="303"/>
      <c r="AS86" s="302"/>
      <c r="AT86" s="303"/>
      <c r="AU86">
        <v>111</v>
      </c>
      <c r="AV86" s="303"/>
      <c r="AW86" s="302"/>
      <c r="AX86" s="302"/>
      <c r="AY86" s="302"/>
      <c r="AZ86" s="303"/>
      <c r="BA86" s="302"/>
      <c r="BB86" s="302"/>
      <c r="BC86" s="302"/>
      <c r="BD86" s="302"/>
      <c r="BE86" s="302"/>
      <c r="BF86" s="302"/>
      <c r="BG86" s="302"/>
      <c r="BH86" s="302"/>
      <c r="BI86" s="302"/>
      <c r="BJ86" s="302"/>
      <c r="BM86">
        <v>-2.8</v>
      </c>
      <c r="BS86">
        <v>64.7</v>
      </c>
      <c r="BY86">
        <v>50.5</v>
      </c>
      <c r="CA86">
        <v>17.2</v>
      </c>
      <c r="CC86">
        <v>20.5</v>
      </c>
      <c r="CI86">
        <v>7.5</v>
      </c>
      <c r="CO86" t="s">
        <v>8698</v>
      </c>
      <c r="CR86">
        <v>1</v>
      </c>
      <c r="CT86" s="304" t="s">
        <v>11678</v>
      </c>
    </row>
    <row r="87" spans="1:98" s="304" customFormat="1">
      <c r="A87" s="304" t="s">
        <v>8506</v>
      </c>
      <c r="B87" s="463">
        <v>18</v>
      </c>
      <c r="C87" s="296" t="s">
        <v>7627</v>
      </c>
      <c r="D87" s="296" t="s">
        <v>7464</v>
      </c>
      <c r="E87" s="296" t="s">
        <v>7627</v>
      </c>
      <c r="F87" s="296"/>
      <c r="G87" s="296" t="s">
        <v>8506</v>
      </c>
      <c r="H87" s="297" t="s">
        <v>8697</v>
      </c>
      <c r="I87" s="297">
        <v>1</v>
      </c>
      <c r="J87" s="298">
        <v>105</v>
      </c>
      <c r="K87" s="299"/>
      <c r="L87" s="299"/>
      <c r="M87" s="299">
        <v>13</v>
      </c>
      <c r="N87" s="299">
        <v>1</v>
      </c>
      <c r="O87" s="300">
        <v>44</v>
      </c>
      <c r="P87" s="301">
        <v>42090</v>
      </c>
      <c r="Q87" s="302"/>
      <c r="R87" s="303"/>
      <c r="S87" s="289">
        <v>3.95</v>
      </c>
      <c r="T87" s="303">
        <v>42208</v>
      </c>
      <c r="U87" s="302"/>
      <c r="V87" s="303"/>
      <c r="W87" s="302"/>
      <c r="X87" s="303"/>
      <c r="Y87" s="302">
        <v>14.46</v>
      </c>
      <c r="Z87" s="303">
        <v>42208</v>
      </c>
      <c r="AA87">
        <v>14.4</v>
      </c>
      <c r="AB87" s="303"/>
      <c r="AC87" s="302"/>
      <c r="AD87" s="303"/>
      <c r="AE87" s="302"/>
      <c r="AF87" s="303"/>
      <c r="AG87">
        <v>47612.059294871797</v>
      </c>
      <c r="AH87" s="521">
        <f>(AK87*10000)/AM87</f>
        <v>47612.059294871797</v>
      </c>
      <c r="AI87" s="302"/>
      <c r="AJ87" s="303"/>
      <c r="AK87">
        <v>24.758270833333334</v>
      </c>
      <c r="AL87" s="521"/>
      <c r="AM87">
        <v>5.2</v>
      </c>
      <c r="AN87" s="303">
        <v>42244</v>
      </c>
      <c r="AO87">
        <v>140</v>
      </c>
      <c r="AP87" s="303">
        <v>42170</v>
      </c>
      <c r="AQ87" s="302"/>
      <c r="AR87" s="303"/>
      <c r="AS87" s="302"/>
      <c r="AT87" s="303"/>
      <c r="AU87">
        <v>107</v>
      </c>
      <c r="AV87" s="303"/>
      <c r="AW87" s="302"/>
      <c r="AX87" s="302"/>
      <c r="AY87" s="302"/>
      <c r="AZ87" s="303"/>
      <c r="BA87" s="302"/>
      <c r="BB87" s="302"/>
      <c r="BC87" s="302"/>
      <c r="BD87" s="302"/>
      <c r="BE87" s="302"/>
      <c r="BF87" s="302"/>
      <c r="BG87" s="302"/>
      <c r="BH87" s="302"/>
      <c r="BI87" s="302"/>
      <c r="BJ87" s="302"/>
      <c r="BM87">
        <v>1.9</v>
      </c>
      <c r="BS87">
        <v>61.7</v>
      </c>
      <c r="BY87">
        <v>52.1</v>
      </c>
      <c r="CA87">
        <v>17.3</v>
      </c>
      <c r="CC87">
        <v>41.5</v>
      </c>
      <c r="CI87">
        <v>7.9</v>
      </c>
      <c r="CO87" t="s">
        <v>8698</v>
      </c>
      <c r="CR87">
        <v>2</v>
      </c>
      <c r="CT87" s="304" t="s">
        <v>11678</v>
      </c>
    </row>
    <row r="88" spans="1:98" s="304" customFormat="1">
      <c r="A88" s="304" t="s">
        <v>8506</v>
      </c>
      <c r="B88" s="463">
        <v>24</v>
      </c>
      <c r="C88" s="296" t="s">
        <v>7636</v>
      </c>
      <c r="D88" s="296" t="s">
        <v>7472</v>
      </c>
      <c r="E88" s="296" t="s">
        <v>7636</v>
      </c>
      <c r="F88" s="296"/>
      <c r="G88" s="296" t="s">
        <v>8506</v>
      </c>
      <c r="H88" s="297" t="s">
        <v>8697</v>
      </c>
      <c r="I88" s="297">
        <v>1</v>
      </c>
      <c r="J88" s="308">
        <v>1185</v>
      </c>
      <c r="K88" s="299"/>
      <c r="L88" s="299"/>
      <c r="M88" s="299">
        <v>13</v>
      </c>
      <c r="N88" s="299">
        <v>4</v>
      </c>
      <c r="O88" s="300">
        <v>58</v>
      </c>
      <c r="P88" s="301">
        <v>42090</v>
      </c>
      <c r="Q88" s="306"/>
      <c r="R88" s="303"/>
      <c r="S88" s="289">
        <v>3.65</v>
      </c>
      <c r="T88" s="303">
        <v>42208</v>
      </c>
      <c r="U88" s="307"/>
      <c r="V88" s="303"/>
      <c r="W88" s="306"/>
      <c r="X88" s="303"/>
      <c r="Y88" s="306">
        <v>12.86</v>
      </c>
      <c r="Z88" s="303">
        <v>42208</v>
      </c>
      <c r="AA88">
        <v>14.4</v>
      </c>
      <c r="AB88" s="303"/>
      <c r="AC88" s="306"/>
      <c r="AD88" s="303"/>
      <c r="AE88" s="302"/>
      <c r="AF88" s="303"/>
      <c r="AG88">
        <v>50950.169753086411</v>
      </c>
      <c r="AH88" s="521">
        <f>(AK88*10000)/AM88</f>
        <v>50950.169753086411</v>
      </c>
      <c r="AI88" s="302"/>
      <c r="AJ88" s="303"/>
      <c r="AK88">
        <v>22.927576388888884</v>
      </c>
      <c r="AL88" s="521"/>
      <c r="AM88">
        <v>4.5</v>
      </c>
      <c r="AN88" s="303">
        <v>42244</v>
      </c>
      <c r="AO88">
        <v>130</v>
      </c>
      <c r="AP88" s="303">
        <v>42170</v>
      </c>
      <c r="AQ88" s="306"/>
      <c r="AR88" s="303"/>
      <c r="AS88" s="306"/>
      <c r="AT88" s="303"/>
      <c r="AU88">
        <v>107</v>
      </c>
      <c r="AV88" s="303"/>
      <c r="AW88" s="302"/>
      <c r="AX88" s="302"/>
      <c r="AY88" s="302"/>
      <c r="AZ88" s="303"/>
      <c r="BA88" s="302"/>
      <c r="BB88" s="302"/>
      <c r="BC88" s="302"/>
      <c r="BD88" s="302"/>
      <c r="BE88" s="302"/>
      <c r="BF88" s="302"/>
      <c r="BG88" s="302"/>
      <c r="BH88" s="302"/>
      <c r="BI88" s="302"/>
      <c r="BJ88" s="302"/>
      <c r="BM88">
        <v>2.9</v>
      </c>
      <c r="BS88">
        <v>58.2</v>
      </c>
      <c r="BY88">
        <v>50</v>
      </c>
      <c r="CA88">
        <v>19</v>
      </c>
      <c r="CC88">
        <v>58.3</v>
      </c>
      <c r="CI88">
        <v>7.7</v>
      </c>
      <c r="CO88" t="s">
        <v>8698</v>
      </c>
      <c r="CR88">
        <v>4</v>
      </c>
      <c r="CT88" s="304" t="s">
        <v>11678</v>
      </c>
    </row>
    <row r="89" spans="1:98" s="304" customFormat="1">
      <c r="A89" s="304" t="s">
        <v>8506</v>
      </c>
      <c r="B89" s="463">
        <v>107</v>
      </c>
      <c r="C89" s="296" t="s">
        <v>7725</v>
      </c>
      <c r="D89" s="296" t="s">
        <v>7551</v>
      </c>
      <c r="E89" s="296" t="s">
        <v>7725</v>
      </c>
      <c r="F89" s="296"/>
      <c r="G89" s="296" t="s">
        <v>8506</v>
      </c>
      <c r="H89" s="297" t="s">
        <v>8696</v>
      </c>
      <c r="I89" s="297">
        <v>2</v>
      </c>
      <c r="J89" s="308">
        <v>265</v>
      </c>
      <c r="K89" s="299"/>
      <c r="L89" s="299"/>
      <c r="M89" s="299">
        <v>13</v>
      </c>
      <c r="N89" s="299">
        <v>8</v>
      </c>
      <c r="O89" s="300">
        <v>52</v>
      </c>
      <c r="P89" s="301">
        <v>42090</v>
      </c>
      <c r="Q89" s="306"/>
      <c r="R89" s="303"/>
      <c r="S89" s="289">
        <v>5.4</v>
      </c>
      <c r="T89" s="303">
        <v>42208</v>
      </c>
      <c r="U89" s="307"/>
      <c r="V89" s="303"/>
      <c r="W89" s="306"/>
      <c r="X89" s="303"/>
      <c r="Y89" s="306">
        <v>18.579999999999998</v>
      </c>
      <c r="Z89" s="303">
        <v>42208</v>
      </c>
      <c r="AA89">
        <v>14.4</v>
      </c>
      <c r="AB89" s="303"/>
      <c r="AC89" s="306"/>
      <c r="AD89" s="303"/>
      <c r="AE89" s="302"/>
      <c r="AF89" s="303"/>
      <c r="AG89">
        <v>59315.789473684206</v>
      </c>
      <c r="AH89" s="521">
        <f>(AK89*10000)/AM89</f>
        <v>59315.789473684206</v>
      </c>
      <c r="AI89" s="302"/>
      <c r="AJ89" s="303"/>
      <c r="AK89">
        <v>33.81</v>
      </c>
      <c r="AL89" s="521"/>
      <c r="AM89">
        <v>5.7</v>
      </c>
      <c r="AN89" s="303">
        <v>42244</v>
      </c>
      <c r="AO89">
        <v>125</v>
      </c>
      <c r="AP89" s="303">
        <v>42170</v>
      </c>
      <c r="AQ89" s="306"/>
      <c r="AR89" s="303"/>
      <c r="AS89" s="306"/>
      <c r="AT89" s="303"/>
      <c r="AU89">
        <v>112</v>
      </c>
      <c r="AV89" s="303"/>
      <c r="AW89" s="302"/>
      <c r="AX89" s="302"/>
      <c r="AY89" s="302"/>
      <c r="AZ89" s="303"/>
      <c r="BA89" s="302"/>
      <c r="BB89" s="302"/>
      <c r="BC89" s="302"/>
      <c r="BD89" s="302"/>
      <c r="BE89" s="302"/>
      <c r="BF89" s="302"/>
      <c r="BG89" s="302"/>
      <c r="BH89" s="302"/>
      <c r="BI89" s="302"/>
      <c r="BJ89" s="302"/>
      <c r="BM89">
        <v>3.7</v>
      </c>
      <c r="BS89">
        <v>57.5</v>
      </c>
      <c r="BY89">
        <v>49</v>
      </c>
      <c r="CA89">
        <v>19.899999999999999</v>
      </c>
      <c r="CC89">
        <v>16.899999999999999</v>
      </c>
      <c r="CI89">
        <v>8</v>
      </c>
      <c r="CO89" t="s">
        <v>8698</v>
      </c>
      <c r="CR89">
        <v>3</v>
      </c>
      <c r="CT89" s="304" t="s">
        <v>11678</v>
      </c>
    </row>
    <row r="90" spans="1:98" s="304" customFormat="1">
      <c r="A90" s="304" t="s">
        <v>8506</v>
      </c>
      <c r="B90" s="463">
        <v>110</v>
      </c>
      <c r="C90" s="296" t="s">
        <v>7728</v>
      </c>
      <c r="D90" s="296" t="s">
        <v>7554</v>
      </c>
      <c r="E90" s="296" t="s">
        <v>7728</v>
      </c>
      <c r="F90" s="296"/>
      <c r="G90" s="296" t="s">
        <v>8506</v>
      </c>
      <c r="H90" s="297" t="s">
        <v>8697</v>
      </c>
      <c r="I90" s="297">
        <v>1</v>
      </c>
      <c r="J90" s="297">
        <v>1305</v>
      </c>
      <c r="K90" s="299"/>
      <c r="L90" s="299"/>
      <c r="M90" s="299">
        <v>13</v>
      </c>
      <c r="N90" s="299">
        <v>6</v>
      </c>
      <c r="O90" s="300">
        <v>26</v>
      </c>
      <c r="P90" s="301">
        <v>42090</v>
      </c>
      <c r="Q90" s="302"/>
      <c r="R90" s="303"/>
      <c r="S90" s="289">
        <v>5.25</v>
      </c>
      <c r="T90" s="303">
        <v>42208</v>
      </c>
      <c r="U90" s="302"/>
      <c r="V90" s="303"/>
      <c r="W90" s="302"/>
      <c r="X90" s="303"/>
      <c r="Y90" s="302">
        <v>18.62</v>
      </c>
      <c r="Z90" s="303">
        <v>42208</v>
      </c>
      <c r="AA90">
        <v>14.4</v>
      </c>
      <c r="AB90" s="303"/>
      <c r="AC90" s="302"/>
      <c r="AD90" s="303"/>
      <c r="AE90" s="302"/>
      <c r="AF90" s="303"/>
      <c r="AG90">
        <v>63625.400641025633</v>
      </c>
      <c r="AH90" s="521">
        <f>(AK90*10000)/AM90</f>
        <v>63625.400641025633</v>
      </c>
      <c r="AI90" s="302"/>
      <c r="AJ90" s="303"/>
      <c r="AK90">
        <v>33.085208333333334</v>
      </c>
      <c r="AL90" s="521"/>
      <c r="AM90">
        <v>5.2</v>
      </c>
      <c r="AN90" s="303">
        <v>42244</v>
      </c>
      <c r="AO90">
        <v>170</v>
      </c>
      <c r="AP90" s="303">
        <v>42170</v>
      </c>
      <c r="AQ90" s="302"/>
      <c r="AR90" s="303"/>
      <c r="AS90" s="302"/>
      <c r="AT90" s="303"/>
      <c r="AU90">
        <v>106</v>
      </c>
      <c r="AV90" s="303"/>
      <c r="AW90" s="302"/>
      <c r="AX90" s="302"/>
      <c r="AY90" s="302"/>
      <c r="AZ90" s="303"/>
      <c r="BA90" s="302"/>
      <c r="BB90" s="302"/>
      <c r="BC90" s="302"/>
      <c r="BD90" s="302"/>
      <c r="BE90" s="302"/>
      <c r="BF90" s="302"/>
      <c r="BG90" s="302"/>
      <c r="BH90" s="302"/>
      <c r="BI90" s="302"/>
      <c r="BJ90" s="302"/>
      <c r="BM90">
        <v>2.2999999999999998</v>
      </c>
      <c r="BS90">
        <v>57.9</v>
      </c>
      <c r="BY90">
        <v>50.2</v>
      </c>
      <c r="CA90">
        <v>19.2</v>
      </c>
      <c r="CC90">
        <v>20</v>
      </c>
      <c r="CI90">
        <v>7.4</v>
      </c>
      <c r="CO90" t="s">
        <v>8698</v>
      </c>
      <c r="CR90">
        <v>1</v>
      </c>
      <c r="CT90" s="304" t="s">
        <v>11678</v>
      </c>
    </row>
    <row r="91" spans="1:98" s="304" customFormat="1">
      <c r="A91" s="304" t="s">
        <v>8506</v>
      </c>
      <c r="B91" s="463">
        <v>176</v>
      </c>
      <c r="C91" s="296" t="s">
        <v>7804</v>
      </c>
      <c r="D91" s="296" t="s">
        <v>7601</v>
      </c>
      <c r="E91" s="296" t="s">
        <v>7804</v>
      </c>
      <c r="F91" s="296"/>
      <c r="G91" s="296" t="s">
        <v>8506</v>
      </c>
      <c r="H91" s="297" t="s">
        <v>8697</v>
      </c>
      <c r="I91" s="297">
        <v>1</v>
      </c>
      <c r="J91" s="297">
        <v>1125</v>
      </c>
      <c r="K91" s="299"/>
      <c r="L91" s="299"/>
      <c r="M91" s="299">
        <v>13</v>
      </c>
      <c r="N91" s="299">
        <v>3</v>
      </c>
      <c r="O91" s="300">
        <v>50</v>
      </c>
      <c r="P91" s="301">
        <v>42090</v>
      </c>
      <c r="Q91" s="302"/>
      <c r="R91" s="303"/>
      <c r="S91" s="289">
        <v>5.85</v>
      </c>
      <c r="T91" s="303">
        <v>42208</v>
      </c>
      <c r="U91" s="302"/>
      <c r="V91" s="303"/>
      <c r="W91" s="302"/>
      <c r="X91" s="303"/>
      <c r="Y91" s="302">
        <v>21.34</v>
      </c>
      <c r="Z91" s="303">
        <v>42208</v>
      </c>
      <c r="AA91">
        <v>14.4</v>
      </c>
      <c r="AB91" s="303"/>
      <c r="AC91" s="302"/>
      <c r="AD91" s="303"/>
      <c r="AE91" s="302"/>
      <c r="AF91" s="303"/>
      <c r="AG91">
        <v>81305.972222222204</v>
      </c>
      <c r="AH91" s="521">
        <f>(AK91*10000)/AM91</f>
        <v>81305.972222222204</v>
      </c>
      <c r="AI91" s="302"/>
      <c r="AJ91" s="303"/>
      <c r="AK91">
        <v>36.587687499999994</v>
      </c>
      <c r="AL91" s="521"/>
      <c r="AM91">
        <v>4.5</v>
      </c>
      <c r="AN91" s="303">
        <v>42244</v>
      </c>
      <c r="AO91">
        <v>125</v>
      </c>
      <c r="AP91" s="303">
        <v>42170</v>
      </c>
      <c r="AQ91" s="302"/>
      <c r="AR91" s="303"/>
      <c r="AS91" s="302"/>
      <c r="AT91" s="303"/>
      <c r="AU91">
        <v>106</v>
      </c>
      <c r="AV91" s="303"/>
      <c r="AW91" s="302"/>
      <c r="AX91" s="302"/>
      <c r="AY91" s="302"/>
      <c r="AZ91" s="303"/>
      <c r="BA91" s="302"/>
      <c r="BB91" s="302"/>
      <c r="BC91" s="302"/>
      <c r="BD91" s="302"/>
      <c r="BE91" s="302"/>
      <c r="BF91" s="302"/>
      <c r="BG91" s="302"/>
      <c r="BH91" s="302"/>
      <c r="BI91" s="302"/>
      <c r="BJ91" s="302"/>
      <c r="BM91">
        <v>0.8</v>
      </c>
      <c r="BS91">
        <v>61.9</v>
      </c>
      <c r="BY91">
        <v>52</v>
      </c>
      <c r="CA91">
        <v>15.6</v>
      </c>
      <c r="CC91">
        <v>15.1</v>
      </c>
      <c r="CI91">
        <v>8.1</v>
      </c>
      <c r="CO91" t="s">
        <v>8698</v>
      </c>
      <c r="CR91">
        <v>2</v>
      </c>
      <c r="CT91" s="304" t="s">
        <v>11678</v>
      </c>
    </row>
    <row r="92" spans="1:98" s="304" customFormat="1">
      <c r="A92" s="304" t="s">
        <v>8506</v>
      </c>
      <c r="B92" s="463">
        <v>29</v>
      </c>
      <c r="C92" s="296" t="s">
        <v>7641</v>
      </c>
      <c r="D92" s="296" t="s">
        <v>7476</v>
      </c>
      <c r="E92" s="296" t="s">
        <v>7641</v>
      </c>
      <c r="F92" s="296"/>
      <c r="G92" s="296" t="s">
        <v>8506</v>
      </c>
      <c r="H92" s="297" t="s">
        <v>8696</v>
      </c>
      <c r="I92" s="297">
        <v>2</v>
      </c>
      <c r="J92" s="297">
        <v>2306</v>
      </c>
      <c r="K92" s="299"/>
      <c r="L92" s="299"/>
      <c r="M92" s="299">
        <v>14</v>
      </c>
      <c r="N92" s="299">
        <v>12</v>
      </c>
      <c r="O92" s="300">
        <v>30</v>
      </c>
      <c r="P92" s="301">
        <v>42090</v>
      </c>
      <c r="Q92" s="302"/>
      <c r="R92" s="303"/>
      <c r="S92" s="289">
        <v>3.9</v>
      </c>
      <c r="T92" s="303">
        <v>42208</v>
      </c>
      <c r="U92" s="302"/>
      <c r="V92" s="303"/>
      <c r="W92" s="302"/>
      <c r="X92" s="303"/>
      <c r="Y92" s="302">
        <v>12.38</v>
      </c>
      <c r="Z92" s="303">
        <v>42208</v>
      </c>
      <c r="AA92">
        <v>14.4</v>
      </c>
      <c r="AB92" s="303"/>
      <c r="AC92" s="302"/>
      <c r="AD92" s="303"/>
      <c r="AE92" s="302"/>
      <c r="AF92" s="303"/>
      <c r="AG92">
        <v>38927.777777777781</v>
      </c>
      <c r="AH92" s="521">
        <f>(AK92*10000)/AM92</f>
        <v>38927.777777777781</v>
      </c>
      <c r="AI92" s="302"/>
      <c r="AJ92" s="303"/>
      <c r="AK92">
        <v>24.5245</v>
      </c>
      <c r="AL92" s="521"/>
      <c r="AM92">
        <v>6.3</v>
      </c>
      <c r="AN92" s="303">
        <v>42244</v>
      </c>
      <c r="AO92">
        <v>140</v>
      </c>
      <c r="AP92" s="303">
        <v>42170</v>
      </c>
      <c r="AQ92" s="302"/>
      <c r="AR92" s="303"/>
      <c r="AS92" s="302"/>
      <c r="AT92" s="303"/>
      <c r="AU92">
        <v>110</v>
      </c>
      <c r="AV92" s="303"/>
      <c r="AW92" s="302"/>
      <c r="AX92" s="302"/>
      <c r="AY92" s="302"/>
      <c r="AZ92" s="303"/>
      <c r="BA92" s="302"/>
      <c r="BB92" s="302"/>
      <c r="BC92" s="302"/>
      <c r="BD92" s="302"/>
      <c r="BE92" s="302"/>
      <c r="BF92" s="302"/>
      <c r="BG92" s="302"/>
      <c r="BH92" s="302"/>
      <c r="BI92" s="302"/>
      <c r="BJ92" s="302"/>
      <c r="BM92">
        <v>3.6</v>
      </c>
      <c r="BS92">
        <v>54</v>
      </c>
      <c r="BY92">
        <v>45</v>
      </c>
      <c r="CA92">
        <v>24.2</v>
      </c>
      <c r="CC92">
        <v>71.2</v>
      </c>
      <c r="CI92">
        <v>7.6</v>
      </c>
      <c r="CO92" t="s">
        <v>8698</v>
      </c>
      <c r="CR92">
        <v>2</v>
      </c>
      <c r="CT92" s="304" t="s">
        <v>11678</v>
      </c>
    </row>
    <row r="93" spans="1:98" s="304" customFormat="1">
      <c r="A93" s="304" t="s">
        <v>8506</v>
      </c>
      <c r="B93" s="463">
        <v>96</v>
      </c>
      <c r="C93" s="296" t="s">
        <v>7714</v>
      </c>
      <c r="D93" s="296" t="s">
        <v>7541</v>
      </c>
      <c r="E93" s="296" t="s">
        <v>7714</v>
      </c>
      <c r="F93" s="296"/>
      <c r="G93" s="296" t="s">
        <v>8506</v>
      </c>
      <c r="H93" s="297" t="s">
        <v>8696</v>
      </c>
      <c r="I93" s="297">
        <v>2</v>
      </c>
      <c r="J93" s="308">
        <v>2246</v>
      </c>
      <c r="K93" s="299"/>
      <c r="L93" s="299"/>
      <c r="M93" s="299">
        <v>14</v>
      </c>
      <c r="N93" s="299">
        <v>11</v>
      </c>
      <c r="O93" s="300">
        <v>22</v>
      </c>
      <c r="P93" s="301">
        <v>42090</v>
      </c>
      <c r="Q93" s="306"/>
      <c r="R93" s="303"/>
      <c r="S93" s="289">
        <v>4.8499999999999996</v>
      </c>
      <c r="T93" s="303">
        <v>42208</v>
      </c>
      <c r="U93" s="307"/>
      <c r="V93" s="303"/>
      <c r="W93" s="306"/>
      <c r="X93" s="303"/>
      <c r="Y93" s="306">
        <v>16.899999999999999</v>
      </c>
      <c r="Z93" s="303">
        <v>42208</v>
      </c>
      <c r="AA93">
        <v>14.4</v>
      </c>
      <c r="AB93" s="303"/>
      <c r="AC93" s="306"/>
      <c r="AD93" s="303"/>
      <c r="AE93" s="302"/>
      <c r="AF93" s="303"/>
      <c r="AG93">
        <v>61904.861111111102</v>
      </c>
      <c r="AH93" s="521">
        <f>(AK93*10000)/AM93</f>
        <v>61904.861111111102</v>
      </c>
      <c r="AI93" s="302"/>
      <c r="AJ93" s="303"/>
      <c r="AK93">
        <v>30.333381944444444</v>
      </c>
      <c r="AL93" s="521"/>
      <c r="AM93">
        <v>4.9000000000000004</v>
      </c>
      <c r="AN93" s="303">
        <v>42244</v>
      </c>
      <c r="AO93">
        <v>125</v>
      </c>
      <c r="AP93" s="303">
        <v>42170</v>
      </c>
      <c r="AQ93" s="306"/>
      <c r="AR93" s="303"/>
      <c r="AS93" s="306"/>
      <c r="AT93" s="303"/>
      <c r="AU93">
        <v>109</v>
      </c>
      <c r="AV93" s="303"/>
      <c r="AW93" s="302"/>
      <c r="AX93" s="302"/>
      <c r="AY93" s="302"/>
      <c r="AZ93" s="303"/>
      <c r="BA93" s="302"/>
      <c r="BB93" s="302"/>
      <c r="BC93" s="302"/>
      <c r="BD93" s="302"/>
      <c r="BE93" s="302"/>
      <c r="BF93" s="302"/>
      <c r="BG93" s="302"/>
      <c r="BH93" s="302"/>
      <c r="BI93" s="302"/>
      <c r="BJ93" s="302"/>
      <c r="BM93">
        <v>1.3</v>
      </c>
      <c r="BS93">
        <v>62.9</v>
      </c>
      <c r="BY93">
        <v>49.7</v>
      </c>
      <c r="CA93">
        <v>18.8</v>
      </c>
      <c r="CC93">
        <v>19.7</v>
      </c>
      <c r="CI93">
        <v>8.1</v>
      </c>
      <c r="CO93" t="s">
        <v>8698</v>
      </c>
      <c r="CR93">
        <v>1</v>
      </c>
      <c r="CT93" s="304" t="s">
        <v>11678</v>
      </c>
    </row>
    <row r="94" spans="1:98" s="304" customFormat="1">
      <c r="A94" s="304" t="s">
        <v>8506</v>
      </c>
      <c r="B94" s="463">
        <v>113</v>
      </c>
      <c r="C94" s="296" t="s">
        <v>7732</v>
      </c>
      <c r="D94" s="296" t="s">
        <v>7558</v>
      </c>
      <c r="E94" s="296" t="s">
        <v>7732</v>
      </c>
      <c r="F94" s="296"/>
      <c r="G94" s="296" t="s">
        <v>8506</v>
      </c>
      <c r="H94" s="297" t="s">
        <v>8697</v>
      </c>
      <c r="I94" s="297">
        <v>1</v>
      </c>
      <c r="J94" s="297">
        <v>1186</v>
      </c>
      <c r="K94" s="299"/>
      <c r="L94" s="299"/>
      <c r="M94" s="299">
        <v>14</v>
      </c>
      <c r="N94" s="299">
        <v>4</v>
      </c>
      <c r="O94" s="300">
        <v>32</v>
      </c>
      <c r="P94" s="301">
        <v>42090</v>
      </c>
      <c r="Q94" s="302"/>
      <c r="R94" s="303"/>
      <c r="S94" s="289">
        <v>4.0999999999999996</v>
      </c>
      <c r="T94" s="303">
        <v>42208</v>
      </c>
      <c r="U94" s="302"/>
      <c r="V94" s="303"/>
      <c r="W94" s="302"/>
      <c r="X94" s="303"/>
      <c r="Y94" s="302">
        <v>15.63</v>
      </c>
      <c r="Z94" s="303">
        <v>42208</v>
      </c>
      <c r="AA94">
        <v>14.4</v>
      </c>
      <c r="AB94" s="303"/>
      <c r="AC94" s="302"/>
      <c r="AD94" s="303"/>
      <c r="AE94" s="302"/>
      <c r="AF94" s="303"/>
      <c r="AG94">
        <v>52673.611111111109</v>
      </c>
      <c r="AH94" s="521">
        <f>(AK94*10000)/AM94</f>
        <v>52673.611111111109</v>
      </c>
      <c r="AI94" s="302"/>
      <c r="AJ94" s="303"/>
      <c r="AK94">
        <v>25.810069444444444</v>
      </c>
      <c r="AL94" s="521"/>
      <c r="AM94">
        <v>4.9000000000000004</v>
      </c>
      <c r="AN94" s="303">
        <v>42244</v>
      </c>
      <c r="AO94">
        <v>145</v>
      </c>
      <c r="AP94" s="303">
        <v>42170</v>
      </c>
      <c r="AQ94" s="302"/>
      <c r="AR94" s="303"/>
      <c r="AS94" s="302"/>
      <c r="AT94" s="303"/>
      <c r="AU94">
        <v>108</v>
      </c>
      <c r="AV94" s="303"/>
      <c r="AW94" s="302"/>
      <c r="AX94" s="302"/>
      <c r="AY94" s="302"/>
      <c r="AZ94" s="303"/>
      <c r="BA94" s="302"/>
      <c r="BB94" s="302"/>
      <c r="BC94" s="302"/>
      <c r="BD94" s="302"/>
      <c r="BE94" s="302"/>
      <c r="BF94" s="302"/>
      <c r="BG94" s="302"/>
      <c r="BH94" s="302"/>
      <c r="BI94" s="302"/>
      <c r="BJ94" s="302"/>
      <c r="BM94">
        <v>-6.4</v>
      </c>
      <c r="BS94">
        <v>68</v>
      </c>
      <c r="BY94">
        <v>54</v>
      </c>
      <c r="CA94">
        <v>15.4</v>
      </c>
      <c r="CC94">
        <v>16.399999999999999</v>
      </c>
      <c r="CI94">
        <v>7.5</v>
      </c>
      <c r="CO94" t="s">
        <v>8698</v>
      </c>
      <c r="CR94">
        <v>2</v>
      </c>
      <c r="CT94" s="304" t="s">
        <v>11678</v>
      </c>
    </row>
    <row r="95" spans="1:98" s="304" customFormat="1">
      <c r="A95" s="304" t="s">
        <v>8506</v>
      </c>
      <c r="B95" s="463">
        <v>117</v>
      </c>
      <c r="C95" s="296" t="s">
        <v>7736</v>
      </c>
      <c r="D95" s="296" t="s">
        <v>7820</v>
      </c>
      <c r="E95" s="296" t="s">
        <v>7736</v>
      </c>
      <c r="F95" s="296"/>
      <c r="G95" s="296" t="s">
        <v>8506</v>
      </c>
      <c r="H95" s="297" t="s">
        <v>8696</v>
      </c>
      <c r="I95" s="297">
        <v>2</v>
      </c>
      <c r="J95" s="308">
        <v>266</v>
      </c>
      <c r="K95" s="299"/>
      <c r="L95" s="299"/>
      <c r="M95" s="299">
        <v>14</v>
      </c>
      <c r="N95" s="299">
        <v>8</v>
      </c>
      <c r="O95" s="300">
        <v>56</v>
      </c>
      <c r="P95" s="301">
        <v>42090</v>
      </c>
      <c r="Q95" s="306"/>
      <c r="R95" s="303"/>
      <c r="S95" s="289">
        <v>2.5</v>
      </c>
      <c r="T95" s="303">
        <v>42208</v>
      </c>
      <c r="U95" s="307"/>
      <c r="V95" s="303"/>
      <c r="W95" s="306"/>
      <c r="X95" s="303"/>
      <c r="Y95" s="306">
        <v>8.3000000000000007</v>
      </c>
      <c r="Z95" s="303">
        <v>42208</v>
      </c>
      <c r="AA95">
        <v>14.4</v>
      </c>
      <c r="AB95" s="303"/>
      <c r="AC95" s="306"/>
      <c r="AD95" s="303"/>
      <c r="AE95" s="302"/>
      <c r="AF95" s="303"/>
      <c r="AG95">
        <v>29694.051362683433</v>
      </c>
      <c r="AH95" s="521">
        <f>(AK95*10000)/AM95</f>
        <v>29694.051362683433</v>
      </c>
      <c r="AI95" s="302"/>
      <c r="AJ95" s="303"/>
      <c r="AK95">
        <v>15.73784722222222</v>
      </c>
      <c r="AL95" s="521"/>
      <c r="AM95">
        <v>5.3</v>
      </c>
      <c r="AN95" s="303">
        <v>42244</v>
      </c>
      <c r="AO95">
        <v>130</v>
      </c>
      <c r="AP95" s="303">
        <v>42170</v>
      </c>
      <c r="AQ95" s="306"/>
      <c r="AR95" s="303"/>
      <c r="AS95" s="306"/>
      <c r="AT95" s="303"/>
      <c r="AU95"/>
      <c r="AV95" s="303"/>
      <c r="AW95" s="302"/>
      <c r="AX95" s="302"/>
      <c r="AY95" s="302"/>
      <c r="AZ95" s="303"/>
      <c r="BA95" s="302"/>
      <c r="BB95" s="302"/>
      <c r="BC95" s="302"/>
      <c r="BD95" s="302"/>
      <c r="BE95" s="302"/>
      <c r="BF95" s="302"/>
      <c r="BG95" s="302"/>
      <c r="BH95" s="302"/>
      <c r="BI95" s="302"/>
      <c r="BJ95" s="302"/>
      <c r="BM95">
        <v>33.1</v>
      </c>
      <c r="BS95">
        <v>21.6</v>
      </c>
      <c r="BY95">
        <v>47</v>
      </c>
      <c r="CA95">
        <v>23.3</v>
      </c>
      <c r="CC95">
        <v>68.8</v>
      </c>
      <c r="CI95">
        <v>7.5</v>
      </c>
      <c r="CO95" t="s">
        <v>8698</v>
      </c>
      <c r="CR95">
        <v>2</v>
      </c>
      <c r="CT95" s="304" t="s">
        <v>11678</v>
      </c>
    </row>
    <row r="96" spans="1:98" s="304" customFormat="1">
      <c r="A96" s="304" t="s">
        <v>8506</v>
      </c>
      <c r="B96" s="463">
        <v>134</v>
      </c>
      <c r="C96" s="296" t="s">
        <v>7762</v>
      </c>
      <c r="D96" s="296" t="s">
        <v>7837</v>
      </c>
      <c r="E96" s="296" t="s">
        <v>7762</v>
      </c>
      <c r="F96" s="296"/>
      <c r="G96" s="296" t="s">
        <v>8506</v>
      </c>
      <c r="H96" s="297" t="s">
        <v>8697</v>
      </c>
      <c r="I96" s="297">
        <v>1</v>
      </c>
      <c r="J96" s="297">
        <v>1246</v>
      </c>
      <c r="K96" s="299"/>
      <c r="L96" s="299"/>
      <c r="M96" s="299">
        <v>14</v>
      </c>
      <c r="N96" s="299">
        <v>5</v>
      </c>
      <c r="O96" s="300">
        <v>32</v>
      </c>
      <c r="P96" s="301">
        <v>42090</v>
      </c>
      <c r="Q96" s="302"/>
      <c r="R96" s="303"/>
      <c r="S96" s="289">
        <v>5.55</v>
      </c>
      <c r="T96" s="303">
        <v>42208</v>
      </c>
      <c r="U96" s="302"/>
      <c r="V96" s="303"/>
      <c r="W96" s="302"/>
      <c r="X96" s="303"/>
      <c r="Y96" s="302">
        <v>20.8</v>
      </c>
      <c r="Z96" s="303">
        <v>42208</v>
      </c>
      <c r="AA96">
        <v>14.4</v>
      </c>
      <c r="AB96" s="303"/>
      <c r="AC96" s="302"/>
      <c r="AD96" s="303"/>
      <c r="AE96" s="302"/>
      <c r="AF96" s="303"/>
      <c r="AG96">
        <v>67043.229166666642</v>
      </c>
      <c r="AH96" s="521">
        <f>(AK96*10000)/AM96</f>
        <v>67043.229166666642</v>
      </c>
      <c r="AI96" s="302"/>
      <c r="AJ96" s="303"/>
      <c r="AK96">
        <v>34.86247916666666</v>
      </c>
      <c r="AL96" s="521"/>
      <c r="AM96">
        <v>5.2</v>
      </c>
      <c r="AN96" s="303">
        <v>42244</v>
      </c>
      <c r="AO96">
        <v>145</v>
      </c>
      <c r="AP96" s="303">
        <v>42170</v>
      </c>
      <c r="AQ96" s="302"/>
      <c r="AR96" s="303"/>
      <c r="AS96" s="302"/>
      <c r="AT96" s="303"/>
      <c r="AU96">
        <v>104</v>
      </c>
      <c r="AV96" s="303"/>
      <c r="AW96" s="302"/>
      <c r="AX96" s="302"/>
      <c r="AY96" s="302"/>
      <c r="AZ96" s="303"/>
      <c r="BA96" s="302"/>
      <c r="BB96" s="302"/>
      <c r="BC96" s="302"/>
      <c r="BD96" s="302"/>
      <c r="BE96" s="302"/>
      <c r="BF96" s="302"/>
      <c r="BG96" s="302"/>
      <c r="BH96" s="302"/>
      <c r="BI96" s="302"/>
      <c r="BJ96" s="302"/>
      <c r="BM96">
        <v>-0.3</v>
      </c>
      <c r="BS96">
        <v>68.400000000000006</v>
      </c>
      <c r="BY96">
        <v>53.2</v>
      </c>
      <c r="CA96">
        <v>15.9</v>
      </c>
      <c r="CC96">
        <v>17.8</v>
      </c>
      <c r="CI96">
        <v>7.7</v>
      </c>
      <c r="CO96" t="s">
        <v>8698</v>
      </c>
      <c r="CR96">
        <v>2</v>
      </c>
      <c r="CT96" s="304" t="s">
        <v>11678</v>
      </c>
    </row>
    <row r="97" spans="1:98" s="304" customFormat="1">
      <c r="A97" s="304" t="s">
        <v>8506</v>
      </c>
      <c r="B97" s="463">
        <v>143</v>
      </c>
      <c r="C97" s="296" t="s">
        <v>7771</v>
      </c>
      <c r="D97" s="296" t="s">
        <v>7572</v>
      </c>
      <c r="E97" s="296" t="s">
        <v>7771</v>
      </c>
      <c r="F97" s="296"/>
      <c r="G97" s="296" t="s">
        <v>8506</v>
      </c>
      <c r="H97" s="297" t="s">
        <v>8696</v>
      </c>
      <c r="I97" s="297">
        <v>2</v>
      </c>
      <c r="J97" s="297">
        <v>206</v>
      </c>
      <c r="K97" s="299"/>
      <c r="L97" s="299"/>
      <c r="M97" s="299">
        <v>14</v>
      </c>
      <c r="N97" s="299">
        <v>7</v>
      </c>
      <c r="O97" s="300">
        <v>66</v>
      </c>
      <c r="P97" s="301">
        <v>42090</v>
      </c>
      <c r="Q97" s="302"/>
      <c r="R97" s="303"/>
      <c r="S97" s="289">
        <v>5.85</v>
      </c>
      <c r="T97" s="303">
        <v>42208</v>
      </c>
      <c r="U97" s="302"/>
      <c r="V97" s="303"/>
      <c r="W97" s="302"/>
      <c r="X97" s="303"/>
      <c r="Y97" s="302">
        <v>20.96</v>
      </c>
      <c r="Z97" s="303">
        <v>42208</v>
      </c>
      <c r="AA97">
        <v>14.4</v>
      </c>
      <c r="AB97" s="303"/>
      <c r="AC97" s="302"/>
      <c r="AD97" s="303"/>
      <c r="AE97" s="302"/>
      <c r="AF97" s="303"/>
      <c r="AG97">
        <v>76058.463541666657</v>
      </c>
      <c r="AH97" s="521">
        <f>(AK97*10000)/AM97</f>
        <v>76058.463541666657</v>
      </c>
      <c r="AI97" s="302"/>
      <c r="AJ97" s="303"/>
      <c r="AK97">
        <v>36.508062499999994</v>
      </c>
      <c r="AL97" s="521"/>
      <c r="AM97">
        <v>4.8</v>
      </c>
      <c r="AN97" s="303">
        <v>42244</v>
      </c>
      <c r="AO97">
        <v>125</v>
      </c>
      <c r="AP97" s="303">
        <v>42170</v>
      </c>
      <c r="AQ97" s="302"/>
      <c r="AR97" s="303"/>
      <c r="AS97" s="302"/>
      <c r="AT97" s="303"/>
      <c r="AU97">
        <v>108</v>
      </c>
      <c r="AV97" s="303"/>
      <c r="AW97" s="302"/>
      <c r="AX97" s="302"/>
      <c r="AY97" s="302"/>
      <c r="AZ97" s="303"/>
      <c r="BA97" s="302"/>
      <c r="BB97" s="302"/>
      <c r="BC97" s="302"/>
      <c r="BD97" s="302"/>
      <c r="BE97" s="302"/>
      <c r="BF97" s="302"/>
      <c r="BG97" s="302"/>
      <c r="BH97" s="302"/>
      <c r="BI97" s="302"/>
      <c r="BJ97" s="302"/>
      <c r="BM97">
        <v>1.4</v>
      </c>
      <c r="BS97">
        <v>59</v>
      </c>
      <c r="BY97">
        <v>51.2</v>
      </c>
      <c r="CA97">
        <v>17.600000000000001</v>
      </c>
      <c r="CC97">
        <v>18.3</v>
      </c>
      <c r="CI97">
        <v>8.3000000000000007</v>
      </c>
      <c r="CO97" t="s">
        <v>8698</v>
      </c>
      <c r="CR97">
        <v>1</v>
      </c>
      <c r="CT97" s="304" t="s">
        <v>11678</v>
      </c>
    </row>
    <row r="98" spans="1:98" s="304" customFormat="1">
      <c r="A98" s="304" t="s">
        <v>8506</v>
      </c>
      <c r="B98" s="463">
        <v>162</v>
      </c>
      <c r="C98" s="296" t="s">
        <v>7790</v>
      </c>
      <c r="D98" s="296" t="s">
        <v>7591</v>
      </c>
      <c r="E98" s="296" t="s">
        <v>7790</v>
      </c>
      <c r="F98" s="296"/>
      <c r="G98" s="296" t="s">
        <v>8506</v>
      </c>
      <c r="H98" s="297" t="s">
        <v>8697</v>
      </c>
      <c r="I98" s="297">
        <v>1</v>
      </c>
      <c r="J98" s="297">
        <v>1126</v>
      </c>
      <c r="K98" s="299"/>
      <c r="L98" s="299"/>
      <c r="M98" s="299">
        <v>14</v>
      </c>
      <c r="N98" s="299">
        <v>3</v>
      </c>
      <c r="O98" s="300">
        <v>30</v>
      </c>
      <c r="P98" s="301">
        <v>42090</v>
      </c>
      <c r="Q98" s="302"/>
      <c r="R98" s="303"/>
      <c r="S98" s="289">
        <v>5.4</v>
      </c>
      <c r="T98" s="303">
        <v>42208</v>
      </c>
      <c r="U98" s="302"/>
      <c r="V98" s="303"/>
      <c r="W98" s="302"/>
      <c r="X98" s="303"/>
      <c r="Y98" s="302">
        <v>20.39</v>
      </c>
      <c r="Z98" s="303">
        <v>42208</v>
      </c>
      <c r="AA98">
        <v>14.4</v>
      </c>
      <c r="AB98" s="303"/>
      <c r="AC98" s="302"/>
      <c r="AD98" s="303"/>
      <c r="AE98" s="302"/>
      <c r="AF98" s="303"/>
      <c r="AG98">
        <v>77258.522727272721</v>
      </c>
      <c r="AH98" s="521">
        <f>(AK98*10000)/AM98</f>
        <v>77258.522727272721</v>
      </c>
      <c r="AI98" s="302"/>
      <c r="AJ98" s="303"/>
      <c r="AK98">
        <v>33.993749999999999</v>
      </c>
      <c r="AL98" s="521"/>
      <c r="AM98">
        <v>4.4000000000000004</v>
      </c>
      <c r="AN98" s="303">
        <v>42244</v>
      </c>
      <c r="AO98">
        <v>140</v>
      </c>
      <c r="AP98" s="303">
        <v>42170</v>
      </c>
      <c r="AQ98" s="302"/>
      <c r="AR98" s="303"/>
      <c r="AS98" s="302"/>
      <c r="AT98" s="303"/>
      <c r="AU98">
        <v>103</v>
      </c>
      <c r="AV98" s="303"/>
      <c r="AW98" s="302"/>
      <c r="AX98" s="302"/>
      <c r="AY98" s="302"/>
      <c r="AZ98" s="303"/>
      <c r="BA98" s="302"/>
      <c r="BB98" s="302"/>
      <c r="BC98" s="302"/>
      <c r="BD98" s="302"/>
      <c r="BE98" s="302"/>
      <c r="BF98" s="302"/>
      <c r="BG98" s="302"/>
      <c r="BH98" s="302"/>
      <c r="BI98" s="302"/>
      <c r="BJ98" s="302"/>
      <c r="BM98">
        <v>-4.2</v>
      </c>
      <c r="BS98">
        <v>66</v>
      </c>
      <c r="BY98">
        <v>53.5</v>
      </c>
      <c r="CA98">
        <v>14.4</v>
      </c>
      <c r="CC98">
        <v>15.3</v>
      </c>
      <c r="CI98">
        <v>7.5</v>
      </c>
      <c r="CO98" t="s">
        <v>8698</v>
      </c>
      <c r="CR98">
        <v>2</v>
      </c>
      <c r="CT98" s="304" t="s">
        <v>11678</v>
      </c>
    </row>
    <row r="99" spans="1:98" s="304" customFormat="1">
      <c r="A99" s="304" t="s">
        <v>8506</v>
      </c>
      <c r="B99" s="463">
        <v>6</v>
      </c>
      <c r="C99" s="296" t="s">
        <v>7615</v>
      </c>
      <c r="D99" s="296" t="s">
        <v>7455</v>
      </c>
      <c r="E99" s="296" t="s">
        <v>7615</v>
      </c>
      <c r="F99" s="296"/>
      <c r="G99" s="296" t="s">
        <v>8506</v>
      </c>
      <c r="H99" s="297" t="s">
        <v>8697</v>
      </c>
      <c r="I99" s="297">
        <v>1</v>
      </c>
      <c r="J99" s="297">
        <v>107</v>
      </c>
      <c r="K99" s="299"/>
      <c r="L99" s="299"/>
      <c r="M99" s="299">
        <v>15</v>
      </c>
      <c r="N99" s="299">
        <v>1</v>
      </c>
      <c r="O99" s="300">
        <v>112</v>
      </c>
      <c r="P99" s="301">
        <v>42090</v>
      </c>
      <c r="Q99" s="302"/>
      <c r="R99" s="303"/>
      <c r="S99" s="289">
        <v>2.5499999999999998</v>
      </c>
      <c r="T99" s="303">
        <v>42208</v>
      </c>
      <c r="U99" s="302"/>
      <c r="V99" s="303"/>
      <c r="W99" s="302"/>
      <c r="X99" s="303"/>
      <c r="Y99" s="302">
        <v>9.27</v>
      </c>
      <c r="Z99" s="303">
        <v>42208</v>
      </c>
      <c r="AA99">
        <v>14.4</v>
      </c>
      <c r="AB99" s="303"/>
      <c r="AC99" s="302"/>
      <c r="AD99" s="303"/>
      <c r="AE99" s="302"/>
      <c r="AF99" s="303"/>
      <c r="AG99">
        <v>32689.583333333314</v>
      </c>
      <c r="AH99" s="521">
        <f>(AK99*10000)/AM99</f>
        <v>32689.583333333314</v>
      </c>
      <c r="AI99" s="302"/>
      <c r="AJ99" s="303"/>
      <c r="AK99">
        <v>16.017895833333327</v>
      </c>
      <c r="AL99" s="521"/>
      <c r="AM99">
        <v>4.9000000000000004</v>
      </c>
      <c r="AN99" s="303">
        <v>42244</v>
      </c>
      <c r="AO99">
        <v>145</v>
      </c>
      <c r="AP99" s="303">
        <v>42170</v>
      </c>
      <c r="AQ99" s="302"/>
      <c r="AR99" s="303"/>
      <c r="AS99" s="302"/>
      <c r="AT99" s="303"/>
      <c r="AU99">
        <v>112</v>
      </c>
      <c r="AV99" s="303"/>
      <c r="AW99" s="302"/>
      <c r="AX99" s="302"/>
      <c r="AY99" s="302"/>
      <c r="AZ99" s="303"/>
      <c r="BA99" s="302"/>
      <c r="BB99" s="302"/>
      <c r="BC99" s="302"/>
      <c r="BD99" s="302"/>
      <c r="BE99" s="302"/>
      <c r="BF99" s="302"/>
      <c r="BG99" s="302"/>
      <c r="BH99" s="302"/>
      <c r="BI99" s="302"/>
      <c r="BJ99" s="302"/>
      <c r="BM99">
        <v>36.9</v>
      </c>
      <c r="BS99">
        <v>19.5</v>
      </c>
      <c r="BY99">
        <v>51.6</v>
      </c>
      <c r="CA99">
        <v>17.2</v>
      </c>
      <c r="CC99">
        <v>58.3</v>
      </c>
      <c r="CI99">
        <v>7.7</v>
      </c>
      <c r="CO99" t="s">
        <v>8698</v>
      </c>
      <c r="CR99">
        <v>4</v>
      </c>
      <c r="CT99" s="304" t="s">
        <v>11678</v>
      </c>
    </row>
    <row r="100" spans="1:98" s="304" customFormat="1">
      <c r="A100" s="304" t="s">
        <v>8506</v>
      </c>
      <c r="B100" s="463">
        <v>27</v>
      </c>
      <c r="C100" s="296" t="s">
        <v>7639</v>
      </c>
      <c r="D100" s="296" t="s">
        <v>7815</v>
      </c>
      <c r="E100" s="296" t="s">
        <v>7639</v>
      </c>
      <c r="F100" s="296"/>
      <c r="G100" s="296" t="s">
        <v>8506</v>
      </c>
      <c r="H100" s="297" t="s">
        <v>8696</v>
      </c>
      <c r="I100" s="297">
        <v>2</v>
      </c>
      <c r="J100" s="297">
        <v>267</v>
      </c>
      <c r="K100" s="299"/>
      <c r="L100" s="299"/>
      <c r="M100" s="299">
        <v>15</v>
      </c>
      <c r="N100" s="299">
        <v>8</v>
      </c>
      <c r="O100" s="300">
        <v>48</v>
      </c>
      <c r="P100" s="301">
        <v>42090</v>
      </c>
      <c r="Q100" s="302"/>
      <c r="R100" s="303"/>
      <c r="S100" s="289">
        <v>5.95</v>
      </c>
      <c r="T100" s="303">
        <v>42208</v>
      </c>
      <c r="U100" s="302"/>
      <c r="V100" s="303"/>
      <c r="W100" s="302"/>
      <c r="X100" s="303"/>
      <c r="Y100" s="302">
        <v>20.87</v>
      </c>
      <c r="Z100" s="303">
        <v>42208</v>
      </c>
      <c r="AA100">
        <v>14.4</v>
      </c>
      <c r="AB100" s="303"/>
      <c r="AC100" s="302"/>
      <c r="AD100" s="303"/>
      <c r="AE100" s="302"/>
      <c r="AF100" s="303"/>
      <c r="AG100">
        <v>83055.756172839494</v>
      </c>
      <c r="AH100" s="521">
        <f>(AK100*10000)/AM100</f>
        <v>83055.756172839494</v>
      </c>
      <c r="AI100" s="302"/>
      <c r="AJ100" s="303"/>
      <c r="AK100">
        <v>37.375090277777772</v>
      </c>
      <c r="AL100" s="521"/>
      <c r="AM100">
        <v>4.5</v>
      </c>
      <c r="AN100" s="303">
        <v>42244</v>
      </c>
      <c r="AO100">
        <v>115</v>
      </c>
      <c r="AP100" s="303">
        <v>42170</v>
      </c>
      <c r="AQ100" s="302"/>
      <c r="AR100" s="303"/>
      <c r="AS100" s="302"/>
      <c r="AT100" s="303"/>
      <c r="AU100">
        <v>105</v>
      </c>
      <c r="AV100" s="303"/>
      <c r="AW100" s="302"/>
      <c r="AX100" s="302"/>
      <c r="AY100" s="302"/>
      <c r="AZ100" s="303"/>
      <c r="BA100" s="302"/>
      <c r="BB100" s="302"/>
      <c r="BC100" s="302"/>
      <c r="BD100" s="302"/>
      <c r="BE100" s="302"/>
      <c r="BF100" s="302"/>
      <c r="BG100" s="302"/>
      <c r="BH100" s="302"/>
      <c r="BI100" s="302"/>
      <c r="BJ100" s="302"/>
      <c r="BM100">
        <v>7.7</v>
      </c>
      <c r="BS100">
        <v>51</v>
      </c>
      <c r="BY100">
        <v>49.8</v>
      </c>
      <c r="CA100">
        <v>19.100000000000001</v>
      </c>
      <c r="CC100">
        <v>51.8</v>
      </c>
      <c r="CI100">
        <v>7.7</v>
      </c>
      <c r="CO100" t="s">
        <v>8698</v>
      </c>
      <c r="CR100">
        <v>1</v>
      </c>
      <c r="CT100" s="304" t="s">
        <v>11678</v>
      </c>
    </row>
    <row r="101" spans="1:98" s="304" customFormat="1">
      <c r="A101" s="304" t="s">
        <v>8506</v>
      </c>
      <c r="B101" s="463">
        <v>35</v>
      </c>
      <c r="C101" s="296" t="s">
        <v>7650</v>
      </c>
      <c r="D101" s="296" t="s">
        <v>260</v>
      </c>
      <c r="E101" s="296" t="s">
        <v>7650</v>
      </c>
      <c r="F101" s="296"/>
      <c r="G101" s="296" t="s">
        <v>8506</v>
      </c>
      <c r="H101" s="297" t="s">
        <v>8697</v>
      </c>
      <c r="I101" s="297">
        <v>1</v>
      </c>
      <c r="J101" s="297">
        <v>1307</v>
      </c>
      <c r="K101" s="299"/>
      <c r="L101" s="299"/>
      <c r="M101" s="299">
        <v>15</v>
      </c>
      <c r="N101" s="299">
        <v>6</v>
      </c>
      <c r="O101" s="300">
        <v>26</v>
      </c>
      <c r="P101" s="301">
        <v>42090</v>
      </c>
      <c r="Q101" s="302"/>
      <c r="R101" s="303"/>
      <c r="S101" s="289">
        <v>5.55</v>
      </c>
      <c r="T101" s="303">
        <v>42208</v>
      </c>
      <c r="U101" s="302"/>
      <c r="V101" s="303"/>
      <c r="W101" s="302"/>
      <c r="X101" s="303"/>
      <c r="Y101" s="302">
        <v>19.66</v>
      </c>
      <c r="Z101" s="303">
        <v>42208</v>
      </c>
      <c r="AA101">
        <v>14.4</v>
      </c>
      <c r="AB101" s="303"/>
      <c r="AC101" s="302"/>
      <c r="AD101" s="303"/>
      <c r="AE101" s="302"/>
      <c r="AF101" s="303"/>
      <c r="AG101">
        <v>75787.998188405778</v>
      </c>
      <c r="AH101" s="521">
        <f>(AK101*10000)/AM101</f>
        <v>75787.998188405778</v>
      </c>
      <c r="AI101" s="302"/>
      <c r="AJ101" s="303"/>
      <c r="AK101">
        <v>34.86247916666666</v>
      </c>
      <c r="AL101" s="521"/>
      <c r="AM101">
        <v>4.5999999999999996</v>
      </c>
      <c r="AN101" s="303">
        <v>42244</v>
      </c>
      <c r="AO101">
        <v>140</v>
      </c>
      <c r="AP101" s="303">
        <v>42170</v>
      </c>
      <c r="AQ101" s="302"/>
      <c r="AR101" s="303"/>
      <c r="AS101" s="302"/>
      <c r="AT101" s="303"/>
      <c r="AU101">
        <v>104</v>
      </c>
      <c r="AV101" s="303"/>
      <c r="AW101" s="302"/>
      <c r="AX101" s="302"/>
      <c r="AY101" s="302"/>
      <c r="AZ101" s="303"/>
      <c r="BA101" s="302"/>
      <c r="BB101" s="302"/>
      <c r="BC101" s="302"/>
      <c r="BD101" s="302"/>
      <c r="BE101" s="302"/>
      <c r="BF101" s="302"/>
      <c r="BG101" s="302"/>
      <c r="BH101" s="302"/>
      <c r="BI101" s="302"/>
      <c r="BJ101" s="302"/>
      <c r="BM101">
        <v>-0.5</v>
      </c>
      <c r="BS101">
        <v>57.8</v>
      </c>
      <c r="BY101">
        <v>50.3</v>
      </c>
      <c r="CA101">
        <v>20.6</v>
      </c>
      <c r="CC101">
        <v>55.9</v>
      </c>
      <c r="CI101">
        <v>7.7</v>
      </c>
      <c r="CO101" t="s">
        <v>8698</v>
      </c>
      <c r="CR101">
        <v>1</v>
      </c>
      <c r="CT101" s="304" t="s">
        <v>11678</v>
      </c>
    </row>
    <row r="102" spans="1:98" s="304" customFormat="1">
      <c r="A102" s="304" t="s">
        <v>8506</v>
      </c>
      <c r="B102" s="463">
        <v>47</v>
      </c>
      <c r="C102" s="296" t="s">
        <v>7664</v>
      </c>
      <c r="D102" s="296" t="s">
        <v>7497</v>
      </c>
      <c r="E102" s="296" t="s">
        <v>7664</v>
      </c>
      <c r="F102" s="296"/>
      <c r="G102" s="296" t="s">
        <v>8506</v>
      </c>
      <c r="H102" s="297" t="s">
        <v>8696</v>
      </c>
      <c r="I102" s="297">
        <v>2</v>
      </c>
      <c r="J102" s="297">
        <v>2187</v>
      </c>
      <c r="K102" s="299"/>
      <c r="L102" s="299"/>
      <c r="M102" s="299">
        <v>15</v>
      </c>
      <c r="N102" s="299">
        <v>10</v>
      </c>
      <c r="O102" s="300">
        <v>44</v>
      </c>
      <c r="P102" s="301">
        <v>42090</v>
      </c>
      <c r="Q102" s="302"/>
      <c r="R102" s="303"/>
      <c r="S102" s="289">
        <v>5.6</v>
      </c>
      <c r="T102" s="303">
        <v>42208</v>
      </c>
      <c r="U102" s="302"/>
      <c r="V102" s="303"/>
      <c r="W102" s="302"/>
      <c r="X102" s="303"/>
      <c r="Y102" s="302">
        <v>19.940000000000001</v>
      </c>
      <c r="Z102" s="303">
        <v>42208</v>
      </c>
      <c r="AA102">
        <v>14.4</v>
      </c>
      <c r="AB102" s="303"/>
      <c r="AC102" s="302"/>
      <c r="AD102" s="303"/>
      <c r="AE102" s="302"/>
      <c r="AF102" s="303"/>
      <c r="AG102">
        <v>67427.350427350437</v>
      </c>
      <c r="AH102" s="521">
        <f>(AK102*10000)/AM102</f>
        <v>67427.350427350437</v>
      </c>
      <c r="AI102" s="302"/>
      <c r="AJ102" s="303"/>
      <c r="AK102">
        <v>35.062222222222225</v>
      </c>
      <c r="AL102" s="521"/>
      <c r="AM102">
        <v>5.2</v>
      </c>
      <c r="AN102" s="303">
        <v>42244</v>
      </c>
      <c r="AO102">
        <v>125</v>
      </c>
      <c r="AP102" s="303">
        <v>42170</v>
      </c>
      <c r="AQ102" s="302"/>
      <c r="AR102" s="303"/>
      <c r="AS102" s="302"/>
      <c r="AT102" s="303"/>
      <c r="AU102">
        <v>110</v>
      </c>
      <c r="AV102" s="303"/>
      <c r="AW102" s="302"/>
      <c r="AX102" s="302"/>
      <c r="AY102" s="302"/>
      <c r="AZ102" s="303"/>
      <c r="BA102" s="302"/>
      <c r="BB102" s="302"/>
      <c r="BC102" s="302"/>
      <c r="BD102" s="302"/>
      <c r="BE102" s="302"/>
      <c r="BF102" s="302"/>
      <c r="BG102" s="302"/>
      <c r="BH102" s="302"/>
      <c r="BI102" s="302"/>
      <c r="BJ102" s="302"/>
      <c r="BM102">
        <v>-0.9</v>
      </c>
      <c r="BS102">
        <v>61.7</v>
      </c>
      <c r="BY102">
        <v>50.7</v>
      </c>
      <c r="CA102">
        <v>18.8</v>
      </c>
      <c r="CC102">
        <v>26.4</v>
      </c>
      <c r="CI102">
        <v>8</v>
      </c>
      <c r="CO102" t="s">
        <v>8698</v>
      </c>
      <c r="CR102">
        <v>1</v>
      </c>
      <c r="CT102" s="304" t="s">
        <v>11678</v>
      </c>
    </row>
    <row r="103" spans="1:98" s="304" customFormat="1">
      <c r="A103" s="304" t="s">
        <v>8506</v>
      </c>
      <c r="B103" s="463">
        <v>106</v>
      </c>
      <c r="C103" s="296" t="s">
        <v>7724</v>
      </c>
      <c r="D103" s="296" t="s">
        <v>7818</v>
      </c>
      <c r="E103" s="296" t="s">
        <v>7724</v>
      </c>
      <c r="F103" s="296"/>
      <c r="G103" s="296" t="s">
        <v>8506</v>
      </c>
      <c r="H103" s="297" t="s">
        <v>8696</v>
      </c>
      <c r="I103" s="297">
        <v>2</v>
      </c>
      <c r="J103" s="297">
        <v>207</v>
      </c>
      <c r="K103" s="299"/>
      <c r="L103" s="299"/>
      <c r="M103" s="299">
        <v>15</v>
      </c>
      <c r="N103" s="299">
        <v>7</v>
      </c>
      <c r="O103" s="300">
        <v>45</v>
      </c>
      <c r="P103" s="301">
        <v>42090</v>
      </c>
      <c r="Q103" s="302"/>
      <c r="R103" s="303"/>
      <c r="S103" s="289">
        <v>6.75</v>
      </c>
      <c r="T103" s="303">
        <v>42208</v>
      </c>
      <c r="U103" s="302"/>
      <c r="V103" s="303"/>
      <c r="W103" s="302"/>
      <c r="X103" s="303"/>
      <c r="Y103" s="302">
        <v>24.73</v>
      </c>
      <c r="Z103" s="303">
        <v>42208</v>
      </c>
      <c r="AA103">
        <v>14.4</v>
      </c>
      <c r="AB103" s="303"/>
      <c r="AC103" s="302"/>
      <c r="AD103" s="303"/>
      <c r="AE103" s="302"/>
      <c r="AF103" s="303"/>
      <c r="AG103">
        <v>90408.909574468082</v>
      </c>
      <c r="AH103" s="521">
        <f>(AK103*10000)/AM103</f>
        <v>90408.909574468082</v>
      </c>
      <c r="AI103" s="302"/>
      <c r="AJ103" s="303"/>
      <c r="AK103">
        <v>42.4921875</v>
      </c>
      <c r="AL103" s="521"/>
      <c r="AM103">
        <v>4.7</v>
      </c>
      <c r="AN103" s="303">
        <v>42244</v>
      </c>
      <c r="AO103">
        <v>115</v>
      </c>
      <c r="AP103" s="303">
        <v>42170</v>
      </c>
      <c r="AQ103" s="302"/>
      <c r="AR103" s="303"/>
      <c r="AS103" s="302"/>
      <c r="AT103" s="303"/>
      <c r="AU103">
        <v>106</v>
      </c>
      <c r="AV103" s="303"/>
      <c r="AW103" s="302"/>
      <c r="AX103" s="302"/>
      <c r="AY103" s="302"/>
      <c r="AZ103" s="303"/>
      <c r="BA103" s="302"/>
      <c r="BB103" s="302"/>
      <c r="BC103" s="302"/>
      <c r="BD103" s="302"/>
      <c r="BE103" s="302"/>
      <c r="BF103" s="302"/>
      <c r="BG103" s="302"/>
      <c r="BH103" s="302"/>
      <c r="BI103" s="302"/>
      <c r="BJ103" s="302"/>
      <c r="BM103">
        <v>-3.7</v>
      </c>
      <c r="BS103">
        <v>63.9</v>
      </c>
      <c r="BY103">
        <v>51.9</v>
      </c>
      <c r="CA103">
        <v>16.7</v>
      </c>
      <c r="CC103">
        <v>18.8</v>
      </c>
      <c r="CI103">
        <v>7.5</v>
      </c>
      <c r="CO103" t="s">
        <v>8698</v>
      </c>
      <c r="CR103">
        <v>1</v>
      </c>
      <c r="CT103" s="304" t="s">
        <v>11678</v>
      </c>
    </row>
    <row r="104" spans="1:98" s="304" customFormat="1">
      <c r="A104" s="304" t="s">
        <v>8506</v>
      </c>
      <c r="B104" s="463">
        <v>132</v>
      </c>
      <c r="C104" s="296" t="s">
        <v>7760</v>
      </c>
      <c r="D104" s="296" t="s">
        <v>7835</v>
      </c>
      <c r="E104" s="296" t="s">
        <v>7760</v>
      </c>
      <c r="F104" s="296"/>
      <c r="G104" s="296" t="s">
        <v>8506</v>
      </c>
      <c r="H104" s="297" t="s">
        <v>8696</v>
      </c>
      <c r="I104" s="297">
        <v>2</v>
      </c>
      <c r="J104" s="297">
        <v>2127</v>
      </c>
      <c r="K104" s="299"/>
      <c r="L104" s="299"/>
      <c r="M104" s="299">
        <v>15</v>
      </c>
      <c r="N104" s="299">
        <v>9</v>
      </c>
      <c r="O104" s="300">
        <v>62</v>
      </c>
      <c r="P104" s="301">
        <v>42090</v>
      </c>
      <c r="Q104" s="302"/>
      <c r="R104" s="303"/>
      <c r="S104" s="289">
        <v>6</v>
      </c>
      <c r="T104" s="303">
        <v>42208</v>
      </c>
      <c r="U104" s="302"/>
      <c r="V104" s="303"/>
      <c r="W104" s="302"/>
      <c r="X104" s="303"/>
      <c r="Y104" s="302">
        <v>21.55</v>
      </c>
      <c r="Z104" s="303">
        <v>42208</v>
      </c>
      <c r="AA104">
        <v>14.4</v>
      </c>
      <c r="AB104" s="303"/>
      <c r="AC104" s="302"/>
      <c r="AD104" s="303"/>
      <c r="AE104" s="302"/>
      <c r="AF104" s="303"/>
      <c r="AG104">
        <v>73900.326797385613</v>
      </c>
      <c r="AH104" s="521">
        <f>(AK104*10000)/AM104</f>
        <v>73900.326797385613</v>
      </c>
      <c r="AI104" s="302"/>
      <c r="AJ104" s="303"/>
      <c r="AK104">
        <v>37.689166666666658</v>
      </c>
      <c r="AL104" s="521"/>
      <c r="AM104">
        <v>5.0999999999999996</v>
      </c>
      <c r="AN104" s="303">
        <v>42244</v>
      </c>
      <c r="AO104">
        <v>125</v>
      </c>
      <c r="AP104" s="303">
        <v>42170</v>
      </c>
      <c r="AQ104" s="302"/>
      <c r="AR104" s="303"/>
      <c r="AS104" s="302"/>
      <c r="AT104" s="303"/>
      <c r="AU104">
        <v>102</v>
      </c>
      <c r="AV104" s="303"/>
      <c r="AW104" s="302"/>
      <c r="AX104" s="302"/>
      <c r="AY104" s="302"/>
      <c r="AZ104" s="303"/>
      <c r="BA104" s="302"/>
      <c r="BB104" s="302"/>
      <c r="BC104" s="302"/>
      <c r="BD104" s="302"/>
      <c r="BE104" s="302"/>
      <c r="BF104" s="302"/>
      <c r="BG104" s="302"/>
      <c r="BH104" s="302"/>
      <c r="BI104" s="302"/>
      <c r="BJ104" s="302"/>
      <c r="BM104">
        <v>-0.5</v>
      </c>
      <c r="BS104">
        <v>62.9</v>
      </c>
      <c r="BY104">
        <v>51</v>
      </c>
      <c r="CA104">
        <v>19.399999999999999</v>
      </c>
      <c r="CC104">
        <v>11.7</v>
      </c>
      <c r="CI104">
        <v>7.7</v>
      </c>
      <c r="CO104" t="s">
        <v>8698</v>
      </c>
      <c r="CR104">
        <v>2</v>
      </c>
      <c r="CT104" s="304" t="s">
        <v>11678</v>
      </c>
    </row>
    <row r="105" spans="1:98" s="304" customFormat="1">
      <c r="A105" s="304" t="s">
        <v>8506</v>
      </c>
      <c r="B105" s="463">
        <v>34</v>
      </c>
      <c r="C105" s="296" t="s">
        <v>7648</v>
      </c>
      <c r="D105" s="296" t="s">
        <v>7483</v>
      </c>
      <c r="E105" s="296" t="s">
        <v>7648</v>
      </c>
      <c r="F105" s="296"/>
      <c r="G105" s="296" t="s">
        <v>8506</v>
      </c>
      <c r="H105" s="297" t="s">
        <v>8696</v>
      </c>
      <c r="I105" s="297">
        <v>2</v>
      </c>
      <c r="J105" s="297">
        <v>2308</v>
      </c>
      <c r="K105" s="299"/>
      <c r="L105" s="299"/>
      <c r="M105" s="299">
        <v>16</v>
      </c>
      <c r="N105" s="299">
        <v>12</v>
      </c>
      <c r="O105" s="300">
        <v>26</v>
      </c>
      <c r="P105" s="301">
        <v>42090</v>
      </c>
      <c r="Q105" s="302"/>
      <c r="R105" s="303"/>
      <c r="S105" s="289">
        <v>4.8499999999999996</v>
      </c>
      <c r="T105" s="303">
        <v>42208</v>
      </c>
      <c r="U105" s="302"/>
      <c r="V105" s="303"/>
      <c r="W105" s="302"/>
      <c r="X105" s="303"/>
      <c r="Y105" s="302">
        <v>15.63</v>
      </c>
      <c r="Z105" s="303">
        <v>42208</v>
      </c>
      <c r="AA105">
        <v>14.4</v>
      </c>
      <c r="AB105" s="303"/>
      <c r="AC105" s="302"/>
      <c r="AD105" s="303"/>
      <c r="AE105" s="302"/>
      <c r="AF105" s="303"/>
      <c r="AG105">
        <v>59800.816993464046</v>
      </c>
      <c r="AH105" s="521">
        <f>(AK105*10000)/AM105</f>
        <v>59800.816993464046</v>
      </c>
      <c r="AI105" s="302"/>
      <c r="AJ105" s="303"/>
      <c r="AK105">
        <v>30.49841666666666</v>
      </c>
      <c r="AL105" s="521"/>
      <c r="AM105">
        <v>5.0999999999999996</v>
      </c>
      <c r="AN105" s="303">
        <v>42244</v>
      </c>
      <c r="AO105">
        <v>130</v>
      </c>
      <c r="AP105" s="303">
        <v>42170</v>
      </c>
      <c r="AQ105" s="302"/>
      <c r="AR105" s="303"/>
      <c r="AS105" s="302"/>
      <c r="AT105" s="303"/>
      <c r="AU105">
        <v>108</v>
      </c>
      <c r="AV105" s="303"/>
      <c r="AW105" s="302"/>
      <c r="AX105" s="302"/>
      <c r="AY105" s="302"/>
      <c r="AZ105" s="303"/>
      <c r="BA105" s="302"/>
      <c r="BB105" s="302"/>
      <c r="BC105" s="302"/>
      <c r="BD105" s="302"/>
      <c r="BE105" s="302"/>
      <c r="BF105" s="302"/>
      <c r="BG105" s="302"/>
      <c r="BH105" s="302"/>
      <c r="BI105" s="302"/>
      <c r="BJ105" s="302"/>
      <c r="BM105">
        <v>6</v>
      </c>
      <c r="BS105">
        <v>53.5</v>
      </c>
      <c r="BY105">
        <v>45.7</v>
      </c>
      <c r="CA105">
        <v>22.9</v>
      </c>
      <c r="CC105">
        <v>73.2</v>
      </c>
      <c r="CI105">
        <v>7.6</v>
      </c>
      <c r="CO105" t="s">
        <v>8698</v>
      </c>
      <c r="CR105">
        <v>4</v>
      </c>
      <c r="CT105" s="304" t="s">
        <v>11678</v>
      </c>
    </row>
    <row r="106" spans="1:98" s="304" customFormat="1">
      <c r="A106" s="304" t="s">
        <v>8506</v>
      </c>
      <c r="B106" s="463">
        <v>36</v>
      </c>
      <c r="C106" s="296" t="s">
        <v>7652</v>
      </c>
      <c r="D106" s="296" t="s">
        <v>7486</v>
      </c>
      <c r="E106" s="296" t="s">
        <v>7652</v>
      </c>
      <c r="F106" s="296"/>
      <c r="G106" s="296" t="s">
        <v>8506</v>
      </c>
      <c r="H106" s="297" t="s">
        <v>8697</v>
      </c>
      <c r="I106" s="297">
        <v>1</v>
      </c>
      <c r="J106" s="297">
        <v>1248</v>
      </c>
      <c r="K106" s="299"/>
      <c r="L106" s="299"/>
      <c r="M106" s="299">
        <v>16</v>
      </c>
      <c r="N106" s="299">
        <v>5</v>
      </c>
      <c r="O106" s="300">
        <v>24</v>
      </c>
      <c r="P106" s="301">
        <v>42090</v>
      </c>
      <c r="Q106" s="302"/>
      <c r="R106" s="303"/>
      <c r="S106" s="289">
        <v>4.4000000000000004</v>
      </c>
      <c r="T106" s="303">
        <v>42208</v>
      </c>
      <c r="U106" s="302"/>
      <c r="V106" s="303"/>
      <c r="W106" s="302"/>
      <c r="X106" s="303"/>
      <c r="Y106" s="302">
        <v>15.55</v>
      </c>
      <c r="Z106" s="303">
        <v>42208</v>
      </c>
      <c r="AA106">
        <v>14.4</v>
      </c>
      <c r="AB106" s="303"/>
      <c r="AC106" s="302"/>
      <c r="AD106" s="303"/>
      <c r="AE106" s="302"/>
      <c r="AF106" s="303"/>
      <c r="AG106">
        <v>50524.444444444445</v>
      </c>
      <c r="AH106" s="521">
        <f>(AK106*10000)/AM106</f>
        <v>50524.444444444445</v>
      </c>
      <c r="AI106" s="302"/>
      <c r="AJ106" s="303"/>
      <c r="AK106">
        <v>27.788444444444444</v>
      </c>
      <c r="AL106" s="521"/>
      <c r="AM106">
        <v>5.5</v>
      </c>
      <c r="AN106" s="303">
        <v>42244</v>
      </c>
      <c r="AO106">
        <v>140</v>
      </c>
      <c r="AP106" s="303">
        <v>42170</v>
      </c>
      <c r="AQ106" s="302"/>
      <c r="AR106" s="303"/>
      <c r="AS106" s="302"/>
      <c r="AT106" s="303"/>
      <c r="AU106">
        <v>107</v>
      </c>
      <c r="AV106" s="303"/>
      <c r="AW106" s="302"/>
      <c r="AX106" s="302"/>
      <c r="AY106" s="302"/>
      <c r="AZ106" s="303"/>
      <c r="BA106" s="302"/>
      <c r="BB106" s="302"/>
      <c r="BC106" s="302"/>
      <c r="BD106" s="302"/>
      <c r="BE106" s="302"/>
      <c r="BF106" s="302"/>
      <c r="BG106" s="302"/>
      <c r="BH106" s="302"/>
      <c r="BI106" s="302"/>
      <c r="BJ106" s="302"/>
      <c r="BM106">
        <v>4.5</v>
      </c>
      <c r="BS106">
        <v>56.9</v>
      </c>
      <c r="BY106">
        <v>49.9</v>
      </c>
      <c r="CA106">
        <v>18.100000000000001</v>
      </c>
      <c r="CC106">
        <v>57</v>
      </c>
      <c r="CI106">
        <v>7.2</v>
      </c>
      <c r="CO106" t="s">
        <v>8698</v>
      </c>
      <c r="CR106">
        <v>1</v>
      </c>
      <c r="CT106" s="304" t="s">
        <v>11678</v>
      </c>
    </row>
    <row r="107" spans="1:98" s="304" customFormat="1">
      <c r="A107" s="304" t="s">
        <v>8506</v>
      </c>
      <c r="B107" s="463">
        <v>61</v>
      </c>
      <c r="C107" s="296" t="s">
        <v>7679</v>
      </c>
      <c r="D107" s="296" t="s">
        <v>7509</v>
      </c>
      <c r="E107" s="296" t="s">
        <v>7679</v>
      </c>
      <c r="F107" s="296"/>
      <c r="G107" s="296" t="s">
        <v>8506</v>
      </c>
      <c r="H107" s="297" t="s">
        <v>8697</v>
      </c>
      <c r="I107" s="297">
        <v>1</v>
      </c>
      <c r="J107" s="308">
        <v>1308</v>
      </c>
      <c r="K107" s="299"/>
      <c r="L107" s="299"/>
      <c r="M107" s="299">
        <v>16</v>
      </c>
      <c r="N107" s="299">
        <v>6</v>
      </c>
      <c r="O107" s="300">
        <v>46</v>
      </c>
      <c r="P107" s="301">
        <v>42090</v>
      </c>
      <c r="Q107" s="306"/>
      <c r="R107" s="303"/>
      <c r="S107" s="289">
        <v>5.7</v>
      </c>
      <c r="T107" s="303">
        <v>42208</v>
      </c>
      <c r="U107" s="307"/>
      <c r="V107" s="303"/>
      <c r="W107" s="306"/>
      <c r="X107" s="303"/>
      <c r="Y107" s="306">
        <v>20.85</v>
      </c>
      <c r="Z107" s="303">
        <v>42208</v>
      </c>
      <c r="AA107">
        <v>14.4</v>
      </c>
      <c r="AB107" s="303"/>
      <c r="AC107" s="306"/>
      <c r="AD107" s="303"/>
      <c r="AE107" s="302"/>
      <c r="AF107" s="303"/>
      <c r="AG107">
        <v>75932.624113475176</v>
      </c>
      <c r="AH107" s="521">
        <f>(AK107*10000)/AM107</f>
        <v>75932.624113475176</v>
      </c>
      <c r="AI107" s="302"/>
      <c r="AJ107" s="303"/>
      <c r="AK107">
        <v>35.688333333333333</v>
      </c>
      <c r="AL107" s="521"/>
      <c r="AM107">
        <v>4.7</v>
      </c>
      <c r="AN107" s="303">
        <v>42244</v>
      </c>
      <c r="AO107">
        <v>150</v>
      </c>
      <c r="AP107" s="303">
        <v>42170</v>
      </c>
      <c r="AQ107" s="306"/>
      <c r="AR107" s="303"/>
      <c r="AS107" s="306"/>
      <c r="AT107" s="303"/>
      <c r="AU107">
        <v>108</v>
      </c>
      <c r="AV107" s="303"/>
      <c r="AW107" s="302"/>
      <c r="AX107" s="302"/>
      <c r="AY107" s="302"/>
      <c r="AZ107" s="303"/>
      <c r="BA107" s="302"/>
      <c r="BB107" s="302"/>
      <c r="BC107" s="302"/>
      <c r="BD107" s="302"/>
      <c r="BE107" s="302"/>
      <c r="BF107" s="302"/>
      <c r="BG107" s="302"/>
      <c r="BH107" s="302"/>
      <c r="BI107" s="302"/>
      <c r="BJ107" s="302"/>
      <c r="BM107">
        <v>-2.7</v>
      </c>
      <c r="BS107">
        <v>64.3</v>
      </c>
      <c r="BY107">
        <v>52.1</v>
      </c>
      <c r="CA107">
        <v>17.3</v>
      </c>
      <c r="CC107">
        <v>16.100000000000001</v>
      </c>
      <c r="CI107">
        <v>8</v>
      </c>
      <c r="CO107" t="s">
        <v>8698</v>
      </c>
      <c r="CR107">
        <v>2</v>
      </c>
      <c r="CT107" s="304" t="s">
        <v>11678</v>
      </c>
    </row>
    <row r="108" spans="1:98" s="304" customFormat="1">
      <c r="A108" s="304" t="s">
        <v>8506</v>
      </c>
      <c r="B108" s="463">
        <v>87</v>
      </c>
      <c r="C108" s="296" t="s">
        <v>7705</v>
      </c>
      <c r="D108" s="296" t="s">
        <v>7534</v>
      </c>
      <c r="E108" s="296" t="s">
        <v>7705</v>
      </c>
      <c r="F108" s="296"/>
      <c r="G108" s="296" t="s">
        <v>8506</v>
      </c>
      <c r="H108" s="297" t="s">
        <v>8696</v>
      </c>
      <c r="I108" s="297">
        <v>2</v>
      </c>
      <c r="J108" s="297">
        <v>2248</v>
      </c>
      <c r="K108" s="299"/>
      <c r="L108" s="299"/>
      <c r="M108" s="299">
        <v>16</v>
      </c>
      <c r="N108" s="299">
        <v>11</v>
      </c>
      <c r="O108" s="300">
        <v>44</v>
      </c>
      <c r="P108" s="301">
        <v>42090</v>
      </c>
      <c r="Q108" s="302"/>
      <c r="R108" s="303"/>
      <c r="S108" s="289">
        <v>3.85</v>
      </c>
      <c r="T108" s="303">
        <v>42208</v>
      </c>
      <c r="U108" s="302"/>
      <c r="V108" s="303"/>
      <c r="W108" s="302"/>
      <c r="X108" s="303"/>
      <c r="Y108" s="302">
        <v>13.21</v>
      </c>
      <c r="Z108" s="303">
        <v>42208</v>
      </c>
      <c r="AA108">
        <v>14.4</v>
      </c>
      <c r="AB108" s="303"/>
      <c r="AC108" s="302"/>
      <c r="AD108" s="303"/>
      <c r="AE108" s="302"/>
      <c r="AF108" s="303"/>
      <c r="AG108">
        <v>50387.286324786328</v>
      </c>
      <c r="AH108" s="521">
        <f>(AK108*10000)/AM108</f>
        <v>50387.286324786328</v>
      </c>
      <c r="AI108" s="302"/>
      <c r="AJ108" s="303"/>
      <c r="AK108">
        <v>26.201388888888889</v>
      </c>
      <c r="AL108" s="521"/>
      <c r="AM108">
        <v>5.2</v>
      </c>
      <c r="AN108" s="303">
        <v>42244</v>
      </c>
      <c r="AO108">
        <v>125</v>
      </c>
      <c r="AP108" s="303">
        <v>42170</v>
      </c>
      <c r="AQ108" s="302"/>
      <c r="AR108" s="303"/>
      <c r="AS108" s="302"/>
      <c r="AT108" s="303"/>
      <c r="AU108">
        <v>112</v>
      </c>
      <c r="AV108" s="303"/>
      <c r="AW108" s="302"/>
      <c r="AX108" s="302"/>
      <c r="AY108" s="302"/>
      <c r="AZ108" s="303"/>
      <c r="BA108" s="302"/>
      <c r="BB108" s="302"/>
      <c r="BC108" s="302"/>
      <c r="BD108" s="302"/>
      <c r="BE108" s="302"/>
      <c r="BF108" s="302"/>
      <c r="BG108" s="302"/>
      <c r="BH108" s="302"/>
      <c r="BI108" s="302"/>
      <c r="BJ108" s="302"/>
      <c r="BM108">
        <v>-0.8</v>
      </c>
      <c r="BS108">
        <v>60.5</v>
      </c>
      <c r="BY108">
        <v>49.4</v>
      </c>
      <c r="CA108">
        <v>19.899999999999999</v>
      </c>
      <c r="CC108">
        <v>22.2</v>
      </c>
      <c r="CI108"/>
      <c r="CO108" t="s">
        <v>8698</v>
      </c>
      <c r="CR108">
        <v>2</v>
      </c>
      <c r="CT108" s="304" t="s">
        <v>11678</v>
      </c>
    </row>
    <row r="109" spans="1:98" s="304" customFormat="1">
      <c r="A109" s="304" t="s">
        <v>8506</v>
      </c>
      <c r="B109" s="463">
        <v>114</v>
      </c>
      <c r="C109" s="296" t="s">
        <v>7733</v>
      </c>
      <c r="D109" s="296" t="s">
        <v>7559</v>
      </c>
      <c r="E109" s="296" t="s">
        <v>7733</v>
      </c>
      <c r="F109" s="296"/>
      <c r="G109" s="296" t="s">
        <v>8506</v>
      </c>
      <c r="H109" s="297" t="s">
        <v>8696</v>
      </c>
      <c r="I109" s="297">
        <v>2</v>
      </c>
      <c r="J109" s="308">
        <v>268</v>
      </c>
      <c r="K109" s="299"/>
      <c r="L109" s="299"/>
      <c r="M109" s="299">
        <v>16</v>
      </c>
      <c r="N109" s="299">
        <v>8</v>
      </c>
      <c r="O109" s="300">
        <v>40</v>
      </c>
      <c r="P109" s="301">
        <v>42090</v>
      </c>
      <c r="Q109" s="306"/>
      <c r="R109" s="303"/>
      <c r="S109" s="289">
        <v>5.2</v>
      </c>
      <c r="T109" s="303">
        <v>42208</v>
      </c>
      <c r="U109" s="307"/>
      <c r="V109" s="303"/>
      <c r="W109" s="306"/>
      <c r="X109" s="303"/>
      <c r="Y109" s="306">
        <v>17.510000000000002</v>
      </c>
      <c r="Z109" s="303">
        <v>42208</v>
      </c>
      <c r="AA109">
        <v>14.4</v>
      </c>
      <c r="AB109" s="303"/>
      <c r="AC109" s="306"/>
      <c r="AD109" s="303"/>
      <c r="AE109" s="302"/>
      <c r="AF109" s="303"/>
      <c r="AG109">
        <v>61496.54088050314</v>
      </c>
      <c r="AH109" s="521">
        <f>(AK109*10000)/AM109</f>
        <v>61496.54088050314</v>
      </c>
      <c r="AI109" s="302"/>
      <c r="AJ109" s="303"/>
      <c r="AK109">
        <v>32.593166666666662</v>
      </c>
      <c r="AL109" s="521"/>
      <c r="AM109">
        <v>5.3</v>
      </c>
      <c r="AN109" s="303">
        <v>42244</v>
      </c>
      <c r="AO109">
        <v>120</v>
      </c>
      <c r="AP109" s="303">
        <v>42170</v>
      </c>
      <c r="AQ109" s="306"/>
      <c r="AR109" s="303"/>
      <c r="AS109" s="306"/>
      <c r="AT109" s="303"/>
      <c r="AU109">
        <v>108</v>
      </c>
      <c r="AV109" s="303"/>
      <c r="AW109" s="302"/>
      <c r="AX109" s="302"/>
      <c r="AY109" s="302"/>
      <c r="AZ109" s="303"/>
      <c r="BA109" s="302"/>
      <c r="BB109" s="302"/>
      <c r="BC109" s="302"/>
      <c r="BD109" s="302"/>
      <c r="BE109" s="302"/>
      <c r="BF109" s="302"/>
      <c r="BG109" s="302"/>
      <c r="BH109" s="302"/>
      <c r="BI109" s="302"/>
      <c r="BJ109" s="302"/>
      <c r="BM109">
        <v>2</v>
      </c>
      <c r="BS109">
        <v>55.5</v>
      </c>
      <c r="BY109">
        <v>47.9</v>
      </c>
      <c r="CA109">
        <v>19.8</v>
      </c>
      <c r="CC109">
        <v>24.2</v>
      </c>
      <c r="CI109">
        <v>7.9</v>
      </c>
      <c r="CO109" t="s">
        <v>8698</v>
      </c>
      <c r="CR109">
        <v>3</v>
      </c>
      <c r="CT109" s="304" t="s">
        <v>11678</v>
      </c>
    </row>
    <row r="110" spans="1:98" s="304" customFormat="1">
      <c r="A110" s="304" t="s">
        <v>8506</v>
      </c>
      <c r="B110" s="463">
        <v>4</v>
      </c>
      <c r="C110" s="296" t="s">
        <v>7611</v>
      </c>
      <c r="D110" s="296" t="s">
        <v>7453</v>
      </c>
      <c r="E110" s="296" t="s">
        <v>7611</v>
      </c>
      <c r="F110" s="296"/>
      <c r="G110" s="296" t="s">
        <v>8506</v>
      </c>
      <c r="H110" s="297" t="s">
        <v>8697</v>
      </c>
      <c r="I110" s="297">
        <v>1</v>
      </c>
      <c r="J110" s="297">
        <v>169</v>
      </c>
      <c r="K110" s="299"/>
      <c r="L110" s="299"/>
      <c r="M110" s="299">
        <v>17</v>
      </c>
      <c r="N110" s="299">
        <v>2</v>
      </c>
      <c r="O110" s="300">
        <v>44</v>
      </c>
      <c r="P110" s="301">
        <v>42090</v>
      </c>
      <c r="Q110" s="302"/>
      <c r="R110" s="303"/>
      <c r="S110" s="289">
        <v>1.95</v>
      </c>
      <c r="T110" s="303">
        <v>42208</v>
      </c>
      <c r="U110" s="302"/>
      <c r="V110" s="303"/>
      <c r="W110" s="302"/>
      <c r="X110" s="303"/>
      <c r="Y110" s="302">
        <v>6.99</v>
      </c>
      <c r="Z110" s="303">
        <v>42208</v>
      </c>
      <c r="AA110">
        <v>14.4</v>
      </c>
      <c r="AB110" s="303"/>
      <c r="AC110" s="302"/>
      <c r="AD110" s="303"/>
      <c r="AE110" s="302"/>
      <c r="AF110" s="303"/>
      <c r="AG110">
        <v>22830.748456790123</v>
      </c>
      <c r="AH110" s="521">
        <f>(AK110*10000)/AM110</f>
        <v>22830.748456790123</v>
      </c>
      <c r="AI110" s="302"/>
      <c r="AJ110" s="303"/>
      <c r="AK110">
        <v>12.328604166666667</v>
      </c>
      <c r="AL110" s="521"/>
      <c r="AM110">
        <v>5.4</v>
      </c>
      <c r="AN110" s="303">
        <v>42244</v>
      </c>
      <c r="AO110">
        <v>165</v>
      </c>
      <c r="AP110" s="303">
        <v>42170</v>
      </c>
      <c r="AQ110" s="302"/>
      <c r="AR110" s="303"/>
      <c r="AS110" s="302"/>
      <c r="AT110" s="303"/>
      <c r="AU110">
        <v>108</v>
      </c>
      <c r="AV110" s="303"/>
      <c r="AW110" s="302"/>
      <c r="AX110" s="302"/>
      <c r="AY110" s="302"/>
      <c r="AZ110" s="303"/>
      <c r="BA110" s="302"/>
      <c r="BB110" s="302"/>
      <c r="BC110" s="302"/>
      <c r="BD110" s="302"/>
      <c r="BE110" s="302"/>
      <c r="BF110" s="302"/>
      <c r="BG110" s="302"/>
      <c r="BH110" s="302"/>
      <c r="BI110" s="302"/>
      <c r="BJ110" s="302"/>
      <c r="BM110">
        <v>44.7</v>
      </c>
      <c r="BS110">
        <v>12.2</v>
      </c>
      <c r="BY110">
        <v>50.6</v>
      </c>
      <c r="CA110">
        <v>19.3</v>
      </c>
      <c r="CC110">
        <v>70.5</v>
      </c>
      <c r="CI110">
        <v>7.1</v>
      </c>
      <c r="CO110" t="s">
        <v>8698</v>
      </c>
      <c r="CR110">
        <v>1</v>
      </c>
      <c r="CT110" s="304" t="s">
        <v>11678</v>
      </c>
    </row>
    <row r="111" spans="1:98" s="304" customFormat="1">
      <c r="A111" s="304" t="s">
        <v>8506</v>
      </c>
      <c r="B111" s="463">
        <v>15</v>
      </c>
      <c r="C111" s="296" t="s">
        <v>7624</v>
      </c>
      <c r="D111" s="296" t="s">
        <v>7462</v>
      </c>
      <c r="E111" s="296" t="s">
        <v>7624</v>
      </c>
      <c r="F111" s="296"/>
      <c r="G111" s="296" t="s">
        <v>8506</v>
      </c>
      <c r="H111" s="297" t="s">
        <v>8697</v>
      </c>
      <c r="I111" s="297">
        <v>1</v>
      </c>
      <c r="J111" s="297">
        <v>1249</v>
      </c>
      <c r="K111" s="299"/>
      <c r="L111" s="299"/>
      <c r="M111" s="299">
        <v>17</v>
      </c>
      <c r="N111" s="299">
        <v>5</v>
      </c>
      <c r="O111" s="300">
        <v>34</v>
      </c>
      <c r="P111" s="301">
        <v>42090</v>
      </c>
      <c r="Q111" s="302"/>
      <c r="R111" s="303"/>
      <c r="S111" s="289">
        <v>2.9</v>
      </c>
      <c r="T111" s="303">
        <v>42208</v>
      </c>
      <c r="U111" s="302"/>
      <c r="V111" s="303"/>
      <c r="W111" s="302"/>
      <c r="X111" s="303"/>
      <c r="Y111" s="302">
        <v>10.220000000000001</v>
      </c>
      <c r="Z111" s="303">
        <v>42208</v>
      </c>
      <c r="AA111">
        <v>14.4</v>
      </c>
      <c r="AB111" s="303"/>
      <c r="AC111" s="302"/>
      <c r="AD111" s="303"/>
      <c r="AE111" s="302"/>
      <c r="AF111" s="303"/>
      <c r="AG111">
        <v>31815.972222222223</v>
      </c>
      <c r="AH111" s="521">
        <f>(AK111*10000)/AM111</f>
        <v>31815.972222222223</v>
      </c>
      <c r="AI111" s="302"/>
      <c r="AJ111" s="303"/>
      <c r="AK111">
        <v>18.453263888888888</v>
      </c>
      <c r="AL111" s="521"/>
      <c r="AM111">
        <v>5.8</v>
      </c>
      <c r="AN111" s="303">
        <v>42244</v>
      </c>
      <c r="AO111">
        <v>170</v>
      </c>
      <c r="AP111" s="303">
        <v>42170</v>
      </c>
      <c r="AQ111" s="302"/>
      <c r="AR111" s="303"/>
      <c r="AS111" s="302"/>
      <c r="AT111" s="303"/>
      <c r="AU111">
        <v>112</v>
      </c>
      <c r="AV111" s="303"/>
      <c r="AW111" s="302"/>
      <c r="AX111" s="302"/>
      <c r="AY111" s="302"/>
      <c r="AZ111" s="303"/>
      <c r="BA111" s="302"/>
      <c r="BB111" s="302"/>
      <c r="BC111" s="302"/>
      <c r="BD111" s="302"/>
      <c r="BE111" s="302"/>
      <c r="BF111" s="302"/>
      <c r="BG111" s="302"/>
      <c r="BH111" s="302"/>
      <c r="BI111" s="302"/>
      <c r="BJ111" s="302"/>
      <c r="BM111">
        <v>27.9</v>
      </c>
      <c r="BS111">
        <v>28.2</v>
      </c>
      <c r="BY111">
        <v>49.4</v>
      </c>
      <c r="CA111">
        <v>20</v>
      </c>
      <c r="CC111">
        <v>63.4</v>
      </c>
      <c r="CI111">
        <v>6.5</v>
      </c>
      <c r="CO111" t="s">
        <v>8698</v>
      </c>
      <c r="CR111">
        <v>4</v>
      </c>
      <c r="CT111" s="304" t="s">
        <v>11678</v>
      </c>
    </row>
    <row r="112" spans="1:98" s="304" customFormat="1">
      <c r="A112" s="304" t="s">
        <v>8506</v>
      </c>
      <c r="B112" s="463">
        <v>20</v>
      </c>
      <c r="C112" s="296" t="s">
        <v>7630</v>
      </c>
      <c r="D112" s="296" t="s">
        <v>7467</v>
      </c>
      <c r="E112" s="296" t="s">
        <v>7630</v>
      </c>
      <c r="F112" s="296"/>
      <c r="G112" s="296" t="s">
        <v>8506</v>
      </c>
      <c r="H112" s="297" t="s">
        <v>8696</v>
      </c>
      <c r="I112" s="297">
        <v>2</v>
      </c>
      <c r="J112" s="297">
        <v>209</v>
      </c>
      <c r="K112" s="299"/>
      <c r="L112" s="299"/>
      <c r="M112" s="299">
        <v>17</v>
      </c>
      <c r="N112" s="299">
        <v>7</v>
      </c>
      <c r="O112" s="300">
        <v>50</v>
      </c>
      <c r="P112" s="301">
        <v>42090</v>
      </c>
      <c r="Q112" s="302"/>
      <c r="R112" s="303"/>
      <c r="S112" s="289">
        <v>4.6500000000000004</v>
      </c>
      <c r="T112" s="303">
        <v>42208</v>
      </c>
      <c r="U112" s="302"/>
      <c r="V112" s="303"/>
      <c r="W112" s="302"/>
      <c r="X112" s="303"/>
      <c r="Y112" s="302">
        <v>15.41</v>
      </c>
      <c r="Z112" s="303">
        <v>42208</v>
      </c>
      <c r="AA112">
        <v>14.4</v>
      </c>
      <c r="AB112" s="303"/>
      <c r="AC112" s="302"/>
      <c r="AD112" s="303"/>
      <c r="AE112" s="302"/>
      <c r="AF112" s="303"/>
      <c r="AG112">
        <v>58861.25</v>
      </c>
      <c r="AH112" s="521">
        <f>(AK112*10000)/AM112</f>
        <v>58861.25</v>
      </c>
      <c r="AI112" s="302"/>
      <c r="AJ112" s="303"/>
      <c r="AK112">
        <v>29.430624999999999</v>
      </c>
      <c r="AL112" s="521"/>
      <c r="AM112">
        <v>5</v>
      </c>
      <c r="AN112" s="303">
        <v>42244</v>
      </c>
      <c r="AO112">
        <v>115</v>
      </c>
      <c r="AP112" s="303">
        <v>42170</v>
      </c>
      <c r="AQ112" s="302"/>
      <c r="AR112" s="303"/>
      <c r="AS112" s="302"/>
      <c r="AT112" s="303"/>
      <c r="AU112">
        <v>110</v>
      </c>
      <c r="AV112" s="303"/>
      <c r="AW112" s="302"/>
      <c r="AX112" s="302"/>
      <c r="AY112" s="302"/>
      <c r="AZ112" s="303"/>
      <c r="BA112" s="302"/>
      <c r="BB112" s="302"/>
      <c r="BC112" s="302"/>
      <c r="BD112" s="302"/>
      <c r="BE112" s="302"/>
      <c r="BF112" s="302"/>
      <c r="BG112" s="302"/>
      <c r="BH112" s="302"/>
      <c r="BI112" s="302"/>
      <c r="BJ112" s="302"/>
      <c r="BM112">
        <v>19.399999999999999</v>
      </c>
      <c r="BS112">
        <v>40.5</v>
      </c>
      <c r="BY112">
        <v>46.7</v>
      </c>
      <c r="CA112">
        <v>21.6</v>
      </c>
      <c r="CC112">
        <v>62.5</v>
      </c>
      <c r="CI112">
        <v>7</v>
      </c>
      <c r="CO112" t="s">
        <v>8698</v>
      </c>
      <c r="CR112">
        <v>1</v>
      </c>
      <c r="CT112" s="304" t="s">
        <v>11678</v>
      </c>
    </row>
    <row r="113" spans="1:98" s="304" customFormat="1">
      <c r="A113" s="304" t="s">
        <v>8506</v>
      </c>
      <c r="B113" s="463">
        <v>145</v>
      </c>
      <c r="C113" s="296" t="s">
        <v>7773</v>
      </c>
      <c r="D113" s="296" t="s">
        <v>7574</v>
      </c>
      <c r="E113" s="296" t="s">
        <v>7773</v>
      </c>
      <c r="F113" s="296"/>
      <c r="G113" s="296" t="s">
        <v>8506</v>
      </c>
      <c r="H113" s="297" t="s">
        <v>8696</v>
      </c>
      <c r="I113" s="297">
        <v>2</v>
      </c>
      <c r="J113" s="297">
        <v>269</v>
      </c>
      <c r="K113" s="299"/>
      <c r="L113" s="299"/>
      <c r="M113" s="299">
        <v>17</v>
      </c>
      <c r="N113" s="299">
        <v>8</v>
      </c>
      <c r="O113" s="300">
        <v>34</v>
      </c>
      <c r="P113" s="301">
        <v>42090</v>
      </c>
      <c r="Q113" s="302"/>
      <c r="R113" s="303"/>
      <c r="S113" s="289">
        <v>5.6</v>
      </c>
      <c r="T113" s="303">
        <v>42208</v>
      </c>
      <c r="U113" s="302"/>
      <c r="V113" s="303"/>
      <c r="W113" s="302"/>
      <c r="X113" s="303"/>
      <c r="Y113" s="302">
        <v>20.13</v>
      </c>
      <c r="Z113" s="303">
        <v>42208</v>
      </c>
      <c r="AA113">
        <v>14.4</v>
      </c>
      <c r="AB113" s="303"/>
      <c r="AC113" s="302"/>
      <c r="AD113" s="303"/>
      <c r="AE113" s="302"/>
      <c r="AF113" s="303"/>
      <c r="AG113">
        <v>61174.90421455937</v>
      </c>
      <c r="AH113" s="521">
        <f>(AK113*10000)/AM113</f>
        <v>61174.90421455937</v>
      </c>
      <c r="AI113" s="302"/>
      <c r="AJ113" s="303"/>
      <c r="AK113">
        <v>35.481444444444435</v>
      </c>
      <c r="AL113" s="521"/>
      <c r="AM113">
        <v>5.8</v>
      </c>
      <c r="AN113" s="303">
        <v>42244</v>
      </c>
      <c r="AO113">
        <v>115</v>
      </c>
      <c r="AP113" s="303">
        <v>42170</v>
      </c>
      <c r="AQ113" s="302"/>
      <c r="AR113" s="303"/>
      <c r="AS113" s="302"/>
      <c r="AT113" s="303"/>
      <c r="AU113">
        <v>107</v>
      </c>
      <c r="AV113" s="303"/>
      <c r="AW113" s="302"/>
      <c r="AX113" s="302"/>
      <c r="AY113" s="302"/>
      <c r="AZ113" s="303"/>
      <c r="BA113" s="302"/>
      <c r="BB113" s="302"/>
      <c r="BC113" s="302"/>
      <c r="BD113" s="302"/>
      <c r="BE113" s="302"/>
      <c r="BF113" s="302"/>
      <c r="BG113" s="302"/>
      <c r="BH113" s="302"/>
      <c r="BI113" s="302"/>
      <c r="BJ113" s="302"/>
      <c r="BM113">
        <v>-3.5</v>
      </c>
      <c r="BS113">
        <v>61.5</v>
      </c>
      <c r="BY113">
        <v>50.6</v>
      </c>
      <c r="CA113">
        <v>17.899999999999999</v>
      </c>
      <c r="CC113">
        <v>21</v>
      </c>
      <c r="CI113">
        <v>6.9</v>
      </c>
      <c r="CO113" t="s">
        <v>8698</v>
      </c>
      <c r="CR113">
        <v>2</v>
      </c>
      <c r="CT113" s="304" t="s">
        <v>11678</v>
      </c>
    </row>
    <row r="114" spans="1:98" s="304" customFormat="1">
      <c r="A114" s="304" t="s">
        <v>8506</v>
      </c>
      <c r="B114" s="523">
        <v>359</v>
      </c>
      <c r="C114" s="296" t="s">
        <v>8509</v>
      </c>
      <c r="D114" s="296" t="s">
        <v>8299</v>
      </c>
      <c r="E114" s="296" t="s">
        <v>8299</v>
      </c>
      <c r="F114" s="296"/>
      <c r="G114" s="296" t="s">
        <v>8506</v>
      </c>
      <c r="H114" s="297" t="s">
        <v>8697</v>
      </c>
      <c r="I114" s="297">
        <v>1</v>
      </c>
      <c r="J114" s="297">
        <v>1189</v>
      </c>
      <c r="K114" s="299"/>
      <c r="L114" s="299"/>
      <c r="M114" s="299">
        <v>17</v>
      </c>
      <c r="N114" s="299">
        <v>4</v>
      </c>
      <c r="O114" s="300">
        <v>46</v>
      </c>
      <c r="P114" s="301">
        <v>42090</v>
      </c>
      <c r="Q114" s="302"/>
      <c r="R114" s="303"/>
      <c r="S114" s="289">
        <v>4.8</v>
      </c>
      <c r="T114" s="303">
        <v>42208</v>
      </c>
      <c r="U114" s="302"/>
      <c r="V114" s="303"/>
      <c r="W114" s="302"/>
      <c r="X114" s="303"/>
      <c r="Y114" s="302">
        <v>18.100000000000001</v>
      </c>
      <c r="Z114" s="303">
        <v>42208</v>
      </c>
      <c r="AA114">
        <v>14.4</v>
      </c>
      <c r="AB114" s="303"/>
      <c r="AC114" s="302"/>
      <c r="AD114" s="303"/>
      <c r="AE114" s="302"/>
      <c r="AF114" s="303"/>
      <c r="AG114">
        <v>57135.849056603765</v>
      </c>
      <c r="AH114" s="521">
        <f>(AK114*10000)/AM114</f>
        <v>57135.849056603765</v>
      </c>
      <c r="AI114" s="302"/>
      <c r="AJ114" s="303"/>
      <c r="AK114">
        <v>30.281999999999996</v>
      </c>
      <c r="AL114" s="521"/>
      <c r="AM114">
        <v>5.3</v>
      </c>
      <c r="AN114" s="303">
        <v>42244</v>
      </c>
      <c r="AO114">
        <v>135</v>
      </c>
      <c r="AP114" s="303">
        <v>42170</v>
      </c>
      <c r="AQ114" s="302"/>
      <c r="AR114" s="303"/>
      <c r="AS114" s="302"/>
      <c r="AT114" s="303"/>
      <c r="AU114">
        <v>107</v>
      </c>
      <c r="AV114" s="302"/>
      <c r="AW114" s="302"/>
      <c r="AX114" s="302"/>
      <c r="AY114" s="302"/>
      <c r="AZ114" s="302"/>
      <c r="BA114" s="302"/>
      <c r="BB114" s="302"/>
      <c r="BC114" s="302"/>
      <c r="BD114" s="302"/>
      <c r="BE114" s="302"/>
      <c r="BF114" s="302"/>
      <c r="BG114" s="302"/>
      <c r="BH114" s="302"/>
      <c r="BI114" s="302"/>
      <c r="BJ114" s="302"/>
      <c r="BM114">
        <v>-0.8</v>
      </c>
      <c r="BS114">
        <v>63.5</v>
      </c>
      <c r="BY114">
        <v>53.3</v>
      </c>
      <c r="CA114">
        <v>16.399999999999999</v>
      </c>
      <c r="CC114">
        <v>13.8</v>
      </c>
      <c r="CI114">
        <v>7.3</v>
      </c>
      <c r="CO114" t="s">
        <v>8698</v>
      </c>
      <c r="CR114">
        <v>1</v>
      </c>
      <c r="CT114" s="304" t="s">
        <v>11678</v>
      </c>
    </row>
    <row r="115" spans="1:98" s="304" customFormat="1">
      <c r="A115" s="304" t="s">
        <v>8506</v>
      </c>
      <c r="B115" s="463">
        <v>30</v>
      </c>
      <c r="C115" s="296" t="s">
        <v>7642</v>
      </c>
      <c r="D115" s="296" t="s">
        <v>7477</v>
      </c>
      <c r="E115" s="296" t="s">
        <v>7642</v>
      </c>
      <c r="F115" s="296"/>
      <c r="G115" s="296" t="s">
        <v>8506</v>
      </c>
      <c r="H115" s="297" t="s">
        <v>8697</v>
      </c>
      <c r="I115" s="297">
        <v>1</v>
      </c>
      <c r="J115" s="297">
        <v>1310</v>
      </c>
      <c r="K115" s="299"/>
      <c r="L115" s="299"/>
      <c r="M115" s="299">
        <v>18</v>
      </c>
      <c r="N115" s="299">
        <v>6</v>
      </c>
      <c r="O115" s="300">
        <v>20</v>
      </c>
      <c r="P115" s="301">
        <v>42090</v>
      </c>
      <c r="Q115" s="302"/>
      <c r="R115" s="303"/>
      <c r="S115" s="289">
        <v>4</v>
      </c>
      <c r="T115" s="303">
        <v>42208</v>
      </c>
      <c r="U115" s="302"/>
      <c r="V115" s="303"/>
      <c r="W115" s="302"/>
      <c r="X115" s="303"/>
      <c r="Y115" s="302">
        <v>12.95</v>
      </c>
      <c r="Z115" s="303">
        <v>42208</v>
      </c>
      <c r="AA115">
        <v>14.4</v>
      </c>
      <c r="AB115" s="303"/>
      <c r="AC115" s="302"/>
      <c r="AD115" s="303"/>
      <c r="AE115" s="302"/>
      <c r="AF115" s="303"/>
      <c r="AG115">
        <v>42632.768361581911</v>
      </c>
      <c r="AH115" s="521">
        <f>(AK115*10000)/AM115</f>
        <v>42632.768361581911</v>
      </c>
      <c r="AI115" s="302"/>
      <c r="AJ115" s="303"/>
      <c r="AK115">
        <v>25.153333333333332</v>
      </c>
      <c r="AL115" s="521"/>
      <c r="AM115">
        <v>5.9</v>
      </c>
      <c r="AN115" s="303">
        <v>42244</v>
      </c>
      <c r="AO115">
        <v>190</v>
      </c>
      <c r="AP115" s="303">
        <v>42170</v>
      </c>
      <c r="AQ115" s="302"/>
      <c r="AR115" s="303"/>
      <c r="AS115" s="302"/>
      <c r="AT115" s="303"/>
      <c r="AU115">
        <v>108</v>
      </c>
      <c r="AV115" s="303"/>
      <c r="AW115" s="302"/>
      <c r="AX115" s="302"/>
      <c r="AY115" s="302"/>
      <c r="AZ115" s="303"/>
      <c r="BA115" s="302"/>
      <c r="BB115" s="302"/>
      <c r="BC115" s="302"/>
      <c r="BD115" s="302"/>
      <c r="BE115" s="302"/>
      <c r="BF115" s="302"/>
      <c r="BG115" s="302"/>
      <c r="BH115" s="302"/>
      <c r="BI115" s="302"/>
      <c r="BJ115" s="302"/>
      <c r="BM115">
        <v>7.2</v>
      </c>
      <c r="BS115">
        <v>49.8</v>
      </c>
      <c r="BY115">
        <v>45.9</v>
      </c>
      <c r="CA115">
        <v>21.7</v>
      </c>
      <c r="CC115">
        <v>67.900000000000006</v>
      </c>
      <c r="CI115">
        <v>7.6</v>
      </c>
      <c r="CO115" t="s">
        <v>8698</v>
      </c>
      <c r="CR115">
        <v>2</v>
      </c>
      <c r="CT115" s="304" t="s">
        <v>11678</v>
      </c>
    </row>
    <row r="116" spans="1:98" s="304" customFormat="1">
      <c r="A116" s="304" t="s">
        <v>8506</v>
      </c>
      <c r="B116" s="463">
        <v>81</v>
      </c>
      <c r="C116" s="296" t="s">
        <v>7699</v>
      </c>
      <c r="D116" s="296" t="s">
        <v>7528</v>
      </c>
      <c r="E116" s="296" t="s">
        <v>7699</v>
      </c>
      <c r="F116" s="296"/>
      <c r="G116" s="296" t="s">
        <v>8506</v>
      </c>
      <c r="H116" s="297" t="s">
        <v>8696</v>
      </c>
      <c r="I116" s="297">
        <v>2</v>
      </c>
      <c r="J116" s="297">
        <v>2190</v>
      </c>
      <c r="K116" s="299"/>
      <c r="L116" s="299"/>
      <c r="M116" s="299">
        <v>18</v>
      </c>
      <c r="N116" s="299">
        <v>10</v>
      </c>
      <c r="O116" s="300">
        <v>50</v>
      </c>
      <c r="P116" s="301">
        <v>42090</v>
      </c>
      <c r="Q116" s="302"/>
      <c r="R116" s="303"/>
      <c r="S116" s="289">
        <v>5.65</v>
      </c>
      <c r="T116" s="303">
        <v>42208</v>
      </c>
      <c r="U116" s="302"/>
      <c r="V116" s="303"/>
      <c r="W116" s="302"/>
      <c r="X116" s="303"/>
      <c r="Y116" s="302">
        <v>20.010000000000002</v>
      </c>
      <c r="Z116" s="303">
        <v>42208</v>
      </c>
      <c r="AA116">
        <v>14.4</v>
      </c>
      <c r="AB116" s="303"/>
      <c r="AC116" s="302"/>
      <c r="AD116" s="303"/>
      <c r="AE116" s="302"/>
      <c r="AF116" s="303"/>
      <c r="AG116">
        <v>87389.520202020198</v>
      </c>
      <c r="AH116" s="521">
        <f>(AK116*10000)/AM116</f>
        <v>87389.520202020198</v>
      </c>
      <c r="AI116" s="302"/>
      <c r="AJ116" s="303"/>
      <c r="AK116">
        <v>38.451388888888886</v>
      </c>
      <c r="AL116" s="521"/>
      <c r="AM116">
        <v>4.4000000000000004</v>
      </c>
      <c r="AN116" s="303">
        <v>42244</v>
      </c>
      <c r="AO116">
        <v>130</v>
      </c>
      <c r="AP116" s="303">
        <v>42170</v>
      </c>
      <c r="AQ116" s="302"/>
      <c r="AR116" s="303"/>
      <c r="AS116" s="302"/>
      <c r="AT116" s="303"/>
      <c r="AU116">
        <v>111</v>
      </c>
      <c r="AV116" s="303"/>
      <c r="AW116" s="302"/>
      <c r="AX116" s="302"/>
      <c r="AY116" s="302"/>
      <c r="AZ116" s="303"/>
      <c r="BA116" s="302"/>
      <c r="BB116" s="302"/>
      <c r="BC116" s="302"/>
      <c r="BD116" s="302"/>
      <c r="BE116" s="302"/>
      <c r="BF116" s="302"/>
      <c r="BG116" s="302"/>
      <c r="BH116" s="302"/>
      <c r="BI116" s="302"/>
      <c r="BJ116" s="302"/>
      <c r="BM116">
        <v>-1</v>
      </c>
      <c r="BS116">
        <v>63.1</v>
      </c>
      <c r="BY116">
        <v>51</v>
      </c>
      <c r="CA116">
        <v>19.7</v>
      </c>
      <c r="CC116">
        <v>12</v>
      </c>
      <c r="CI116"/>
      <c r="CO116" t="s">
        <v>8698</v>
      </c>
      <c r="CR116">
        <v>1</v>
      </c>
      <c r="CT116" s="304" t="s">
        <v>11678</v>
      </c>
    </row>
    <row r="117" spans="1:98" s="304" customFormat="1">
      <c r="A117" s="304" t="s">
        <v>8506</v>
      </c>
      <c r="B117" s="463">
        <v>104</v>
      </c>
      <c r="C117" s="296" t="s">
        <v>7722</v>
      </c>
      <c r="D117" s="296" t="s">
        <v>7549</v>
      </c>
      <c r="E117" s="296" t="s">
        <v>7722</v>
      </c>
      <c r="F117" s="296"/>
      <c r="G117" s="296" t="s">
        <v>8506</v>
      </c>
      <c r="H117" s="297" t="s">
        <v>8697</v>
      </c>
      <c r="I117" s="297">
        <v>1</v>
      </c>
      <c r="J117" s="297">
        <v>1190</v>
      </c>
      <c r="K117" s="299"/>
      <c r="L117" s="299"/>
      <c r="M117" s="299">
        <v>18</v>
      </c>
      <c r="N117" s="299">
        <v>4</v>
      </c>
      <c r="O117" s="300">
        <v>37</v>
      </c>
      <c r="P117" s="301">
        <v>42090</v>
      </c>
      <c r="Q117" s="302"/>
      <c r="R117" s="303"/>
      <c r="S117" s="289">
        <v>4.8499999999999996</v>
      </c>
      <c r="T117" s="303">
        <v>42208</v>
      </c>
      <c r="U117" s="302"/>
      <c r="V117" s="303"/>
      <c r="W117" s="302"/>
      <c r="X117" s="303"/>
      <c r="Y117" s="302">
        <v>17.84</v>
      </c>
      <c r="Z117" s="303">
        <v>42208</v>
      </c>
      <c r="AA117">
        <v>14.4</v>
      </c>
      <c r="AB117" s="303"/>
      <c r="AC117" s="302"/>
      <c r="AD117" s="303"/>
      <c r="AE117" s="302"/>
      <c r="AF117" s="303"/>
      <c r="AG117">
        <v>69014.520202020198</v>
      </c>
      <c r="AH117" s="521">
        <f>(AK117*10000)/AM117</f>
        <v>69014.520202020198</v>
      </c>
      <c r="AI117" s="302"/>
      <c r="AJ117" s="303"/>
      <c r="AK117">
        <v>30.366388888888888</v>
      </c>
      <c r="AL117" s="521"/>
      <c r="AM117">
        <v>4.4000000000000004</v>
      </c>
      <c r="AN117" s="303">
        <v>42244</v>
      </c>
      <c r="AO117">
        <v>135</v>
      </c>
      <c r="AP117" s="303">
        <v>42170</v>
      </c>
      <c r="AQ117" s="302"/>
      <c r="AR117" s="303"/>
      <c r="AS117" s="302"/>
      <c r="AT117" s="303"/>
      <c r="AU117">
        <v>108</v>
      </c>
      <c r="AV117" s="303"/>
      <c r="AW117" s="302"/>
      <c r="AX117" s="302"/>
      <c r="AY117" s="302"/>
      <c r="AZ117" s="303"/>
      <c r="BA117" s="302"/>
      <c r="BB117" s="302"/>
      <c r="BC117" s="302"/>
      <c r="BD117" s="302"/>
      <c r="BE117" s="302"/>
      <c r="BF117" s="302"/>
      <c r="BG117" s="302"/>
      <c r="BH117" s="302"/>
      <c r="BI117" s="302"/>
      <c r="BJ117" s="302"/>
      <c r="BM117">
        <v>0.2</v>
      </c>
      <c r="BS117">
        <v>59</v>
      </c>
      <c r="BY117">
        <v>52.4</v>
      </c>
      <c r="CA117">
        <v>16.600000000000001</v>
      </c>
      <c r="CC117">
        <v>18.600000000000001</v>
      </c>
      <c r="CI117">
        <v>8</v>
      </c>
      <c r="CO117" t="s">
        <v>8698</v>
      </c>
      <c r="CR117">
        <v>2</v>
      </c>
      <c r="CT117" s="304" t="s">
        <v>11678</v>
      </c>
    </row>
    <row r="118" spans="1:98" s="304" customFormat="1">
      <c r="A118" s="304" t="s">
        <v>8506</v>
      </c>
      <c r="B118" s="463">
        <v>116</v>
      </c>
      <c r="C118" s="296" t="s">
        <v>7735</v>
      </c>
      <c r="D118" s="296" t="s">
        <v>7819</v>
      </c>
      <c r="E118" s="296" t="s">
        <v>7735</v>
      </c>
      <c r="F118" s="296"/>
      <c r="G118" s="296" t="s">
        <v>8506</v>
      </c>
      <c r="H118" s="297" t="s">
        <v>8696</v>
      </c>
      <c r="I118" s="297">
        <v>2</v>
      </c>
      <c r="J118" s="297">
        <v>270</v>
      </c>
      <c r="K118" s="299"/>
      <c r="L118" s="299"/>
      <c r="M118" s="299">
        <v>18</v>
      </c>
      <c r="N118" s="299">
        <v>8</v>
      </c>
      <c r="O118" s="300">
        <v>51</v>
      </c>
      <c r="P118" s="301">
        <v>42090</v>
      </c>
      <c r="Q118" s="302"/>
      <c r="R118" s="303"/>
      <c r="S118" s="289">
        <v>4.3</v>
      </c>
      <c r="T118" s="303">
        <v>42208</v>
      </c>
      <c r="U118" s="302"/>
      <c r="V118" s="303"/>
      <c r="W118" s="302"/>
      <c r="X118" s="303"/>
      <c r="Y118" s="302">
        <v>13.96</v>
      </c>
      <c r="Z118" s="303">
        <v>42208</v>
      </c>
      <c r="AA118">
        <v>14.4</v>
      </c>
      <c r="AB118" s="303"/>
      <c r="AC118" s="302"/>
      <c r="AD118" s="303"/>
      <c r="AE118" s="302"/>
      <c r="AF118" s="303"/>
      <c r="AG118">
        <v>56637.818287037036</v>
      </c>
      <c r="AH118" s="521">
        <f>(AK118*10000)/AM118</f>
        <v>56637.818287037036</v>
      </c>
      <c r="AI118" s="302"/>
      <c r="AJ118" s="303"/>
      <c r="AK118">
        <v>27.186152777777778</v>
      </c>
      <c r="AL118" s="521"/>
      <c r="AM118">
        <v>4.8</v>
      </c>
      <c r="AN118" s="303">
        <v>42244</v>
      </c>
      <c r="AO118">
        <v>100</v>
      </c>
      <c r="AP118" s="303">
        <v>42170</v>
      </c>
      <c r="AQ118" s="302"/>
      <c r="AR118" s="303"/>
      <c r="AS118" s="302"/>
      <c r="AT118" s="303"/>
      <c r="AU118">
        <v>113</v>
      </c>
      <c r="AV118" s="303"/>
      <c r="AW118" s="302"/>
      <c r="AX118" s="302"/>
      <c r="AY118" s="302"/>
      <c r="AZ118" s="303"/>
      <c r="BA118" s="302"/>
      <c r="BB118" s="302"/>
      <c r="BC118" s="302"/>
      <c r="BD118" s="302"/>
      <c r="BE118" s="302"/>
      <c r="BF118" s="302"/>
      <c r="BG118" s="302"/>
      <c r="BH118" s="302"/>
      <c r="BI118" s="302"/>
      <c r="BJ118" s="302"/>
      <c r="BM118">
        <v>39.700000000000003</v>
      </c>
      <c r="BS118">
        <v>19.8</v>
      </c>
      <c r="BY118">
        <v>45.8</v>
      </c>
      <c r="CA118">
        <v>21.9</v>
      </c>
      <c r="CC118">
        <v>69.3</v>
      </c>
      <c r="CI118">
        <v>7.1</v>
      </c>
      <c r="CO118" t="s">
        <v>8698</v>
      </c>
      <c r="CR118">
        <v>3</v>
      </c>
      <c r="CT118" s="304" t="s">
        <v>11678</v>
      </c>
    </row>
    <row r="119" spans="1:98" s="304" customFormat="1">
      <c r="A119" s="304" t="s">
        <v>8506</v>
      </c>
      <c r="B119" s="463">
        <v>166</v>
      </c>
      <c r="C119" s="296" t="s">
        <v>7794</v>
      </c>
      <c r="D119" s="296" t="s">
        <v>7595</v>
      </c>
      <c r="E119" s="296" t="s">
        <v>7794</v>
      </c>
      <c r="F119" s="296"/>
      <c r="G119" s="296" t="s">
        <v>8506</v>
      </c>
      <c r="H119" s="297" t="s">
        <v>8697</v>
      </c>
      <c r="I119" s="297">
        <v>1</v>
      </c>
      <c r="J119" s="308">
        <v>170</v>
      </c>
      <c r="K119" s="299"/>
      <c r="L119" s="299"/>
      <c r="M119" s="299">
        <v>18</v>
      </c>
      <c r="N119" s="299">
        <v>2</v>
      </c>
      <c r="O119" s="300">
        <v>29</v>
      </c>
      <c r="P119" s="301">
        <v>42090</v>
      </c>
      <c r="Q119" s="306"/>
      <c r="R119" s="303"/>
      <c r="S119" s="289">
        <v>4.7</v>
      </c>
      <c r="T119" s="303">
        <v>42208</v>
      </c>
      <c r="U119" s="307"/>
      <c r="V119" s="303"/>
      <c r="W119" s="306"/>
      <c r="X119" s="303"/>
      <c r="Y119" s="306">
        <v>18.12</v>
      </c>
      <c r="Z119" s="303">
        <v>42208</v>
      </c>
      <c r="AA119">
        <v>14.4</v>
      </c>
      <c r="AB119" s="303"/>
      <c r="AC119" s="306"/>
      <c r="AD119" s="303"/>
      <c r="AE119" s="302"/>
      <c r="AF119" s="303"/>
      <c r="AG119">
        <v>61773.177083333336</v>
      </c>
      <c r="AH119" s="521">
        <f>(AK119*10000)/AM119</f>
        <v>61773.177083333336</v>
      </c>
      <c r="AI119" s="302"/>
      <c r="AJ119" s="303"/>
      <c r="AK119">
        <v>29.651125</v>
      </c>
      <c r="AL119" s="521"/>
      <c r="AM119">
        <v>4.8</v>
      </c>
      <c r="AN119" s="303">
        <v>42244</v>
      </c>
      <c r="AO119">
        <v>125</v>
      </c>
      <c r="AP119" s="303">
        <v>42170</v>
      </c>
      <c r="AQ119" s="306"/>
      <c r="AR119" s="303"/>
      <c r="AS119" s="306"/>
      <c r="AT119" s="303"/>
      <c r="AU119">
        <v>104</v>
      </c>
      <c r="AV119" s="303"/>
      <c r="AW119" s="302"/>
      <c r="AX119" s="302"/>
      <c r="AY119" s="302"/>
      <c r="AZ119" s="303"/>
      <c r="BA119" s="302"/>
      <c r="BB119" s="302"/>
      <c r="BC119" s="302"/>
      <c r="BD119" s="302"/>
      <c r="BE119" s="302"/>
      <c r="BF119" s="302"/>
      <c r="BG119" s="302"/>
      <c r="BH119" s="302"/>
      <c r="BI119" s="302"/>
      <c r="BJ119" s="302"/>
      <c r="BM119">
        <v>-5</v>
      </c>
      <c r="BS119">
        <v>68.3</v>
      </c>
      <c r="BY119">
        <v>54.5</v>
      </c>
      <c r="CA119">
        <v>13.6</v>
      </c>
      <c r="CC119">
        <v>12.7</v>
      </c>
      <c r="CI119">
        <v>7.3</v>
      </c>
      <c r="CO119" t="s">
        <v>8698</v>
      </c>
      <c r="CR119">
        <v>2</v>
      </c>
      <c r="CT119" s="304" t="s">
        <v>11678</v>
      </c>
    </row>
    <row r="120" spans="1:98" s="304" customFormat="1">
      <c r="A120" s="304" t="s">
        <v>8506</v>
      </c>
      <c r="B120" s="463">
        <v>179</v>
      </c>
      <c r="C120" s="296" t="s">
        <v>7807</v>
      </c>
      <c r="D120" s="296" t="s">
        <v>7604</v>
      </c>
      <c r="E120" s="296" t="s">
        <v>7807</v>
      </c>
      <c r="F120" s="296"/>
      <c r="G120" s="296" t="s">
        <v>8506</v>
      </c>
      <c r="H120" s="297" t="s">
        <v>8696</v>
      </c>
      <c r="I120" s="297">
        <v>2</v>
      </c>
      <c r="J120" s="297">
        <v>2250</v>
      </c>
      <c r="K120" s="299"/>
      <c r="L120" s="299"/>
      <c r="M120" s="299">
        <v>18</v>
      </c>
      <c r="N120" s="299">
        <v>11</v>
      </c>
      <c r="O120" s="300">
        <v>37</v>
      </c>
      <c r="P120" s="301">
        <v>42090</v>
      </c>
      <c r="Q120" s="302"/>
      <c r="R120" s="303"/>
      <c r="S120" s="289">
        <v>5.25</v>
      </c>
      <c r="T120" s="303">
        <v>42208</v>
      </c>
      <c r="U120" s="302"/>
      <c r="V120" s="303"/>
      <c r="W120" s="302"/>
      <c r="X120" s="303"/>
      <c r="Y120" s="302">
        <v>18.899999999999999</v>
      </c>
      <c r="Z120" s="303">
        <v>42208</v>
      </c>
      <c r="AA120">
        <v>14.4</v>
      </c>
      <c r="AB120" s="303"/>
      <c r="AC120" s="302"/>
      <c r="AD120" s="303"/>
      <c r="AE120" s="302"/>
      <c r="AF120" s="303"/>
      <c r="AG120">
        <v>68853.081597222219</v>
      </c>
      <c r="AH120" s="521">
        <f>(AK120*10000)/AM120</f>
        <v>68853.081597222219</v>
      </c>
      <c r="AI120" s="302"/>
      <c r="AJ120" s="303"/>
      <c r="AK120">
        <v>33.049479166666664</v>
      </c>
      <c r="AL120" s="521"/>
      <c r="AM120">
        <v>4.8</v>
      </c>
      <c r="AN120" s="303">
        <v>42244</v>
      </c>
      <c r="AO120">
        <v>115</v>
      </c>
      <c r="AP120" s="303">
        <v>42170</v>
      </c>
      <c r="AQ120" s="302"/>
      <c r="AR120" s="303"/>
      <c r="AS120" s="302"/>
      <c r="AT120" s="303"/>
      <c r="AU120">
        <v>113</v>
      </c>
      <c r="AV120" s="303"/>
      <c r="AW120" s="302"/>
      <c r="AX120" s="302"/>
      <c r="AY120" s="302"/>
      <c r="AZ120" s="303"/>
      <c r="BA120" s="302"/>
      <c r="BB120" s="302"/>
      <c r="BC120" s="302"/>
      <c r="BD120" s="302"/>
      <c r="BE120" s="302"/>
      <c r="BF120" s="302"/>
      <c r="BG120" s="302"/>
      <c r="BH120" s="302"/>
      <c r="BI120" s="302"/>
      <c r="BJ120" s="302"/>
      <c r="BM120">
        <v>-1</v>
      </c>
      <c r="BS120">
        <v>64.2</v>
      </c>
      <c r="BY120">
        <v>51</v>
      </c>
      <c r="CA120">
        <v>17.600000000000001</v>
      </c>
      <c r="CC120">
        <v>19</v>
      </c>
      <c r="CI120">
        <v>7.5</v>
      </c>
      <c r="CO120" t="s">
        <v>8698</v>
      </c>
      <c r="CR120">
        <v>1</v>
      </c>
      <c r="CT120" s="304" t="s">
        <v>11678</v>
      </c>
    </row>
    <row r="121" spans="1:98" s="304" customFormat="1">
      <c r="A121" s="304" t="s">
        <v>8506</v>
      </c>
      <c r="B121" s="463">
        <v>67</v>
      </c>
      <c r="C121" s="296" t="s">
        <v>7685</v>
      </c>
      <c r="D121" s="296" t="s">
        <v>7515</v>
      </c>
      <c r="E121" s="296" t="s">
        <v>7685</v>
      </c>
      <c r="F121" s="296"/>
      <c r="G121" s="296" t="s">
        <v>8506</v>
      </c>
      <c r="H121" s="297" t="s">
        <v>8696</v>
      </c>
      <c r="I121" s="297">
        <v>2</v>
      </c>
      <c r="J121" s="297">
        <v>2191</v>
      </c>
      <c r="K121" s="299"/>
      <c r="L121" s="299"/>
      <c r="M121" s="299">
        <v>19</v>
      </c>
      <c r="N121" s="299">
        <v>10</v>
      </c>
      <c r="O121" s="300">
        <v>48</v>
      </c>
      <c r="P121" s="301">
        <v>42090</v>
      </c>
      <c r="Q121" s="302"/>
      <c r="R121" s="303"/>
      <c r="S121" s="289">
        <v>4.9000000000000004</v>
      </c>
      <c r="T121" s="303">
        <v>42208</v>
      </c>
      <c r="U121" s="302"/>
      <c r="V121" s="303"/>
      <c r="W121" s="302"/>
      <c r="X121" s="303"/>
      <c r="Y121" s="302">
        <v>16.86</v>
      </c>
      <c r="Z121" s="303">
        <v>42208</v>
      </c>
      <c r="AA121">
        <v>14.4</v>
      </c>
      <c r="AB121" s="303"/>
      <c r="AC121" s="302"/>
      <c r="AD121" s="303"/>
      <c r="AE121" s="302"/>
      <c r="AF121" s="303"/>
      <c r="AG121">
        <v>58137.421383647794</v>
      </c>
      <c r="AH121" s="521">
        <f>(AK121*10000)/AM121</f>
        <v>58137.421383647794</v>
      </c>
      <c r="AI121" s="302"/>
      <c r="AJ121" s="303"/>
      <c r="AK121">
        <v>30.812833333333334</v>
      </c>
      <c r="AL121" s="521"/>
      <c r="AM121">
        <v>5.3</v>
      </c>
      <c r="AN121" s="303">
        <v>42244</v>
      </c>
      <c r="AO121">
        <v>140</v>
      </c>
      <c r="AP121" s="303">
        <v>42170</v>
      </c>
      <c r="AQ121" s="302"/>
      <c r="AR121" s="303"/>
      <c r="AS121" s="302"/>
      <c r="AT121" s="303"/>
      <c r="AU121">
        <v>110</v>
      </c>
      <c r="AV121" s="303"/>
      <c r="AW121" s="302"/>
      <c r="AX121" s="302"/>
      <c r="AY121" s="302"/>
      <c r="AZ121" s="303"/>
      <c r="BA121" s="302"/>
      <c r="BB121" s="302"/>
      <c r="BC121" s="302"/>
      <c r="BD121" s="302"/>
      <c r="BE121" s="302"/>
      <c r="BF121" s="302"/>
      <c r="BG121" s="302"/>
      <c r="BH121" s="302"/>
      <c r="BI121" s="302"/>
      <c r="BJ121" s="302"/>
      <c r="BM121">
        <v>-3.1</v>
      </c>
      <c r="BS121">
        <v>64.2</v>
      </c>
      <c r="BY121">
        <v>48.8</v>
      </c>
      <c r="CA121">
        <v>20.100000000000001</v>
      </c>
      <c r="CC121">
        <v>20.8</v>
      </c>
      <c r="CI121">
        <v>7.6</v>
      </c>
      <c r="CO121" t="s">
        <v>8698</v>
      </c>
      <c r="CR121">
        <v>1</v>
      </c>
      <c r="CT121" s="304" t="s">
        <v>11678</v>
      </c>
    </row>
    <row r="122" spans="1:98" s="304" customFormat="1">
      <c r="A122" s="304" t="s">
        <v>8506</v>
      </c>
      <c r="B122" s="463">
        <v>153</v>
      </c>
      <c r="C122" s="296" t="s">
        <v>7781</v>
      </c>
      <c r="D122" s="296" t="s">
        <v>7582</v>
      </c>
      <c r="E122" s="296" t="s">
        <v>7781</v>
      </c>
      <c r="F122" s="296"/>
      <c r="G122" s="296" t="s">
        <v>8506</v>
      </c>
      <c r="H122" s="297" t="s">
        <v>8696</v>
      </c>
      <c r="I122" s="297">
        <v>2</v>
      </c>
      <c r="J122" s="297">
        <v>271</v>
      </c>
      <c r="K122" s="299"/>
      <c r="L122" s="299"/>
      <c r="M122" s="299">
        <v>19</v>
      </c>
      <c r="N122" s="299">
        <v>8</v>
      </c>
      <c r="O122" s="300">
        <v>46</v>
      </c>
      <c r="P122" s="301">
        <v>42090</v>
      </c>
      <c r="Q122" s="302"/>
      <c r="R122" s="303"/>
      <c r="S122" s="289">
        <v>6.4</v>
      </c>
      <c r="T122" s="303">
        <v>42208</v>
      </c>
      <c r="U122" s="302"/>
      <c r="V122" s="303"/>
      <c r="W122" s="302"/>
      <c r="X122" s="303"/>
      <c r="Y122" s="302">
        <v>22.75</v>
      </c>
      <c r="Z122" s="303">
        <v>42208</v>
      </c>
      <c r="AA122">
        <v>14.4</v>
      </c>
      <c r="AB122" s="303"/>
      <c r="AC122" s="302"/>
      <c r="AD122" s="303"/>
      <c r="AE122" s="302"/>
      <c r="AF122" s="303"/>
      <c r="AG122">
        <v>90740.740740740745</v>
      </c>
      <c r="AH122" s="521">
        <f>(AK122*10000)/AM122</f>
        <v>90740.740740740745</v>
      </c>
      <c r="AI122" s="302"/>
      <c r="AJ122" s="303"/>
      <c r="AK122">
        <v>43.555555555555557</v>
      </c>
      <c r="AL122" s="521"/>
      <c r="AM122">
        <v>4.8</v>
      </c>
      <c r="AN122" s="303">
        <v>42244</v>
      </c>
      <c r="AO122">
        <v>140</v>
      </c>
      <c r="AP122" s="303">
        <v>42170</v>
      </c>
      <c r="AQ122" s="302"/>
      <c r="AR122" s="303"/>
      <c r="AS122" s="302"/>
      <c r="AT122" s="303"/>
      <c r="AU122">
        <v>104</v>
      </c>
      <c r="AV122" s="303"/>
      <c r="AW122" s="302"/>
      <c r="AX122" s="302"/>
      <c r="AY122" s="302"/>
      <c r="AZ122" s="303"/>
      <c r="BA122" s="302"/>
      <c r="BB122" s="302"/>
      <c r="BC122" s="302"/>
      <c r="BD122" s="302"/>
      <c r="BE122" s="302"/>
      <c r="BF122" s="302"/>
      <c r="BG122" s="302"/>
      <c r="BH122" s="302"/>
      <c r="BI122" s="302"/>
      <c r="BJ122" s="302"/>
      <c r="BM122">
        <v>-1.5</v>
      </c>
      <c r="BS122">
        <v>61.9</v>
      </c>
      <c r="BY122">
        <v>51.2</v>
      </c>
      <c r="CA122">
        <v>17.5</v>
      </c>
      <c r="CC122">
        <v>19.600000000000001</v>
      </c>
      <c r="CI122"/>
      <c r="CO122" t="s">
        <v>8698</v>
      </c>
      <c r="CR122">
        <v>1</v>
      </c>
      <c r="CT122" s="304" t="s">
        <v>11678</v>
      </c>
    </row>
    <row r="123" spans="1:98" s="304" customFormat="1">
      <c r="A123" s="304" t="s">
        <v>8506</v>
      </c>
      <c r="B123" s="463">
        <v>154</v>
      </c>
      <c r="C123" s="296" t="s">
        <v>7782</v>
      </c>
      <c r="D123" s="296" t="s">
        <v>7583</v>
      </c>
      <c r="E123" s="296" t="s">
        <v>7782</v>
      </c>
      <c r="F123" s="296"/>
      <c r="G123" s="296" t="s">
        <v>8506</v>
      </c>
      <c r="H123" s="297" t="s">
        <v>8697</v>
      </c>
      <c r="I123" s="297">
        <v>1</v>
      </c>
      <c r="J123" s="297">
        <v>111</v>
      </c>
      <c r="K123" s="299"/>
      <c r="L123" s="299"/>
      <c r="M123" s="299">
        <v>19</v>
      </c>
      <c r="N123" s="299">
        <v>1</v>
      </c>
      <c r="O123" s="300">
        <v>42</v>
      </c>
      <c r="P123" s="301">
        <v>42090</v>
      </c>
      <c r="Q123" s="302"/>
      <c r="R123" s="303"/>
      <c r="S123" s="289">
        <v>5.55</v>
      </c>
      <c r="T123" s="303">
        <v>42208</v>
      </c>
      <c r="U123" s="302"/>
      <c r="V123" s="303"/>
      <c r="W123" s="302"/>
      <c r="X123" s="303"/>
      <c r="Y123" s="302">
        <v>21.74</v>
      </c>
      <c r="Z123" s="303">
        <v>42208</v>
      </c>
      <c r="AA123">
        <v>14.4</v>
      </c>
      <c r="AB123" s="303"/>
      <c r="AC123" s="302"/>
      <c r="AD123" s="303"/>
      <c r="AE123" s="302"/>
      <c r="AF123" s="303"/>
      <c r="AG123">
        <v>65049.768518518511</v>
      </c>
      <c r="AH123" s="521">
        <f>(AK123*10000)/AM123</f>
        <v>65049.768518518511</v>
      </c>
      <c r="AI123" s="302"/>
      <c r="AJ123" s="303"/>
      <c r="AK123">
        <v>35.126874999999998</v>
      </c>
      <c r="AL123" s="521"/>
      <c r="AM123">
        <v>5.4</v>
      </c>
      <c r="AN123" s="303">
        <v>42244</v>
      </c>
      <c r="AO123">
        <v>135</v>
      </c>
      <c r="AP123" s="303">
        <v>42170</v>
      </c>
      <c r="AQ123" s="302"/>
      <c r="AR123" s="303"/>
      <c r="AS123" s="302"/>
      <c r="AT123" s="303"/>
      <c r="AU123">
        <v>108</v>
      </c>
      <c r="AV123" s="303"/>
      <c r="AW123" s="302"/>
      <c r="AX123" s="302"/>
      <c r="AY123" s="302"/>
      <c r="AZ123" s="303"/>
      <c r="BA123" s="302"/>
      <c r="BB123" s="302"/>
      <c r="BC123" s="302"/>
      <c r="BD123" s="302"/>
      <c r="BE123" s="302"/>
      <c r="BF123" s="302"/>
      <c r="BG123" s="302"/>
      <c r="BH123" s="302"/>
      <c r="BI123" s="302"/>
      <c r="BJ123" s="302"/>
      <c r="BM123">
        <v>-5.0999999999999996</v>
      </c>
      <c r="BS123">
        <v>64.400000000000006</v>
      </c>
      <c r="BY123">
        <v>55.2</v>
      </c>
      <c r="CA123">
        <v>12.8</v>
      </c>
      <c r="CC123">
        <v>16.100000000000001</v>
      </c>
      <c r="CI123">
        <v>7</v>
      </c>
      <c r="CO123" t="s">
        <v>8698</v>
      </c>
      <c r="CR123">
        <v>2</v>
      </c>
      <c r="CT123" s="304" t="s">
        <v>11678</v>
      </c>
    </row>
    <row r="124" spans="1:98" s="304" customFormat="1">
      <c r="A124" s="304" t="s">
        <v>8506</v>
      </c>
      <c r="B124" s="463">
        <v>157</v>
      </c>
      <c r="C124" s="296" t="s">
        <v>7785</v>
      </c>
      <c r="D124" s="296" t="s">
        <v>7586</v>
      </c>
      <c r="E124" s="296" t="s">
        <v>7785</v>
      </c>
      <c r="F124" s="296"/>
      <c r="G124" s="296" t="s">
        <v>8506</v>
      </c>
      <c r="H124" s="297" t="s">
        <v>8697</v>
      </c>
      <c r="I124" s="297">
        <v>1</v>
      </c>
      <c r="J124" s="297">
        <v>1311</v>
      </c>
      <c r="K124" s="299"/>
      <c r="L124" s="299"/>
      <c r="M124" s="299">
        <v>19</v>
      </c>
      <c r="N124" s="299">
        <v>6</v>
      </c>
      <c r="O124" s="300">
        <v>28</v>
      </c>
      <c r="P124" s="301">
        <v>42090</v>
      </c>
      <c r="Q124" s="302"/>
      <c r="R124" s="303"/>
      <c r="S124" s="289">
        <v>6</v>
      </c>
      <c r="T124" s="303">
        <v>42208</v>
      </c>
      <c r="U124" s="302"/>
      <c r="V124" s="303"/>
      <c r="W124" s="302"/>
      <c r="X124" s="303"/>
      <c r="Y124" s="302">
        <v>22.51</v>
      </c>
      <c r="Z124" s="303">
        <v>42208</v>
      </c>
      <c r="AA124">
        <v>14.4</v>
      </c>
      <c r="AB124" s="303"/>
      <c r="AC124" s="302"/>
      <c r="AD124" s="303"/>
      <c r="AE124" s="302"/>
      <c r="AF124" s="303"/>
      <c r="AG124">
        <v>71882.075471698103</v>
      </c>
      <c r="AH124" s="521">
        <f>(AK124*10000)/AM124</f>
        <v>71882.075471698103</v>
      </c>
      <c r="AI124" s="302"/>
      <c r="AJ124" s="303"/>
      <c r="AK124">
        <v>38.097499999999997</v>
      </c>
      <c r="AL124" s="521"/>
      <c r="AM124">
        <v>5.3</v>
      </c>
      <c r="AN124" s="303">
        <v>42244</v>
      </c>
      <c r="AO124">
        <v>155</v>
      </c>
      <c r="AP124" s="303">
        <v>42170</v>
      </c>
      <c r="AQ124" s="302"/>
      <c r="AR124" s="303"/>
      <c r="AS124" s="302"/>
      <c r="AT124" s="303"/>
      <c r="AU124">
        <v>108</v>
      </c>
      <c r="AV124" s="303"/>
      <c r="AW124" s="302"/>
      <c r="AX124" s="302"/>
      <c r="AY124" s="302"/>
      <c r="AZ124" s="303"/>
      <c r="BA124" s="302"/>
      <c r="BB124" s="302"/>
      <c r="BC124" s="302"/>
      <c r="BD124" s="302"/>
      <c r="BE124" s="302"/>
      <c r="BF124" s="302"/>
      <c r="BG124" s="302"/>
      <c r="BH124" s="302"/>
      <c r="BI124" s="302"/>
      <c r="BJ124" s="302"/>
      <c r="BM124">
        <v>-2.7</v>
      </c>
      <c r="BS124">
        <v>61.2</v>
      </c>
      <c r="BY124">
        <v>52.7</v>
      </c>
      <c r="CA124">
        <v>18.100000000000001</v>
      </c>
      <c r="CC124">
        <v>13.3</v>
      </c>
      <c r="CI124">
        <v>6.7</v>
      </c>
      <c r="CO124" t="s">
        <v>8698</v>
      </c>
      <c r="CR124">
        <v>2</v>
      </c>
      <c r="CT124" s="304" t="s">
        <v>11678</v>
      </c>
    </row>
    <row r="125" spans="1:98" s="304" customFormat="1">
      <c r="A125" s="304" t="s">
        <v>8506</v>
      </c>
      <c r="B125" s="463">
        <v>163</v>
      </c>
      <c r="C125" s="296" t="s">
        <v>7791</v>
      </c>
      <c r="D125" s="296" t="s">
        <v>7592</v>
      </c>
      <c r="E125" s="296" t="s">
        <v>7791</v>
      </c>
      <c r="F125" s="296"/>
      <c r="G125" s="296" t="s">
        <v>8506</v>
      </c>
      <c r="H125" s="297" t="s">
        <v>8697</v>
      </c>
      <c r="I125" s="297">
        <v>1</v>
      </c>
      <c r="J125" s="297">
        <v>1191</v>
      </c>
      <c r="K125" s="299"/>
      <c r="L125" s="299"/>
      <c r="M125" s="299">
        <v>19</v>
      </c>
      <c r="N125" s="299">
        <v>4</v>
      </c>
      <c r="O125" s="300">
        <v>60</v>
      </c>
      <c r="P125" s="301">
        <v>42090</v>
      </c>
      <c r="Q125" s="302"/>
      <c r="R125" s="303"/>
      <c r="S125" s="289">
        <v>4.75</v>
      </c>
      <c r="T125" s="303">
        <v>42208</v>
      </c>
      <c r="U125" s="302"/>
      <c r="V125" s="303"/>
      <c r="W125" s="302"/>
      <c r="X125" s="303"/>
      <c r="Y125" s="302">
        <v>18.14</v>
      </c>
      <c r="Z125" s="303">
        <v>42208</v>
      </c>
      <c r="AA125">
        <v>14.4</v>
      </c>
      <c r="AB125" s="303"/>
      <c r="AC125" s="302"/>
      <c r="AD125" s="303"/>
      <c r="AE125" s="302"/>
      <c r="AF125" s="303"/>
      <c r="AG125">
        <v>66807.87037037038</v>
      </c>
      <c r="AH125" s="521">
        <f>(AK125*10000)/AM125</f>
        <v>66807.87037037038</v>
      </c>
      <c r="AI125" s="302"/>
      <c r="AJ125" s="303"/>
      <c r="AK125">
        <v>30.063541666666666</v>
      </c>
      <c r="AL125" s="521"/>
      <c r="AM125">
        <v>4.5</v>
      </c>
      <c r="AN125" s="303">
        <v>42244</v>
      </c>
      <c r="AO125">
        <v>135</v>
      </c>
      <c r="AP125" s="303">
        <v>42170</v>
      </c>
      <c r="AQ125" s="302"/>
      <c r="AR125" s="303"/>
      <c r="AS125" s="302"/>
      <c r="AT125" s="303"/>
      <c r="AU125">
        <v>106</v>
      </c>
      <c r="AV125" s="303"/>
      <c r="AW125" s="302"/>
      <c r="AX125" s="302"/>
      <c r="AY125" s="302"/>
      <c r="AZ125" s="303"/>
      <c r="BA125" s="302"/>
      <c r="BB125" s="302"/>
      <c r="BC125" s="302"/>
      <c r="BD125" s="302"/>
      <c r="BE125" s="302"/>
      <c r="BF125" s="302"/>
      <c r="BG125" s="302"/>
      <c r="BH125" s="302"/>
      <c r="BI125" s="302"/>
      <c r="BJ125" s="302"/>
      <c r="BM125">
        <v>-6.9</v>
      </c>
      <c r="BS125">
        <v>66.3</v>
      </c>
      <c r="BY125">
        <v>53.8</v>
      </c>
      <c r="CA125">
        <v>14.6</v>
      </c>
      <c r="CC125">
        <v>18.100000000000001</v>
      </c>
      <c r="CI125">
        <v>7</v>
      </c>
      <c r="CO125" t="s">
        <v>8698</v>
      </c>
      <c r="CR125">
        <v>1</v>
      </c>
      <c r="CT125" s="304" t="s">
        <v>11678</v>
      </c>
    </row>
    <row r="126" spans="1:98" s="304" customFormat="1">
      <c r="A126" s="304" t="s">
        <v>8506</v>
      </c>
      <c r="B126" s="463">
        <v>169</v>
      </c>
      <c r="C126" s="296" t="s">
        <v>7797</v>
      </c>
      <c r="D126" s="296" t="s">
        <v>7598</v>
      </c>
      <c r="E126" s="296" t="s">
        <v>7797</v>
      </c>
      <c r="F126" s="296"/>
      <c r="G126" s="296" t="s">
        <v>8506</v>
      </c>
      <c r="H126" s="297" t="s">
        <v>8696</v>
      </c>
      <c r="I126" s="297">
        <v>2</v>
      </c>
      <c r="J126" s="297">
        <v>2251</v>
      </c>
      <c r="K126" s="299"/>
      <c r="L126" s="299"/>
      <c r="M126" s="299">
        <v>19</v>
      </c>
      <c r="N126" s="299">
        <v>11</v>
      </c>
      <c r="O126" s="300">
        <v>30</v>
      </c>
      <c r="P126" s="301">
        <v>42090</v>
      </c>
      <c r="Q126" s="302"/>
      <c r="R126" s="303"/>
      <c r="S126" s="289">
        <v>6.3</v>
      </c>
      <c r="T126" s="303">
        <v>42208</v>
      </c>
      <c r="U126" s="302"/>
      <c r="V126" s="303"/>
      <c r="W126" s="302"/>
      <c r="X126" s="303"/>
      <c r="Y126" s="302">
        <v>22.5</v>
      </c>
      <c r="Z126" s="303">
        <v>42208</v>
      </c>
      <c r="AA126">
        <v>14.4</v>
      </c>
      <c r="AB126" s="303"/>
      <c r="AC126" s="302"/>
      <c r="AD126" s="303"/>
      <c r="AE126" s="302"/>
      <c r="AF126" s="303"/>
      <c r="AG126">
        <v>79147.249999999985</v>
      </c>
      <c r="AH126" s="521">
        <f>(AK126*10000)/AM126</f>
        <v>79147.249999999985</v>
      </c>
      <c r="AI126" s="302"/>
      <c r="AJ126" s="303"/>
      <c r="AK126">
        <v>39.573624999999993</v>
      </c>
      <c r="AL126" s="521"/>
      <c r="AM126">
        <v>5</v>
      </c>
      <c r="AN126" s="303">
        <v>42244</v>
      </c>
      <c r="AO126">
        <v>140</v>
      </c>
      <c r="AP126" s="303">
        <v>42170</v>
      </c>
      <c r="AQ126" s="302"/>
      <c r="AR126" s="303"/>
      <c r="AS126" s="302"/>
      <c r="AT126" s="303"/>
      <c r="AU126">
        <v>111</v>
      </c>
      <c r="AV126" s="303"/>
      <c r="AW126" s="302"/>
      <c r="AX126" s="302"/>
      <c r="AY126" s="302"/>
      <c r="AZ126" s="303"/>
      <c r="BA126" s="302"/>
      <c r="BB126" s="302"/>
      <c r="BC126" s="302"/>
      <c r="BD126" s="302"/>
      <c r="BE126" s="302"/>
      <c r="BF126" s="302"/>
      <c r="BG126" s="302"/>
      <c r="BH126" s="302"/>
      <c r="BI126" s="302"/>
      <c r="BJ126" s="302"/>
      <c r="BM126">
        <v>-1.5</v>
      </c>
      <c r="BS126">
        <v>63.4</v>
      </c>
      <c r="BY126">
        <v>50.7</v>
      </c>
      <c r="CA126">
        <v>16.899999999999999</v>
      </c>
      <c r="CC126">
        <v>17.2</v>
      </c>
      <c r="CI126">
        <v>7.7</v>
      </c>
      <c r="CO126" t="s">
        <v>8698</v>
      </c>
      <c r="CR126">
        <v>2</v>
      </c>
      <c r="CT126" s="304" t="s">
        <v>11678</v>
      </c>
    </row>
    <row r="127" spans="1:98" s="304" customFormat="1">
      <c r="A127" s="304" t="s">
        <v>8506</v>
      </c>
      <c r="B127" s="463">
        <v>175</v>
      </c>
      <c r="C127" s="296" t="s">
        <v>7803</v>
      </c>
      <c r="D127" s="296" t="s">
        <v>7844</v>
      </c>
      <c r="E127" s="296" t="s">
        <v>7803</v>
      </c>
      <c r="F127" s="296"/>
      <c r="G127" s="296" t="s">
        <v>8506</v>
      </c>
      <c r="H127" s="297" t="s">
        <v>8696</v>
      </c>
      <c r="I127" s="297">
        <v>2</v>
      </c>
      <c r="J127" s="297">
        <v>2131</v>
      </c>
      <c r="K127" s="299"/>
      <c r="L127" s="299"/>
      <c r="M127" s="299">
        <v>19</v>
      </c>
      <c r="N127" s="299">
        <v>9</v>
      </c>
      <c r="O127" s="300">
        <v>50</v>
      </c>
      <c r="P127" s="301">
        <v>42090</v>
      </c>
      <c r="Q127" s="302"/>
      <c r="R127" s="303"/>
      <c r="S127" s="289">
        <v>6.85</v>
      </c>
      <c r="T127" s="303">
        <v>42208</v>
      </c>
      <c r="U127" s="302"/>
      <c r="V127" s="303"/>
      <c r="W127" s="302"/>
      <c r="X127" s="303"/>
      <c r="Y127" s="302">
        <v>24.21</v>
      </c>
      <c r="Z127" s="303">
        <v>42208</v>
      </c>
      <c r="AA127">
        <v>14.4</v>
      </c>
      <c r="AB127" s="303"/>
      <c r="AC127" s="302"/>
      <c r="AD127" s="303"/>
      <c r="AE127" s="302"/>
      <c r="AF127" s="303"/>
      <c r="AG127">
        <v>84186.723856209137</v>
      </c>
      <c r="AH127" s="521">
        <f>(AK127*10000)/AM127</f>
        <v>84186.723856209137</v>
      </c>
      <c r="AI127" s="302"/>
      <c r="AJ127" s="303"/>
      <c r="AK127">
        <v>42.935229166666659</v>
      </c>
      <c r="AL127" s="521"/>
      <c r="AM127">
        <v>5.0999999999999996</v>
      </c>
      <c r="AN127" s="303">
        <v>42244</v>
      </c>
      <c r="AO127">
        <v>125</v>
      </c>
      <c r="AP127" s="303">
        <v>42170</v>
      </c>
      <c r="AQ127" s="302"/>
      <c r="AR127" s="303"/>
      <c r="AS127" s="302"/>
      <c r="AT127" s="303"/>
      <c r="AU127">
        <v>106</v>
      </c>
      <c r="AV127" s="303"/>
      <c r="AW127" s="302"/>
      <c r="AX127" s="302"/>
      <c r="AY127" s="302"/>
      <c r="AZ127" s="303"/>
      <c r="BA127" s="302"/>
      <c r="BB127" s="302"/>
      <c r="BC127" s="302"/>
      <c r="BD127" s="302"/>
      <c r="BE127" s="302"/>
      <c r="BF127" s="302"/>
      <c r="BG127" s="302"/>
      <c r="BH127" s="302"/>
      <c r="BI127" s="302"/>
      <c r="BJ127" s="302"/>
      <c r="BM127">
        <v>-0.4</v>
      </c>
      <c r="BS127">
        <v>60.6</v>
      </c>
      <c r="BY127">
        <v>50.3</v>
      </c>
      <c r="CA127">
        <v>18.600000000000001</v>
      </c>
      <c r="CC127">
        <v>15.9</v>
      </c>
      <c r="CI127">
        <v>7.9</v>
      </c>
      <c r="CO127" t="s">
        <v>8698</v>
      </c>
      <c r="CR127">
        <v>1</v>
      </c>
      <c r="CT127" s="304" t="s">
        <v>11678</v>
      </c>
    </row>
    <row r="128" spans="1:98" s="304" customFormat="1">
      <c r="A128" s="304" t="s">
        <v>8506</v>
      </c>
      <c r="B128" s="463">
        <v>178</v>
      </c>
      <c r="C128" s="296" t="s">
        <v>7806</v>
      </c>
      <c r="D128" s="296" t="s">
        <v>7603</v>
      </c>
      <c r="E128" s="296" t="s">
        <v>7806</v>
      </c>
      <c r="F128" s="296"/>
      <c r="G128" s="296" t="s">
        <v>8506</v>
      </c>
      <c r="H128" s="297" t="s">
        <v>8696</v>
      </c>
      <c r="I128" s="297">
        <v>2</v>
      </c>
      <c r="J128" s="297">
        <v>2311</v>
      </c>
      <c r="K128" s="299"/>
      <c r="L128" s="299"/>
      <c r="M128" s="299">
        <v>19</v>
      </c>
      <c r="N128" s="299">
        <v>12</v>
      </c>
      <c r="O128" s="300">
        <v>45</v>
      </c>
      <c r="P128" s="301">
        <v>42090</v>
      </c>
      <c r="Q128" s="302"/>
      <c r="R128" s="303"/>
      <c r="S128" s="289">
        <v>6.1</v>
      </c>
      <c r="T128" s="303">
        <v>42208</v>
      </c>
      <c r="U128" s="302"/>
      <c r="V128" s="303"/>
      <c r="W128" s="302"/>
      <c r="X128" s="303"/>
      <c r="Y128" s="302">
        <v>20.82</v>
      </c>
      <c r="Z128" s="303">
        <v>42208</v>
      </c>
      <c r="AA128">
        <v>14.4</v>
      </c>
      <c r="AB128" s="303"/>
      <c r="AC128" s="302"/>
      <c r="AD128" s="303"/>
      <c r="AE128" s="302"/>
      <c r="AF128" s="303"/>
      <c r="AG128">
        <v>78113.888888888876</v>
      </c>
      <c r="AH128" s="521">
        <f>(AK128*10000)/AM128</f>
        <v>78113.888888888876</v>
      </c>
      <c r="AI128" s="302"/>
      <c r="AJ128" s="303"/>
      <c r="AK128">
        <v>38.27580555555555</v>
      </c>
      <c r="AL128" s="521"/>
      <c r="AM128">
        <v>4.9000000000000004</v>
      </c>
      <c r="AN128" s="303">
        <v>42244</v>
      </c>
      <c r="AO128">
        <v>125</v>
      </c>
      <c r="AP128" s="303">
        <v>42170</v>
      </c>
      <c r="AQ128" s="302"/>
      <c r="AR128" s="303"/>
      <c r="AS128" s="302"/>
      <c r="AT128" s="303"/>
      <c r="AU128">
        <v>108</v>
      </c>
      <c r="AV128" s="303"/>
      <c r="AW128" s="302"/>
      <c r="AX128" s="302"/>
      <c r="AY128" s="302"/>
      <c r="AZ128" s="303"/>
      <c r="BA128" s="302"/>
      <c r="BB128" s="302"/>
      <c r="BC128" s="302"/>
      <c r="BD128" s="302"/>
      <c r="BE128" s="302"/>
      <c r="BF128" s="302"/>
      <c r="BG128" s="302"/>
      <c r="BH128" s="302"/>
      <c r="BI128" s="302"/>
      <c r="BJ128" s="302"/>
      <c r="BM128">
        <v>-0.2</v>
      </c>
      <c r="BS128">
        <v>59.7</v>
      </c>
      <c r="BY128">
        <v>48.5</v>
      </c>
      <c r="CA128">
        <v>19.8</v>
      </c>
      <c r="CC128">
        <v>14.5</v>
      </c>
      <c r="CI128">
        <v>7.8</v>
      </c>
      <c r="CO128" t="s">
        <v>8698</v>
      </c>
      <c r="CR128">
        <v>2</v>
      </c>
      <c r="CT128" s="304" t="s">
        <v>11678</v>
      </c>
    </row>
    <row r="129" spans="1:98" s="304" customFormat="1">
      <c r="A129" s="304" t="s">
        <v>8506</v>
      </c>
      <c r="B129" s="463">
        <v>25</v>
      </c>
      <c r="C129" s="296" t="s">
        <v>7637</v>
      </c>
      <c r="D129" s="296" t="s">
        <v>7473</v>
      </c>
      <c r="E129" s="296" t="s">
        <v>7637</v>
      </c>
      <c r="F129" s="296"/>
      <c r="G129" s="296" t="s">
        <v>8506</v>
      </c>
      <c r="H129" s="297" t="s">
        <v>8697</v>
      </c>
      <c r="I129" s="297">
        <v>1</v>
      </c>
      <c r="J129" s="297">
        <v>1192</v>
      </c>
      <c r="K129" s="299"/>
      <c r="L129" s="299"/>
      <c r="M129" s="299">
        <v>20</v>
      </c>
      <c r="N129" s="299">
        <v>4</v>
      </c>
      <c r="O129" s="300">
        <v>30</v>
      </c>
      <c r="P129" s="301">
        <v>42090</v>
      </c>
      <c r="Q129" s="302"/>
      <c r="R129" s="303"/>
      <c r="S129" s="289">
        <v>3.2</v>
      </c>
      <c r="T129" s="303">
        <v>42208</v>
      </c>
      <c r="U129" s="302"/>
      <c r="V129" s="303"/>
      <c r="W129" s="302"/>
      <c r="X129" s="303"/>
      <c r="Y129" s="302">
        <v>11.2</v>
      </c>
      <c r="Z129" s="303">
        <v>42208</v>
      </c>
      <c r="AA129">
        <v>14.4</v>
      </c>
      <c r="AB129" s="303"/>
      <c r="AC129" s="302"/>
      <c r="AD129" s="303"/>
      <c r="AE129" s="302"/>
      <c r="AF129" s="303"/>
      <c r="AG129">
        <v>39328.104575163401</v>
      </c>
      <c r="AH129" s="521">
        <f>(AK129*10000)/AM129</f>
        <v>39328.104575163401</v>
      </c>
      <c r="AI129" s="302"/>
      <c r="AJ129" s="303"/>
      <c r="AK129">
        <v>20.057333333333332</v>
      </c>
      <c r="AL129" s="521"/>
      <c r="AM129">
        <v>5.0999999999999996</v>
      </c>
      <c r="AN129" s="303">
        <v>42244</v>
      </c>
      <c r="AO129">
        <v>145</v>
      </c>
      <c r="AP129" s="303">
        <v>42170</v>
      </c>
      <c r="AQ129" s="302"/>
      <c r="AR129" s="303"/>
      <c r="AS129" s="302"/>
      <c r="AT129" s="303"/>
      <c r="AU129">
        <v>111</v>
      </c>
      <c r="AV129" s="303"/>
      <c r="AW129" s="302"/>
      <c r="AX129" s="302"/>
      <c r="AY129" s="302"/>
      <c r="AZ129" s="303"/>
      <c r="BA129" s="302"/>
      <c r="BB129" s="302"/>
      <c r="BC129" s="302"/>
      <c r="BD129" s="302"/>
      <c r="BE129" s="302"/>
      <c r="BF129" s="302"/>
      <c r="BG129" s="302"/>
      <c r="BH129" s="302"/>
      <c r="BI129" s="302"/>
      <c r="BJ129" s="302"/>
      <c r="BM129">
        <v>3.2</v>
      </c>
      <c r="BS129">
        <v>54.1</v>
      </c>
      <c r="BY129">
        <v>49.8</v>
      </c>
      <c r="CA129">
        <v>18</v>
      </c>
      <c r="CC129">
        <v>65.3</v>
      </c>
      <c r="CI129">
        <v>7.9</v>
      </c>
      <c r="CO129" t="s">
        <v>8698</v>
      </c>
      <c r="CR129">
        <v>2</v>
      </c>
      <c r="CT129" s="304" t="s">
        <v>11678</v>
      </c>
    </row>
    <row r="130" spans="1:98" s="304" customFormat="1">
      <c r="A130" s="304" t="s">
        <v>8506</v>
      </c>
      <c r="B130" s="463">
        <v>69</v>
      </c>
      <c r="C130" s="296" t="s">
        <v>7687</v>
      </c>
      <c r="D130" s="296" t="s">
        <v>7516</v>
      </c>
      <c r="E130" s="296" t="s">
        <v>7687</v>
      </c>
      <c r="F130" s="296"/>
      <c r="G130" s="296" t="s">
        <v>8506</v>
      </c>
      <c r="H130" s="297" t="s">
        <v>8696</v>
      </c>
      <c r="I130" s="297">
        <v>2</v>
      </c>
      <c r="J130" s="297">
        <v>272</v>
      </c>
      <c r="K130" s="299"/>
      <c r="L130" s="299"/>
      <c r="M130" s="299">
        <v>20</v>
      </c>
      <c r="N130" s="299">
        <v>8</v>
      </c>
      <c r="O130" s="300">
        <v>44</v>
      </c>
      <c r="P130" s="301">
        <v>42090</v>
      </c>
      <c r="Q130" s="302"/>
      <c r="R130" s="303"/>
      <c r="S130" s="289">
        <v>6.15</v>
      </c>
      <c r="T130" s="303">
        <v>42208</v>
      </c>
      <c r="U130" s="302"/>
      <c r="V130" s="303"/>
      <c r="W130" s="302"/>
      <c r="X130" s="303"/>
      <c r="Y130" s="302">
        <v>21.91</v>
      </c>
      <c r="Z130" s="303">
        <v>42208</v>
      </c>
      <c r="AA130">
        <v>14.4</v>
      </c>
      <c r="AB130" s="303"/>
      <c r="AC130" s="302"/>
      <c r="AD130" s="303"/>
      <c r="AE130" s="302"/>
      <c r="AF130" s="303"/>
      <c r="AG130">
        <v>76158.169934640537</v>
      </c>
      <c r="AH130" s="521">
        <f>(AK130*10000)/AM130</f>
        <v>76158.169934640537</v>
      </c>
      <c r="AI130" s="302"/>
      <c r="AJ130" s="303"/>
      <c r="AK130">
        <v>38.840666666666671</v>
      </c>
      <c r="AL130" s="521"/>
      <c r="AM130">
        <v>5.0999999999999996</v>
      </c>
      <c r="AN130" s="303">
        <v>42244</v>
      </c>
      <c r="AO130">
        <v>115</v>
      </c>
      <c r="AP130" s="303">
        <v>42170</v>
      </c>
      <c r="AQ130" s="302"/>
      <c r="AR130" s="303"/>
      <c r="AS130" s="302"/>
      <c r="AT130" s="303"/>
      <c r="AU130">
        <v>104</v>
      </c>
      <c r="AV130" s="303"/>
      <c r="AW130" s="302"/>
      <c r="AX130" s="302"/>
      <c r="AY130" s="302"/>
      <c r="AZ130" s="303"/>
      <c r="BA130" s="302"/>
      <c r="BB130" s="302"/>
      <c r="BC130" s="302"/>
      <c r="BD130" s="302"/>
      <c r="BE130" s="302"/>
      <c r="BF130" s="302"/>
      <c r="BG130" s="302"/>
      <c r="BH130" s="302"/>
      <c r="BI130" s="302"/>
      <c r="BJ130" s="302"/>
      <c r="BM130">
        <v>-1</v>
      </c>
      <c r="BS130">
        <v>60.9</v>
      </c>
      <c r="BY130">
        <v>50.3</v>
      </c>
      <c r="CA130">
        <v>19</v>
      </c>
      <c r="CC130">
        <v>18.899999999999999</v>
      </c>
      <c r="CI130">
        <v>7.2</v>
      </c>
      <c r="CO130" t="s">
        <v>8698</v>
      </c>
      <c r="CR130">
        <v>1</v>
      </c>
      <c r="CT130" s="304" t="s">
        <v>11678</v>
      </c>
    </row>
    <row r="131" spans="1:98" s="304" customFormat="1">
      <c r="A131" s="304" t="s">
        <v>8506</v>
      </c>
      <c r="B131" s="463">
        <v>77</v>
      </c>
      <c r="C131" s="296" t="s">
        <v>7695</v>
      </c>
      <c r="D131" s="296" t="s">
        <v>7524</v>
      </c>
      <c r="E131" s="296" t="s">
        <v>7695</v>
      </c>
      <c r="F131" s="296"/>
      <c r="G131" s="296" t="s">
        <v>8506</v>
      </c>
      <c r="H131" s="297" t="s">
        <v>8696</v>
      </c>
      <c r="I131" s="297">
        <v>2</v>
      </c>
      <c r="J131" s="297">
        <v>2132</v>
      </c>
      <c r="K131" s="299"/>
      <c r="L131" s="299"/>
      <c r="M131" s="299">
        <v>20</v>
      </c>
      <c r="N131" s="299">
        <v>9</v>
      </c>
      <c r="O131" s="300">
        <v>46</v>
      </c>
      <c r="P131" s="301">
        <v>42090</v>
      </c>
      <c r="Q131" s="302"/>
      <c r="R131" s="303"/>
      <c r="S131" s="289">
        <v>5.5</v>
      </c>
      <c r="T131" s="303">
        <v>42208</v>
      </c>
      <c r="U131" s="302"/>
      <c r="V131" s="303"/>
      <c r="W131" s="302"/>
      <c r="X131" s="303"/>
      <c r="Y131" s="302">
        <v>19.55</v>
      </c>
      <c r="Z131" s="303">
        <v>42208</v>
      </c>
      <c r="AA131">
        <v>14.4</v>
      </c>
      <c r="AB131" s="303"/>
      <c r="AC131" s="302"/>
      <c r="AD131" s="303"/>
      <c r="AE131" s="302"/>
      <c r="AF131" s="303"/>
      <c r="AG131">
        <v>69620.833333333343</v>
      </c>
      <c r="AH131" s="521">
        <f>(AK131*10000)/AM131</f>
        <v>69620.833333333343</v>
      </c>
      <c r="AI131" s="302"/>
      <c r="AJ131" s="303"/>
      <c r="AK131">
        <v>34.810416666666669</v>
      </c>
      <c r="AL131" s="521"/>
      <c r="AM131">
        <v>5</v>
      </c>
      <c r="AN131" s="303">
        <v>42244</v>
      </c>
      <c r="AO131">
        <v>120</v>
      </c>
      <c r="AP131" s="303">
        <v>42170</v>
      </c>
      <c r="AQ131" s="302"/>
      <c r="AR131" s="303"/>
      <c r="AS131" s="302"/>
      <c r="AT131" s="303"/>
      <c r="AU131">
        <v>112</v>
      </c>
      <c r="AV131" s="303"/>
      <c r="AW131" s="302"/>
      <c r="AX131" s="302"/>
      <c r="AY131" s="302"/>
      <c r="AZ131" s="303"/>
      <c r="BA131" s="302"/>
      <c r="BB131" s="302"/>
      <c r="BC131" s="302"/>
      <c r="BD131" s="302"/>
      <c r="BE131" s="302"/>
      <c r="BF131" s="302"/>
      <c r="BG131" s="302"/>
      <c r="BH131" s="302"/>
      <c r="BI131" s="302"/>
      <c r="BJ131" s="302"/>
      <c r="BM131">
        <v>0.6</v>
      </c>
      <c r="BS131">
        <v>59.8</v>
      </c>
      <c r="BY131">
        <v>50.1</v>
      </c>
      <c r="CA131">
        <v>18.7</v>
      </c>
      <c r="CC131">
        <v>15.8</v>
      </c>
      <c r="CI131">
        <v>7</v>
      </c>
      <c r="CO131" t="s">
        <v>8705</v>
      </c>
      <c r="CR131">
        <v>1</v>
      </c>
      <c r="CT131" s="304" t="s">
        <v>11678</v>
      </c>
    </row>
    <row r="132" spans="1:98" s="304" customFormat="1">
      <c r="A132" s="304" t="s">
        <v>8506</v>
      </c>
      <c r="B132" s="463">
        <v>136</v>
      </c>
      <c r="C132" s="296" t="s">
        <v>7764</v>
      </c>
      <c r="D132" s="296" t="s">
        <v>7569</v>
      </c>
      <c r="E132" s="296" t="s">
        <v>7764</v>
      </c>
      <c r="F132" s="296"/>
      <c r="G132" s="296" t="s">
        <v>8506</v>
      </c>
      <c r="H132" s="297" t="s">
        <v>8697</v>
      </c>
      <c r="I132" s="297">
        <v>1</v>
      </c>
      <c r="J132" s="297">
        <v>1252</v>
      </c>
      <c r="K132" s="299"/>
      <c r="L132" s="299"/>
      <c r="M132" s="299">
        <v>20</v>
      </c>
      <c r="N132" s="299">
        <v>5</v>
      </c>
      <c r="O132" s="300">
        <v>28</v>
      </c>
      <c r="P132" s="301">
        <v>42090</v>
      </c>
      <c r="Q132" s="302"/>
      <c r="R132" s="303"/>
      <c r="S132" s="289">
        <v>5.35</v>
      </c>
      <c r="T132" s="303">
        <v>42208</v>
      </c>
      <c r="U132" s="302"/>
      <c r="V132" s="303"/>
      <c r="W132" s="302"/>
      <c r="X132" s="303"/>
      <c r="Y132" s="302">
        <v>20.420000000000002</v>
      </c>
      <c r="Z132" s="303">
        <v>42208</v>
      </c>
      <c r="AA132">
        <v>14.4</v>
      </c>
      <c r="AB132" s="303"/>
      <c r="AC132" s="302"/>
      <c r="AD132" s="303"/>
      <c r="AE132" s="302"/>
      <c r="AF132" s="303"/>
      <c r="AG132">
        <v>70771.397569444438</v>
      </c>
      <c r="AH132" s="521">
        <f>(AK132*10000)/AM132</f>
        <v>70771.397569444438</v>
      </c>
      <c r="AI132" s="302"/>
      <c r="AJ132" s="303"/>
      <c r="AK132">
        <v>33.970270833333331</v>
      </c>
      <c r="AL132" s="521"/>
      <c r="AM132">
        <v>4.8</v>
      </c>
      <c r="AN132" s="303">
        <v>42244</v>
      </c>
      <c r="AO132">
        <v>130</v>
      </c>
      <c r="AP132" s="303">
        <v>42170</v>
      </c>
      <c r="AQ132" s="302"/>
      <c r="AR132" s="303"/>
      <c r="AS132" s="302"/>
      <c r="AT132" s="303"/>
      <c r="AU132">
        <v>111</v>
      </c>
      <c r="AV132" s="303"/>
      <c r="AW132" s="302"/>
      <c r="AX132" s="302"/>
      <c r="AY132" s="302"/>
      <c r="AZ132" s="303"/>
      <c r="BA132" s="302"/>
      <c r="BB132" s="302"/>
      <c r="BC132" s="302"/>
      <c r="BD132" s="302"/>
      <c r="BE132" s="302"/>
      <c r="BF132" s="302"/>
      <c r="BG132" s="302"/>
      <c r="BH132" s="302"/>
      <c r="BI132" s="302"/>
      <c r="BJ132" s="302"/>
      <c r="BM132">
        <v>-3.3</v>
      </c>
      <c r="BS132">
        <v>68.2</v>
      </c>
      <c r="BY132">
        <v>53.6</v>
      </c>
      <c r="CA132">
        <v>14.6</v>
      </c>
      <c r="CC132">
        <v>16.2</v>
      </c>
      <c r="CI132">
        <v>6.7</v>
      </c>
      <c r="CO132" t="s">
        <v>8698</v>
      </c>
      <c r="CR132">
        <v>3</v>
      </c>
      <c r="CT132" s="304" t="s">
        <v>11678</v>
      </c>
    </row>
    <row r="133" spans="1:98" s="304" customFormat="1">
      <c r="A133" s="304" t="s">
        <v>8506</v>
      </c>
      <c r="B133" s="463">
        <v>155</v>
      </c>
      <c r="C133" s="296" t="s">
        <v>7783</v>
      </c>
      <c r="D133" s="296" t="s">
        <v>7584</v>
      </c>
      <c r="E133" s="296" t="s">
        <v>7783</v>
      </c>
      <c r="F133" s="296"/>
      <c r="G133" s="296" t="s">
        <v>8506</v>
      </c>
      <c r="H133" s="297" t="s">
        <v>8697</v>
      </c>
      <c r="I133" s="297">
        <v>1</v>
      </c>
      <c r="J133" s="297">
        <v>1132</v>
      </c>
      <c r="K133" s="299"/>
      <c r="L133" s="299"/>
      <c r="M133" s="299">
        <v>20</v>
      </c>
      <c r="N133" s="299">
        <v>3</v>
      </c>
      <c r="O133" s="300">
        <v>32</v>
      </c>
      <c r="P133" s="301">
        <v>42090</v>
      </c>
      <c r="Q133" s="302"/>
      <c r="R133" s="303"/>
      <c r="S133" s="289">
        <v>5.9</v>
      </c>
      <c r="T133" s="303">
        <v>42208</v>
      </c>
      <c r="U133" s="302"/>
      <c r="V133" s="303"/>
      <c r="W133" s="302"/>
      <c r="X133" s="303"/>
      <c r="Y133" s="302">
        <v>22.72</v>
      </c>
      <c r="Z133" s="303">
        <v>42208</v>
      </c>
      <c r="AA133">
        <v>14.4</v>
      </c>
      <c r="AB133" s="303"/>
      <c r="AC133" s="302"/>
      <c r="AD133" s="303"/>
      <c r="AE133" s="302"/>
      <c r="AF133" s="303"/>
      <c r="AG133">
        <v>75880.555555555547</v>
      </c>
      <c r="AH133" s="521">
        <f>(AK133*10000)/AM133</f>
        <v>75880.555555555547</v>
      </c>
      <c r="AI133" s="302"/>
      <c r="AJ133" s="303"/>
      <c r="AK133">
        <v>37.181472222222219</v>
      </c>
      <c r="AL133" s="521"/>
      <c r="AM133">
        <v>4.9000000000000004</v>
      </c>
      <c r="AN133" s="303">
        <v>42244</v>
      </c>
      <c r="AO133">
        <v>125</v>
      </c>
      <c r="AP133" s="303">
        <v>42170</v>
      </c>
      <c r="AQ133" s="302"/>
      <c r="AR133" s="303"/>
      <c r="AS133" s="302"/>
      <c r="AT133" s="303"/>
      <c r="AU133">
        <v>107</v>
      </c>
      <c r="AV133" s="303"/>
      <c r="AW133" s="302"/>
      <c r="AX133" s="302"/>
      <c r="AY133" s="302"/>
      <c r="AZ133" s="303"/>
      <c r="BA133" s="302"/>
      <c r="BB133" s="302"/>
      <c r="BC133" s="302"/>
      <c r="BD133" s="302"/>
      <c r="BE133" s="302"/>
      <c r="BF133" s="302"/>
      <c r="BG133" s="302"/>
      <c r="BH133" s="302"/>
      <c r="BI133" s="302"/>
      <c r="BJ133" s="302"/>
      <c r="BM133">
        <v>-3.9</v>
      </c>
      <c r="BS133">
        <v>66</v>
      </c>
      <c r="BY133">
        <v>54.5</v>
      </c>
      <c r="CA133">
        <v>14.7</v>
      </c>
      <c r="CC133">
        <v>18.100000000000001</v>
      </c>
      <c r="CI133">
        <v>7.4</v>
      </c>
      <c r="CO133" t="s">
        <v>8698</v>
      </c>
      <c r="CR133">
        <v>2</v>
      </c>
      <c r="CT133" s="304" t="s">
        <v>11678</v>
      </c>
    </row>
    <row r="134" spans="1:98" s="304" customFormat="1">
      <c r="A134" s="304" t="s">
        <v>8506</v>
      </c>
      <c r="B134" s="523">
        <v>360</v>
      </c>
      <c r="C134" s="296" t="s">
        <v>8686</v>
      </c>
      <c r="D134" s="296" t="s">
        <v>8299</v>
      </c>
      <c r="E134" s="296" t="s">
        <v>8299</v>
      </c>
      <c r="F134" s="296"/>
      <c r="G134" s="296" t="s">
        <v>8506</v>
      </c>
      <c r="H134" s="297" t="s">
        <v>8696</v>
      </c>
      <c r="I134" s="297">
        <v>2</v>
      </c>
      <c r="J134" s="297">
        <v>2192</v>
      </c>
      <c r="K134" s="299"/>
      <c r="L134" s="299"/>
      <c r="M134" s="299">
        <v>20</v>
      </c>
      <c r="N134" s="299">
        <v>10</v>
      </c>
      <c r="O134" s="300">
        <v>56</v>
      </c>
      <c r="P134" s="301">
        <v>42090</v>
      </c>
      <c r="Q134" s="302"/>
      <c r="R134" s="303"/>
      <c r="S134" s="289">
        <v>5.6</v>
      </c>
      <c r="T134" s="303">
        <v>42208</v>
      </c>
      <c r="U134" s="302"/>
      <c r="V134" s="303"/>
      <c r="W134" s="302"/>
      <c r="X134" s="303"/>
      <c r="Y134" s="302">
        <v>19.98</v>
      </c>
      <c r="Z134" s="303">
        <v>42208</v>
      </c>
      <c r="AA134">
        <v>14.4</v>
      </c>
      <c r="AB134" s="303"/>
      <c r="AC134" s="302"/>
      <c r="AD134" s="303"/>
      <c r="AE134" s="302"/>
      <c r="AF134" s="303"/>
      <c r="AG134">
        <v>64165.252525252516</v>
      </c>
      <c r="AH134" s="521">
        <f>(AK134*10000)/AM134</f>
        <v>64165.252525252516</v>
      </c>
      <c r="AI134" s="302"/>
      <c r="AJ134" s="303"/>
      <c r="AK134">
        <v>35.29088888888888</v>
      </c>
      <c r="AL134" s="521"/>
      <c r="AM134">
        <v>5.5</v>
      </c>
      <c r="AN134" s="303">
        <v>42244</v>
      </c>
      <c r="AO134">
        <v>130</v>
      </c>
      <c r="AP134" s="303">
        <v>42170</v>
      </c>
      <c r="AQ134" s="302"/>
      <c r="AR134" s="303"/>
      <c r="AS134" s="302"/>
      <c r="AT134" s="303"/>
      <c r="AU134">
        <v>110</v>
      </c>
      <c r="AV134" s="302"/>
      <c r="AW134" s="302"/>
      <c r="AX134" s="302"/>
      <c r="AY134" s="302"/>
      <c r="AZ134" s="302"/>
      <c r="BA134" s="302"/>
      <c r="BB134" s="302"/>
      <c r="BC134" s="302"/>
      <c r="BD134" s="302"/>
      <c r="BE134" s="302"/>
      <c r="BF134" s="302"/>
      <c r="BG134" s="302"/>
      <c r="BH134" s="302"/>
      <c r="BI134" s="302"/>
      <c r="BJ134" s="302"/>
      <c r="BM134">
        <v>-0.5</v>
      </c>
      <c r="BS134">
        <v>60.5</v>
      </c>
      <c r="BY134">
        <v>50.5</v>
      </c>
      <c r="CA134">
        <v>19.3</v>
      </c>
      <c r="CC134">
        <v>16.2</v>
      </c>
      <c r="CI134">
        <v>7.4</v>
      </c>
      <c r="CO134" t="s">
        <v>8698</v>
      </c>
      <c r="CR134">
        <v>1</v>
      </c>
      <c r="CT134" s="304" t="s">
        <v>11678</v>
      </c>
    </row>
    <row r="135" spans="1:98" s="304" customFormat="1">
      <c r="A135" s="304" t="s">
        <v>8506</v>
      </c>
      <c r="B135" s="463">
        <v>16</v>
      </c>
      <c r="C135" s="296" t="s">
        <v>7625</v>
      </c>
      <c r="D135" s="296" t="s">
        <v>7463</v>
      </c>
      <c r="E135" s="296" t="s">
        <v>7625</v>
      </c>
      <c r="F135" s="296"/>
      <c r="G135" s="296" t="s">
        <v>8506</v>
      </c>
      <c r="H135" s="297" t="s">
        <v>8697</v>
      </c>
      <c r="I135" s="297">
        <v>1</v>
      </c>
      <c r="J135" s="297">
        <v>113</v>
      </c>
      <c r="K135" s="299"/>
      <c r="L135" s="299"/>
      <c r="M135" s="299">
        <v>21</v>
      </c>
      <c r="N135" s="299">
        <v>1</v>
      </c>
      <c r="O135" s="300">
        <v>54</v>
      </c>
      <c r="P135" s="301">
        <v>42090</v>
      </c>
      <c r="Q135" s="302"/>
      <c r="R135" s="303"/>
      <c r="S135" s="289">
        <v>3.15</v>
      </c>
      <c r="T135" s="303">
        <v>42208</v>
      </c>
      <c r="U135" s="302"/>
      <c r="V135" s="303"/>
      <c r="W135" s="302"/>
      <c r="X135" s="303"/>
      <c r="Y135" s="302">
        <v>11.16</v>
      </c>
      <c r="Z135" s="303">
        <v>42208</v>
      </c>
      <c r="AA135">
        <v>14.4</v>
      </c>
      <c r="AB135" s="303"/>
      <c r="AC135" s="302"/>
      <c r="AD135" s="303"/>
      <c r="AE135" s="302"/>
      <c r="AF135" s="303"/>
      <c r="AG135">
        <v>36248.863636363632</v>
      </c>
      <c r="AH135" s="521">
        <f>(AK135*10000)/AM135</f>
        <v>36248.863636363632</v>
      </c>
      <c r="AI135" s="302"/>
      <c r="AJ135" s="303"/>
      <c r="AK135">
        <v>19.936874999999997</v>
      </c>
      <c r="AL135" s="521"/>
      <c r="AM135">
        <v>5.5</v>
      </c>
      <c r="AN135" s="303">
        <v>42244</v>
      </c>
      <c r="AO135">
        <v>130</v>
      </c>
      <c r="AP135" s="303">
        <v>42170</v>
      </c>
      <c r="AQ135" s="302"/>
      <c r="AR135" s="303"/>
      <c r="AS135" s="302"/>
      <c r="AT135" s="303"/>
      <c r="AU135">
        <v>104</v>
      </c>
      <c r="AV135" s="303"/>
      <c r="AW135" s="302"/>
      <c r="AX135" s="302"/>
      <c r="AY135" s="302"/>
      <c r="AZ135" s="303"/>
      <c r="BA135" s="302"/>
      <c r="BB135" s="302"/>
      <c r="BC135" s="302"/>
      <c r="BD135" s="302"/>
      <c r="BE135" s="302"/>
      <c r="BF135" s="302"/>
      <c r="BG135" s="302"/>
      <c r="BH135" s="302"/>
      <c r="BI135" s="302"/>
      <c r="BJ135" s="302"/>
      <c r="BM135">
        <v>33</v>
      </c>
      <c r="BS135">
        <v>21.6</v>
      </c>
      <c r="BY135">
        <v>49.9</v>
      </c>
      <c r="CA135">
        <v>17.100000000000001</v>
      </c>
      <c r="CC135">
        <v>64.099999999999994</v>
      </c>
      <c r="CI135">
        <v>7</v>
      </c>
      <c r="CO135" t="s">
        <v>8698</v>
      </c>
      <c r="CR135">
        <v>4</v>
      </c>
      <c r="CT135" s="304" t="s">
        <v>11678</v>
      </c>
    </row>
    <row r="136" spans="1:98" s="304" customFormat="1">
      <c r="A136" s="304" t="s">
        <v>8506</v>
      </c>
      <c r="B136" s="463">
        <v>21</v>
      </c>
      <c r="C136" s="296" t="s">
        <v>7631</v>
      </c>
      <c r="D136" s="296" t="s">
        <v>7468</v>
      </c>
      <c r="E136" s="296" t="s">
        <v>7631</v>
      </c>
      <c r="F136" s="296"/>
      <c r="G136" s="296" t="s">
        <v>8506</v>
      </c>
      <c r="H136" s="297" t="s">
        <v>8696</v>
      </c>
      <c r="I136" s="297">
        <v>2</v>
      </c>
      <c r="J136" s="297">
        <v>273</v>
      </c>
      <c r="K136" s="299"/>
      <c r="L136" s="299"/>
      <c r="M136" s="299">
        <v>21</v>
      </c>
      <c r="N136" s="299">
        <v>8</v>
      </c>
      <c r="O136" s="300">
        <v>39</v>
      </c>
      <c r="P136" s="301">
        <v>42090</v>
      </c>
      <c r="Q136" s="302"/>
      <c r="R136" s="303"/>
      <c r="S136" s="289">
        <v>3.25</v>
      </c>
      <c r="T136" s="303">
        <v>42208</v>
      </c>
      <c r="U136" s="302"/>
      <c r="V136" s="303"/>
      <c r="W136" s="302"/>
      <c r="X136" s="303"/>
      <c r="Y136" s="302">
        <v>10.98</v>
      </c>
      <c r="Z136" s="303">
        <v>42208</v>
      </c>
      <c r="AA136">
        <v>14.4</v>
      </c>
      <c r="AB136" s="303"/>
      <c r="AC136" s="302"/>
      <c r="AD136" s="303"/>
      <c r="AE136" s="302"/>
      <c r="AF136" s="303"/>
      <c r="AG136">
        <v>37640.909090909088</v>
      </c>
      <c r="AH136" s="521">
        <f>(AK136*10000)/AM136</f>
        <v>37640.909090909088</v>
      </c>
      <c r="AI136" s="302"/>
      <c r="AJ136" s="303"/>
      <c r="AK136">
        <v>20.702499999999997</v>
      </c>
      <c r="AL136" s="521"/>
      <c r="AM136">
        <v>5.5</v>
      </c>
      <c r="AN136" s="303">
        <v>42244</v>
      </c>
      <c r="AO136">
        <v>110</v>
      </c>
      <c r="AP136" s="303">
        <v>42170</v>
      </c>
      <c r="AQ136" s="302"/>
      <c r="AR136" s="303"/>
      <c r="AS136" s="302"/>
      <c r="AT136" s="303"/>
      <c r="AU136">
        <v>110</v>
      </c>
      <c r="AV136" s="303"/>
      <c r="AW136" s="302"/>
      <c r="AX136" s="302"/>
      <c r="AY136" s="302"/>
      <c r="AZ136" s="303"/>
      <c r="BA136" s="302"/>
      <c r="BB136" s="302"/>
      <c r="BC136" s="302"/>
      <c r="BD136" s="302"/>
      <c r="BE136" s="302"/>
      <c r="BF136" s="302"/>
      <c r="BG136" s="302"/>
      <c r="BH136" s="302"/>
      <c r="BI136" s="302"/>
      <c r="BJ136" s="302"/>
      <c r="BM136">
        <v>38.5</v>
      </c>
      <c r="BS136">
        <v>17.100000000000001</v>
      </c>
      <c r="BY136">
        <v>47.3</v>
      </c>
      <c r="CA136">
        <v>21.5</v>
      </c>
      <c r="CC136">
        <v>66.8</v>
      </c>
      <c r="CI136">
        <v>6.4</v>
      </c>
      <c r="CO136" t="s">
        <v>8698</v>
      </c>
      <c r="CR136">
        <v>3</v>
      </c>
      <c r="CT136" s="304" t="s">
        <v>11678</v>
      </c>
    </row>
    <row r="137" spans="1:98" s="304" customFormat="1">
      <c r="A137" s="304" t="s">
        <v>8506</v>
      </c>
      <c r="B137" s="463">
        <v>52</v>
      </c>
      <c r="C137" s="296" t="s">
        <v>7670</v>
      </c>
      <c r="D137" s="296" t="s">
        <v>7502</v>
      </c>
      <c r="E137" s="296" t="s">
        <v>7670</v>
      </c>
      <c r="F137" s="296"/>
      <c r="G137" s="296" t="s">
        <v>8506</v>
      </c>
      <c r="H137" s="297" t="s">
        <v>8696</v>
      </c>
      <c r="I137" s="297">
        <v>2</v>
      </c>
      <c r="J137" s="297">
        <v>2133</v>
      </c>
      <c r="K137" s="299"/>
      <c r="L137" s="299"/>
      <c r="M137" s="299">
        <v>21</v>
      </c>
      <c r="N137" s="299">
        <v>9</v>
      </c>
      <c r="O137" s="300">
        <v>39</v>
      </c>
      <c r="P137" s="301">
        <v>42090</v>
      </c>
      <c r="Q137" s="302"/>
      <c r="R137" s="303"/>
      <c r="S137" s="289">
        <v>6</v>
      </c>
      <c r="T137" s="303">
        <v>42208</v>
      </c>
      <c r="U137" s="302"/>
      <c r="V137" s="303"/>
      <c r="W137" s="302"/>
      <c r="X137" s="303"/>
      <c r="Y137" s="302">
        <v>21.21</v>
      </c>
      <c r="Z137" s="303">
        <v>42208</v>
      </c>
      <c r="AA137">
        <v>14.4</v>
      </c>
      <c r="AB137" s="303"/>
      <c r="AC137" s="302"/>
      <c r="AD137" s="303"/>
      <c r="AE137" s="302"/>
      <c r="AF137" s="303"/>
      <c r="AG137">
        <v>73185.897435897423</v>
      </c>
      <c r="AH137" s="521">
        <f>(AK137*10000)/AM137</f>
        <v>73185.897435897423</v>
      </c>
      <c r="AI137" s="302"/>
      <c r="AJ137" s="303"/>
      <c r="AK137">
        <v>38.056666666666665</v>
      </c>
      <c r="AL137" s="521"/>
      <c r="AM137">
        <v>5.2</v>
      </c>
      <c r="AN137" s="303">
        <v>42244</v>
      </c>
      <c r="AO137">
        <v>130</v>
      </c>
      <c r="AP137" s="303">
        <v>42170</v>
      </c>
      <c r="AQ137" s="302"/>
      <c r="AR137" s="303"/>
      <c r="AS137" s="302"/>
      <c r="AT137" s="303"/>
      <c r="AU137">
        <v>110</v>
      </c>
      <c r="AV137" s="303"/>
      <c r="AW137" s="302"/>
      <c r="AX137" s="302"/>
      <c r="AY137" s="302"/>
      <c r="AZ137" s="303"/>
      <c r="BA137" s="302"/>
      <c r="BB137" s="302"/>
      <c r="BC137" s="302"/>
      <c r="BD137" s="302"/>
      <c r="BE137" s="302"/>
      <c r="BF137" s="302"/>
      <c r="BG137" s="302"/>
      <c r="BH137" s="302"/>
      <c r="BI137" s="302"/>
      <c r="BJ137" s="302"/>
      <c r="BM137">
        <v>0.1</v>
      </c>
      <c r="BS137">
        <v>62</v>
      </c>
      <c r="BY137">
        <v>49.7</v>
      </c>
      <c r="CA137">
        <v>19.5</v>
      </c>
      <c r="CC137">
        <v>16.8</v>
      </c>
      <c r="CI137">
        <v>6.8</v>
      </c>
      <c r="CO137" t="s">
        <v>8698</v>
      </c>
      <c r="CR137">
        <v>1</v>
      </c>
      <c r="CT137" s="304" t="s">
        <v>11678</v>
      </c>
    </row>
    <row r="138" spans="1:98" s="304" customFormat="1">
      <c r="A138" s="304" t="s">
        <v>8506</v>
      </c>
      <c r="B138" s="463">
        <v>55</v>
      </c>
      <c r="C138" s="296" t="s">
        <v>7673</v>
      </c>
      <c r="D138" s="296" t="s">
        <v>7505</v>
      </c>
      <c r="E138" s="296" t="s">
        <v>7673</v>
      </c>
      <c r="F138" s="296"/>
      <c r="G138" s="296" t="s">
        <v>8506</v>
      </c>
      <c r="H138" s="297" t="s">
        <v>8696</v>
      </c>
      <c r="I138" s="297">
        <v>2</v>
      </c>
      <c r="J138" s="297">
        <v>213</v>
      </c>
      <c r="K138" s="299"/>
      <c r="L138" s="299"/>
      <c r="M138" s="299">
        <v>21</v>
      </c>
      <c r="N138" s="299">
        <v>7</v>
      </c>
      <c r="O138" s="300">
        <v>45</v>
      </c>
      <c r="P138" s="301">
        <v>42090</v>
      </c>
      <c r="Q138" s="302"/>
      <c r="R138" s="303"/>
      <c r="S138" s="289">
        <v>4.7</v>
      </c>
      <c r="T138" s="303">
        <v>42208</v>
      </c>
      <c r="U138" s="302"/>
      <c r="V138" s="303"/>
      <c r="W138" s="302"/>
      <c r="X138" s="303"/>
      <c r="Y138" s="302">
        <v>17.11</v>
      </c>
      <c r="Z138" s="303">
        <v>42208</v>
      </c>
      <c r="AA138">
        <v>14.4</v>
      </c>
      <c r="AB138" s="303"/>
      <c r="AC138" s="302"/>
      <c r="AD138" s="303"/>
      <c r="AE138" s="302"/>
      <c r="AF138" s="303"/>
      <c r="AG138">
        <v>54085.606060606071</v>
      </c>
      <c r="AH138" s="521">
        <f>(AK138*10000)/AM138</f>
        <v>54085.606060606071</v>
      </c>
      <c r="AI138" s="302"/>
      <c r="AJ138" s="303"/>
      <c r="AK138">
        <v>29.747083333333336</v>
      </c>
      <c r="AL138" s="521"/>
      <c r="AM138">
        <v>5.5</v>
      </c>
      <c r="AN138" s="303">
        <v>42244</v>
      </c>
      <c r="AO138">
        <v>120</v>
      </c>
      <c r="AP138" s="303">
        <v>42170</v>
      </c>
      <c r="AQ138" s="302"/>
      <c r="AR138" s="303"/>
      <c r="AS138" s="302"/>
      <c r="AT138" s="303"/>
      <c r="AU138">
        <v>111</v>
      </c>
      <c r="AV138" s="303"/>
      <c r="AW138" s="302"/>
      <c r="AX138" s="302"/>
      <c r="AY138" s="302"/>
      <c r="AZ138" s="303"/>
      <c r="BA138" s="302"/>
      <c r="BB138" s="302"/>
      <c r="BC138" s="302"/>
      <c r="BD138" s="302"/>
      <c r="BE138" s="302"/>
      <c r="BF138" s="302"/>
      <c r="BG138" s="302"/>
      <c r="BH138" s="302"/>
      <c r="BI138" s="302"/>
      <c r="BJ138" s="302"/>
      <c r="BM138">
        <v>-4.5</v>
      </c>
      <c r="BS138">
        <v>62.8</v>
      </c>
      <c r="BY138">
        <v>51.3</v>
      </c>
      <c r="CA138">
        <v>17.899999999999999</v>
      </c>
      <c r="CC138">
        <v>17</v>
      </c>
      <c r="CI138">
        <v>7</v>
      </c>
      <c r="CO138" t="s">
        <v>8698</v>
      </c>
      <c r="CR138">
        <v>1</v>
      </c>
      <c r="CT138" s="304" t="s">
        <v>11678</v>
      </c>
    </row>
    <row r="139" spans="1:98" s="304" customFormat="1">
      <c r="A139" s="304" t="s">
        <v>8506</v>
      </c>
      <c r="B139" s="463">
        <v>68</v>
      </c>
      <c r="C139" s="296" t="s">
        <v>7686</v>
      </c>
      <c r="D139" s="296" t="s">
        <v>262</v>
      </c>
      <c r="E139" s="296" t="s">
        <v>7686</v>
      </c>
      <c r="F139" s="296"/>
      <c r="G139" s="296" t="s">
        <v>8506</v>
      </c>
      <c r="H139" s="297" t="s">
        <v>8697</v>
      </c>
      <c r="I139" s="297">
        <v>1</v>
      </c>
      <c r="J139" s="308">
        <v>1313</v>
      </c>
      <c r="K139" s="299"/>
      <c r="L139" s="299"/>
      <c r="M139" s="299">
        <v>21</v>
      </c>
      <c r="N139" s="299">
        <v>6</v>
      </c>
      <c r="O139" s="300">
        <v>46</v>
      </c>
      <c r="P139" s="301">
        <v>42090</v>
      </c>
      <c r="Q139" s="306"/>
      <c r="R139" s="303"/>
      <c r="S139" s="289">
        <v>4.25</v>
      </c>
      <c r="T139" s="303">
        <v>42208</v>
      </c>
      <c r="U139" s="307"/>
      <c r="V139" s="303"/>
      <c r="W139" s="306"/>
      <c r="X139" s="303"/>
      <c r="Y139" s="306">
        <v>15.78</v>
      </c>
      <c r="Z139" s="303">
        <v>42208</v>
      </c>
      <c r="AA139">
        <v>14.4</v>
      </c>
      <c r="AB139" s="303"/>
      <c r="AC139" s="306"/>
      <c r="AD139" s="303"/>
      <c r="AE139" s="302"/>
      <c r="AF139" s="303"/>
      <c r="AG139">
        <v>57477.984633569744</v>
      </c>
      <c r="AH139" s="521">
        <f>(AK139*10000)/AM139</f>
        <v>57477.984633569744</v>
      </c>
      <c r="AI139" s="302"/>
      <c r="AJ139" s="303"/>
      <c r="AK139">
        <v>27.01465277777778</v>
      </c>
      <c r="AL139" s="521"/>
      <c r="AM139">
        <v>4.7</v>
      </c>
      <c r="AN139" s="303">
        <v>42244</v>
      </c>
      <c r="AO139">
        <v>135</v>
      </c>
      <c r="AP139" s="303">
        <v>42170</v>
      </c>
      <c r="AQ139" s="306"/>
      <c r="AR139" s="303"/>
      <c r="AS139" s="306"/>
      <c r="AT139" s="303"/>
      <c r="AU139">
        <v>104</v>
      </c>
      <c r="AV139" s="303"/>
      <c r="AW139" s="302"/>
      <c r="AX139" s="302"/>
      <c r="AY139" s="302"/>
      <c r="AZ139" s="303"/>
      <c r="BA139" s="302"/>
      <c r="BB139" s="302"/>
      <c r="BC139" s="302"/>
      <c r="BD139" s="302"/>
      <c r="BE139" s="302"/>
      <c r="BF139" s="302"/>
      <c r="BG139" s="302"/>
      <c r="BH139" s="302"/>
      <c r="BI139" s="302"/>
      <c r="BJ139" s="302"/>
      <c r="BM139">
        <v>-2.4</v>
      </c>
      <c r="BS139">
        <v>62.3</v>
      </c>
      <c r="BY139">
        <v>52.1</v>
      </c>
      <c r="CA139">
        <v>17.5</v>
      </c>
      <c r="CC139">
        <v>18.899999999999999</v>
      </c>
      <c r="CI139">
        <v>6.6</v>
      </c>
      <c r="CO139" t="s">
        <v>8698</v>
      </c>
      <c r="CR139">
        <v>1</v>
      </c>
      <c r="CT139" s="304" t="s">
        <v>11678</v>
      </c>
    </row>
    <row r="140" spans="1:98" s="304" customFormat="1">
      <c r="A140" s="304" t="s">
        <v>8506</v>
      </c>
      <c r="B140" s="463">
        <v>79</v>
      </c>
      <c r="C140" s="296" t="s">
        <v>7697</v>
      </c>
      <c r="D140" s="296" t="s">
        <v>7526</v>
      </c>
      <c r="E140" s="296" t="s">
        <v>7697</v>
      </c>
      <c r="F140" s="296"/>
      <c r="G140" s="296" t="s">
        <v>8506</v>
      </c>
      <c r="H140" s="297" t="s">
        <v>8696</v>
      </c>
      <c r="I140" s="297">
        <v>2</v>
      </c>
      <c r="J140" s="297">
        <v>2313</v>
      </c>
      <c r="K140" s="299"/>
      <c r="L140" s="299"/>
      <c r="M140" s="299">
        <v>21</v>
      </c>
      <c r="N140" s="299">
        <v>12</v>
      </c>
      <c r="O140" s="300">
        <v>30</v>
      </c>
      <c r="P140" s="301">
        <v>42090</v>
      </c>
      <c r="Q140" s="302"/>
      <c r="R140" s="303"/>
      <c r="S140" s="289">
        <v>4.0999999999999996</v>
      </c>
      <c r="T140" s="303">
        <v>42208</v>
      </c>
      <c r="U140" s="302"/>
      <c r="V140" s="303"/>
      <c r="W140" s="302"/>
      <c r="X140" s="303"/>
      <c r="Y140" s="302">
        <v>13.97</v>
      </c>
      <c r="Z140" s="303">
        <v>42208</v>
      </c>
      <c r="AA140">
        <v>14.4</v>
      </c>
      <c r="AB140" s="303"/>
      <c r="AC140" s="302"/>
      <c r="AD140" s="303"/>
      <c r="AE140" s="302"/>
      <c r="AF140" s="303"/>
      <c r="AG140">
        <v>51787.555555555555</v>
      </c>
      <c r="AH140" s="521">
        <f>(AK140*10000)/AM140</f>
        <v>51787.555555555555</v>
      </c>
      <c r="AI140" s="302"/>
      <c r="AJ140" s="303"/>
      <c r="AK140">
        <v>25.893777777777778</v>
      </c>
      <c r="AL140" s="521"/>
      <c r="AM140">
        <v>5</v>
      </c>
      <c r="AN140" s="303">
        <v>42244</v>
      </c>
      <c r="AO140">
        <v>125</v>
      </c>
      <c r="AP140" s="303">
        <v>42170</v>
      </c>
      <c r="AQ140" s="302"/>
      <c r="AR140" s="303"/>
      <c r="AS140" s="302"/>
      <c r="AT140" s="303"/>
      <c r="AU140">
        <v>111</v>
      </c>
      <c r="AV140" s="303"/>
      <c r="AW140" s="302"/>
      <c r="AX140" s="302"/>
      <c r="AY140" s="302"/>
      <c r="AZ140" s="303"/>
      <c r="BA140" s="302"/>
      <c r="BB140" s="302"/>
      <c r="BC140" s="302"/>
      <c r="BD140" s="302"/>
      <c r="BE140" s="302"/>
      <c r="BF140" s="302"/>
      <c r="BG140" s="302"/>
      <c r="BH140" s="302"/>
      <c r="BI140" s="302"/>
      <c r="BJ140" s="302"/>
      <c r="BM140">
        <v>0.2</v>
      </c>
      <c r="BS140">
        <v>59.9</v>
      </c>
      <c r="BY140">
        <v>48.1</v>
      </c>
      <c r="CA140">
        <v>21.2</v>
      </c>
      <c r="CC140">
        <v>19</v>
      </c>
      <c r="CI140">
        <v>7.2</v>
      </c>
      <c r="CO140" t="s">
        <v>8698</v>
      </c>
      <c r="CR140">
        <v>2</v>
      </c>
      <c r="CT140" s="304" t="s">
        <v>11678</v>
      </c>
    </row>
    <row r="141" spans="1:98" s="304" customFormat="1">
      <c r="A141" s="304" t="s">
        <v>8506</v>
      </c>
      <c r="B141" s="463">
        <v>99</v>
      </c>
      <c r="C141" s="296" t="s">
        <v>7717</v>
      </c>
      <c r="D141" s="296" t="s">
        <v>7544</v>
      </c>
      <c r="E141" s="296" t="s">
        <v>7717</v>
      </c>
      <c r="F141" s="296"/>
      <c r="G141" s="296" t="s">
        <v>8506</v>
      </c>
      <c r="H141" s="297" t="s">
        <v>8696</v>
      </c>
      <c r="I141" s="297">
        <v>2</v>
      </c>
      <c r="J141" s="297">
        <v>2193</v>
      </c>
      <c r="K141" s="299"/>
      <c r="L141" s="299"/>
      <c r="M141" s="299">
        <v>21</v>
      </c>
      <c r="N141" s="299">
        <v>10</v>
      </c>
      <c r="O141" s="300">
        <v>68</v>
      </c>
      <c r="P141" s="301">
        <v>42090</v>
      </c>
      <c r="Q141" s="302"/>
      <c r="R141" s="303"/>
      <c r="S141" s="289">
        <v>5</v>
      </c>
      <c r="T141" s="303">
        <v>42208</v>
      </c>
      <c r="U141" s="302"/>
      <c r="V141" s="303"/>
      <c r="W141" s="302"/>
      <c r="X141" s="303"/>
      <c r="Y141" s="302">
        <v>17.22</v>
      </c>
      <c r="Z141" s="303">
        <v>42208</v>
      </c>
      <c r="AA141">
        <v>14.4</v>
      </c>
      <c r="AB141" s="303"/>
      <c r="AC141" s="302"/>
      <c r="AD141" s="303"/>
      <c r="AE141" s="302"/>
      <c r="AF141" s="303"/>
      <c r="AG141">
        <v>64203.354297693906</v>
      </c>
      <c r="AH141" s="521">
        <f>(AK141*10000)/AM141</f>
        <v>64203.354297693906</v>
      </c>
      <c r="AI141" s="302"/>
      <c r="AJ141" s="303"/>
      <c r="AK141">
        <v>34.027777777777771</v>
      </c>
      <c r="AL141" s="521"/>
      <c r="AM141">
        <v>5.3</v>
      </c>
      <c r="AN141" s="303">
        <v>42244</v>
      </c>
      <c r="AO141">
        <v>110</v>
      </c>
      <c r="AP141" s="303">
        <v>42170</v>
      </c>
      <c r="AQ141" s="302"/>
      <c r="AR141" s="303"/>
      <c r="AS141" s="302"/>
      <c r="AT141" s="303"/>
      <c r="AU141">
        <v>109</v>
      </c>
      <c r="AV141" s="303"/>
      <c r="AW141" s="302"/>
      <c r="AX141" s="302"/>
      <c r="AY141" s="302"/>
      <c r="AZ141" s="303"/>
      <c r="BA141" s="302"/>
      <c r="BB141" s="302"/>
      <c r="BC141" s="302"/>
      <c r="BD141" s="302"/>
      <c r="BE141" s="302"/>
      <c r="BF141" s="302"/>
      <c r="BG141" s="302"/>
      <c r="BH141" s="302"/>
      <c r="BI141" s="302"/>
      <c r="BJ141" s="302"/>
      <c r="BM141">
        <v>-1.3</v>
      </c>
      <c r="BS141">
        <v>63.6</v>
      </c>
      <c r="BY141">
        <v>49.6</v>
      </c>
      <c r="CA141">
        <v>19.600000000000001</v>
      </c>
      <c r="CC141">
        <v>20.5</v>
      </c>
      <c r="CI141"/>
      <c r="CO141" t="s">
        <v>8698</v>
      </c>
      <c r="CR141">
        <v>1</v>
      </c>
      <c r="CT141" s="304" t="s">
        <v>11678</v>
      </c>
    </row>
    <row r="142" spans="1:98" s="304" customFormat="1">
      <c r="A142" s="304" t="s">
        <v>8506</v>
      </c>
      <c r="B142" s="463">
        <v>167</v>
      </c>
      <c r="C142" s="296" t="s">
        <v>7795</v>
      </c>
      <c r="D142" s="296" t="s">
        <v>7596</v>
      </c>
      <c r="E142" s="296" t="s">
        <v>7795</v>
      </c>
      <c r="F142" s="296"/>
      <c r="G142" s="296" t="s">
        <v>8506</v>
      </c>
      <c r="H142" s="297" t="s">
        <v>8697</v>
      </c>
      <c r="I142" s="297">
        <v>1</v>
      </c>
      <c r="J142" s="297">
        <v>1133</v>
      </c>
      <c r="K142" s="299"/>
      <c r="L142" s="299"/>
      <c r="M142" s="299">
        <v>21</v>
      </c>
      <c r="N142" s="299">
        <v>3</v>
      </c>
      <c r="O142" s="300">
        <v>46</v>
      </c>
      <c r="P142" s="301">
        <v>42090</v>
      </c>
      <c r="Q142" s="302"/>
      <c r="R142" s="303"/>
      <c r="S142" s="289">
        <v>4.5</v>
      </c>
      <c r="T142" s="303">
        <v>42208</v>
      </c>
      <c r="U142" s="302"/>
      <c r="V142" s="303"/>
      <c r="W142" s="302"/>
      <c r="X142" s="303"/>
      <c r="Y142" s="302">
        <v>17.079999999999998</v>
      </c>
      <c r="Z142" s="303">
        <v>42208</v>
      </c>
      <c r="AA142">
        <v>14.4</v>
      </c>
      <c r="AB142" s="303"/>
      <c r="AC142" s="302"/>
      <c r="AD142" s="303"/>
      <c r="AE142" s="302"/>
      <c r="AF142" s="303"/>
      <c r="AG142">
        <v>48999.999999999993</v>
      </c>
      <c r="AH142" s="521">
        <f>(AK142*10000)/AM142</f>
        <v>48999.999999999993</v>
      </c>
      <c r="AI142" s="302"/>
      <c r="AJ142" s="303"/>
      <c r="AK142">
        <v>28.419999999999995</v>
      </c>
      <c r="AL142" s="521"/>
      <c r="AM142">
        <v>5.8</v>
      </c>
      <c r="AN142" s="303">
        <v>42244</v>
      </c>
      <c r="AO142">
        <v>130</v>
      </c>
      <c r="AP142" s="303">
        <v>42170</v>
      </c>
      <c r="AQ142" s="302"/>
      <c r="AR142" s="303"/>
      <c r="AS142" s="302"/>
      <c r="AT142" s="303"/>
      <c r="AU142">
        <v>106</v>
      </c>
      <c r="AV142" s="303"/>
      <c r="AW142" s="302"/>
      <c r="AX142" s="302"/>
      <c r="AY142" s="302"/>
      <c r="AZ142" s="303"/>
      <c r="BA142" s="302"/>
      <c r="BB142" s="302"/>
      <c r="BC142" s="302"/>
      <c r="BD142" s="302"/>
      <c r="BE142" s="302"/>
      <c r="BF142" s="302"/>
      <c r="BG142" s="302"/>
      <c r="BH142" s="302"/>
      <c r="BI142" s="302"/>
      <c r="BJ142" s="302"/>
      <c r="BM142">
        <v>-4.4000000000000004</v>
      </c>
      <c r="BS142">
        <v>63.5</v>
      </c>
      <c r="BY142">
        <v>53.6</v>
      </c>
      <c r="CA142">
        <v>15.8</v>
      </c>
      <c r="CC142">
        <v>18.100000000000001</v>
      </c>
      <c r="CI142">
        <v>7.2</v>
      </c>
      <c r="CO142" t="s">
        <v>8698</v>
      </c>
      <c r="CR142">
        <v>2</v>
      </c>
      <c r="CT142" s="304" t="s">
        <v>11678</v>
      </c>
    </row>
    <row r="143" spans="1:98" s="304" customFormat="1">
      <c r="A143" s="304" t="s">
        <v>8506</v>
      </c>
      <c r="B143" s="463">
        <v>8</v>
      </c>
      <c r="C143" s="296" t="s">
        <v>7617</v>
      </c>
      <c r="D143" s="296" t="s">
        <v>7457</v>
      </c>
      <c r="E143" s="296" t="s">
        <v>7617</v>
      </c>
      <c r="F143" s="296"/>
      <c r="G143" s="296" t="s">
        <v>8506</v>
      </c>
      <c r="H143" s="297" t="s">
        <v>8696</v>
      </c>
      <c r="I143" s="297">
        <v>2</v>
      </c>
      <c r="J143" s="297">
        <v>214</v>
      </c>
      <c r="K143" s="299"/>
      <c r="L143" s="299"/>
      <c r="M143" s="299">
        <v>22</v>
      </c>
      <c r="N143" s="299">
        <v>7</v>
      </c>
      <c r="O143" s="300">
        <v>76</v>
      </c>
      <c r="P143" s="301">
        <v>42090</v>
      </c>
      <c r="Q143" s="302"/>
      <c r="R143" s="303"/>
      <c r="S143" s="289">
        <v>5.25</v>
      </c>
      <c r="T143" s="303">
        <v>42208</v>
      </c>
      <c r="U143" s="302"/>
      <c r="V143" s="303"/>
      <c r="W143" s="302"/>
      <c r="X143" s="303"/>
      <c r="Y143" s="302">
        <v>19.399999999999999</v>
      </c>
      <c r="Z143" s="303">
        <v>42208</v>
      </c>
      <c r="AA143">
        <v>14.4</v>
      </c>
      <c r="AB143" s="303"/>
      <c r="AC143" s="302"/>
      <c r="AD143" s="303"/>
      <c r="AE143" s="302"/>
      <c r="AF143" s="303"/>
      <c r="AG143">
        <v>70926.196808510635</v>
      </c>
      <c r="AH143" s="521">
        <f>(AK143*10000)/AM143</f>
        <v>70926.196808510635</v>
      </c>
      <c r="AI143" s="302"/>
      <c r="AJ143" s="303"/>
      <c r="AK143">
        <v>33.335312500000001</v>
      </c>
      <c r="AL143" s="521"/>
      <c r="AM143">
        <v>4.7</v>
      </c>
      <c r="AN143" s="303">
        <v>42244</v>
      </c>
      <c r="AO143">
        <v>145</v>
      </c>
      <c r="AP143" s="303">
        <v>42170</v>
      </c>
      <c r="AQ143" s="302"/>
      <c r="AR143" s="303"/>
      <c r="AS143" s="302"/>
      <c r="AT143" s="303"/>
      <c r="AU143">
        <v>114</v>
      </c>
      <c r="AV143" s="303"/>
      <c r="AW143" s="302"/>
      <c r="AX143" s="302"/>
      <c r="AY143" s="302"/>
      <c r="AZ143" s="303"/>
      <c r="BA143" s="302"/>
      <c r="BB143" s="302"/>
      <c r="BC143" s="302"/>
      <c r="BD143" s="302"/>
      <c r="BE143" s="302"/>
      <c r="BF143" s="302"/>
      <c r="BG143" s="302"/>
      <c r="BH143" s="302"/>
      <c r="BI143" s="302"/>
      <c r="BJ143" s="302"/>
      <c r="BM143">
        <v>52.3</v>
      </c>
      <c r="BS143">
        <v>5.4</v>
      </c>
      <c r="BY143">
        <v>51.9</v>
      </c>
      <c r="CA143">
        <v>18.7</v>
      </c>
      <c r="CC143">
        <v>54.7</v>
      </c>
      <c r="CI143">
        <v>6.7</v>
      </c>
      <c r="CO143" t="s">
        <v>8698</v>
      </c>
      <c r="CR143">
        <v>1</v>
      </c>
      <c r="CT143" s="304" t="s">
        <v>11678</v>
      </c>
    </row>
    <row r="144" spans="1:98" s="304" customFormat="1">
      <c r="A144" s="304" t="s">
        <v>8506</v>
      </c>
      <c r="B144" s="463">
        <v>48</v>
      </c>
      <c r="C144" s="296" t="s">
        <v>7665</v>
      </c>
      <c r="D144" s="296" t="s">
        <v>7816</v>
      </c>
      <c r="E144" s="296" t="s">
        <v>7665</v>
      </c>
      <c r="F144" s="296"/>
      <c r="G144" s="296" t="s">
        <v>8506</v>
      </c>
      <c r="H144" s="297" t="s">
        <v>8696</v>
      </c>
      <c r="I144" s="297">
        <v>2</v>
      </c>
      <c r="J144" s="297">
        <v>274</v>
      </c>
      <c r="K144" s="299"/>
      <c r="L144" s="299"/>
      <c r="M144" s="299">
        <v>22</v>
      </c>
      <c r="N144" s="299">
        <v>8</v>
      </c>
      <c r="O144" s="300">
        <v>40</v>
      </c>
      <c r="P144" s="301">
        <v>42090</v>
      </c>
      <c r="Q144" s="302"/>
      <c r="R144" s="303"/>
      <c r="S144" s="289">
        <v>4.9000000000000004</v>
      </c>
      <c r="T144" s="303">
        <v>42208</v>
      </c>
      <c r="U144" s="302"/>
      <c r="V144" s="303"/>
      <c r="W144" s="302"/>
      <c r="X144" s="303"/>
      <c r="Y144" s="302">
        <v>16.43</v>
      </c>
      <c r="Z144" s="303">
        <v>42208</v>
      </c>
      <c r="AA144">
        <v>14.4</v>
      </c>
      <c r="AB144" s="303"/>
      <c r="AC144" s="302"/>
      <c r="AD144" s="303"/>
      <c r="AE144" s="302"/>
      <c r="AF144" s="303"/>
      <c r="AG144">
        <v>58577.85639412998</v>
      </c>
      <c r="AH144" s="521">
        <f>(AK144*10000)/AM144</f>
        <v>58577.85639412998</v>
      </c>
      <c r="AI144" s="302"/>
      <c r="AJ144" s="303"/>
      <c r="AK144">
        <v>31.046263888888888</v>
      </c>
      <c r="AL144" s="521"/>
      <c r="AM144">
        <v>5.3</v>
      </c>
      <c r="AN144" s="303">
        <v>42244</v>
      </c>
      <c r="AO144">
        <v>135</v>
      </c>
      <c r="AP144" s="303">
        <v>42170</v>
      </c>
      <c r="AQ144" s="302"/>
      <c r="AR144" s="303"/>
      <c r="AS144" s="302"/>
      <c r="AT144" s="303"/>
      <c r="AU144">
        <v>110</v>
      </c>
      <c r="AV144" s="303"/>
      <c r="AW144" s="302"/>
      <c r="AX144" s="302"/>
      <c r="AY144" s="302"/>
      <c r="AZ144" s="303"/>
      <c r="BA144" s="302"/>
      <c r="BB144" s="302"/>
      <c r="BC144" s="302"/>
      <c r="BD144" s="302"/>
      <c r="BE144" s="302"/>
      <c r="BF144" s="302"/>
      <c r="BG144" s="302"/>
      <c r="BH144" s="302"/>
      <c r="BI144" s="302"/>
      <c r="BJ144" s="302"/>
      <c r="BM144">
        <v>4.2</v>
      </c>
      <c r="BS144">
        <v>56.8</v>
      </c>
      <c r="BY144">
        <v>47.2</v>
      </c>
      <c r="CA144">
        <v>21.4</v>
      </c>
      <c r="CC144">
        <v>21</v>
      </c>
      <c r="CI144">
        <v>6.9</v>
      </c>
      <c r="CO144" t="s">
        <v>8700</v>
      </c>
      <c r="CR144">
        <v>1</v>
      </c>
      <c r="CT144" s="304" t="s">
        <v>11678</v>
      </c>
    </row>
    <row r="145" spans="1:98" s="304" customFormat="1">
      <c r="A145" s="304" t="s">
        <v>8506</v>
      </c>
      <c r="B145" s="463">
        <v>49</v>
      </c>
      <c r="C145" s="296" t="s">
        <v>7666</v>
      </c>
      <c r="D145" s="296" t="s">
        <v>7498</v>
      </c>
      <c r="E145" s="296" t="s">
        <v>7666</v>
      </c>
      <c r="F145" s="296"/>
      <c r="G145" s="296" t="s">
        <v>8506</v>
      </c>
      <c r="H145" s="297" t="s">
        <v>8697</v>
      </c>
      <c r="I145" s="297">
        <v>1</v>
      </c>
      <c r="J145" s="297">
        <v>1134</v>
      </c>
      <c r="K145" s="299"/>
      <c r="L145" s="299"/>
      <c r="M145" s="299">
        <v>22</v>
      </c>
      <c r="N145" s="299">
        <v>3</v>
      </c>
      <c r="O145" s="300">
        <v>23</v>
      </c>
      <c r="P145" s="301">
        <v>42090</v>
      </c>
      <c r="Q145" s="302"/>
      <c r="R145" s="303"/>
      <c r="S145" s="289">
        <v>4.5</v>
      </c>
      <c r="T145" s="303">
        <v>42208</v>
      </c>
      <c r="U145" s="302"/>
      <c r="V145" s="303"/>
      <c r="W145" s="302"/>
      <c r="X145" s="303"/>
      <c r="Y145" s="302">
        <v>16.68</v>
      </c>
      <c r="Z145" s="303">
        <v>42208</v>
      </c>
      <c r="AA145">
        <v>14.4</v>
      </c>
      <c r="AB145" s="303"/>
      <c r="AC145" s="302"/>
      <c r="AD145" s="303"/>
      <c r="AE145" s="302"/>
      <c r="AF145" s="303"/>
      <c r="AG145">
        <v>55545.343137254909</v>
      </c>
      <c r="AH145" s="521">
        <f>(AK145*10000)/AM145</f>
        <v>55545.343137254909</v>
      </c>
      <c r="AI145" s="302"/>
      <c r="AJ145" s="303"/>
      <c r="AK145">
        <v>28.328125</v>
      </c>
      <c r="AL145" s="521"/>
      <c r="AM145">
        <v>5.0999999999999996</v>
      </c>
      <c r="AN145" s="303">
        <v>42244</v>
      </c>
      <c r="AO145">
        <v>135</v>
      </c>
      <c r="AP145" s="303">
        <v>42170</v>
      </c>
      <c r="AQ145" s="302"/>
      <c r="AR145" s="303"/>
      <c r="AS145" s="302"/>
      <c r="AT145" s="303"/>
      <c r="AU145">
        <v>108</v>
      </c>
      <c r="AV145" s="303"/>
      <c r="AW145" s="302"/>
      <c r="AX145" s="302"/>
      <c r="AY145" s="302"/>
      <c r="AZ145" s="303"/>
      <c r="BA145" s="302"/>
      <c r="BB145" s="302"/>
      <c r="BC145" s="302"/>
      <c r="BD145" s="302"/>
      <c r="BE145" s="302"/>
      <c r="BF145" s="302"/>
      <c r="BG145" s="302"/>
      <c r="BH145" s="302"/>
      <c r="BI145" s="302"/>
      <c r="BJ145" s="302"/>
      <c r="BM145">
        <v>1.9</v>
      </c>
      <c r="BS145">
        <v>59.9</v>
      </c>
      <c r="BY145">
        <v>52.5</v>
      </c>
      <c r="CA145">
        <v>17</v>
      </c>
      <c r="CC145">
        <v>18.399999999999999</v>
      </c>
      <c r="CI145">
        <v>7.5</v>
      </c>
      <c r="CO145" t="s">
        <v>8698</v>
      </c>
      <c r="CR145">
        <v>2</v>
      </c>
      <c r="CT145" s="304" t="s">
        <v>11678</v>
      </c>
    </row>
    <row r="146" spans="1:98" s="304" customFormat="1">
      <c r="A146" s="304" t="s">
        <v>8506</v>
      </c>
      <c r="B146" s="463">
        <v>101</v>
      </c>
      <c r="C146" s="296" t="s">
        <v>7719</v>
      </c>
      <c r="D146" s="296" t="s">
        <v>7546</v>
      </c>
      <c r="E146" s="296" t="s">
        <v>7719</v>
      </c>
      <c r="F146" s="296"/>
      <c r="G146" s="296" t="s">
        <v>8506</v>
      </c>
      <c r="H146" s="297" t="s">
        <v>8697</v>
      </c>
      <c r="I146" s="297">
        <v>1</v>
      </c>
      <c r="J146" s="297">
        <v>1194</v>
      </c>
      <c r="K146" s="299"/>
      <c r="L146" s="299"/>
      <c r="M146" s="299">
        <v>22</v>
      </c>
      <c r="N146" s="299">
        <v>4</v>
      </c>
      <c r="O146" s="300">
        <v>58</v>
      </c>
      <c r="P146" s="301">
        <v>42090</v>
      </c>
      <c r="Q146" s="302"/>
      <c r="R146" s="303"/>
      <c r="S146" s="289">
        <v>4.5999999999999996</v>
      </c>
      <c r="T146" s="303">
        <v>42208</v>
      </c>
      <c r="U146" s="302"/>
      <c r="V146" s="303"/>
      <c r="W146" s="302"/>
      <c r="X146" s="303"/>
      <c r="Y146" s="302">
        <v>17.440000000000001</v>
      </c>
      <c r="Z146" s="303">
        <v>42208</v>
      </c>
      <c r="AA146">
        <v>14.4</v>
      </c>
      <c r="AB146" s="303"/>
      <c r="AC146" s="302"/>
      <c r="AD146" s="303"/>
      <c r="AE146" s="302"/>
      <c r="AF146" s="303"/>
      <c r="AG146">
        <v>58353.555555555562</v>
      </c>
      <c r="AH146" s="521">
        <f>(AK146*10000)/AM146</f>
        <v>58353.555555555562</v>
      </c>
      <c r="AI146" s="302"/>
      <c r="AJ146" s="303"/>
      <c r="AK146">
        <v>29.176777777777779</v>
      </c>
      <c r="AL146" s="521"/>
      <c r="AM146">
        <v>5</v>
      </c>
      <c r="AN146" s="303">
        <v>42244</v>
      </c>
      <c r="AO146">
        <v>120</v>
      </c>
      <c r="AP146" s="303">
        <v>42170</v>
      </c>
      <c r="AQ146" s="302"/>
      <c r="AR146" s="303"/>
      <c r="AS146" s="302"/>
      <c r="AT146" s="303"/>
      <c r="AU146">
        <v>108</v>
      </c>
      <c r="AV146" s="303"/>
      <c r="AW146" s="302"/>
      <c r="AX146" s="302"/>
      <c r="AY146" s="302"/>
      <c r="AZ146" s="303"/>
      <c r="BA146" s="302"/>
      <c r="BB146" s="302"/>
      <c r="BC146" s="302"/>
      <c r="BD146" s="302"/>
      <c r="BE146" s="302"/>
      <c r="BF146" s="302"/>
      <c r="BG146" s="302"/>
      <c r="BH146" s="302"/>
      <c r="BI146" s="302"/>
      <c r="BJ146" s="302"/>
      <c r="BM146">
        <v>-3.7</v>
      </c>
      <c r="BS146">
        <v>66.900000000000006</v>
      </c>
      <c r="BY146">
        <v>53.3</v>
      </c>
      <c r="CA146">
        <v>15.4</v>
      </c>
      <c r="CC146">
        <v>14.9</v>
      </c>
      <c r="CI146">
        <v>6.8</v>
      </c>
      <c r="CO146" t="s">
        <v>8698</v>
      </c>
      <c r="CR146">
        <v>2</v>
      </c>
      <c r="CT146" s="304" t="s">
        <v>11678</v>
      </c>
    </row>
    <row r="147" spans="1:98" s="304" customFormat="1">
      <c r="A147" s="304" t="s">
        <v>8506</v>
      </c>
      <c r="B147" s="463">
        <v>174</v>
      </c>
      <c r="C147" s="296" t="s">
        <v>7802</v>
      </c>
      <c r="D147" s="296" t="s">
        <v>7843</v>
      </c>
      <c r="E147" s="296" t="s">
        <v>7802</v>
      </c>
      <c r="F147" s="296"/>
      <c r="G147" s="296" t="s">
        <v>8506</v>
      </c>
      <c r="H147" s="297" t="s">
        <v>8696</v>
      </c>
      <c r="I147" s="297">
        <v>2</v>
      </c>
      <c r="J147" s="297">
        <v>2254</v>
      </c>
      <c r="K147" s="299"/>
      <c r="L147" s="299"/>
      <c r="M147" s="299">
        <v>22</v>
      </c>
      <c r="N147" s="299">
        <v>11</v>
      </c>
      <c r="O147" s="300">
        <v>33</v>
      </c>
      <c r="P147" s="301">
        <v>42090</v>
      </c>
      <c r="Q147" s="302"/>
      <c r="R147" s="303"/>
      <c r="S147" s="289">
        <v>6.95</v>
      </c>
      <c r="T147" s="303">
        <v>42208</v>
      </c>
      <c r="U147" s="302"/>
      <c r="V147" s="303"/>
      <c r="W147" s="302"/>
      <c r="X147" s="303"/>
      <c r="Y147" s="302">
        <v>24.75</v>
      </c>
      <c r="Z147" s="303">
        <v>42208</v>
      </c>
      <c r="AA147">
        <v>14.4</v>
      </c>
      <c r="AB147" s="303"/>
      <c r="AC147" s="302"/>
      <c r="AD147" s="303"/>
      <c r="AE147" s="302"/>
      <c r="AF147" s="303"/>
      <c r="AG147">
        <v>99327.083333333314</v>
      </c>
      <c r="AH147" s="521">
        <f>(AK147*10000)/AM147</f>
        <v>99327.083333333314</v>
      </c>
      <c r="AI147" s="302"/>
      <c r="AJ147" s="303"/>
      <c r="AK147">
        <v>43.703916666666665</v>
      </c>
      <c r="AL147" s="521"/>
      <c r="AM147">
        <v>4.4000000000000004</v>
      </c>
      <c r="AN147" s="303">
        <v>42244</v>
      </c>
      <c r="AO147">
        <v>115</v>
      </c>
      <c r="AP147" s="303">
        <v>42170</v>
      </c>
      <c r="AQ147" s="302"/>
      <c r="AR147" s="303"/>
      <c r="AS147" s="302"/>
      <c r="AT147" s="303"/>
      <c r="AU147">
        <v>111</v>
      </c>
      <c r="AV147" s="303"/>
      <c r="AW147" s="302"/>
      <c r="AX147" s="302"/>
      <c r="AY147" s="302"/>
      <c r="AZ147" s="303"/>
      <c r="BA147" s="302"/>
      <c r="BB147" s="302"/>
      <c r="BC147" s="302"/>
      <c r="BD147" s="302"/>
      <c r="BE147" s="302"/>
      <c r="BF147" s="302"/>
      <c r="BG147" s="302"/>
      <c r="BH147" s="302"/>
      <c r="BI147" s="302"/>
      <c r="BJ147" s="302"/>
      <c r="BM147">
        <v>-0.9</v>
      </c>
      <c r="BS147">
        <v>62.6</v>
      </c>
      <c r="BY147">
        <v>50.5</v>
      </c>
      <c r="CA147">
        <v>18.3</v>
      </c>
      <c r="CC147">
        <v>14.4</v>
      </c>
      <c r="CI147">
        <v>7.6</v>
      </c>
      <c r="CO147" t="s">
        <v>8698</v>
      </c>
      <c r="CR147">
        <v>2</v>
      </c>
      <c r="CT147" s="304" t="s">
        <v>11678</v>
      </c>
    </row>
    <row r="148" spans="1:98" s="304" customFormat="1">
      <c r="A148" s="304" t="s">
        <v>8506</v>
      </c>
      <c r="B148" s="463">
        <v>12</v>
      </c>
      <c r="C148" s="296" t="s">
        <v>7621</v>
      </c>
      <c r="D148" s="296" t="s">
        <v>7460</v>
      </c>
      <c r="E148" s="296" t="s">
        <v>7621</v>
      </c>
      <c r="F148" s="296"/>
      <c r="G148" s="296" t="s">
        <v>8506</v>
      </c>
      <c r="H148" s="297" t="s">
        <v>8697</v>
      </c>
      <c r="I148" s="297">
        <v>1</v>
      </c>
      <c r="J148" s="297">
        <v>1135</v>
      </c>
      <c r="K148" s="299"/>
      <c r="L148" s="299"/>
      <c r="M148" s="299">
        <v>23</v>
      </c>
      <c r="N148" s="299">
        <v>3</v>
      </c>
      <c r="O148" s="300">
        <v>42</v>
      </c>
      <c r="P148" s="301">
        <v>42090</v>
      </c>
      <c r="Q148" s="302"/>
      <c r="R148" s="303"/>
      <c r="S148" s="289">
        <v>3.25</v>
      </c>
      <c r="T148" s="303">
        <v>42208</v>
      </c>
      <c r="U148" s="302"/>
      <c r="V148" s="303"/>
      <c r="W148" s="302"/>
      <c r="X148" s="303"/>
      <c r="Y148" s="302">
        <v>11.34</v>
      </c>
      <c r="Z148" s="303">
        <v>42208</v>
      </c>
      <c r="AA148">
        <v>14.4</v>
      </c>
      <c r="AB148" s="303"/>
      <c r="AC148" s="302"/>
      <c r="AD148" s="303"/>
      <c r="AE148" s="302"/>
      <c r="AF148" s="303"/>
      <c r="AG148">
        <v>41272.291666666672</v>
      </c>
      <c r="AH148" s="521">
        <f>(AK148*10000)/AM148</f>
        <v>41272.291666666672</v>
      </c>
      <c r="AI148" s="302"/>
      <c r="AJ148" s="303"/>
      <c r="AK148">
        <v>20.636145833333334</v>
      </c>
      <c r="AL148" s="521"/>
      <c r="AM148">
        <v>5</v>
      </c>
      <c r="AN148" s="303">
        <v>42244</v>
      </c>
      <c r="AO148">
        <v>120</v>
      </c>
      <c r="AP148" s="303">
        <v>42170</v>
      </c>
      <c r="AQ148" s="302"/>
      <c r="AR148" s="303"/>
      <c r="AS148" s="302"/>
      <c r="AT148" s="303"/>
      <c r="AU148">
        <v>107</v>
      </c>
      <c r="AV148" s="303"/>
      <c r="AW148" s="302"/>
      <c r="AX148" s="302"/>
      <c r="AY148" s="302"/>
      <c r="AZ148" s="303"/>
      <c r="BA148" s="302"/>
      <c r="BB148" s="302"/>
      <c r="BC148" s="302"/>
      <c r="BD148" s="302"/>
      <c r="BE148" s="302"/>
      <c r="BF148" s="302"/>
      <c r="BG148" s="302"/>
      <c r="BH148" s="302"/>
      <c r="BI148" s="302"/>
      <c r="BJ148" s="302"/>
      <c r="BM148">
        <v>49.9</v>
      </c>
      <c r="BS148">
        <v>6.4</v>
      </c>
      <c r="BY148">
        <v>49</v>
      </c>
      <c r="CA148">
        <v>19</v>
      </c>
      <c r="CC148">
        <v>69</v>
      </c>
      <c r="CI148">
        <v>6.7</v>
      </c>
      <c r="CO148" t="s">
        <v>8698</v>
      </c>
      <c r="CR148">
        <v>4</v>
      </c>
      <c r="CT148" s="304" t="s">
        <v>11678</v>
      </c>
    </row>
    <row r="149" spans="1:98" s="304" customFormat="1">
      <c r="A149" s="304" t="s">
        <v>8506</v>
      </c>
      <c r="B149" s="463">
        <v>32</v>
      </c>
      <c r="C149" s="296" t="s">
        <v>7644</v>
      </c>
      <c r="D149" s="296" t="s">
        <v>7479</v>
      </c>
      <c r="E149" s="296" t="s">
        <v>7644</v>
      </c>
      <c r="F149" s="296"/>
      <c r="G149" s="296" t="s">
        <v>8506</v>
      </c>
      <c r="H149" s="297" t="s">
        <v>8697</v>
      </c>
      <c r="I149" s="297">
        <v>1</v>
      </c>
      <c r="J149" s="297">
        <v>1315</v>
      </c>
      <c r="K149" s="299"/>
      <c r="L149" s="299"/>
      <c r="M149" s="299">
        <v>23</v>
      </c>
      <c r="N149" s="299">
        <v>6</v>
      </c>
      <c r="O149" s="300">
        <v>50</v>
      </c>
      <c r="P149" s="301">
        <v>42090</v>
      </c>
      <c r="Q149" s="302"/>
      <c r="R149" s="303"/>
      <c r="S149" s="289">
        <v>3.95</v>
      </c>
      <c r="T149" s="303">
        <v>42208</v>
      </c>
      <c r="U149" s="302"/>
      <c r="V149" s="303"/>
      <c r="W149" s="302"/>
      <c r="X149" s="303"/>
      <c r="Y149" s="302">
        <v>12.77</v>
      </c>
      <c r="Z149" s="303">
        <v>42208</v>
      </c>
      <c r="AA149">
        <v>14.4</v>
      </c>
      <c r="AB149" s="303"/>
      <c r="AC149" s="302"/>
      <c r="AD149" s="303"/>
      <c r="AE149" s="302"/>
      <c r="AF149" s="303"/>
      <c r="AG149">
        <v>42509.922316384174</v>
      </c>
      <c r="AH149" s="521">
        <f>(AK149*10000)/AM149</f>
        <v>42509.922316384174</v>
      </c>
      <c r="AI149" s="302"/>
      <c r="AJ149" s="303"/>
      <c r="AK149">
        <v>25.080854166666665</v>
      </c>
      <c r="AL149" s="521"/>
      <c r="AM149">
        <v>5.9</v>
      </c>
      <c r="AN149" s="303">
        <v>42244</v>
      </c>
      <c r="AO149">
        <v>155</v>
      </c>
      <c r="AP149" s="303">
        <v>42170</v>
      </c>
      <c r="AQ149" s="302"/>
      <c r="AR149" s="303"/>
      <c r="AS149" s="302"/>
      <c r="AT149" s="303"/>
      <c r="AU149">
        <v>107</v>
      </c>
      <c r="AV149" s="303"/>
      <c r="AW149" s="302"/>
      <c r="AX149" s="302"/>
      <c r="AY149" s="302"/>
      <c r="AZ149" s="303"/>
      <c r="BA149" s="302"/>
      <c r="BB149" s="302"/>
      <c r="BC149" s="302"/>
      <c r="BD149" s="302"/>
      <c r="BE149" s="302"/>
      <c r="BF149" s="302"/>
      <c r="BG149" s="302"/>
      <c r="BH149" s="302"/>
      <c r="BI149" s="302"/>
      <c r="BJ149" s="302"/>
      <c r="BM149">
        <v>-1.1000000000000001</v>
      </c>
      <c r="BS149">
        <v>54.1</v>
      </c>
      <c r="BY149">
        <v>45.4</v>
      </c>
      <c r="CA149">
        <v>22</v>
      </c>
      <c r="CC149">
        <v>23.5</v>
      </c>
      <c r="CI149">
        <v>6.7</v>
      </c>
      <c r="CO149" t="s">
        <v>8698</v>
      </c>
      <c r="CR149">
        <v>3</v>
      </c>
      <c r="CT149" s="304" t="s">
        <v>11678</v>
      </c>
    </row>
    <row r="150" spans="1:98" s="304" customFormat="1">
      <c r="A150" s="304" t="s">
        <v>8506</v>
      </c>
      <c r="B150" s="463">
        <v>59</v>
      </c>
      <c r="C150" s="296" t="s">
        <v>7677</v>
      </c>
      <c r="D150" s="296" t="s">
        <v>258</v>
      </c>
      <c r="E150" s="296" t="s">
        <v>7677</v>
      </c>
      <c r="F150" s="296"/>
      <c r="G150" s="296" t="s">
        <v>8506</v>
      </c>
      <c r="H150" s="297" t="s">
        <v>8696</v>
      </c>
      <c r="I150" s="297">
        <v>2</v>
      </c>
      <c r="J150" s="297">
        <v>2315</v>
      </c>
      <c r="K150" s="299"/>
      <c r="L150" s="299"/>
      <c r="M150" s="299">
        <v>23</v>
      </c>
      <c r="N150" s="299">
        <v>12</v>
      </c>
      <c r="O150" s="300">
        <v>26</v>
      </c>
      <c r="P150" s="301">
        <v>42090</v>
      </c>
      <c r="Q150" s="302"/>
      <c r="R150" s="303"/>
      <c r="S150" s="289">
        <v>4.45</v>
      </c>
      <c r="T150" s="303">
        <v>42208</v>
      </c>
      <c r="U150" s="302"/>
      <c r="V150" s="303"/>
      <c r="W150" s="302"/>
      <c r="X150" s="303"/>
      <c r="Y150" s="302">
        <v>14.72</v>
      </c>
      <c r="Z150" s="303">
        <v>42208</v>
      </c>
      <c r="AA150">
        <v>14.4</v>
      </c>
      <c r="AB150" s="303"/>
      <c r="AC150" s="302"/>
      <c r="AD150" s="303"/>
      <c r="AE150" s="302"/>
      <c r="AF150" s="303"/>
      <c r="AG150">
        <v>50402.430555555562</v>
      </c>
      <c r="AH150" s="521">
        <f>(AK150*10000)/AM150</f>
        <v>50402.430555555562</v>
      </c>
      <c r="AI150" s="302"/>
      <c r="AJ150" s="303"/>
      <c r="AK150">
        <v>28.225361111111113</v>
      </c>
      <c r="AL150" s="521"/>
      <c r="AM150">
        <v>5.6</v>
      </c>
      <c r="AN150" s="303">
        <v>42244</v>
      </c>
      <c r="AO150">
        <v>135</v>
      </c>
      <c r="AP150" s="303">
        <v>42170</v>
      </c>
      <c r="AQ150" s="302"/>
      <c r="AR150" s="303"/>
      <c r="AS150" s="302"/>
      <c r="AT150" s="303"/>
      <c r="AU150">
        <v>107</v>
      </c>
      <c r="AV150" s="303"/>
      <c r="AW150" s="302"/>
      <c r="AX150" s="302"/>
      <c r="AY150" s="302"/>
      <c r="AZ150" s="303"/>
      <c r="BA150" s="302"/>
      <c r="BB150" s="302"/>
      <c r="BC150" s="302"/>
      <c r="BD150" s="302"/>
      <c r="BE150" s="302"/>
      <c r="BF150" s="302"/>
      <c r="BG150" s="302"/>
      <c r="BH150" s="302"/>
      <c r="BI150" s="302"/>
      <c r="BJ150" s="302"/>
      <c r="BM150">
        <v>-0.1</v>
      </c>
      <c r="BS150">
        <v>59</v>
      </c>
      <c r="BY150">
        <v>46.5</v>
      </c>
      <c r="CA150">
        <v>22.1</v>
      </c>
      <c r="CC150">
        <v>19.899999999999999</v>
      </c>
      <c r="CI150">
        <v>6.8</v>
      </c>
      <c r="CO150" t="s">
        <v>8698</v>
      </c>
      <c r="CR150">
        <v>2</v>
      </c>
      <c r="CT150" s="304" t="s">
        <v>11678</v>
      </c>
    </row>
    <row r="151" spans="1:98" s="304" customFormat="1">
      <c r="A151" s="304" t="s">
        <v>8506</v>
      </c>
      <c r="B151" s="463">
        <v>102</v>
      </c>
      <c r="C151" s="296" t="s">
        <v>7720</v>
      </c>
      <c r="D151" s="296" t="s">
        <v>7547</v>
      </c>
      <c r="E151" s="296" t="s">
        <v>7720</v>
      </c>
      <c r="F151" s="296"/>
      <c r="G151" s="296" t="s">
        <v>8506</v>
      </c>
      <c r="H151" s="297" t="s">
        <v>8697</v>
      </c>
      <c r="I151" s="297">
        <v>1</v>
      </c>
      <c r="J151" s="297">
        <v>175</v>
      </c>
      <c r="K151" s="299"/>
      <c r="L151" s="299"/>
      <c r="M151" s="299">
        <v>23</v>
      </c>
      <c r="N151" s="299">
        <v>2</v>
      </c>
      <c r="O151" s="300">
        <v>18</v>
      </c>
      <c r="P151" s="301">
        <v>42090</v>
      </c>
      <c r="Q151" s="302"/>
      <c r="R151" s="303"/>
      <c r="S151" s="289">
        <v>4.3499999999999996</v>
      </c>
      <c r="T151" s="303">
        <v>42208</v>
      </c>
      <c r="U151" s="302"/>
      <c r="V151" s="303"/>
      <c r="W151" s="302"/>
      <c r="X151" s="303"/>
      <c r="Y151" s="302">
        <v>16.920000000000002</v>
      </c>
      <c r="Z151" s="303">
        <v>42208</v>
      </c>
      <c r="AA151">
        <v>14.4</v>
      </c>
      <c r="AB151" s="303"/>
      <c r="AC151" s="302"/>
      <c r="AD151" s="303"/>
      <c r="AE151" s="302"/>
      <c r="AF151" s="303"/>
      <c r="AG151">
        <v>52945.913461538461</v>
      </c>
      <c r="AH151" s="521">
        <f>(AK151*10000)/AM151</f>
        <v>52945.913461538461</v>
      </c>
      <c r="AI151" s="302"/>
      <c r="AJ151" s="303"/>
      <c r="AK151">
        <v>27.531874999999999</v>
      </c>
      <c r="AL151" s="521"/>
      <c r="AM151">
        <v>5.2</v>
      </c>
      <c r="AN151" s="303">
        <v>42244</v>
      </c>
      <c r="AO151">
        <v>140</v>
      </c>
      <c r="AP151" s="303">
        <v>42170</v>
      </c>
      <c r="AQ151" s="302"/>
      <c r="AR151" s="303"/>
      <c r="AS151" s="302"/>
      <c r="AT151" s="303"/>
      <c r="AU151">
        <v>107</v>
      </c>
      <c r="AV151" s="303"/>
      <c r="AW151" s="302"/>
      <c r="AX151" s="302"/>
      <c r="AY151" s="302"/>
      <c r="AZ151" s="303"/>
      <c r="BA151" s="302"/>
      <c r="BB151" s="302"/>
      <c r="BC151" s="302"/>
      <c r="BD151" s="302"/>
      <c r="BE151" s="302"/>
      <c r="BF151" s="302"/>
      <c r="BG151" s="302"/>
      <c r="BH151" s="302"/>
      <c r="BI151" s="302"/>
      <c r="BJ151" s="302"/>
      <c r="BM151">
        <v>0.6</v>
      </c>
      <c r="BS151">
        <v>60.9</v>
      </c>
      <c r="BY151">
        <v>54.8</v>
      </c>
      <c r="CA151">
        <v>13.9</v>
      </c>
      <c r="CC151">
        <v>19.7</v>
      </c>
      <c r="CI151">
        <v>7</v>
      </c>
      <c r="CO151" t="s">
        <v>8698</v>
      </c>
      <c r="CR151">
        <v>1</v>
      </c>
      <c r="CT151" s="304" t="s">
        <v>11678</v>
      </c>
    </row>
    <row r="152" spans="1:98" s="304" customFormat="1">
      <c r="A152" s="304" t="s">
        <v>8506</v>
      </c>
      <c r="B152" s="463">
        <v>144</v>
      </c>
      <c r="C152" s="296" t="s">
        <v>7772</v>
      </c>
      <c r="D152" s="296" t="s">
        <v>7573</v>
      </c>
      <c r="E152" s="296" t="s">
        <v>7772</v>
      </c>
      <c r="F152" s="296"/>
      <c r="G152" s="296" t="s">
        <v>8506</v>
      </c>
      <c r="H152" s="297" t="s">
        <v>8696</v>
      </c>
      <c r="I152" s="297">
        <v>2</v>
      </c>
      <c r="J152" s="308">
        <v>2255</v>
      </c>
      <c r="K152" s="299"/>
      <c r="L152" s="299"/>
      <c r="M152" s="299">
        <v>23</v>
      </c>
      <c r="N152" s="299">
        <v>11</v>
      </c>
      <c r="O152" s="300">
        <v>40</v>
      </c>
      <c r="P152" s="301">
        <v>42090</v>
      </c>
      <c r="Q152" s="306"/>
      <c r="R152" s="303"/>
      <c r="S152" s="289">
        <v>5.65</v>
      </c>
      <c r="T152" s="303">
        <v>42208</v>
      </c>
      <c r="U152" s="307"/>
      <c r="V152" s="303"/>
      <c r="W152" s="306"/>
      <c r="X152" s="303"/>
      <c r="Y152" s="306">
        <v>19.79</v>
      </c>
      <c r="Z152" s="303">
        <v>42208</v>
      </c>
      <c r="AA152">
        <v>14.4</v>
      </c>
      <c r="AB152" s="303"/>
      <c r="AC152" s="306"/>
      <c r="AD152" s="303"/>
      <c r="AE152" s="302"/>
      <c r="AF152" s="303"/>
      <c r="AG152">
        <v>68546.995192307688</v>
      </c>
      <c r="AH152" s="521">
        <f>(AK152*10000)/AM152</f>
        <v>68546.995192307688</v>
      </c>
      <c r="AI152" s="302"/>
      <c r="AJ152" s="303"/>
      <c r="AK152">
        <v>35.644437500000002</v>
      </c>
      <c r="AL152" s="521"/>
      <c r="AM152">
        <v>5.2</v>
      </c>
      <c r="AN152" s="303">
        <v>42244</v>
      </c>
      <c r="AO152">
        <v>120</v>
      </c>
      <c r="AP152" s="303">
        <v>42170</v>
      </c>
      <c r="AQ152" s="306"/>
      <c r="AR152" s="303"/>
      <c r="AS152" s="306"/>
      <c r="AT152" s="303"/>
      <c r="AU152">
        <v>110</v>
      </c>
      <c r="AV152" s="303"/>
      <c r="AW152" s="302"/>
      <c r="AX152" s="302"/>
      <c r="AY152" s="302"/>
      <c r="AZ152" s="303"/>
      <c r="BA152" s="302"/>
      <c r="BB152" s="302"/>
      <c r="BC152" s="302"/>
      <c r="BD152" s="302"/>
      <c r="BE152" s="302"/>
      <c r="BF152" s="302"/>
      <c r="BG152" s="302"/>
      <c r="BH152" s="302"/>
      <c r="BI152" s="302"/>
      <c r="BJ152" s="302"/>
      <c r="BM152">
        <v>-1.4</v>
      </c>
      <c r="BS152">
        <v>59.1</v>
      </c>
      <c r="BY152">
        <v>49.5</v>
      </c>
      <c r="CA152">
        <v>19</v>
      </c>
      <c r="CC152">
        <v>14.2</v>
      </c>
      <c r="CI152">
        <v>7.3</v>
      </c>
      <c r="CO152" t="s">
        <v>8698</v>
      </c>
      <c r="CR152">
        <v>1</v>
      </c>
      <c r="CT152" s="304" t="s">
        <v>11678</v>
      </c>
    </row>
    <row r="153" spans="1:98" s="304" customFormat="1">
      <c r="A153" s="304" t="s">
        <v>8506</v>
      </c>
      <c r="B153" s="463">
        <v>11</v>
      </c>
      <c r="C153" s="296" t="s">
        <v>7620</v>
      </c>
      <c r="D153" s="296" t="s">
        <v>263</v>
      </c>
      <c r="E153" s="296" t="s">
        <v>7620</v>
      </c>
      <c r="F153" s="296"/>
      <c r="G153" s="296" t="s">
        <v>8506</v>
      </c>
      <c r="H153" s="297" t="s">
        <v>8696</v>
      </c>
      <c r="I153" s="297">
        <v>2</v>
      </c>
      <c r="J153" s="297">
        <v>276</v>
      </c>
      <c r="K153" s="299"/>
      <c r="L153" s="299"/>
      <c r="M153" s="299">
        <v>24</v>
      </c>
      <c r="N153" s="299">
        <v>8</v>
      </c>
      <c r="O153" s="300">
        <v>67</v>
      </c>
      <c r="P153" s="301">
        <v>42090</v>
      </c>
      <c r="Q153" s="302"/>
      <c r="R153" s="303"/>
      <c r="S153" s="289">
        <v>4.6500000000000004</v>
      </c>
      <c r="T153" s="303">
        <v>42208</v>
      </c>
      <c r="U153" s="302"/>
      <c r="V153" s="303"/>
      <c r="W153" s="302"/>
      <c r="X153" s="303"/>
      <c r="Y153" s="302">
        <v>15.91</v>
      </c>
      <c r="Z153" s="303">
        <v>42208</v>
      </c>
      <c r="AA153">
        <v>14.4</v>
      </c>
      <c r="AB153" s="303"/>
      <c r="AC153" s="302"/>
      <c r="AD153" s="303"/>
      <c r="AE153" s="302"/>
      <c r="AF153" s="303"/>
      <c r="AG153">
        <v>65260.740740740752</v>
      </c>
      <c r="AH153" s="521">
        <f>(AK153*10000)/AM153</f>
        <v>65260.740740740752</v>
      </c>
      <c r="AI153" s="302"/>
      <c r="AJ153" s="303"/>
      <c r="AK153">
        <v>29.367333333333335</v>
      </c>
      <c r="AL153" s="521"/>
      <c r="AM153">
        <v>4.5</v>
      </c>
      <c r="AN153" s="303">
        <v>42244</v>
      </c>
      <c r="AO153">
        <v>100</v>
      </c>
      <c r="AP153" s="303">
        <v>42170</v>
      </c>
      <c r="AQ153" s="302"/>
      <c r="AR153" s="303"/>
      <c r="AS153" s="302"/>
      <c r="AT153" s="303"/>
      <c r="AU153">
        <v>109</v>
      </c>
      <c r="AV153" s="303"/>
      <c r="AW153" s="302"/>
      <c r="AX153" s="302"/>
      <c r="AY153" s="302"/>
      <c r="AZ153" s="303"/>
      <c r="BA153" s="302"/>
      <c r="BB153" s="302"/>
      <c r="BC153" s="302"/>
      <c r="BD153" s="302"/>
      <c r="BE153" s="302"/>
      <c r="BF153" s="302"/>
      <c r="BG153" s="302"/>
      <c r="BH153" s="302"/>
      <c r="BI153" s="302"/>
      <c r="BJ153" s="302"/>
      <c r="BM153">
        <v>50.8</v>
      </c>
      <c r="BS153">
        <v>7.4</v>
      </c>
      <c r="BY153">
        <v>48.3</v>
      </c>
      <c r="CA153">
        <v>23.6</v>
      </c>
      <c r="CC153">
        <v>65</v>
      </c>
      <c r="CI153">
        <v>7.2</v>
      </c>
      <c r="CO153" t="s">
        <v>8698</v>
      </c>
      <c r="CR153">
        <v>1</v>
      </c>
      <c r="CT153" s="304" t="s">
        <v>11678</v>
      </c>
    </row>
    <row r="154" spans="1:98" s="304" customFormat="1">
      <c r="A154" s="304" t="s">
        <v>8506</v>
      </c>
      <c r="B154" s="463">
        <v>23</v>
      </c>
      <c r="C154" s="296" t="s">
        <v>7635</v>
      </c>
      <c r="D154" s="296" t="s">
        <v>7471</v>
      </c>
      <c r="E154" s="296" t="s">
        <v>7635</v>
      </c>
      <c r="F154" s="296"/>
      <c r="G154" s="296" t="s">
        <v>8506</v>
      </c>
      <c r="H154" s="297" t="s">
        <v>8696</v>
      </c>
      <c r="I154" s="297">
        <v>2</v>
      </c>
      <c r="J154" s="297">
        <v>2136</v>
      </c>
      <c r="K154" s="299"/>
      <c r="L154" s="299"/>
      <c r="M154" s="299">
        <v>24</v>
      </c>
      <c r="N154" s="299">
        <v>9</v>
      </c>
      <c r="O154" s="300">
        <v>30</v>
      </c>
      <c r="P154" s="301">
        <v>42090</v>
      </c>
      <c r="Q154" s="302"/>
      <c r="R154" s="303"/>
      <c r="S154" s="289">
        <v>5.45</v>
      </c>
      <c r="T154" s="303">
        <v>42208</v>
      </c>
      <c r="U154" s="302"/>
      <c r="V154" s="303"/>
      <c r="W154" s="302"/>
      <c r="X154" s="303"/>
      <c r="Y154" s="302">
        <v>20.350000000000001</v>
      </c>
      <c r="Z154" s="303">
        <v>42208</v>
      </c>
      <c r="AA154">
        <v>14.4</v>
      </c>
      <c r="AB154" s="303"/>
      <c r="AC154" s="302"/>
      <c r="AD154" s="303"/>
      <c r="AE154" s="302"/>
      <c r="AF154" s="303"/>
      <c r="AG154">
        <v>65222.903563941298</v>
      </c>
      <c r="AH154" s="521">
        <f>(AK154*10000)/AM154</f>
        <v>65222.903563941298</v>
      </c>
      <c r="AI154" s="302"/>
      <c r="AJ154" s="303"/>
      <c r="AK154">
        <v>34.568138888888889</v>
      </c>
      <c r="AL154" s="521"/>
      <c r="AM154">
        <v>5.3</v>
      </c>
      <c r="AN154" s="303">
        <v>42244</v>
      </c>
      <c r="AO154">
        <v>160</v>
      </c>
      <c r="AP154" s="303">
        <v>42170</v>
      </c>
      <c r="AQ154" s="302"/>
      <c r="AR154" s="303"/>
      <c r="AS154" s="302"/>
      <c r="AT154" s="303"/>
      <c r="AU154">
        <v>109</v>
      </c>
      <c r="AV154" s="303"/>
      <c r="AW154" s="302"/>
      <c r="AX154" s="302"/>
      <c r="AY154" s="302"/>
      <c r="AZ154" s="303"/>
      <c r="BA154" s="302"/>
      <c r="BB154" s="302"/>
      <c r="BC154" s="302"/>
      <c r="BD154" s="302"/>
      <c r="BE154" s="302"/>
      <c r="BF154" s="302"/>
      <c r="BG154" s="302"/>
      <c r="BH154" s="302"/>
      <c r="BI154" s="302"/>
      <c r="BJ154" s="302"/>
      <c r="BM154">
        <v>46.2</v>
      </c>
      <c r="BS154">
        <v>11.3</v>
      </c>
      <c r="BY154">
        <v>52.5</v>
      </c>
      <c r="CA154">
        <v>19.8</v>
      </c>
      <c r="CC154">
        <v>57.7</v>
      </c>
      <c r="CI154">
        <v>6.8</v>
      </c>
      <c r="CO154" t="s">
        <v>8698</v>
      </c>
      <c r="CR154">
        <v>2</v>
      </c>
      <c r="CT154" s="304" t="s">
        <v>11678</v>
      </c>
    </row>
    <row r="155" spans="1:98" s="304" customFormat="1">
      <c r="A155" s="304" t="s">
        <v>8506</v>
      </c>
      <c r="B155" s="463">
        <v>31</v>
      </c>
      <c r="C155" s="296" t="s">
        <v>7643</v>
      </c>
      <c r="D155" s="296" t="s">
        <v>7478</v>
      </c>
      <c r="E155" s="296" t="s">
        <v>7643</v>
      </c>
      <c r="F155" s="296"/>
      <c r="G155" s="296" t="s">
        <v>8506</v>
      </c>
      <c r="H155" s="297" t="s">
        <v>8697</v>
      </c>
      <c r="I155" s="297">
        <v>1</v>
      </c>
      <c r="J155" s="297">
        <v>1196</v>
      </c>
      <c r="K155" s="299"/>
      <c r="L155" s="299"/>
      <c r="M155" s="299">
        <v>24</v>
      </c>
      <c r="N155" s="299">
        <v>4</v>
      </c>
      <c r="O155" s="300">
        <v>32</v>
      </c>
      <c r="P155" s="301">
        <v>42090</v>
      </c>
      <c r="Q155" s="302"/>
      <c r="R155" s="303"/>
      <c r="S155" s="289">
        <v>3.8</v>
      </c>
      <c r="T155" s="303">
        <v>42208</v>
      </c>
      <c r="U155" s="302"/>
      <c r="V155" s="303"/>
      <c r="W155" s="302"/>
      <c r="X155" s="303"/>
      <c r="Y155" s="302">
        <v>13.59</v>
      </c>
      <c r="Z155" s="303">
        <v>42208</v>
      </c>
      <c r="AA155">
        <v>14.4</v>
      </c>
      <c r="AB155" s="303"/>
      <c r="AC155" s="302"/>
      <c r="AD155" s="303"/>
      <c r="AE155" s="302"/>
      <c r="AF155" s="303"/>
      <c r="AG155">
        <v>44730.144032921809</v>
      </c>
      <c r="AH155" s="521">
        <f>(AK155*10000)/AM155</f>
        <v>44730.144032921809</v>
      </c>
      <c r="AI155" s="302"/>
      <c r="AJ155" s="303"/>
      <c r="AK155">
        <v>24.154277777777779</v>
      </c>
      <c r="AL155" s="521"/>
      <c r="AM155">
        <v>5.4</v>
      </c>
      <c r="AN155" s="303">
        <v>42244</v>
      </c>
      <c r="AO155">
        <v>135</v>
      </c>
      <c r="AP155" s="303">
        <v>42170</v>
      </c>
      <c r="AQ155" s="302"/>
      <c r="AR155" s="303"/>
      <c r="AS155" s="302"/>
      <c r="AT155" s="303"/>
      <c r="AU155">
        <v>108</v>
      </c>
      <c r="AV155" s="303"/>
      <c r="AW155" s="302"/>
      <c r="AX155" s="302"/>
      <c r="AY155" s="302"/>
      <c r="AZ155" s="303"/>
      <c r="BA155" s="302"/>
      <c r="BB155" s="302"/>
      <c r="BC155" s="302"/>
      <c r="BD155" s="302"/>
      <c r="BE155" s="302"/>
      <c r="BF155" s="302"/>
      <c r="BG155" s="302"/>
      <c r="BH155" s="302"/>
      <c r="BI155" s="302"/>
      <c r="BJ155" s="302"/>
      <c r="BM155">
        <v>8.5</v>
      </c>
      <c r="BS155">
        <v>54.1</v>
      </c>
      <c r="BY155">
        <v>50.2</v>
      </c>
      <c r="CA155">
        <v>17.399999999999999</v>
      </c>
      <c r="CC155">
        <v>53.6</v>
      </c>
      <c r="CI155">
        <v>6.6</v>
      </c>
      <c r="CO155" t="s">
        <v>8698</v>
      </c>
      <c r="CR155">
        <v>1</v>
      </c>
      <c r="CT155" s="304" t="s">
        <v>11678</v>
      </c>
    </row>
    <row r="156" spans="1:98" s="304" customFormat="1">
      <c r="A156" s="304" t="s">
        <v>8506</v>
      </c>
      <c r="B156" s="463">
        <v>97</v>
      </c>
      <c r="C156" s="296" t="s">
        <v>7715</v>
      </c>
      <c r="D156" s="296" t="s">
        <v>7542</v>
      </c>
      <c r="E156" s="296" t="s">
        <v>7715</v>
      </c>
      <c r="F156" s="296"/>
      <c r="G156" s="296" t="s">
        <v>8506</v>
      </c>
      <c r="H156" s="297" t="s">
        <v>8696</v>
      </c>
      <c r="I156" s="297">
        <v>2</v>
      </c>
      <c r="J156" s="297">
        <v>2196</v>
      </c>
      <c r="K156" s="299"/>
      <c r="L156" s="299"/>
      <c r="M156" s="299">
        <v>24</v>
      </c>
      <c r="N156" s="299">
        <v>10</v>
      </c>
      <c r="O156" s="300">
        <v>39</v>
      </c>
      <c r="P156" s="301">
        <v>42090</v>
      </c>
      <c r="Q156" s="302"/>
      <c r="R156" s="303"/>
      <c r="S156" s="289">
        <v>6.15</v>
      </c>
      <c r="T156" s="303">
        <v>42208</v>
      </c>
      <c r="U156" s="302"/>
      <c r="V156" s="303"/>
      <c r="W156" s="302"/>
      <c r="X156" s="303"/>
      <c r="Y156" s="302">
        <v>20.69</v>
      </c>
      <c r="Z156" s="303">
        <v>42208</v>
      </c>
      <c r="AA156">
        <v>14.4</v>
      </c>
      <c r="AB156" s="303"/>
      <c r="AC156" s="302"/>
      <c r="AD156" s="303"/>
      <c r="AE156" s="302"/>
      <c r="AF156" s="303"/>
      <c r="AG156">
        <v>73442.216981132093</v>
      </c>
      <c r="AH156" s="521">
        <f>(AK156*10000)/AM156</f>
        <v>73442.216981132093</v>
      </c>
      <c r="AI156" s="302"/>
      <c r="AJ156" s="303"/>
      <c r="AK156">
        <v>38.924375000000005</v>
      </c>
      <c r="AL156" s="521"/>
      <c r="AM156">
        <v>5.3</v>
      </c>
      <c r="AN156" s="303">
        <v>42244</v>
      </c>
      <c r="AO156">
        <v>135</v>
      </c>
      <c r="AP156" s="303">
        <v>42170</v>
      </c>
      <c r="AQ156" s="302"/>
      <c r="AR156" s="303"/>
      <c r="AS156" s="302"/>
      <c r="AT156" s="303"/>
      <c r="AU156">
        <v>107</v>
      </c>
      <c r="AV156" s="303"/>
      <c r="AW156" s="302"/>
      <c r="AX156" s="302"/>
      <c r="AY156" s="302"/>
      <c r="AZ156" s="303"/>
      <c r="BA156" s="302"/>
      <c r="BB156" s="302"/>
      <c r="BC156" s="302"/>
      <c r="BD156" s="302"/>
      <c r="BE156" s="302"/>
      <c r="BF156" s="302"/>
      <c r="BG156" s="302"/>
      <c r="BH156" s="302"/>
      <c r="BI156" s="302"/>
      <c r="BJ156" s="302"/>
      <c r="BM156">
        <v>-2</v>
      </c>
      <c r="BS156">
        <v>58.4</v>
      </c>
      <c r="BY156">
        <v>47.4</v>
      </c>
      <c r="CA156">
        <v>19.600000000000001</v>
      </c>
      <c r="CC156">
        <v>13.3</v>
      </c>
      <c r="CI156">
        <v>7</v>
      </c>
      <c r="CO156" t="s">
        <v>8698</v>
      </c>
      <c r="CR156">
        <v>1</v>
      </c>
      <c r="CT156" s="304" t="s">
        <v>11678</v>
      </c>
    </row>
    <row r="157" spans="1:98" s="304" customFormat="1">
      <c r="A157" s="304" t="s">
        <v>8506</v>
      </c>
      <c r="B157" s="463">
        <v>140</v>
      </c>
      <c r="C157" s="296" t="s">
        <v>7768</v>
      </c>
      <c r="D157" s="296" t="s">
        <v>7842</v>
      </c>
      <c r="E157" s="296" t="s">
        <v>7768</v>
      </c>
      <c r="F157" s="296"/>
      <c r="G157" s="296" t="s">
        <v>8506</v>
      </c>
      <c r="H157" s="297" t="s">
        <v>8696</v>
      </c>
      <c r="I157" s="297">
        <v>2</v>
      </c>
      <c r="J157" s="297">
        <v>216</v>
      </c>
      <c r="K157" s="299"/>
      <c r="L157" s="299"/>
      <c r="M157" s="299">
        <v>24</v>
      </c>
      <c r="N157" s="299">
        <v>7</v>
      </c>
      <c r="O157" s="300">
        <v>46</v>
      </c>
      <c r="P157" s="301">
        <v>42090</v>
      </c>
      <c r="Q157" s="302"/>
      <c r="R157" s="303"/>
      <c r="S157" s="289">
        <v>6.15</v>
      </c>
      <c r="T157" s="303">
        <v>42208</v>
      </c>
      <c r="U157" s="302"/>
      <c r="V157" s="303"/>
      <c r="W157" s="302"/>
      <c r="X157" s="303"/>
      <c r="Y157" s="302">
        <v>22.01</v>
      </c>
      <c r="Z157" s="303">
        <v>42208</v>
      </c>
      <c r="AA157">
        <v>14.4</v>
      </c>
      <c r="AB157" s="303"/>
      <c r="AC157" s="302"/>
      <c r="AD157" s="303"/>
      <c r="AE157" s="302"/>
      <c r="AF157" s="303"/>
      <c r="AG157">
        <v>68728.947368421053</v>
      </c>
      <c r="AH157" s="521">
        <f>(AK157*10000)/AM157</f>
        <v>68728.947368421053</v>
      </c>
      <c r="AI157" s="302"/>
      <c r="AJ157" s="303"/>
      <c r="AK157">
        <v>39.1755</v>
      </c>
      <c r="AL157" s="521"/>
      <c r="AM157">
        <v>5.7</v>
      </c>
      <c r="AN157" s="303">
        <v>42244</v>
      </c>
      <c r="AO157">
        <v>120</v>
      </c>
      <c r="AP157" s="303">
        <v>42170</v>
      </c>
      <c r="AQ157" s="302"/>
      <c r="AR157" s="303"/>
      <c r="AS157" s="302"/>
      <c r="AT157" s="303"/>
      <c r="AU157">
        <v>108</v>
      </c>
      <c r="AV157" s="303"/>
      <c r="AW157" s="302"/>
      <c r="AX157" s="302"/>
      <c r="AY157" s="302"/>
      <c r="AZ157" s="303"/>
      <c r="BA157" s="302"/>
      <c r="BB157" s="302"/>
      <c r="BC157" s="302"/>
      <c r="BD157" s="302"/>
      <c r="BE157" s="302"/>
      <c r="BF157" s="302"/>
      <c r="BG157" s="302"/>
      <c r="BH157" s="302"/>
      <c r="BI157" s="302"/>
      <c r="BJ157" s="302"/>
      <c r="BM157">
        <v>0.9</v>
      </c>
      <c r="BS157">
        <v>57.7</v>
      </c>
      <c r="BY157">
        <v>50.1</v>
      </c>
      <c r="CA157">
        <v>18.7</v>
      </c>
      <c r="CC157">
        <v>16.100000000000001</v>
      </c>
      <c r="CI157">
        <v>6.4</v>
      </c>
      <c r="CO157" t="s">
        <v>8698</v>
      </c>
      <c r="CR157">
        <v>1</v>
      </c>
      <c r="CT157" s="304" t="s">
        <v>11678</v>
      </c>
    </row>
    <row r="158" spans="1:98" s="304" customFormat="1">
      <c r="A158" s="304" t="s">
        <v>8506</v>
      </c>
      <c r="B158" s="463">
        <v>168</v>
      </c>
      <c r="C158" s="296" t="s">
        <v>7796</v>
      </c>
      <c r="D158" s="296" t="s">
        <v>7597</v>
      </c>
      <c r="E158" s="296" t="s">
        <v>7796</v>
      </c>
      <c r="F158" s="296"/>
      <c r="G158" s="296" t="s">
        <v>8506</v>
      </c>
      <c r="H158" s="297" t="s">
        <v>8697</v>
      </c>
      <c r="I158" s="297">
        <v>1</v>
      </c>
      <c r="J158" s="297">
        <v>1316</v>
      </c>
      <c r="K158" s="299"/>
      <c r="L158" s="299"/>
      <c r="M158" s="299">
        <v>24</v>
      </c>
      <c r="N158" s="299">
        <v>6</v>
      </c>
      <c r="O158" s="300">
        <v>54</v>
      </c>
      <c r="P158" s="301">
        <v>42090</v>
      </c>
      <c r="Q158" s="302"/>
      <c r="R158" s="303"/>
      <c r="S158" s="289">
        <v>5.65</v>
      </c>
      <c r="T158" s="303">
        <v>42208</v>
      </c>
      <c r="U158" s="302"/>
      <c r="V158" s="303"/>
      <c r="W158" s="302"/>
      <c r="X158" s="303"/>
      <c r="Y158" s="302">
        <v>20.75</v>
      </c>
      <c r="Z158" s="303">
        <v>42208</v>
      </c>
      <c r="AA158">
        <v>14.4</v>
      </c>
      <c r="AB158" s="303"/>
      <c r="AC158" s="302"/>
      <c r="AD158" s="303"/>
      <c r="AE158" s="302"/>
      <c r="AF158" s="303"/>
      <c r="AG158">
        <v>68694.885149572641</v>
      </c>
      <c r="AH158" s="521">
        <f>(AK158*10000)/AM158</f>
        <v>68694.885149572641</v>
      </c>
      <c r="AI158" s="302"/>
      <c r="AJ158" s="303"/>
      <c r="AK158">
        <v>35.721340277777777</v>
      </c>
      <c r="AL158" s="521"/>
      <c r="AM158">
        <v>5.2</v>
      </c>
      <c r="AN158" s="303">
        <v>42244</v>
      </c>
      <c r="AO158">
        <v>145</v>
      </c>
      <c r="AP158" s="303">
        <v>42170</v>
      </c>
      <c r="AQ158" s="302"/>
      <c r="AR158" s="303"/>
      <c r="AS158" s="302"/>
      <c r="AT158" s="303"/>
      <c r="AU158">
        <v>106</v>
      </c>
      <c r="AV158" s="303"/>
      <c r="AW158" s="302"/>
      <c r="AX158" s="302"/>
      <c r="AY158" s="302"/>
      <c r="AZ158" s="303"/>
      <c r="BA158" s="302"/>
      <c r="BB158" s="302"/>
      <c r="BC158" s="302"/>
      <c r="BD158" s="302"/>
      <c r="BE158" s="302"/>
      <c r="BF158" s="302"/>
      <c r="BG158" s="302"/>
      <c r="BH158" s="302"/>
      <c r="BI158" s="302"/>
      <c r="BJ158" s="302"/>
      <c r="BM158">
        <v>-2.1</v>
      </c>
      <c r="BS158">
        <v>61.4</v>
      </c>
      <c r="BY158">
        <v>51.8</v>
      </c>
      <c r="CA158">
        <v>16.399999999999999</v>
      </c>
      <c r="CC158">
        <v>16.2</v>
      </c>
      <c r="CI158">
        <v>7.1</v>
      </c>
      <c r="CO158" t="s">
        <v>8698</v>
      </c>
      <c r="CR158">
        <v>1</v>
      </c>
      <c r="CT158" s="304" t="s">
        <v>11678</v>
      </c>
    </row>
    <row r="159" spans="1:98" s="304" customFormat="1">
      <c r="A159" s="304" t="s">
        <v>8506</v>
      </c>
      <c r="B159" s="463">
        <v>19</v>
      </c>
      <c r="C159" s="296" t="s">
        <v>7628</v>
      </c>
      <c r="D159" s="296" t="s">
        <v>7465</v>
      </c>
      <c r="E159" s="296" t="s">
        <v>7628</v>
      </c>
      <c r="F159" s="296"/>
      <c r="G159" s="296" t="s">
        <v>8506</v>
      </c>
      <c r="H159" s="297" t="s">
        <v>8696</v>
      </c>
      <c r="I159" s="297">
        <v>2</v>
      </c>
      <c r="J159" s="297">
        <v>217</v>
      </c>
      <c r="K159" s="299"/>
      <c r="L159" s="299"/>
      <c r="M159" s="299">
        <v>25</v>
      </c>
      <c r="N159" s="299">
        <v>7</v>
      </c>
      <c r="O159" s="300">
        <v>45</v>
      </c>
      <c r="P159" s="301">
        <v>42090</v>
      </c>
      <c r="Q159" s="302"/>
      <c r="R159" s="303"/>
      <c r="S159" s="289">
        <v>4.3499999999999996</v>
      </c>
      <c r="T159" s="303">
        <v>42208</v>
      </c>
      <c r="U159" s="302"/>
      <c r="V159" s="303"/>
      <c r="W159" s="302"/>
      <c r="X159" s="303"/>
      <c r="Y159" s="302">
        <v>14.79</v>
      </c>
      <c r="Z159" s="303">
        <v>42208</v>
      </c>
      <c r="AA159">
        <v>14.4</v>
      </c>
      <c r="AB159" s="303"/>
      <c r="AC159" s="302"/>
      <c r="AD159" s="303"/>
      <c r="AE159" s="302"/>
      <c r="AF159" s="303"/>
      <c r="AG159">
        <v>54332.352941176461</v>
      </c>
      <c r="AH159" s="521">
        <f>(AK159*10000)/AM159</f>
        <v>54332.352941176461</v>
      </c>
      <c r="AI159" s="302"/>
      <c r="AJ159" s="303"/>
      <c r="AK159">
        <v>27.709499999999991</v>
      </c>
      <c r="AL159" s="521"/>
      <c r="AM159">
        <v>5.0999999999999996</v>
      </c>
      <c r="AN159" s="303">
        <v>42244</v>
      </c>
      <c r="AO159">
        <v>125</v>
      </c>
      <c r="AP159" s="303">
        <v>42170</v>
      </c>
      <c r="AQ159" s="302"/>
      <c r="AR159" s="303"/>
      <c r="AS159" s="302"/>
      <c r="AT159" s="303"/>
      <c r="AU159">
        <v>113</v>
      </c>
      <c r="AV159" s="303"/>
      <c r="AW159" s="302"/>
      <c r="AX159" s="302"/>
      <c r="AY159" s="302"/>
      <c r="AZ159" s="303"/>
      <c r="BA159" s="302"/>
      <c r="BB159" s="302"/>
      <c r="BC159" s="302"/>
      <c r="BD159" s="302"/>
      <c r="BE159" s="302"/>
      <c r="BF159" s="302"/>
      <c r="BG159" s="302"/>
      <c r="BH159" s="302"/>
      <c r="BI159" s="302"/>
      <c r="BJ159" s="302"/>
      <c r="BM159">
        <v>37.6</v>
      </c>
      <c r="BS159">
        <v>15.4</v>
      </c>
      <c r="BY159">
        <v>47.6</v>
      </c>
      <c r="CA159">
        <v>20.399999999999999</v>
      </c>
      <c r="CC159">
        <v>62.8</v>
      </c>
      <c r="CI159">
        <v>6.4</v>
      </c>
      <c r="CO159" t="s">
        <v>8698</v>
      </c>
      <c r="CR159">
        <v>2</v>
      </c>
      <c r="CT159" s="304" t="s">
        <v>11678</v>
      </c>
    </row>
    <row r="160" spans="1:98" s="304" customFormat="1">
      <c r="A160" s="304" t="s">
        <v>8506</v>
      </c>
      <c r="B160" s="463">
        <v>28</v>
      </c>
      <c r="C160" s="296" t="s">
        <v>7640</v>
      </c>
      <c r="D160" s="296" t="s">
        <v>7475</v>
      </c>
      <c r="E160" s="296" t="s">
        <v>7640</v>
      </c>
      <c r="F160" s="296"/>
      <c r="G160" s="296" t="s">
        <v>8506</v>
      </c>
      <c r="H160" s="297" t="s">
        <v>8696</v>
      </c>
      <c r="I160" s="297">
        <v>2</v>
      </c>
      <c r="J160" s="308">
        <v>2137</v>
      </c>
      <c r="K160" s="299"/>
      <c r="L160" s="299"/>
      <c r="M160" s="299">
        <v>25</v>
      </c>
      <c r="N160" s="299">
        <v>9</v>
      </c>
      <c r="O160" s="300">
        <v>64</v>
      </c>
      <c r="P160" s="301">
        <v>42090</v>
      </c>
      <c r="Q160" s="306"/>
      <c r="R160" s="303"/>
      <c r="S160" s="289">
        <v>3.65</v>
      </c>
      <c r="T160" s="303">
        <v>42208</v>
      </c>
      <c r="U160" s="307"/>
      <c r="V160" s="303"/>
      <c r="W160" s="306"/>
      <c r="X160" s="303"/>
      <c r="Y160" s="306">
        <v>12.3</v>
      </c>
      <c r="Z160" s="303">
        <v>42208</v>
      </c>
      <c r="AA160">
        <v>14.4</v>
      </c>
      <c r="AB160" s="303"/>
      <c r="AC160" s="306"/>
      <c r="AD160" s="303"/>
      <c r="AE160" s="302"/>
      <c r="AF160" s="303"/>
      <c r="AG160">
        <v>42596.476337448556</v>
      </c>
      <c r="AH160" s="521">
        <f>(AK160*10000)/AM160</f>
        <v>42596.476337448556</v>
      </c>
      <c r="AI160" s="302"/>
      <c r="AJ160" s="303"/>
      <c r="AK160">
        <v>23.002097222222222</v>
      </c>
      <c r="AL160" s="521"/>
      <c r="AM160">
        <v>5.4</v>
      </c>
      <c r="AN160" s="303">
        <v>42244</v>
      </c>
      <c r="AO160">
        <v>125</v>
      </c>
      <c r="AP160" s="303">
        <v>42170</v>
      </c>
      <c r="AQ160" s="306"/>
      <c r="AR160" s="303"/>
      <c r="AS160" s="306"/>
      <c r="AT160" s="303"/>
      <c r="AU160">
        <v>104</v>
      </c>
      <c r="AV160" s="303"/>
      <c r="AW160" s="302"/>
      <c r="AX160" s="302"/>
      <c r="AY160" s="302"/>
      <c r="AZ160" s="303"/>
      <c r="BA160" s="302"/>
      <c r="BB160" s="302"/>
      <c r="BC160" s="302"/>
      <c r="BD160" s="302"/>
      <c r="BE160" s="302"/>
      <c r="BF160" s="302"/>
      <c r="BG160" s="302"/>
      <c r="BH160" s="302"/>
      <c r="BI160" s="302"/>
      <c r="BJ160" s="302"/>
      <c r="BM160">
        <v>2.7</v>
      </c>
      <c r="BS160">
        <v>52.9</v>
      </c>
      <c r="BY160">
        <v>47.7</v>
      </c>
      <c r="CA160">
        <v>20.5</v>
      </c>
      <c r="CC160">
        <v>65.8</v>
      </c>
      <c r="CI160">
        <v>7.4</v>
      </c>
      <c r="CO160" t="s">
        <v>8698</v>
      </c>
      <c r="CR160">
        <v>4</v>
      </c>
      <c r="CT160" s="304" t="s">
        <v>11678</v>
      </c>
    </row>
    <row r="161" spans="1:98" s="304" customFormat="1">
      <c r="A161" s="304" t="s">
        <v>8506</v>
      </c>
      <c r="B161" s="463">
        <v>58</v>
      </c>
      <c r="C161" s="296" t="s">
        <v>7676</v>
      </c>
      <c r="D161" s="296" t="s">
        <v>7508</v>
      </c>
      <c r="E161" s="296" t="s">
        <v>7676</v>
      </c>
      <c r="F161" s="296"/>
      <c r="G161" s="296" t="s">
        <v>8506</v>
      </c>
      <c r="H161" s="297" t="s">
        <v>8697</v>
      </c>
      <c r="I161" s="297">
        <v>1</v>
      </c>
      <c r="J161" s="297">
        <v>1137</v>
      </c>
      <c r="K161" s="299"/>
      <c r="L161" s="299"/>
      <c r="M161" s="299">
        <v>25</v>
      </c>
      <c r="N161" s="299">
        <v>3</v>
      </c>
      <c r="O161" s="300">
        <v>36</v>
      </c>
      <c r="P161" s="301">
        <v>42090</v>
      </c>
      <c r="Q161" s="302"/>
      <c r="R161" s="303"/>
      <c r="S161" s="289">
        <v>4.6500000000000004</v>
      </c>
      <c r="T161" s="303">
        <v>42208</v>
      </c>
      <c r="U161" s="302"/>
      <c r="V161" s="303"/>
      <c r="W161" s="302"/>
      <c r="X161" s="303"/>
      <c r="Y161" s="302">
        <v>17.75</v>
      </c>
      <c r="Z161" s="303">
        <v>42208</v>
      </c>
      <c r="AA161">
        <v>14.4</v>
      </c>
      <c r="AB161" s="303"/>
      <c r="AC161" s="302"/>
      <c r="AD161" s="303"/>
      <c r="AE161" s="302"/>
      <c r="AF161" s="303"/>
      <c r="AG161">
        <v>62820.345744680861</v>
      </c>
      <c r="AH161" s="521">
        <f>(AK161*10000)/AM161</f>
        <v>62820.345744680861</v>
      </c>
      <c r="AI161" s="302"/>
      <c r="AJ161" s="303"/>
      <c r="AK161">
        <v>29.525562500000003</v>
      </c>
      <c r="AL161" s="521"/>
      <c r="AM161">
        <v>4.7</v>
      </c>
      <c r="AN161" s="303">
        <v>42244</v>
      </c>
      <c r="AO161">
        <v>115</v>
      </c>
      <c r="AP161" s="303">
        <v>42170</v>
      </c>
      <c r="AQ161" s="302"/>
      <c r="AR161" s="303"/>
      <c r="AS161" s="302"/>
      <c r="AT161" s="303"/>
      <c r="AU161">
        <v>106</v>
      </c>
      <c r="AV161" s="303"/>
      <c r="AW161" s="302"/>
      <c r="AX161" s="302"/>
      <c r="AY161" s="302"/>
      <c r="AZ161" s="303"/>
      <c r="BA161" s="302"/>
      <c r="BB161" s="302"/>
      <c r="BC161" s="302"/>
      <c r="BD161" s="302"/>
      <c r="BE161" s="302"/>
      <c r="BF161" s="302"/>
      <c r="BG161" s="302"/>
      <c r="BH161" s="302"/>
      <c r="BI161" s="302"/>
      <c r="BJ161" s="302"/>
      <c r="BM161">
        <v>-1.2</v>
      </c>
      <c r="BS161">
        <v>60.5</v>
      </c>
      <c r="BY161">
        <v>53.6</v>
      </c>
      <c r="CA161">
        <v>15.4</v>
      </c>
      <c r="CC161">
        <v>20.6</v>
      </c>
      <c r="CI161">
        <v>6.7</v>
      </c>
      <c r="CO161" t="s">
        <v>8698</v>
      </c>
      <c r="CR161">
        <v>2</v>
      </c>
      <c r="CT161" s="304" t="s">
        <v>11678</v>
      </c>
    </row>
    <row r="162" spans="1:98" s="304" customFormat="1">
      <c r="A162" s="304" t="s">
        <v>8506</v>
      </c>
      <c r="B162" s="463">
        <v>65</v>
      </c>
      <c r="C162" s="296" t="s">
        <v>7683</v>
      </c>
      <c r="D162" s="296" t="s">
        <v>7513</v>
      </c>
      <c r="E162" s="296" t="s">
        <v>7683</v>
      </c>
      <c r="F162" s="296"/>
      <c r="G162" s="296" t="s">
        <v>8506</v>
      </c>
      <c r="H162" s="297" t="s">
        <v>8697</v>
      </c>
      <c r="I162" s="297">
        <v>1</v>
      </c>
      <c r="J162" s="297">
        <v>1317</v>
      </c>
      <c r="K162" s="299"/>
      <c r="L162" s="299"/>
      <c r="M162" s="299">
        <v>25</v>
      </c>
      <c r="N162" s="299">
        <v>6</v>
      </c>
      <c r="O162" s="300">
        <v>45</v>
      </c>
      <c r="P162" s="301">
        <v>42090</v>
      </c>
      <c r="Q162" s="302"/>
      <c r="R162" s="303"/>
      <c r="S162" s="289">
        <v>4.55</v>
      </c>
      <c r="T162" s="303">
        <v>42208</v>
      </c>
      <c r="U162" s="302"/>
      <c r="V162" s="303"/>
      <c r="W162" s="302"/>
      <c r="X162" s="303"/>
      <c r="Y162" s="302">
        <v>16.38</v>
      </c>
      <c r="Z162" s="303">
        <v>42208</v>
      </c>
      <c r="AA162">
        <v>14.4</v>
      </c>
      <c r="AB162" s="303"/>
      <c r="AC162" s="302"/>
      <c r="AD162" s="303"/>
      <c r="AE162" s="302"/>
      <c r="AF162" s="303"/>
      <c r="AG162">
        <v>55856.597222222212</v>
      </c>
      <c r="AH162" s="521">
        <f>(AK162*10000)/AM162</f>
        <v>55856.597222222212</v>
      </c>
      <c r="AI162" s="302"/>
      <c r="AJ162" s="303"/>
      <c r="AK162">
        <v>29.045430555555551</v>
      </c>
      <c r="AL162" s="521"/>
      <c r="AM162">
        <v>5.2</v>
      </c>
      <c r="AN162" s="303">
        <v>42244</v>
      </c>
      <c r="AO162">
        <v>140</v>
      </c>
      <c r="AP162" s="303">
        <v>42170</v>
      </c>
      <c r="AQ162" s="302"/>
      <c r="AR162" s="303"/>
      <c r="AS162" s="302"/>
      <c r="AT162" s="303"/>
      <c r="AU162">
        <v>110</v>
      </c>
      <c r="AV162" s="303"/>
      <c r="AW162" s="302"/>
      <c r="AX162" s="302"/>
      <c r="AY162" s="302"/>
      <c r="AZ162" s="303"/>
      <c r="BA162" s="302"/>
      <c r="BB162" s="302"/>
      <c r="BC162" s="302"/>
      <c r="BD162" s="302"/>
      <c r="BE162" s="302"/>
      <c r="BF162" s="302"/>
      <c r="BG162" s="302"/>
      <c r="BH162" s="302"/>
      <c r="BI162" s="302"/>
      <c r="BJ162" s="302"/>
      <c r="BM162">
        <v>-2.4</v>
      </c>
      <c r="BS162">
        <v>62.4</v>
      </c>
      <c r="BY162">
        <v>50.3</v>
      </c>
      <c r="CA162">
        <v>18.8</v>
      </c>
      <c r="CC162">
        <v>16.899999999999999</v>
      </c>
      <c r="CI162">
        <v>6.2</v>
      </c>
      <c r="CO162" t="s">
        <v>8698</v>
      </c>
      <c r="CR162">
        <v>1</v>
      </c>
      <c r="CT162" s="304" t="s">
        <v>11678</v>
      </c>
    </row>
    <row r="163" spans="1:98" s="304" customFormat="1">
      <c r="A163" s="304" t="s">
        <v>8506</v>
      </c>
      <c r="B163" s="463">
        <v>82</v>
      </c>
      <c r="C163" s="296" t="s">
        <v>7700</v>
      </c>
      <c r="D163" s="296" t="s">
        <v>7529</v>
      </c>
      <c r="E163" s="296" t="s">
        <v>7700</v>
      </c>
      <c r="F163" s="296"/>
      <c r="G163" s="296" t="s">
        <v>8506</v>
      </c>
      <c r="H163" s="297" t="s">
        <v>8696</v>
      </c>
      <c r="I163" s="297">
        <v>2</v>
      </c>
      <c r="J163" s="297">
        <v>2197</v>
      </c>
      <c r="K163" s="299"/>
      <c r="L163" s="299"/>
      <c r="M163" s="299">
        <v>25</v>
      </c>
      <c r="N163" s="299">
        <v>10</v>
      </c>
      <c r="O163" s="300">
        <v>58</v>
      </c>
      <c r="P163" s="301">
        <v>42090</v>
      </c>
      <c r="Q163" s="302"/>
      <c r="R163" s="303"/>
      <c r="S163" s="289">
        <v>5.85</v>
      </c>
      <c r="T163" s="303">
        <v>42208</v>
      </c>
      <c r="U163" s="302"/>
      <c r="V163" s="303"/>
      <c r="W163" s="302"/>
      <c r="X163" s="303"/>
      <c r="Y163" s="302">
        <v>20.329999999999998</v>
      </c>
      <c r="Z163" s="303">
        <v>42208</v>
      </c>
      <c r="AA163">
        <v>14.4</v>
      </c>
      <c r="AB163" s="303"/>
      <c r="AC163" s="302"/>
      <c r="AD163" s="303"/>
      <c r="AE163" s="302"/>
      <c r="AF163" s="303"/>
      <c r="AG163">
        <v>72833.455882352937</v>
      </c>
      <c r="AH163" s="521">
        <f>(AK163*10000)/AM163</f>
        <v>72833.455882352937</v>
      </c>
      <c r="AI163" s="302"/>
      <c r="AJ163" s="303"/>
      <c r="AK163">
        <v>37.145062499999995</v>
      </c>
      <c r="AL163" s="521"/>
      <c r="AM163">
        <v>5.0999999999999996</v>
      </c>
      <c r="AN163" s="303">
        <v>42244</v>
      </c>
      <c r="AO163">
        <v>125</v>
      </c>
      <c r="AP163" s="303">
        <v>42170</v>
      </c>
      <c r="AQ163" s="302"/>
      <c r="AR163" s="303"/>
      <c r="AS163" s="302"/>
      <c r="AT163" s="303"/>
      <c r="AU163">
        <v>109</v>
      </c>
      <c r="AV163" s="303"/>
      <c r="AW163" s="302"/>
      <c r="AX163" s="302"/>
      <c r="AY163" s="302"/>
      <c r="AZ163" s="303"/>
      <c r="BA163" s="302"/>
      <c r="BB163" s="302"/>
      <c r="BC163" s="302"/>
      <c r="BD163" s="302"/>
      <c r="BE163" s="302"/>
      <c r="BF163" s="302"/>
      <c r="BG163" s="302"/>
      <c r="BH163" s="302"/>
      <c r="BI163" s="302"/>
      <c r="BJ163" s="302"/>
      <c r="BM163">
        <v>1.7</v>
      </c>
      <c r="BS163">
        <v>62.5</v>
      </c>
      <c r="BY163">
        <v>48.8</v>
      </c>
      <c r="CA163">
        <v>20.3</v>
      </c>
      <c r="CC163">
        <v>19.399999999999999</v>
      </c>
      <c r="CI163">
        <v>6.7</v>
      </c>
      <c r="CO163" t="s">
        <v>8698</v>
      </c>
      <c r="CR163">
        <v>2</v>
      </c>
      <c r="CT163" s="304" t="s">
        <v>11678</v>
      </c>
    </row>
    <row r="164" spans="1:98" s="304" customFormat="1">
      <c r="A164" s="304" t="s">
        <v>8506</v>
      </c>
      <c r="B164" s="463">
        <v>93</v>
      </c>
      <c r="C164" s="296" t="s">
        <v>7711</v>
      </c>
      <c r="D164" s="296" t="s">
        <v>7539</v>
      </c>
      <c r="E164" s="296" t="s">
        <v>7711</v>
      </c>
      <c r="F164" s="296"/>
      <c r="G164" s="296" t="s">
        <v>8506</v>
      </c>
      <c r="H164" s="297" t="s">
        <v>8697</v>
      </c>
      <c r="I164" s="297">
        <v>1</v>
      </c>
      <c r="J164" s="297">
        <v>1257</v>
      </c>
      <c r="K164" s="299"/>
      <c r="L164" s="299"/>
      <c r="M164" s="299">
        <v>25</v>
      </c>
      <c r="N164" s="299">
        <v>5</v>
      </c>
      <c r="O164" s="300">
        <v>33</v>
      </c>
      <c r="P164" s="301">
        <v>42090</v>
      </c>
      <c r="Q164" s="302"/>
      <c r="R164" s="303"/>
      <c r="S164" s="289">
        <v>3.85</v>
      </c>
      <c r="T164" s="303">
        <v>42208</v>
      </c>
      <c r="U164" s="302"/>
      <c r="V164" s="303"/>
      <c r="W164" s="302"/>
      <c r="X164" s="303"/>
      <c r="Y164" s="302">
        <v>14.3</v>
      </c>
      <c r="Z164" s="303">
        <v>42208</v>
      </c>
      <c r="AA164">
        <v>14.4</v>
      </c>
      <c r="AB164" s="303"/>
      <c r="AC164" s="302"/>
      <c r="AD164" s="303"/>
      <c r="AE164" s="302"/>
      <c r="AF164" s="303"/>
      <c r="AG164">
        <v>56911.854005167959</v>
      </c>
      <c r="AH164" s="521">
        <f>(AK164*10000)/AM164</f>
        <v>56911.854005167959</v>
      </c>
      <c r="AI164" s="302"/>
      <c r="AJ164" s="303"/>
      <c r="AK164">
        <v>24.472097222222221</v>
      </c>
      <c r="AL164" s="521"/>
      <c r="AM164">
        <v>4.3</v>
      </c>
      <c r="AN164" s="303">
        <v>42244</v>
      </c>
      <c r="AO164">
        <v>135</v>
      </c>
      <c r="AP164" s="303">
        <v>42170</v>
      </c>
      <c r="AQ164" s="302"/>
      <c r="AR164" s="303"/>
      <c r="AS164" s="302"/>
      <c r="AT164" s="303"/>
      <c r="AU164">
        <v>115</v>
      </c>
      <c r="AV164" s="303"/>
      <c r="AW164" s="302"/>
      <c r="AX164" s="302"/>
      <c r="AY164" s="302"/>
      <c r="AZ164" s="303"/>
      <c r="BA164" s="302"/>
      <c r="BB164" s="302"/>
      <c r="BC164" s="302"/>
      <c r="BD164" s="302"/>
      <c r="BE164" s="302"/>
      <c r="BF164" s="302"/>
      <c r="BG164" s="302"/>
      <c r="BH164" s="302"/>
      <c r="BI164" s="302"/>
      <c r="BJ164" s="302"/>
      <c r="BM164">
        <v>-4.4000000000000004</v>
      </c>
      <c r="BS164">
        <v>65.400000000000006</v>
      </c>
      <c r="BY164">
        <v>52.1</v>
      </c>
      <c r="CA164">
        <v>15.7</v>
      </c>
      <c r="CC164">
        <v>14.5</v>
      </c>
      <c r="CI164">
        <v>6.6</v>
      </c>
      <c r="CO164" t="s">
        <v>8698</v>
      </c>
      <c r="CR164">
        <v>2</v>
      </c>
      <c r="CT164" s="304" t="s">
        <v>11678</v>
      </c>
    </row>
    <row r="165" spans="1:98" s="304" customFormat="1">
      <c r="A165" s="304" t="s">
        <v>8506</v>
      </c>
      <c r="B165" s="463">
        <v>123</v>
      </c>
      <c r="C165" s="296" t="s">
        <v>7750</v>
      </c>
      <c r="D165" s="296" t="s">
        <v>7561</v>
      </c>
      <c r="E165" s="296" t="s">
        <v>7750</v>
      </c>
      <c r="F165" s="296"/>
      <c r="G165" s="296" t="s">
        <v>8506</v>
      </c>
      <c r="H165" s="297" t="s">
        <v>8697</v>
      </c>
      <c r="I165" s="297">
        <v>1</v>
      </c>
      <c r="J165" s="308">
        <v>177</v>
      </c>
      <c r="K165" s="299"/>
      <c r="L165" s="299"/>
      <c r="M165" s="299">
        <v>25</v>
      </c>
      <c r="N165" s="299">
        <v>2</v>
      </c>
      <c r="O165" s="300">
        <v>20</v>
      </c>
      <c r="P165" s="301">
        <v>42090</v>
      </c>
      <c r="Q165" s="306"/>
      <c r="R165" s="303"/>
      <c r="S165" s="289">
        <v>3.55</v>
      </c>
      <c r="T165" s="303">
        <v>42208</v>
      </c>
      <c r="U165" s="307"/>
      <c r="V165" s="303"/>
      <c r="W165" s="306"/>
      <c r="X165" s="303"/>
      <c r="Y165" s="306">
        <v>13.61</v>
      </c>
      <c r="Z165" s="303">
        <v>42208</v>
      </c>
      <c r="AA165">
        <v>14.4</v>
      </c>
      <c r="AB165" s="303"/>
      <c r="AC165" s="306"/>
      <c r="AD165" s="303"/>
      <c r="AE165" s="302"/>
      <c r="AF165" s="303"/>
      <c r="AG165">
        <v>50144.845679012345</v>
      </c>
      <c r="AH165" s="521">
        <f>(AK165*10000)/AM165</f>
        <v>50144.845679012345</v>
      </c>
      <c r="AI165" s="302"/>
      <c r="AJ165" s="303"/>
      <c r="AK165">
        <v>22.565180555555557</v>
      </c>
      <c r="AL165" s="521"/>
      <c r="AM165">
        <v>4.5</v>
      </c>
      <c r="AN165" s="303">
        <v>42244</v>
      </c>
      <c r="AO165">
        <v>150</v>
      </c>
      <c r="AP165" s="303">
        <v>42170</v>
      </c>
      <c r="AQ165" s="306"/>
      <c r="AR165" s="303"/>
      <c r="AS165" s="306"/>
      <c r="AT165" s="303"/>
      <c r="AU165">
        <v>112</v>
      </c>
      <c r="AV165" s="303"/>
      <c r="AW165" s="302"/>
      <c r="AX165" s="302"/>
      <c r="AY165" s="302"/>
      <c r="AZ165" s="303"/>
      <c r="BA165" s="302"/>
      <c r="BB165" s="302"/>
      <c r="BC165" s="302"/>
      <c r="BD165" s="302"/>
      <c r="BE165" s="302"/>
      <c r="BF165" s="302"/>
      <c r="BG165" s="302"/>
      <c r="BH165" s="302"/>
      <c r="BI165" s="302"/>
      <c r="BJ165" s="302"/>
      <c r="BM165">
        <v>47.9</v>
      </c>
      <c r="BS165">
        <v>10.3</v>
      </c>
      <c r="BY165">
        <v>53.8</v>
      </c>
      <c r="CA165">
        <v>16.5</v>
      </c>
      <c r="CC165">
        <v>45.4</v>
      </c>
      <c r="CI165">
        <v>6.6</v>
      </c>
      <c r="CO165" t="s">
        <v>8698</v>
      </c>
      <c r="CR165">
        <v>1</v>
      </c>
      <c r="CT165" s="304" t="s">
        <v>11678</v>
      </c>
    </row>
    <row r="166" spans="1:98" s="304" customFormat="1">
      <c r="A166" s="304" t="s">
        <v>8506</v>
      </c>
      <c r="B166" s="463">
        <v>44</v>
      </c>
      <c r="C166" s="296" t="s">
        <v>7661</v>
      </c>
      <c r="D166" s="296" t="s">
        <v>7494</v>
      </c>
      <c r="E166" s="296" t="s">
        <v>7661</v>
      </c>
      <c r="F166" s="296"/>
      <c r="G166" s="296" t="s">
        <v>8506</v>
      </c>
      <c r="H166" s="297" t="s">
        <v>8697</v>
      </c>
      <c r="I166" s="297">
        <v>1</v>
      </c>
      <c r="J166" s="297">
        <v>178</v>
      </c>
      <c r="K166" s="299"/>
      <c r="L166" s="299"/>
      <c r="M166" s="299">
        <v>26</v>
      </c>
      <c r="N166" s="299">
        <v>2</v>
      </c>
      <c r="O166" s="300">
        <v>50</v>
      </c>
      <c r="P166" s="301">
        <v>42090</v>
      </c>
      <c r="Q166" s="302"/>
      <c r="R166" s="303"/>
      <c r="S166" s="289">
        <v>2.95</v>
      </c>
      <c r="T166" s="303">
        <v>42208</v>
      </c>
      <c r="U166" s="302"/>
      <c r="V166" s="303"/>
      <c r="W166" s="302"/>
      <c r="X166" s="303"/>
      <c r="Y166" s="302">
        <v>10.82</v>
      </c>
      <c r="Z166" s="303">
        <v>42208</v>
      </c>
      <c r="AA166">
        <v>14.4</v>
      </c>
      <c r="AB166" s="303"/>
      <c r="AC166" s="302"/>
      <c r="AD166" s="303"/>
      <c r="AE166" s="302"/>
      <c r="AF166" s="303"/>
      <c r="AG166">
        <v>40632.865338164258</v>
      </c>
      <c r="AH166" s="521">
        <f>(AK166*10000)/AM166</f>
        <v>40632.865338164258</v>
      </c>
      <c r="AI166" s="302"/>
      <c r="AJ166" s="303"/>
      <c r="AK166">
        <v>18.691118055555556</v>
      </c>
      <c r="AL166" s="521"/>
      <c r="AM166">
        <v>4.5999999999999996</v>
      </c>
      <c r="AN166" s="303">
        <v>42244</v>
      </c>
      <c r="AO166">
        <v>155</v>
      </c>
      <c r="AP166" s="303">
        <v>42170</v>
      </c>
      <c r="AQ166" s="302"/>
      <c r="AR166" s="303"/>
      <c r="AS166" s="302"/>
      <c r="AT166" s="303"/>
      <c r="AU166">
        <v>114</v>
      </c>
      <c r="AV166" s="303"/>
      <c r="AW166" s="302"/>
      <c r="AX166" s="302"/>
      <c r="AY166" s="302"/>
      <c r="AZ166" s="303"/>
      <c r="BA166" s="302"/>
      <c r="BB166" s="302"/>
      <c r="BC166" s="302"/>
      <c r="BD166" s="302"/>
      <c r="BE166" s="302"/>
      <c r="BF166" s="302"/>
      <c r="BG166" s="302"/>
      <c r="BH166" s="302"/>
      <c r="BI166" s="302"/>
      <c r="BJ166" s="302"/>
      <c r="BM166">
        <v>1.1000000000000001</v>
      </c>
      <c r="BS166">
        <v>60</v>
      </c>
      <c r="BY166">
        <v>51.6</v>
      </c>
      <c r="CA166">
        <v>16.3</v>
      </c>
      <c r="CC166">
        <v>16.899999999999999</v>
      </c>
      <c r="CI166">
        <v>6.9</v>
      </c>
      <c r="CO166" t="s">
        <v>8698</v>
      </c>
      <c r="CR166">
        <v>1</v>
      </c>
      <c r="CT166" s="304" t="s">
        <v>11678</v>
      </c>
    </row>
    <row r="167" spans="1:98" s="304" customFormat="1">
      <c r="A167" s="304" t="s">
        <v>8506</v>
      </c>
      <c r="B167" s="463">
        <v>64</v>
      </c>
      <c r="C167" s="296" t="s">
        <v>7682</v>
      </c>
      <c r="D167" s="296" t="s">
        <v>7512</v>
      </c>
      <c r="E167" s="296" t="s">
        <v>7682</v>
      </c>
      <c r="F167" s="296"/>
      <c r="G167" s="296" t="s">
        <v>8506</v>
      </c>
      <c r="H167" s="297" t="s">
        <v>8696</v>
      </c>
      <c r="I167" s="297">
        <v>2</v>
      </c>
      <c r="J167" s="308">
        <v>218</v>
      </c>
      <c r="K167" s="299"/>
      <c r="L167" s="299"/>
      <c r="M167" s="299">
        <v>26</v>
      </c>
      <c r="N167" s="299">
        <v>7</v>
      </c>
      <c r="O167" s="300">
        <v>59</v>
      </c>
      <c r="P167" s="301">
        <v>42090</v>
      </c>
      <c r="Q167" s="306"/>
      <c r="R167" s="303"/>
      <c r="S167" s="289">
        <v>6.05</v>
      </c>
      <c r="T167" s="303">
        <v>42208</v>
      </c>
      <c r="U167" s="307"/>
      <c r="V167" s="303"/>
      <c r="W167" s="306"/>
      <c r="X167" s="303"/>
      <c r="Y167" s="306">
        <v>21.83</v>
      </c>
      <c r="Z167" s="303">
        <v>42208</v>
      </c>
      <c r="AA167">
        <v>14.4</v>
      </c>
      <c r="AB167" s="303"/>
      <c r="AC167" s="306"/>
      <c r="AD167" s="303"/>
      <c r="AE167" s="302"/>
      <c r="AF167" s="303"/>
      <c r="AG167">
        <v>84817.638888888891</v>
      </c>
      <c r="AH167" s="521">
        <f>(AK167*10000)/AM167</f>
        <v>84817.638888888891</v>
      </c>
      <c r="AI167" s="302"/>
      <c r="AJ167" s="303"/>
      <c r="AK167">
        <v>38.167937500000001</v>
      </c>
      <c r="AL167" s="521"/>
      <c r="AM167">
        <v>4.5</v>
      </c>
      <c r="AN167" s="303">
        <v>42244</v>
      </c>
      <c r="AO167">
        <v>120</v>
      </c>
      <c r="AP167" s="303">
        <v>42170</v>
      </c>
      <c r="AQ167" s="306"/>
      <c r="AR167" s="303"/>
      <c r="AS167" s="306"/>
      <c r="AT167" s="303"/>
      <c r="AU167">
        <v>103</v>
      </c>
      <c r="AV167" s="303"/>
      <c r="AW167" s="302"/>
      <c r="AX167" s="302"/>
      <c r="AY167" s="302"/>
      <c r="AZ167" s="303"/>
      <c r="BA167" s="302"/>
      <c r="BB167" s="302"/>
      <c r="BC167" s="302"/>
      <c r="BD167" s="302"/>
      <c r="BE167" s="302"/>
      <c r="BF167" s="302"/>
      <c r="BG167" s="302"/>
      <c r="BH167" s="302"/>
      <c r="BI167" s="302"/>
      <c r="BJ167" s="302"/>
      <c r="BM167">
        <v>-3.7</v>
      </c>
      <c r="BS167">
        <v>60.6</v>
      </c>
      <c r="BY167">
        <v>51</v>
      </c>
      <c r="CA167">
        <v>17.899999999999999</v>
      </c>
      <c r="CC167">
        <v>14.1</v>
      </c>
      <c r="CI167">
        <v>7.3</v>
      </c>
      <c r="CO167" t="s">
        <v>8698</v>
      </c>
      <c r="CR167">
        <v>2</v>
      </c>
      <c r="CT167" s="304" t="s">
        <v>11678</v>
      </c>
    </row>
    <row r="168" spans="1:98" s="304" customFormat="1">
      <c r="A168" s="304" t="s">
        <v>8506</v>
      </c>
      <c r="B168" s="463">
        <v>71</v>
      </c>
      <c r="C168" s="296" t="s">
        <v>7689</v>
      </c>
      <c r="D168" s="296" t="s">
        <v>7518</v>
      </c>
      <c r="E168" s="296" t="s">
        <v>7689</v>
      </c>
      <c r="F168" s="296"/>
      <c r="G168" s="296" t="s">
        <v>8506</v>
      </c>
      <c r="H168" s="297" t="s">
        <v>8697</v>
      </c>
      <c r="I168" s="297">
        <v>1</v>
      </c>
      <c r="J168" s="297">
        <v>1138</v>
      </c>
      <c r="K168" s="299"/>
      <c r="L168" s="299"/>
      <c r="M168" s="299">
        <v>26</v>
      </c>
      <c r="N168" s="299">
        <v>3</v>
      </c>
      <c r="O168" s="300">
        <v>20</v>
      </c>
      <c r="P168" s="301">
        <v>42090</v>
      </c>
      <c r="Q168" s="302"/>
      <c r="R168" s="303"/>
      <c r="S168" s="289">
        <v>4.6500000000000004</v>
      </c>
      <c r="T168" s="303">
        <v>42208</v>
      </c>
      <c r="U168" s="302"/>
      <c r="V168" s="303"/>
      <c r="W168" s="302"/>
      <c r="X168" s="303"/>
      <c r="Y168" s="302">
        <v>16.88</v>
      </c>
      <c r="Z168" s="303">
        <v>42208</v>
      </c>
      <c r="AA168">
        <v>14.4</v>
      </c>
      <c r="AB168" s="303"/>
      <c r="AC168" s="302"/>
      <c r="AD168" s="303"/>
      <c r="AE168" s="302"/>
      <c r="AF168" s="303"/>
      <c r="AG168">
        <v>62685.68262411347</v>
      </c>
      <c r="AH168" s="521">
        <f>(AK168*10000)/AM168</f>
        <v>62685.68262411347</v>
      </c>
      <c r="AI168" s="302"/>
      <c r="AJ168" s="303"/>
      <c r="AK168">
        <v>29.462270833333331</v>
      </c>
      <c r="AL168" s="521"/>
      <c r="AM168">
        <v>4.7</v>
      </c>
      <c r="AN168" s="303">
        <v>42244</v>
      </c>
      <c r="AO168">
        <v>125</v>
      </c>
      <c r="AP168" s="303">
        <v>42170</v>
      </c>
      <c r="AQ168" s="302"/>
      <c r="AR168" s="303"/>
      <c r="AS168" s="302"/>
      <c r="AT168" s="303"/>
      <c r="AU168">
        <v>112</v>
      </c>
      <c r="AV168" s="303"/>
      <c r="AW168" s="302"/>
      <c r="AX168" s="302"/>
      <c r="AY168" s="302"/>
      <c r="AZ168" s="303"/>
      <c r="BA168" s="302"/>
      <c r="BB168" s="302"/>
      <c r="BC168" s="302"/>
      <c r="BD168" s="302"/>
      <c r="BE168" s="302"/>
      <c r="BF168" s="302"/>
      <c r="BG168" s="302"/>
      <c r="BH168" s="302"/>
      <c r="BI168" s="302"/>
      <c r="BJ168" s="302"/>
      <c r="BM168">
        <v>-2.9</v>
      </c>
      <c r="BS168">
        <v>60.7</v>
      </c>
      <c r="BY168">
        <v>51.1</v>
      </c>
      <c r="CA168">
        <v>15.5</v>
      </c>
      <c r="CC168">
        <v>20</v>
      </c>
      <c r="CI168">
        <v>6.9</v>
      </c>
      <c r="CO168" t="s">
        <v>8698</v>
      </c>
      <c r="CR168">
        <v>3</v>
      </c>
      <c r="CT168" s="304" t="s">
        <v>11678</v>
      </c>
    </row>
    <row r="169" spans="1:98" s="304" customFormat="1">
      <c r="A169" s="304" t="s">
        <v>8506</v>
      </c>
      <c r="B169" s="463">
        <v>78</v>
      </c>
      <c r="C169" s="296" t="s">
        <v>7696</v>
      </c>
      <c r="D169" s="296" t="s">
        <v>7525</v>
      </c>
      <c r="E169" s="296" t="s">
        <v>7696</v>
      </c>
      <c r="F169" s="296"/>
      <c r="G169" s="296" t="s">
        <v>8506</v>
      </c>
      <c r="H169" s="297" t="s">
        <v>8696</v>
      </c>
      <c r="I169" s="297">
        <v>2</v>
      </c>
      <c r="J169" s="297">
        <v>2258</v>
      </c>
      <c r="K169" s="299"/>
      <c r="L169" s="299"/>
      <c r="M169" s="299">
        <v>26</v>
      </c>
      <c r="N169" s="299">
        <v>11</v>
      </c>
      <c r="O169" s="300">
        <v>24</v>
      </c>
      <c r="P169" s="301">
        <v>42090</v>
      </c>
      <c r="Q169" s="302"/>
      <c r="R169" s="303"/>
      <c r="S169" s="289">
        <v>6.6</v>
      </c>
      <c r="T169" s="303">
        <v>42208</v>
      </c>
      <c r="U169" s="302"/>
      <c r="V169" s="303"/>
      <c r="W169" s="302"/>
      <c r="X169" s="303"/>
      <c r="Y169" s="302">
        <v>22.65</v>
      </c>
      <c r="Z169" s="303">
        <v>42208</v>
      </c>
      <c r="AA169">
        <v>14.4</v>
      </c>
      <c r="AB169" s="303"/>
      <c r="AC169" s="302"/>
      <c r="AD169" s="303"/>
      <c r="AE169" s="302"/>
      <c r="AF169" s="303"/>
      <c r="AG169">
        <v>81994.934640522857</v>
      </c>
      <c r="AH169" s="521">
        <f>(AK169*10000)/AM169</f>
        <v>81994.934640522857</v>
      </c>
      <c r="AI169" s="302"/>
      <c r="AJ169" s="303"/>
      <c r="AK169">
        <v>41.817416666666659</v>
      </c>
      <c r="AL169" s="521"/>
      <c r="AM169">
        <v>5.0999999999999996</v>
      </c>
      <c r="AN169" s="303">
        <v>42244</v>
      </c>
      <c r="AO169">
        <v>120</v>
      </c>
      <c r="AP169" s="303">
        <v>42170</v>
      </c>
      <c r="AQ169" s="302"/>
      <c r="AR169" s="303"/>
      <c r="AS169" s="302"/>
      <c r="AT169" s="303"/>
      <c r="AU169">
        <v>108</v>
      </c>
      <c r="AV169" s="303"/>
      <c r="AW169" s="302"/>
      <c r="AX169" s="302"/>
      <c r="AY169" s="302"/>
      <c r="AZ169" s="303"/>
      <c r="BA169" s="302"/>
      <c r="BB169" s="302"/>
      <c r="BC169" s="302"/>
      <c r="BD169" s="302"/>
      <c r="BE169" s="302"/>
      <c r="BF169" s="302"/>
      <c r="BG169" s="302"/>
      <c r="BH169" s="302"/>
      <c r="BI169" s="302"/>
      <c r="BJ169" s="302"/>
      <c r="BM169">
        <v>6.3</v>
      </c>
      <c r="BS169">
        <v>55.5</v>
      </c>
      <c r="BY169">
        <v>48.3</v>
      </c>
      <c r="CA169">
        <v>18.8</v>
      </c>
      <c r="CC169">
        <v>22.2</v>
      </c>
      <c r="CI169">
        <v>6.9</v>
      </c>
      <c r="CO169" t="s">
        <v>8698</v>
      </c>
      <c r="CR169">
        <v>2</v>
      </c>
      <c r="CT169" s="304" t="s">
        <v>11678</v>
      </c>
    </row>
    <row r="170" spans="1:98" s="304" customFormat="1">
      <c r="A170" s="304" t="s">
        <v>8506</v>
      </c>
      <c r="B170" s="463">
        <v>109</v>
      </c>
      <c r="C170" s="296" t="s">
        <v>7727</v>
      </c>
      <c r="D170" s="296" t="s">
        <v>7553</v>
      </c>
      <c r="E170" s="296" t="s">
        <v>7727</v>
      </c>
      <c r="F170" s="296"/>
      <c r="G170" s="296" t="s">
        <v>8506</v>
      </c>
      <c r="H170" s="297" t="s">
        <v>8696</v>
      </c>
      <c r="I170" s="297">
        <v>2</v>
      </c>
      <c r="J170" s="297">
        <v>2138</v>
      </c>
      <c r="K170" s="299"/>
      <c r="L170" s="299"/>
      <c r="M170" s="299">
        <v>26</v>
      </c>
      <c r="N170" s="299">
        <v>9</v>
      </c>
      <c r="O170" s="300">
        <v>52</v>
      </c>
      <c r="P170" s="301">
        <v>42090</v>
      </c>
      <c r="Q170" s="302"/>
      <c r="R170" s="303"/>
      <c r="S170" s="289">
        <v>4.6500000000000004</v>
      </c>
      <c r="T170" s="303">
        <v>42208</v>
      </c>
      <c r="U170" s="302"/>
      <c r="V170" s="303"/>
      <c r="W170" s="302"/>
      <c r="X170" s="303"/>
      <c r="Y170" s="302">
        <v>15.58</v>
      </c>
      <c r="Z170" s="303">
        <v>42208</v>
      </c>
      <c r="AA170">
        <v>14.4</v>
      </c>
      <c r="AB170" s="303"/>
      <c r="AC170" s="302"/>
      <c r="AD170" s="303"/>
      <c r="AE170" s="302"/>
      <c r="AF170" s="303"/>
      <c r="AG170">
        <v>64254.800724637695</v>
      </c>
      <c r="AH170" s="521">
        <f>(AK170*10000)/AM170</f>
        <v>64254.800724637695</v>
      </c>
      <c r="AI170" s="302"/>
      <c r="AJ170" s="303"/>
      <c r="AK170">
        <v>29.557208333333335</v>
      </c>
      <c r="AL170" s="521"/>
      <c r="AM170">
        <v>4.5999999999999996</v>
      </c>
      <c r="AN170" s="303">
        <v>42244</v>
      </c>
      <c r="AO170">
        <v>145</v>
      </c>
      <c r="AP170" s="303">
        <v>42170</v>
      </c>
      <c r="AQ170" s="302"/>
      <c r="AR170" s="303"/>
      <c r="AS170" s="302"/>
      <c r="AT170" s="303"/>
      <c r="AU170">
        <v>112</v>
      </c>
      <c r="AV170" s="303"/>
      <c r="AW170" s="302"/>
      <c r="AX170" s="302"/>
      <c r="AY170" s="302"/>
      <c r="AZ170" s="303"/>
      <c r="BA170" s="302"/>
      <c r="BB170" s="302"/>
      <c r="BC170" s="302"/>
      <c r="BD170" s="302"/>
      <c r="BE170" s="302"/>
      <c r="BF170" s="302"/>
      <c r="BG170" s="302"/>
      <c r="BH170" s="302"/>
      <c r="BI170" s="302"/>
      <c r="BJ170" s="302"/>
      <c r="BM170">
        <v>-1.4</v>
      </c>
      <c r="BS170">
        <v>59.2</v>
      </c>
      <c r="BY170">
        <v>47</v>
      </c>
      <c r="CA170">
        <v>21.4</v>
      </c>
      <c r="CC170">
        <v>13.5</v>
      </c>
      <c r="CI170">
        <v>6.6</v>
      </c>
      <c r="CO170" t="s">
        <v>8698</v>
      </c>
      <c r="CR170">
        <v>3</v>
      </c>
      <c r="CT170" s="304" t="s">
        <v>11678</v>
      </c>
    </row>
    <row r="171" spans="1:98" s="304" customFormat="1">
      <c r="A171" s="304" t="s">
        <v>8506</v>
      </c>
      <c r="B171" s="463">
        <v>146</v>
      </c>
      <c r="C171" s="296" t="s">
        <v>7774</v>
      </c>
      <c r="D171" s="296" t="s">
        <v>7575</v>
      </c>
      <c r="E171" s="296" t="s">
        <v>7774</v>
      </c>
      <c r="F171" s="296"/>
      <c r="G171" s="296" t="s">
        <v>8506</v>
      </c>
      <c r="H171" s="297" t="s">
        <v>8697</v>
      </c>
      <c r="I171" s="297">
        <v>1</v>
      </c>
      <c r="J171" s="297">
        <v>1258</v>
      </c>
      <c r="K171" s="299"/>
      <c r="L171" s="299"/>
      <c r="M171" s="299">
        <v>26</v>
      </c>
      <c r="N171" s="299">
        <v>5</v>
      </c>
      <c r="O171" s="300">
        <v>25</v>
      </c>
      <c r="P171" s="301">
        <v>42090</v>
      </c>
      <c r="Q171" s="302"/>
      <c r="R171" s="303"/>
      <c r="S171" s="289">
        <v>5.75</v>
      </c>
      <c r="T171" s="303">
        <v>42208</v>
      </c>
      <c r="U171" s="302"/>
      <c r="V171" s="303"/>
      <c r="W171" s="302"/>
      <c r="X171" s="303"/>
      <c r="Y171" s="302">
        <v>21.68</v>
      </c>
      <c r="Z171" s="303">
        <v>42208</v>
      </c>
      <c r="AA171">
        <v>14.4</v>
      </c>
      <c r="AB171" s="303"/>
      <c r="AC171" s="302"/>
      <c r="AD171" s="303"/>
      <c r="AE171" s="302"/>
      <c r="AF171" s="303"/>
      <c r="AG171">
        <v>71665.168845315915</v>
      </c>
      <c r="AH171" s="521">
        <f>(AK171*10000)/AM171</f>
        <v>71665.168845315915</v>
      </c>
      <c r="AI171" s="302"/>
      <c r="AJ171" s="303"/>
      <c r="AK171">
        <v>36.549236111111114</v>
      </c>
      <c r="AL171" s="521"/>
      <c r="AM171">
        <v>5.0999999999999996</v>
      </c>
      <c r="AN171" s="303">
        <v>42244</v>
      </c>
      <c r="AO171">
        <v>135</v>
      </c>
      <c r="AP171" s="303">
        <v>42170</v>
      </c>
      <c r="AQ171" s="302"/>
      <c r="AR171" s="303"/>
      <c r="AS171" s="302"/>
      <c r="AT171" s="303"/>
      <c r="AU171">
        <v>106</v>
      </c>
      <c r="AV171" s="303"/>
      <c r="AW171" s="302"/>
      <c r="AX171" s="302"/>
      <c r="AY171" s="302"/>
      <c r="AZ171" s="303"/>
      <c r="BA171" s="302"/>
      <c r="BB171" s="302"/>
      <c r="BC171" s="302"/>
      <c r="BD171" s="302"/>
      <c r="BE171" s="302"/>
      <c r="BF171" s="302"/>
      <c r="BG171" s="302"/>
      <c r="BH171" s="302"/>
      <c r="BI171" s="302"/>
      <c r="BJ171" s="302"/>
      <c r="BM171">
        <v>-2.5</v>
      </c>
      <c r="BS171">
        <v>62.5</v>
      </c>
      <c r="BY171">
        <v>52.9</v>
      </c>
      <c r="CA171">
        <v>16.100000000000001</v>
      </c>
      <c r="CC171">
        <v>14.7</v>
      </c>
      <c r="CI171">
        <v>6.6</v>
      </c>
      <c r="CO171" t="s">
        <v>8698</v>
      </c>
      <c r="CR171">
        <v>1</v>
      </c>
      <c r="CT171" s="304" t="s">
        <v>11678</v>
      </c>
    </row>
    <row r="172" spans="1:98" s="304" customFormat="1">
      <c r="A172" s="304" t="s">
        <v>8506</v>
      </c>
      <c r="B172" s="463">
        <v>152</v>
      </c>
      <c r="C172" s="296" t="s">
        <v>7780</v>
      </c>
      <c r="D172" s="296" t="s">
        <v>7581</v>
      </c>
      <c r="E172" s="296" t="s">
        <v>7780</v>
      </c>
      <c r="F172" s="296"/>
      <c r="G172" s="296" t="s">
        <v>8506</v>
      </c>
      <c r="H172" s="297" t="s">
        <v>8697</v>
      </c>
      <c r="I172" s="297">
        <v>1</v>
      </c>
      <c r="J172" s="297">
        <v>118</v>
      </c>
      <c r="K172" s="299"/>
      <c r="L172" s="299"/>
      <c r="M172" s="299">
        <v>26</v>
      </c>
      <c r="N172" s="299">
        <v>1</v>
      </c>
      <c r="O172" s="300">
        <v>28</v>
      </c>
      <c r="P172" s="301">
        <v>42090</v>
      </c>
      <c r="Q172" s="302"/>
      <c r="R172" s="303"/>
      <c r="S172" s="289">
        <v>4.45</v>
      </c>
      <c r="T172" s="303">
        <v>42208</v>
      </c>
      <c r="U172" s="302"/>
      <c r="V172" s="303"/>
      <c r="W172" s="302"/>
      <c r="X172" s="303"/>
      <c r="Y172" s="302">
        <v>17.010000000000002</v>
      </c>
      <c r="Z172" s="303">
        <v>42208</v>
      </c>
      <c r="AA172">
        <v>14.4</v>
      </c>
      <c r="AB172" s="303"/>
      <c r="AC172" s="302"/>
      <c r="AD172" s="303"/>
      <c r="AE172" s="302"/>
      <c r="AF172" s="303"/>
      <c r="AG172">
        <v>52100.938786008235</v>
      </c>
      <c r="AH172" s="521">
        <f>(AK172*10000)/AM172</f>
        <v>52100.938786008235</v>
      </c>
      <c r="AI172" s="302"/>
      <c r="AJ172" s="303"/>
      <c r="AK172">
        <v>28.13450694444445</v>
      </c>
      <c r="AL172" s="521"/>
      <c r="AM172">
        <v>5.4</v>
      </c>
      <c r="AN172" s="303">
        <v>42244</v>
      </c>
      <c r="AO172">
        <v>125</v>
      </c>
      <c r="AP172" s="303">
        <v>42170</v>
      </c>
      <c r="AQ172" s="302"/>
      <c r="AR172" s="303"/>
      <c r="AS172" s="302"/>
      <c r="AT172" s="303"/>
      <c r="AU172">
        <v>108</v>
      </c>
      <c r="AV172" s="303"/>
      <c r="AW172" s="302"/>
      <c r="AX172" s="302"/>
      <c r="AY172" s="302"/>
      <c r="AZ172" s="303"/>
      <c r="BA172" s="302"/>
      <c r="BB172" s="302"/>
      <c r="BC172" s="302"/>
      <c r="BD172" s="302"/>
      <c r="BE172" s="302"/>
      <c r="BF172" s="302"/>
      <c r="BG172" s="302"/>
      <c r="BH172" s="302"/>
      <c r="BI172" s="302"/>
      <c r="BJ172" s="302"/>
      <c r="BM172">
        <v>-3.4</v>
      </c>
      <c r="BS172">
        <v>64.099999999999994</v>
      </c>
      <c r="BY172">
        <v>53.9</v>
      </c>
      <c r="CA172">
        <v>15</v>
      </c>
      <c r="CC172">
        <v>13</v>
      </c>
      <c r="CI172">
        <v>7.1</v>
      </c>
      <c r="CO172" t="s">
        <v>8698</v>
      </c>
      <c r="CR172">
        <v>2</v>
      </c>
      <c r="CT172" s="304" t="s">
        <v>11678</v>
      </c>
    </row>
    <row r="173" spans="1:98" s="304" customFormat="1">
      <c r="A173" s="304" t="s">
        <v>8506</v>
      </c>
      <c r="B173" s="463">
        <v>40</v>
      </c>
      <c r="C173" s="296" t="s">
        <v>7657</v>
      </c>
      <c r="D173" s="296" t="s">
        <v>7490</v>
      </c>
      <c r="E173" s="296" t="s">
        <v>7657</v>
      </c>
      <c r="F173" s="296"/>
      <c r="G173" s="296" t="s">
        <v>8506</v>
      </c>
      <c r="H173" s="297" t="s">
        <v>8696</v>
      </c>
      <c r="I173" s="297">
        <v>2</v>
      </c>
      <c r="J173" s="297">
        <v>279</v>
      </c>
      <c r="K173" s="299"/>
      <c r="L173" s="299"/>
      <c r="M173" s="299">
        <v>27</v>
      </c>
      <c r="N173" s="299">
        <v>8</v>
      </c>
      <c r="O173" s="300">
        <v>41</v>
      </c>
      <c r="P173" s="301">
        <v>42090</v>
      </c>
      <c r="Q173" s="302"/>
      <c r="R173" s="303"/>
      <c r="S173" s="289">
        <v>5.15</v>
      </c>
      <c r="T173" s="303">
        <v>42208</v>
      </c>
      <c r="U173" s="302"/>
      <c r="V173" s="303"/>
      <c r="W173" s="302"/>
      <c r="X173" s="303"/>
      <c r="Y173" s="302">
        <v>18.14</v>
      </c>
      <c r="Z173" s="303">
        <v>42208</v>
      </c>
      <c r="AA173">
        <v>14.4</v>
      </c>
      <c r="AB173" s="303"/>
      <c r="AC173" s="302"/>
      <c r="AD173" s="303"/>
      <c r="AE173" s="302"/>
      <c r="AF173" s="303"/>
      <c r="AG173">
        <v>69127.792553191481</v>
      </c>
      <c r="AH173" s="521">
        <f>(AK173*10000)/AM173</f>
        <v>69127.792553191481</v>
      </c>
      <c r="AI173" s="302"/>
      <c r="AJ173" s="303"/>
      <c r="AK173">
        <v>32.490062500000001</v>
      </c>
      <c r="AL173" s="521"/>
      <c r="AM173">
        <v>4.7</v>
      </c>
      <c r="AN173" s="303">
        <v>42244</v>
      </c>
      <c r="AO173">
        <v>130</v>
      </c>
      <c r="AP173" s="303">
        <v>42170</v>
      </c>
      <c r="AQ173" s="302"/>
      <c r="AR173" s="303"/>
      <c r="AS173" s="302"/>
      <c r="AT173" s="303"/>
      <c r="AU173">
        <v>105</v>
      </c>
      <c r="AV173" s="303"/>
      <c r="AW173" s="302"/>
      <c r="AX173" s="302"/>
      <c r="AY173" s="302"/>
      <c r="AZ173" s="303"/>
      <c r="BA173" s="302"/>
      <c r="BB173" s="302"/>
      <c r="BC173" s="302"/>
      <c r="BD173" s="302"/>
      <c r="BE173" s="302"/>
      <c r="BF173" s="302"/>
      <c r="BG173" s="302"/>
      <c r="BH173" s="302"/>
      <c r="BI173" s="302"/>
      <c r="BJ173" s="302"/>
      <c r="BM173">
        <v>-3.3</v>
      </c>
      <c r="BS173">
        <v>59</v>
      </c>
      <c r="BY173">
        <v>49.8</v>
      </c>
      <c r="CA173">
        <v>17.8</v>
      </c>
      <c r="CC173">
        <v>17.3</v>
      </c>
      <c r="CI173">
        <v>7.3</v>
      </c>
      <c r="CO173" t="s">
        <v>8698</v>
      </c>
      <c r="CR173">
        <v>1</v>
      </c>
      <c r="CT173" s="304" t="s">
        <v>11678</v>
      </c>
    </row>
    <row r="174" spans="1:98" s="304" customFormat="1">
      <c r="A174" s="304" t="s">
        <v>8506</v>
      </c>
      <c r="B174" s="463">
        <v>88</v>
      </c>
      <c r="C174" s="296" t="s">
        <v>7706</v>
      </c>
      <c r="D174" s="296" t="s">
        <v>7535</v>
      </c>
      <c r="E174" s="296" t="s">
        <v>7706</v>
      </c>
      <c r="F174" s="296"/>
      <c r="G174" s="296" t="s">
        <v>8506</v>
      </c>
      <c r="H174" s="297" t="s">
        <v>8697</v>
      </c>
      <c r="I174" s="297">
        <v>1</v>
      </c>
      <c r="J174" s="297">
        <v>179</v>
      </c>
      <c r="K174" s="299"/>
      <c r="L174" s="299"/>
      <c r="M174" s="299">
        <v>27</v>
      </c>
      <c r="N174" s="299">
        <v>2</v>
      </c>
      <c r="O174" s="300">
        <v>26</v>
      </c>
      <c r="P174" s="301">
        <v>42090</v>
      </c>
      <c r="Q174" s="302"/>
      <c r="R174" s="303"/>
      <c r="S174" s="289">
        <v>4.7</v>
      </c>
      <c r="T174" s="303">
        <v>42208</v>
      </c>
      <c r="U174" s="302"/>
      <c r="V174" s="303"/>
      <c r="W174" s="302"/>
      <c r="X174" s="303"/>
      <c r="Y174" s="302">
        <v>17.95</v>
      </c>
      <c r="Z174" s="303">
        <v>42208</v>
      </c>
      <c r="AA174">
        <v>14.4</v>
      </c>
      <c r="AB174" s="303"/>
      <c r="AC174" s="302"/>
      <c r="AD174" s="303"/>
      <c r="AE174" s="302"/>
      <c r="AF174" s="303"/>
      <c r="AG174">
        <v>58453.050108932468</v>
      </c>
      <c r="AH174" s="521">
        <f>(AK174*10000)/AM174</f>
        <v>58453.050108932468</v>
      </c>
      <c r="AI174" s="302"/>
      <c r="AJ174" s="303"/>
      <c r="AK174">
        <v>29.811055555555559</v>
      </c>
      <c r="AL174" s="521"/>
      <c r="AM174">
        <v>5.0999999999999996</v>
      </c>
      <c r="AN174" s="303">
        <v>42244</v>
      </c>
      <c r="AO174">
        <v>150</v>
      </c>
      <c r="AP174" s="303">
        <v>42170</v>
      </c>
      <c r="AQ174" s="302"/>
      <c r="AR174" s="303"/>
      <c r="AS174" s="302"/>
      <c r="AT174" s="303"/>
      <c r="AU174">
        <v>107</v>
      </c>
      <c r="AV174" s="303"/>
      <c r="AW174" s="302"/>
      <c r="AX174" s="302"/>
      <c r="AY174" s="302"/>
      <c r="AZ174" s="303"/>
      <c r="BA174" s="302"/>
      <c r="BB174" s="302"/>
      <c r="BC174" s="302"/>
      <c r="BD174" s="302"/>
      <c r="BE174" s="302"/>
      <c r="BF174" s="302"/>
      <c r="BG174" s="302"/>
      <c r="BH174" s="302"/>
      <c r="BI174" s="302"/>
      <c r="BJ174" s="302"/>
      <c r="BM174">
        <v>-3.1</v>
      </c>
      <c r="BS174">
        <v>62.7</v>
      </c>
      <c r="BY174">
        <v>53.7</v>
      </c>
      <c r="CA174">
        <v>14.4</v>
      </c>
      <c r="CC174">
        <v>14.1</v>
      </c>
      <c r="CI174">
        <v>6.8</v>
      </c>
      <c r="CO174" t="s">
        <v>8698</v>
      </c>
      <c r="CR174">
        <v>1</v>
      </c>
      <c r="CT174" s="304" t="s">
        <v>11678</v>
      </c>
    </row>
    <row r="175" spans="1:98" s="304" customFormat="1">
      <c r="A175" s="304" t="s">
        <v>8506</v>
      </c>
      <c r="B175" s="463">
        <v>89</v>
      </c>
      <c r="C175" s="296" t="s">
        <v>7707</v>
      </c>
      <c r="D175" s="296" t="s">
        <v>7536</v>
      </c>
      <c r="E175" s="296" t="s">
        <v>7707</v>
      </c>
      <c r="F175" s="296"/>
      <c r="G175" s="296" t="s">
        <v>8506</v>
      </c>
      <c r="H175" s="297" t="s">
        <v>8697</v>
      </c>
      <c r="I175" s="297">
        <v>1</v>
      </c>
      <c r="J175" s="297">
        <v>1259</v>
      </c>
      <c r="K175" s="299"/>
      <c r="L175" s="299"/>
      <c r="M175" s="299">
        <v>27</v>
      </c>
      <c r="N175" s="299">
        <v>5</v>
      </c>
      <c r="O175" s="300">
        <v>48</v>
      </c>
      <c r="P175" s="301">
        <v>42090</v>
      </c>
      <c r="Q175" s="302"/>
      <c r="R175" s="303"/>
      <c r="S175" s="289">
        <v>5.2</v>
      </c>
      <c r="T175" s="303">
        <v>42208</v>
      </c>
      <c r="U175" s="302"/>
      <c r="V175" s="303"/>
      <c r="W175" s="302"/>
      <c r="X175" s="303"/>
      <c r="Y175" s="302">
        <v>20.010000000000002</v>
      </c>
      <c r="Z175" s="303">
        <v>42208</v>
      </c>
      <c r="AA175">
        <v>14.4</v>
      </c>
      <c r="AB175" s="303"/>
      <c r="AC175" s="302"/>
      <c r="AD175" s="303"/>
      <c r="AE175" s="302"/>
      <c r="AF175" s="303"/>
      <c r="AG175">
        <v>71854.830917874409</v>
      </c>
      <c r="AH175" s="521">
        <f>(AK175*10000)/AM175</f>
        <v>71854.830917874409</v>
      </c>
      <c r="AI175" s="302"/>
      <c r="AJ175" s="303"/>
      <c r="AK175">
        <v>33.053222222222225</v>
      </c>
      <c r="AL175" s="521"/>
      <c r="AM175">
        <v>4.5999999999999996</v>
      </c>
      <c r="AN175" s="303">
        <v>42244</v>
      </c>
      <c r="AO175">
        <v>115</v>
      </c>
      <c r="AP175" s="303">
        <v>42170</v>
      </c>
      <c r="AQ175" s="302"/>
      <c r="AR175" s="303"/>
      <c r="AS175" s="302"/>
      <c r="AT175" s="303"/>
      <c r="AU175">
        <v>105</v>
      </c>
      <c r="AV175" s="303"/>
      <c r="AW175" s="302"/>
      <c r="AX175" s="302"/>
      <c r="AY175" s="302"/>
      <c r="AZ175" s="303"/>
      <c r="BA175" s="302"/>
      <c r="BB175" s="302"/>
      <c r="BC175" s="302"/>
      <c r="BD175" s="302"/>
      <c r="BE175" s="302"/>
      <c r="BF175" s="302"/>
      <c r="BG175" s="302"/>
      <c r="BH175" s="302"/>
      <c r="BI175" s="302"/>
      <c r="BJ175" s="302"/>
      <c r="BM175">
        <v>-7.9</v>
      </c>
      <c r="BS175">
        <v>69.3</v>
      </c>
      <c r="BY175">
        <v>54</v>
      </c>
      <c r="CA175">
        <v>15.6</v>
      </c>
      <c r="CC175">
        <v>12.3</v>
      </c>
      <c r="CI175">
        <v>6.6</v>
      </c>
      <c r="CO175" t="s">
        <v>8698</v>
      </c>
      <c r="CR175">
        <v>2</v>
      </c>
      <c r="CT175" s="304" t="s">
        <v>11678</v>
      </c>
    </row>
    <row r="176" spans="1:98" s="304" customFormat="1">
      <c r="A176" s="304" t="s">
        <v>8506</v>
      </c>
      <c r="B176" s="463">
        <v>100</v>
      </c>
      <c r="C176" s="296" t="s">
        <v>7718</v>
      </c>
      <c r="D176" s="296" t="s">
        <v>7545</v>
      </c>
      <c r="E176" s="296" t="s">
        <v>7718</v>
      </c>
      <c r="F176" s="296"/>
      <c r="G176" s="296" t="s">
        <v>8506</v>
      </c>
      <c r="H176" s="297" t="s">
        <v>8697</v>
      </c>
      <c r="I176" s="297">
        <v>1</v>
      </c>
      <c r="J176" s="297">
        <v>1139</v>
      </c>
      <c r="K176" s="299"/>
      <c r="L176" s="299"/>
      <c r="M176" s="299">
        <v>27</v>
      </c>
      <c r="N176" s="299">
        <v>3</v>
      </c>
      <c r="O176" s="300">
        <v>48</v>
      </c>
      <c r="P176" s="301">
        <v>42090</v>
      </c>
      <c r="Q176" s="302"/>
      <c r="R176" s="303"/>
      <c r="S176" s="289">
        <v>4.5999999999999996</v>
      </c>
      <c r="T176" s="303">
        <v>42208</v>
      </c>
      <c r="U176" s="302"/>
      <c r="V176" s="303"/>
      <c r="W176" s="302"/>
      <c r="X176" s="303"/>
      <c r="Y176" s="302">
        <v>16.850000000000001</v>
      </c>
      <c r="Z176" s="303">
        <v>42208</v>
      </c>
      <c r="AA176">
        <v>14.4</v>
      </c>
      <c r="AB176" s="303"/>
      <c r="AC176" s="302"/>
      <c r="AD176" s="303"/>
      <c r="AE176" s="302"/>
      <c r="AF176" s="303"/>
      <c r="AG176">
        <v>55050.524109014681</v>
      </c>
      <c r="AH176" s="521">
        <f>(AK176*10000)/AM176</f>
        <v>55050.524109014681</v>
      </c>
      <c r="AI176" s="302"/>
      <c r="AJ176" s="303"/>
      <c r="AK176">
        <v>29.176777777777779</v>
      </c>
      <c r="AL176" s="521"/>
      <c r="AM176">
        <v>5.3</v>
      </c>
      <c r="AN176" s="303">
        <v>42244</v>
      </c>
      <c r="AO176">
        <v>135</v>
      </c>
      <c r="AP176" s="303">
        <v>42170</v>
      </c>
      <c r="AQ176" s="302"/>
      <c r="AR176" s="303"/>
      <c r="AS176" s="302"/>
      <c r="AT176" s="303"/>
      <c r="AU176">
        <v>107</v>
      </c>
      <c r="AV176" s="303"/>
      <c r="AW176" s="302"/>
      <c r="AX176" s="302"/>
      <c r="AY176" s="302"/>
      <c r="AZ176" s="303"/>
      <c r="BA176" s="302"/>
      <c r="BB176" s="302"/>
      <c r="BC176" s="302"/>
      <c r="BD176" s="302"/>
      <c r="BE176" s="302"/>
      <c r="BF176" s="302"/>
      <c r="BG176" s="302"/>
      <c r="BH176" s="302"/>
      <c r="BI176" s="302"/>
      <c r="BJ176" s="302"/>
      <c r="BM176">
        <v>-3.8</v>
      </c>
      <c r="BS176">
        <v>63.6</v>
      </c>
      <c r="BY176">
        <v>51.5</v>
      </c>
      <c r="CA176">
        <v>15.5</v>
      </c>
      <c r="CC176">
        <v>13.3</v>
      </c>
      <c r="CI176">
        <v>6.8</v>
      </c>
      <c r="CO176" t="s">
        <v>8698</v>
      </c>
      <c r="CR176">
        <v>2</v>
      </c>
      <c r="CT176" s="304" t="s">
        <v>11678</v>
      </c>
    </row>
    <row r="177" spans="1:98" s="304" customFormat="1">
      <c r="A177" s="304" t="s">
        <v>8506</v>
      </c>
      <c r="B177" s="463">
        <v>135</v>
      </c>
      <c r="C177" s="296" t="s">
        <v>7763</v>
      </c>
      <c r="D177" s="296" t="s">
        <v>7838</v>
      </c>
      <c r="E177" s="296" t="s">
        <v>7763</v>
      </c>
      <c r="F177" s="296"/>
      <c r="G177" s="296" t="s">
        <v>8506</v>
      </c>
      <c r="H177" s="297" t="s">
        <v>8696</v>
      </c>
      <c r="I177" s="297">
        <v>2</v>
      </c>
      <c r="J177" s="297">
        <v>2259</v>
      </c>
      <c r="K177" s="299"/>
      <c r="L177" s="299"/>
      <c r="M177" s="299">
        <v>27</v>
      </c>
      <c r="N177" s="299">
        <v>11</v>
      </c>
      <c r="O177" s="300">
        <v>33</v>
      </c>
      <c r="P177" s="301">
        <v>42090</v>
      </c>
      <c r="Q177" s="302"/>
      <c r="R177" s="303"/>
      <c r="S177" s="289">
        <v>6</v>
      </c>
      <c r="T177" s="303">
        <v>42208</v>
      </c>
      <c r="U177" s="302"/>
      <c r="V177" s="303"/>
      <c r="W177" s="302"/>
      <c r="X177" s="303"/>
      <c r="Y177" s="302">
        <v>21.64</v>
      </c>
      <c r="Z177" s="303">
        <v>42208</v>
      </c>
      <c r="AA177">
        <v>14.4</v>
      </c>
      <c r="AB177" s="303"/>
      <c r="AC177" s="302"/>
      <c r="AD177" s="303"/>
      <c r="AE177" s="302"/>
      <c r="AF177" s="303"/>
      <c r="AG177">
        <v>76916.666666666642</v>
      </c>
      <c r="AH177" s="521">
        <f>(AK177*10000)/AM177</f>
        <v>76916.666666666642</v>
      </c>
      <c r="AI177" s="302"/>
      <c r="AJ177" s="303"/>
      <c r="AK177">
        <v>37.689166666666658</v>
      </c>
      <c r="AL177" s="521"/>
      <c r="AM177">
        <v>4.9000000000000004</v>
      </c>
      <c r="AN177" s="303">
        <v>42244</v>
      </c>
      <c r="AO177">
        <v>115</v>
      </c>
      <c r="AP177" s="303">
        <v>42170</v>
      </c>
      <c r="AQ177" s="302"/>
      <c r="AR177" s="303"/>
      <c r="AS177" s="302"/>
      <c r="AT177" s="303"/>
      <c r="AU177">
        <v>106</v>
      </c>
      <c r="AV177" s="303"/>
      <c r="AW177" s="302"/>
      <c r="AX177" s="302"/>
      <c r="AY177" s="302"/>
      <c r="AZ177" s="303"/>
      <c r="BA177" s="302"/>
      <c r="BB177" s="302"/>
      <c r="BC177" s="302"/>
      <c r="BD177" s="302"/>
      <c r="BE177" s="302"/>
      <c r="BF177" s="302"/>
      <c r="BG177" s="302"/>
      <c r="BH177" s="302"/>
      <c r="BI177" s="302"/>
      <c r="BJ177" s="302"/>
      <c r="BM177">
        <v>-2.4</v>
      </c>
      <c r="BS177">
        <v>60.2</v>
      </c>
      <c r="BY177">
        <v>51.2</v>
      </c>
      <c r="CA177">
        <v>18.3</v>
      </c>
      <c r="CC177">
        <v>14.6</v>
      </c>
      <c r="CI177">
        <v>7.7</v>
      </c>
      <c r="CO177" t="s">
        <v>8698</v>
      </c>
      <c r="CR177">
        <v>2</v>
      </c>
      <c r="CT177" s="304" t="s">
        <v>11678</v>
      </c>
    </row>
    <row r="178" spans="1:98" s="304" customFormat="1">
      <c r="A178" s="304" t="s">
        <v>8506</v>
      </c>
      <c r="B178" s="463">
        <v>156</v>
      </c>
      <c r="C178" s="296" t="s">
        <v>7784</v>
      </c>
      <c r="D178" s="296" t="s">
        <v>7585</v>
      </c>
      <c r="E178" s="296" t="s">
        <v>7784</v>
      </c>
      <c r="F178" s="296"/>
      <c r="G178" s="296" t="s">
        <v>8506</v>
      </c>
      <c r="H178" s="297" t="s">
        <v>8697</v>
      </c>
      <c r="I178" s="297">
        <v>1</v>
      </c>
      <c r="J178" s="297">
        <v>1319</v>
      </c>
      <c r="K178" s="299"/>
      <c r="L178" s="299"/>
      <c r="M178" s="299">
        <v>27</v>
      </c>
      <c r="N178" s="299">
        <v>6</v>
      </c>
      <c r="O178" s="300">
        <v>33</v>
      </c>
      <c r="P178" s="301">
        <v>42090</v>
      </c>
      <c r="Q178" s="302"/>
      <c r="R178" s="303"/>
      <c r="S178" s="289">
        <v>5.75</v>
      </c>
      <c r="T178" s="303">
        <v>42208</v>
      </c>
      <c r="U178" s="302"/>
      <c r="V178" s="303"/>
      <c r="W178" s="302"/>
      <c r="X178" s="303"/>
      <c r="Y178" s="302">
        <v>21.11</v>
      </c>
      <c r="Z178" s="303">
        <v>42208</v>
      </c>
      <c r="AA178">
        <v>14.4</v>
      </c>
      <c r="AB178" s="303"/>
      <c r="AC178" s="302"/>
      <c r="AD178" s="303"/>
      <c r="AE178" s="302"/>
      <c r="AF178" s="303"/>
      <c r="AG178">
        <v>60045.081967213097</v>
      </c>
      <c r="AH178" s="521">
        <f>(AK178*10000)/AM178</f>
        <v>60045.081967213097</v>
      </c>
      <c r="AI178" s="302"/>
      <c r="AJ178" s="303"/>
      <c r="AK178">
        <v>36.627499999999991</v>
      </c>
      <c r="AL178" s="521"/>
      <c r="AM178">
        <v>6.1</v>
      </c>
      <c r="AN178" s="303">
        <v>42244</v>
      </c>
      <c r="AO178">
        <v>155</v>
      </c>
      <c r="AP178" s="303">
        <v>42170</v>
      </c>
      <c r="AQ178" s="302"/>
      <c r="AR178" s="303"/>
      <c r="AS178" s="302"/>
      <c r="AT178" s="303"/>
      <c r="AU178">
        <v>106</v>
      </c>
      <c r="AV178" s="303"/>
      <c r="AW178" s="302"/>
      <c r="AX178" s="302"/>
      <c r="AY178" s="302"/>
      <c r="AZ178" s="303"/>
      <c r="BA178" s="302"/>
      <c r="BB178" s="302"/>
      <c r="BC178" s="302"/>
      <c r="BD178" s="302"/>
      <c r="BE178" s="302"/>
      <c r="BF178" s="302"/>
      <c r="BG178" s="302"/>
      <c r="BH178" s="302"/>
      <c r="BI178" s="302"/>
      <c r="BJ178" s="302"/>
      <c r="BM178">
        <v>1.3</v>
      </c>
      <c r="BS178">
        <v>59.5</v>
      </c>
      <c r="BY178">
        <v>51.4</v>
      </c>
      <c r="CA178">
        <v>19.399999999999999</v>
      </c>
      <c r="CC178">
        <v>16.7</v>
      </c>
      <c r="CI178">
        <v>6.4</v>
      </c>
      <c r="CO178" t="s">
        <v>8698</v>
      </c>
      <c r="CR178">
        <v>1</v>
      </c>
      <c r="CT178" s="304" t="s">
        <v>11678</v>
      </c>
    </row>
    <row r="179" spans="1:98" s="304" customFormat="1">
      <c r="A179" s="304" t="s">
        <v>8506</v>
      </c>
      <c r="B179" s="463">
        <v>80</v>
      </c>
      <c r="C179" s="296" t="s">
        <v>7698</v>
      </c>
      <c r="D179" s="296" t="s">
        <v>7527</v>
      </c>
      <c r="E179" s="296" t="s">
        <v>7698</v>
      </c>
      <c r="F179" s="296"/>
      <c r="G179" s="296" t="s">
        <v>8506</v>
      </c>
      <c r="H179" s="297" t="s">
        <v>8697</v>
      </c>
      <c r="I179" s="297">
        <v>1</v>
      </c>
      <c r="J179" s="297">
        <v>1200</v>
      </c>
      <c r="K179" s="299"/>
      <c r="L179" s="299"/>
      <c r="M179" s="299">
        <v>28</v>
      </c>
      <c r="N179" s="299">
        <v>4</v>
      </c>
      <c r="O179" s="300">
        <v>36</v>
      </c>
      <c r="P179" s="301">
        <v>42090</v>
      </c>
      <c r="Q179" s="302"/>
      <c r="R179" s="303"/>
      <c r="S179" s="289">
        <v>3.7</v>
      </c>
      <c r="T179" s="303">
        <v>42208</v>
      </c>
      <c r="U179" s="302"/>
      <c r="V179" s="303"/>
      <c r="W179" s="302"/>
      <c r="X179" s="303"/>
      <c r="Y179" s="302">
        <v>13.89</v>
      </c>
      <c r="Z179" s="303">
        <v>42208</v>
      </c>
      <c r="AA179">
        <v>14.4</v>
      </c>
      <c r="AB179" s="303"/>
      <c r="AC179" s="302"/>
      <c r="AD179" s="303"/>
      <c r="AE179" s="302"/>
      <c r="AF179" s="303"/>
      <c r="AG179">
        <v>57116.869918699202</v>
      </c>
      <c r="AH179" s="521">
        <f>(AK179*10000)/AM179</f>
        <v>57116.869918699202</v>
      </c>
      <c r="AI179" s="302"/>
      <c r="AJ179" s="303"/>
      <c r="AK179">
        <v>23.41791666666667</v>
      </c>
      <c r="AL179" s="521"/>
      <c r="AM179">
        <v>4.0999999999999996</v>
      </c>
      <c r="AN179" s="303">
        <v>42244</v>
      </c>
      <c r="AO179">
        <v>120</v>
      </c>
      <c r="AP179" s="303">
        <v>42170</v>
      </c>
      <c r="AQ179" s="302"/>
      <c r="AR179" s="303"/>
      <c r="AS179" s="302"/>
      <c r="AT179" s="303"/>
      <c r="AU179">
        <v>116</v>
      </c>
      <c r="AV179" s="303"/>
      <c r="AW179" s="302"/>
      <c r="AX179" s="302"/>
      <c r="AY179" s="302"/>
      <c r="AZ179" s="303"/>
      <c r="BA179" s="302"/>
      <c r="BB179" s="302"/>
      <c r="BC179" s="302"/>
      <c r="BD179" s="302"/>
      <c r="BE179" s="302"/>
      <c r="BF179" s="302"/>
      <c r="BG179" s="302"/>
      <c r="BH179" s="302"/>
      <c r="BI179" s="302"/>
      <c r="BJ179" s="302"/>
      <c r="BM179">
        <v>1.1000000000000001</v>
      </c>
      <c r="BS179">
        <v>59</v>
      </c>
      <c r="BY179">
        <v>52.9</v>
      </c>
      <c r="CA179">
        <v>15.6</v>
      </c>
      <c r="CC179">
        <v>19.7</v>
      </c>
      <c r="CI179">
        <v>7</v>
      </c>
      <c r="CO179" t="s">
        <v>8698</v>
      </c>
      <c r="CR179">
        <v>1</v>
      </c>
      <c r="CT179" s="304" t="s">
        <v>11678</v>
      </c>
    </row>
    <row r="180" spans="1:98" s="304" customFormat="1">
      <c r="A180" s="304" t="s">
        <v>8506</v>
      </c>
      <c r="B180" s="463">
        <v>126</v>
      </c>
      <c r="C180" s="296" t="s">
        <v>7753</v>
      </c>
      <c r="D180" s="296" t="s">
        <v>7564</v>
      </c>
      <c r="E180" s="296" t="s">
        <v>7753</v>
      </c>
      <c r="F180" s="296"/>
      <c r="G180" s="296" t="s">
        <v>8506</v>
      </c>
      <c r="H180" s="297" t="s">
        <v>8696</v>
      </c>
      <c r="I180" s="297">
        <v>2</v>
      </c>
      <c r="J180" s="297">
        <v>2260</v>
      </c>
      <c r="K180" s="299"/>
      <c r="L180" s="299"/>
      <c r="M180" s="299">
        <v>28</v>
      </c>
      <c r="N180" s="299">
        <v>11</v>
      </c>
      <c r="O180" s="300">
        <v>32</v>
      </c>
      <c r="P180" s="301">
        <v>42090</v>
      </c>
      <c r="Q180" s="302"/>
      <c r="R180" s="303"/>
      <c r="S180" s="289">
        <v>6.45</v>
      </c>
      <c r="T180" s="303">
        <v>42208</v>
      </c>
      <c r="U180" s="302"/>
      <c r="V180" s="303"/>
      <c r="W180" s="302"/>
      <c r="X180" s="303"/>
      <c r="Y180" s="302">
        <v>22.22</v>
      </c>
      <c r="Z180" s="303">
        <v>42208</v>
      </c>
      <c r="AA180">
        <v>14.4</v>
      </c>
      <c r="AB180" s="303"/>
      <c r="AC180" s="302"/>
      <c r="AD180" s="303"/>
      <c r="AE180" s="302"/>
      <c r="AF180" s="303"/>
      <c r="AG180">
        <v>78252.764423076937</v>
      </c>
      <c r="AH180" s="521">
        <f>(AK180*10000)/AM180</f>
        <v>78252.764423076937</v>
      </c>
      <c r="AI180" s="302"/>
      <c r="AJ180" s="303"/>
      <c r="AK180">
        <v>40.691437500000006</v>
      </c>
      <c r="AL180" s="521"/>
      <c r="AM180">
        <v>5.2</v>
      </c>
      <c r="AN180" s="303">
        <v>42244</v>
      </c>
      <c r="AO180">
        <v>110</v>
      </c>
      <c r="AP180" s="303">
        <v>42170</v>
      </c>
      <c r="AQ180" s="302"/>
      <c r="AR180" s="303"/>
      <c r="AS180" s="302"/>
      <c r="AT180" s="303"/>
      <c r="AU180">
        <v>110</v>
      </c>
      <c r="AV180" s="303"/>
      <c r="AW180" s="302"/>
      <c r="AX180" s="302"/>
      <c r="AY180" s="302"/>
      <c r="AZ180" s="303"/>
      <c r="BA180" s="302"/>
      <c r="BB180" s="302"/>
      <c r="BC180" s="302"/>
      <c r="BD180" s="302"/>
      <c r="BE180" s="302"/>
      <c r="BF180" s="302"/>
      <c r="BG180" s="302"/>
      <c r="BH180" s="302"/>
      <c r="BI180" s="302"/>
      <c r="BJ180" s="302"/>
      <c r="BM180">
        <v>1</v>
      </c>
      <c r="BS180">
        <v>58.8</v>
      </c>
      <c r="BY180">
        <v>48.7</v>
      </c>
      <c r="CA180">
        <v>19.8</v>
      </c>
      <c r="CC180">
        <v>17.899999999999999</v>
      </c>
      <c r="CI180">
        <v>7.3</v>
      </c>
      <c r="CO180" t="s">
        <v>8698</v>
      </c>
      <c r="CR180">
        <v>1</v>
      </c>
      <c r="CT180" s="304" t="s">
        <v>11678</v>
      </c>
    </row>
    <row r="181" spans="1:98" s="304" customFormat="1">
      <c r="A181" s="304" t="s">
        <v>8506</v>
      </c>
      <c r="B181" s="463">
        <v>14</v>
      </c>
      <c r="C181" s="296" t="s">
        <v>7623</v>
      </c>
      <c r="D181" s="296" t="s">
        <v>7461</v>
      </c>
      <c r="E181" s="296" t="s">
        <v>7623</v>
      </c>
      <c r="F181" s="296"/>
      <c r="G181" s="296" t="s">
        <v>8506</v>
      </c>
      <c r="H181" s="297" t="s">
        <v>8697</v>
      </c>
      <c r="I181" s="297">
        <v>1</v>
      </c>
      <c r="J181" s="297">
        <v>1201</v>
      </c>
      <c r="K181" s="299"/>
      <c r="L181" s="299"/>
      <c r="M181" s="299">
        <v>29</v>
      </c>
      <c r="N181" s="299">
        <v>4</v>
      </c>
      <c r="O181" s="300">
        <v>54</v>
      </c>
      <c r="P181" s="301">
        <v>42090</v>
      </c>
      <c r="Q181" s="302"/>
      <c r="R181" s="303"/>
      <c r="S181" s="289">
        <v>3.7</v>
      </c>
      <c r="T181" s="303">
        <v>42208</v>
      </c>
      <c r="U181" s="302"/>
      <c r="V181" s="303"/>
      <c r="W181" s="302"/>
      <c r="X181" s="303"/>
      <c r="Y181" s="302">
        <v>14.2</v>
      </c>
      <c r="Z181" s="303">
        <v>42208</v>
      </c>
      <c r="AA181">
        <v>14.4</v>
      </c>
      <c r="AB181" s="303"/>
      <c r="AC181" s="302"/>
      <c r="AD181" s="303"/>
      <c r="AE181" s="302"/>
      <c r="AF181" s="303"/>
      <c r="AG181">
        <v>47339.444444444445</v>
      </c>
      <c r="AH181" s="521">
        <f>(AK181*10000)/AM181</f>
        <v>47339.444444444445</v>
      </c>
      <c r="AI181" s="302"/>
      <c r="AJ181" s="303"/>
      <c r="AK181">
        <v>23.669722222222223</v>
      </c>
      <c r="AL181" s="521"/>
      <c r="AM181">
        <v>5</v>
      </c>
      <c r="AN181" s="303">
        <v>42244</v>
      </c>
      <c r="AO181">
        <v>135</v>
      </c>
      <c r="AP181" s="303">
        <v>42170</v>
      </c>
      <c r="AQ181" s="302"/>
      <c r="AR181" s="303"/>
      <c r="AS181" s="302"/>
      <c r="AT181" s="303"/>
      <c r="AU181">
        <v>108</v>
      </c>
      <c r="AV181" s="303"/>
      <c r="AW181" s="302"/>
      <c r="AX181" s="302"/>
      <c r="AY181" s="302"/>
      <c r="AZ181" s="303"/>
      <c r="BA181" s="302"/>
      <c r="BB181" s="302"/>
      <c r="BC181" s="302"/>
      <c r="BD181" s="302"/>
      <c r="BE181" s="302"/>
      <c r="BF181" s="302"/>
      <c r="BG181" s="302"/>
      <c r="BH181" s="302"/>
      <c r="BI181" s="302"/>
      <c r="BJ181" s="302"/>
      <c r="BM181">
        <v>38.799999999999997</v>
      </c>
      <c r="BS181">
        <v>17.2</v>
      </c>
      <c r="BY181">
        <v>53.5</v>
      </c>
      <c r="CA181">
        <v>17.600000000000001</v>
      </c>
      <c r="CC181">
        <v>54.6</v>
      </c>
      <c r="CI181">
        <v>6</v>
      </c>
      <c r="CO181" t="s">
        <v>8698</v>
      </c>
      <c r="CR181">
        <v>1</v>
      </c>
      <c r="CT181" s="304" t="s">
        <v>11678</v>
      </c>
    </row>
    <row r="182" spans="1:98" s="304" customFormat="1">
      <c r="A182" s="304" t="s">
        <v>8506</v>
      </c>
      <c r="B182" s="463">
        <v>22</v>
      </c>
      <c r="C182" s="296" t="s">
        <v>7634</v>
      </c>
      <c r="D182" s="296" t="s">
        <v>7470</v>
      </c>
      <c r="E182" s="296" t="s">
        <v>7634</v>
      </c>
      <c r="F182" s="296"/>
      <c r="G182" s="296" t="s">
        <v>8506</v>
      </c>
      <c r="H182" s="297" t="s">
        <v>8696</v>
      </c>
      <c r="I182" s="297">
        <v>2</v>
      </c>
      <c r="J182" s="297">
        <v>281</v>
      </c>
      <c r="K182" s="299"/>
      <c r="L182" s="299"/>
      <c r="M182" s="299">
        <v>29</v>
      </c>
      <c r="N182" s="299">
        <v>8</v>
      </c>
      <c r="O182" s="300">
        <v>30</v>
      </c>
      <c r="P182" s="301">
        <v>42090</v>
      </c>
      <c r="Q182" s="302"/>
      <c r="R182" s="303"/>
      <c r="S182" s="289">
        <v>6.35</v>
      </c>
      <c r="T182" s="303">
        <v>42208</v>
      </c>
      <c r="U182" s="302"/>
      <c r="V182" s="303"/>
      <c r="W182" s="302"/>
      <c r="X182" s="303"/>
      <c r="Y182" s="302">
        <v>23.86</v>
      </c>
      <c r="Z182" s="303">
        <v>42208</v>
      </c>
      <c r="AA182">
        <v>14.4</v>
      </c>
      <c r="AB182" s="303"/>
      <c r="AC182" s="302"/>
      <c r="AD182" s="303"/>
      <c r="AE182" s="302"/>
      <c r="AF182" s="303"/>
      <c r="AG182">
        <v>72231.25</v>
      </c>
      <c r="AH182" s="521">
        <f>(AK182*10000)/AM182</f>
        <v>72231.25</v>
      </c>
      <c r="AI182" s="302"/>
      <c r="AJ182" s="303"/>
      <c r="AK182">
        <v>40.449499999999993</v>
      </c>
      <c r="AL182" s="521"/>
      <c r="AM182">
        <v>5.6</v>
      </c>
      <c r="AN182" s="303">
        <v>42244</v>
      </c>
      <c r="AO182">
        <v>115</v>
      </c>
      <c r="AP182" s="303">
        <v>42170</v>
      </c>
      <c r="AQ182" s="302"/>
      <c r="AR182" s="303"/>
      <c r="AS182" s="302"/>
      <c r="AT182" s="303"/>
      <c r="AU182">
        <v>107</v>
      </c>
      <c r="AV182" s="303"/>
      <c r="AW182" s="302"/>
      <c r="AX182" s="302"/>
      <c r="AY182" s="302"/>
      <c r="AZ182" s="303"/>
      <c r="BA182" s="302"/>
      <c r="BB182" s="302"/>
      <c r="BC182" s="302"/>
      <c r="BD182" s="302"/>
      <c r="BE182" s="302"/>
      <c r="BF182" s="302"/>
      <c r="BG182" s="302"/>
      <c r="BH182" s="302"/>
      <c r="BI182" s="302"/>
      <c r="BJ182" s="302"/>
      <c r="BM182">
        <v>40.799999999999997</v>
      </c>
      <c r="BS182">
        <v>21.4</v>
      </c>
      <c r="BY182">
        <v>52.6</v>
      </c>
      <c r="CA182">
        <v>19.100000000000001</v>
      </c>
      <c r="CC182">
        <v>15.8</v>
      </c>
      <c r="CI182">
        <v>6.4</v>
      </c>
      <c r="CO182" t="s">
        <v>8698</v>
      </c>
      <c r="CR182">
        <v>2</v>
      </c>
      <c r="CT182" s="304" t="s">
        <v>11678</v>
      </c>
    </row>
    <row r="183" spans="1:98" s="304" customFormat="1">
      <c r="A183" s="304" t="s">
        <v>8506</v>
      </c>
      <c r="B183" s="463">
        <v>37</v>
      </c>
      <c r="C183" s="296" t="s">
        <v>7653</v>
      </c>
      <c r="D183" s="296" t="s">
        <v>7487</v>
      </c>
      <c r="E183" s="296" t="s">
        <v>7653</v>
      </c>
      <c r="F183" s="296"/>
      <c r="G183" s="296" t="s">
        <v>8506</v>
      </c>
      <c r="H183" s="297" t="s">
        <v>8697</v>
      </c>
      <c r="I183" s="297">
        <v>1</v>
      </c>
      <c r="J183" s="297">
        <v>121</v>
      </c>
      <c r="K183" s="299"/>
      <c r="L183" s="299"/>
      <c r="M183" s="299">
        <v>29</v>
      </c>
      <c r="N183" s="299">
        <v>1</v>
      </c>
      <c r="O183" s="300">
        <v>40</v>
      </c>
      <c r="P183" s="301">
        <v>42090</v>
      </c>
      <c r="Q183" s="302"/>
      <c r="R183" s="303"/>
      <c r="S183" s="289">
        <v>3.2</v>
      </c>
      <c r="T183" s="303">
        <v>42208</v>
      </c>
      <c r="U183" s="302"/>
      <c r="V183" s="303"/>
      <c r="W183" s="302"/>
      <c r="X183" s="303"/>
      <c r="Y183" s="302">
        <v>11.28</v>
      </c>
      <c r="Z183" s="303">
        <v>42208</v>
      </c>
      <c r="AA183">
        <v>14.4</v>
      </c>
      <c r="AB183" s="303"/>
      <c r="AC183" s="302"/>
      <c r="AD183" s="303"/>
      <c r="AE183" s="302"/>
      <c r="AF183" s="303"/>
      <c r="AG183">
        <v>35182.375478927206</v>
      </c>
      <c r="AH183" s="521">
        <f>(AK183*10000)/AM183</f>
        <v>35182.375478927206</v>
      </c>
      <c r="AI183" s="302"/>
      <c r="AJ183" s="303"/>
      <c r="AK183">
        <v>20.405777777777782</v>
      </c>
      <c r="AL183" s="521"/>
      <c r="AM183">
        <v>5.8</v>
      </c>
      <c r="AN183" s="303">
        <v>42244</v>
      </c>
      <c r="AO183">
        <v>145</v>
      </c>
      <c r="AP183" s="303">
        <v>42170</v>
      </c>
      <c r="AQ183" s="302"/>
      <c r="AR183" s="303"/>
      <c r="AS183" s="302"/>
      <c r="AT183" s="303"/>
      <c r="AU183">
        <v>107</v>
      </c>
      <c r="AV183" s="303"/>
      <c r="AW183" s="302"/>
      <c r="AX183" s="302"/>
      <c r="AY183" s="302"/>
      <c r="AZ183" s="303"/>
      <c r="BA183" s="302"/>
      <c r="BB183" s="302"/>
      <c r="BC183" s="302"/>
      <c r="BD183" s="302"/>
      <c r="BE183" s="302"/>
      <c r="BF183" s="302"/>
      <c r="BG183" s="302"/>
      <c r="BH183" s="302"/>
      <c r="BI183" s="302"/>
      <c r="BJ183" s="302"/>
      <c r="BM183">
        <v>-3.1</v>
      </c>
      <c r="BS183">
        <v>59.5</v>
      </c>
      <c r="BY183">
        <v>49.3</v>
      </c>
      <c r="CA183">
        <v>19.100000000000001</v>
      </c>
      <c r="CC183">
        <v>25.1</v>
      </c>
      <c r="CI183">
        <v>6.3</v>
      </c>
      <c r="CO183" t="s">
        <v>8698</v>
      </c>
      <c r="CR183">
        <v>3</v>
      </c>
      <c r="CT183" s="304" t="s">
        <v>11678</v>
      </c>
    </row>
    <row r="184" spans="1:98" s="304" customFormat="1">
      <c r="A184" s="304" t="s">
        <v>8506</v>
      </c>
      <c r="B184" s="463">
        <v>74</v>
      </c>
      <c r="C184" s="296" t="s">
        <v>7692</v>
      </c>
      <c r="D184" s="296" t="s">
        <v>7521</v>
      </c>
      <c r="E184" s="296" t="s">
        <v>7692</v>
      </c>
      <c r="F184" s="296"/>
      <c r="G184" s="296" t="s">
        <v>8506</v>
      </c>
      <c r="H184" s="297" t="s">
        <v>8697</v>
      </c>
      <c r="I184" s="297">
        <v>1</v>
      </c>
      <c r="J184" s="297">
        <v>1141</v>
      </c>
      <c r="K184" s="299"/>
      <c r="L184" s="299"/>
      <c r="M184" s="299">
        <v>29</v>
      </c>
      <c r="N184" s="299">
        <v>3</v>
      </c>
      <c r="O184" s="300">
        <v>32</v>
      </c>
      <c r="P184" s="301">
        <v>42090</v>
      </c>
      <c r="Q184" s="302"/>
      <c r="R184" s="303"/>
      <c r="S184" s="289">
        <v>3.8</v>
      </c>
      <c r="T184" s="303">
        <v>42208</v>
      </c>
      <c r="U184" s="302"/>
      <c r="V184" s="303"/>
      <c r="W184" s="302"/>
      <c r="X184" s="303"/>
      <c r="Y184" s="302">
        <v>14.14</v>
      </c>
      <c r="Z184" s="303">
        <v>42208</v>
      </c>
      <c r="AA184">
        <v>14.4</v>
      </c>
      <c r="AB184" s="303"/>
      <c r="AC184" s="302"/>
      <c r="AD184" s="303"/>
      <c r="AE184" s="302"/>
      <c r="AF184" s="303"/>
      <c r="AG184">
        <v>42466.666666666657</v>
      </c>
      <c r="AH184" s="521">
        <f>(AK184*10000)/AM184</f>
        <v>42466.666666666657</v>
      </c>
      <c r="AI184" s="302"/>
      <c r="AJ184" s="303"/>
      <c r="AK184">
        <v>24.205999999999996</v>
      </c>
      <c r="AL184" s="521"/>
      <c r="AM184">
        <v>5.7</v>
      </c>
      <c r="AN184" s="303">
        <v>42244</v>
      </c>
      <c r="AO184">
        <v>115</v>
      </c>
      <c r="AP184" s="303">
        <v>42170</v>
      </c>
      <c r="AQ184" s="302"/>
      <c r="AR184" s="303"/>
      <c r="AS184" s="302"/>
      <c r="AT184" s="303"/>
      <c r="AU184">
        <v>110</v>
      </c>
      <c r="AV184" s="303"/>
      <c r="AW184" s="302"/>
      <c r="AX184" s="302"/>
      <c r="AY184" s="302"/>
      <c r="AZ184" s="303"/>
      <c r="BA184" s="302"/>
      <c r="BB184" s="302"/>
      <c r="BC184" s="302"/>
      <c r="BD184" s="302"/>
      <c r="BE184" s="302"/>
      <c r="BF184" s="302"/>
      <c r="BG184" s="302"/>
      <c r="BH184" s="302"/>
      <c r="BI184" s="302"/>
      <c r="BJ184" s="302"/>
      <c r="BM184">
        <v>-4.4000000000000004</v>
      </c>
      <c r="BS184">
        <v>64.2</v>
      </c>
      <c r="BY184">
        <v>52.1</v>
      </c>
      <c r="CA184">
        <v>15.9</v>
      </c>
      <c r="CC184">
        <v>15.5</v>
      </c>
      <c r="CI184">
        <v>6.4</v>
      </c>
      <c r="CO184" t="s">
        <v>8698</v>
      </c>
      <c r="CR184">
        <v>2</v>
      </c>
      <c r="CT184" s="304" t="s">
        <v>11678</v>
      </c>
    </row>
    <row r="185" spans="1:98" s="304" customFormat="1">
      <c r="A185" s="304" t="s">
        <v>8506</v>
      </c>
      <c r="B185" s="463">
        <v>76</v>
      </c>
      <c r="C185" s="296" t="s">
        <v>7694</v>
      </c>
      <c r="D185" s="296" t="s">
        <v>7523</v>
      </c>
      <c r="E185" s="296" t="s">
        <v>7694</v>
      </c>
      <c r="F185" s="296"/>
      <c r="G185" s="296" t="s">
        <v>8506</v>
      </c>
      <c r="H185" s="297" t="s">
        <v>8697</v>
      </c>
      <c r="I185" s="297">
        <v>1</v>
      </c>
      <c r="J185" s="297">
        <v>1321</v>
      </c>
      <c r="K185" s="299"/>
      <c r="L185" s="299"/>
      <c r="M185" s="299">
        <v>29</v>
      </c>
      <c r="N185" s="299">
        <v>6</v>
      </c>
      <c r="O185" s="300">
        <v>36</v>
      </c>
      <c r="P185" s="301">
        <v>42090</v>
      </c>
      <c r="Q185" s="302"/>
      <c r="R185" s="303"/>
      <c r="S185" s="289">
        <v>5.45</v>
      </c>
      <c r="T185" s="303">
        <v>42208</v>
      </c>
      <c r="U185" s="302"/>
      <c r="V185" s="303"/>
      <c r="W185" s="302"/>
      <c r="X185" s="303"/>
      <c r="Y185" s="302">
        <v>19.510000000000002</v>
      </c>
      <c r="Z185" s="303">
        <v>42208</v>
      </c>
      <c r="AA185">
        <v>14.4</v>
      </c>
      <c r="AB185" s="303"/>
      <c r="AC185" s="302"/>
      <c r="AD185" s="303"/>
      <c r="AE185" s="302"/>
      <c r="AF185" s="303"/>
      <c r="AG185">
        <v>64427.186213991765</v>
      </c>
      <c r="AH185" s="521">
        <f>(AK185*10000)/AM185</f>
        <v>64427.186213991765</v>
      </c>
      <c r="AI185" s="302"/>
      <c r="AJ185" s="303"/>
      <c r="AK185">
        <v>34.790680555555554</v>
      </c>
      <c r="AL185" s="521"/>
      <c r="AM185">
        <v>5.4</v>
      </c>
      <c r="AN185" s="303">
        <v>42244</v>
      </c>
      <c r="AO185">
        <v>130</v>
      </c>
      <c r="AP185" s="303">
        <v>42170</v>
      </c>
      <c r="AQ185" s="302"/>
      <c r="AR185" s="303"/>
      <c r="AS185" s="302"/>
      <c r="AT185" s="303"/>
      <c r="AU185">
        <v>108</v>
      </c>
      <c r="AV185" s="303"/>
      <c r="AW185" s="302"/>
      <c r="AX185" s="302"/>
      <c r="AY185" s="302"/>
      <c r="AZ185" s="303"/>
      <c r="BA185" s="302"/>
      <c r="BB185" s="302"/>
      <c r="BC185" s="302"/>
      <c r="BD185" s="302"/>
      <c r="BE185" s="302"/>
      <c r="BF185" s="302"/>
      <c r="BG185" s="302"/>
      <c r="BH185" s="302"/>
      <c r="BI185" s="302"/>
      <c r="BJ185" s="302"/>
      <c r="BM185">
        <v>-0.1</v>
      </c>
      <c r="BS185">
        <v>61.2</v>
      </c>
      <c r="BY185">
        <v>50</v>
      </c>
      <c r="CA185">
        <v>18.100000000000001</v>
      </c>
      <c r="CC185">
        <v>14.1</v>
      </c>
      <c r="CI185">
        <v>6.2</v>
      </c>
      <c r="CO185" t="s">
        <v>8698</v>
      </c>
      <c r="CR185">
        <v>2</v>
      </c>
      <c r="CT185" s="304" t="s">
        <v>11678</v>
      </c>
    </row>
    <row r="186" spans="1:98" s="304" customFormat="1">
      <c r="A186" s="304" t="s">
        <v>8506</v>
      </c>
      <c r="B186" s="463">
        <v>105</v>
      </c>
      <c r="C186" s="296" t="s">
        <v>7723</v>
      </c>
      <c r="D186" s="296" t="s">
        <v>7550</v>
      </c>
      <c r="E186" s="296" t="s">
        <v>7723</v>
      </c>
      <c r="F186" s="296"/>
      <c r="G186" s="296" t="s">
        <v>8506</v>
      </c>
      <c r="H186" s="297" t="s">
        <v>8696</v>
      </c>
      <c r="I186" s="297">
        <v>2</v>
      </c>
      <c r="J186" s="297">
        <v>221</v>
      </c>
      <c r="K186" s="299"/>
      <c r="L186" s="299"/>
      <c r="M186" s="299">
        <v>29</v>
      </c>
      <c r="N186" s="299">
        <v>7</v>
      </c>
      <c r="O186" s="300">
        <v>48</v>
      </c>
      <c r="P186" s="301">
        <v>42090</v>
      </c>
      <c r="Q186" s="302"/>
      <c r="R186" s="303"/>
      <c r="S186" s="289">
        <v>4.45</v>
      </c>
      <c r="T186" s="303">
        <v>42208</v>
      </c>
      <c r="U186" s="302"/>
      <c r="V186" s="303"/>
      <c r="W186" s="302"/>
      <c r="X186" s="303"/>
      <c r="Y186" s="302">
        <v>15.89</v>
      </c>
      <c r="Z186" s="303">
        <v>42208</v>
      </c>
      <c r="AA186">
        <v>14.4</v>
      </c>
      <c r="AB186" s="303"/>
      <c r="AC186" s="302"/>
      <c r="AD186" s="303"/>
      <c r="AE186" s="302"/>
      <c r="AF186" s="303"/>
      <c r="AG186">
        <v>54628.979700854696</v>
      </c>
      <c r="AH186" s="521">
        <f>(AK186*10000)/AM186</f>
        <v>54628.979700854696</v>
      </c>
      <c r="AI186" s="302"/>
      <c r="AJ186" s="303"/>
      <c r="AK186">
        <v>28.407069444444446</v>
      </c>
      <c r="AL186" s="521"/>
      <c r="AM186">
        <v>5.2</v>
      </c>
      <c r="AN186" s="303">
        <v>42244</v>
      </c>
      <c r="AO186">
        <v>130</v>
      </c>
      <c r="AP186" s="303">
        <v>42170</v>
      </c>
      <c r="AQ186" s="302"/>
      <c r="AR186" s="303"/>
      <c r="AS186" s="302"/>
      <c r="AT186" s="303"/>
      <c r="AU186">
        <v>110</v>
      </c>
      <c r="AV186" s="303"/>
      <c r="AW186" s="302"/>
      <c r="AX186" s="302"/>
      <c r="AY186" s="302"/>
      <c r="AZ186" s="303"/>
      <c r="BA186" s="302"/>
      <c r="BB186" s="302"/>
      <c r="BC186" s="302"/>
      <c r="BD186" s="302"/>
      <c r="BE186" s="302"/>
      <c r="BF186" s="302"/>
      <c r="BG186" s="302"/>
      <c r="BH186" s="302"/>
      <c r="BI186" s="302"/>
      <c r="BJ186" s="302"/>
      <c r="BM186">
        <v>-1.6</v>
      </c>
      <c r="BS186">
        <v>62.1</v>
      </c>
      <c r="BY186">
        <v>49.9</v>
      </c>
      <c r="CA186">
        <v>18.600000000000001</v>
      </c>
      <c r="CC186">
        <v>18.2</v>
      </c>
      <c r="CI186">
        <v>6.2</v>
      </c>
      <c r="CO186" t="s">
        <v>8698</v>
      </c>
      <c r="CR186">
        <v>3</v>
      </c>
      <c r="CT186" s="304" t="s">
        <v>11678</v>
      </c>
    </row>
    <row r="187" spans="1:98" s="304" customFormat="1">
      <c r="A187" s="304" t="s">
        <v>8506</v>
      </c>
      <c r="B187" s="463">
        <v>121</v>
      </c>
      <c r="C187" s="296" t="s">
        <v>7742</v>
      </c>
      <c r="D187" s="296" t="s">
        <v>7826</v>
      </c>
      <c r="E187" s="296" t="s">
        <v>7742</v>
      </c>
      <c r="F187" s="296"/>
      <c r="G187" s="296" t="s">
        <v>8506</v>
      </c>
      <c r="H187" s="297" t="s">
        <v>8696</v>
      </c>
      <c r="I187" s="297">
        <v>2</v>
      </c>
      <c r="J187" s="297">
        <v>2201</v>
      </c>
      <c r="K187" s="299"/>
      <c r="L187" s="299"/>
      <c r="M187" s="299">
        <v>29</v>
      </c>
      <c r="N187" s="299">
        <v>10</v>
      </c>
      <c r="O187" s="300">
        <v>71</v>
      </c>
      <c r="P187" s="301">
        <v>42090</v>
      </c>
      <c r="Q187" s="302"/>
      <c r="R187" s="303"/>
      <c r="S187" s="289">
        <v>3.35</v>
      </c>
      <c r="T187" s="303">
        <v>42208</v>
      </c>
      <c r="U187" s="302"/>
      <c r="V187" s="303"/>
      <c r="W187" s="302"/>
      <c r="X187" s="303"/>
      <c r="Y187" s="302">
        <v>11.52</v>
      </c>
      <c r="Z187" s="303">
        <v>42208</v>
      </c>
      <c r="AA187">
        <v>14.4</v>
      </c>
      <c r="AB187" s="303"/>
      <c r="AC187" s="302"/>
      <c r="AD187" s="303"/>
      <c r="AE187" s="302"/>
      <c r="AF187" s="303"/>
      <c r="AG187">
        <v>43317.361111111109</v>
      </c>
      <c r="AH187" s="521">
        <f>(AK187*10000)/AM187</f>
        <v>43317.361111111109</v>
      </c>
      <c r="AI187" s="302"/>
      <c r="AJ187" s="303"/>
      <c r="AK187">
        <v>21.225506944444444</v>
      </c>
      <c r="AL187" s="521"/>
      <c r="AM187">
        <v>4.9000000000000004</v>
      </c>
      <c r="AN187" s="303">
        <v>42244</v>
      </c>
      <c r="AO187">
        <v>125</v>
      </c>
      <c r="AP187" s="303">
        <v>42170</v>
      </c>
      <c r="AQ187" s="302"/>
      <c r="AR187" s="303"/>
      <c r="AS187" s="302"/>
      <c r="AT187" s="303"/>
      <c r="AU187">
        <v>112</v>
      </c>
      <c r="AV187" s="303"/>
      <c r="AW187" s="302"/>
      <c r="AX187" s="302"/>
      <c r="AY187" s="302"/>
      <c r="AZ187" s="303"/>
      <c r="BA187" s="302"/>
      <c r="BB187" s="302"/>
      <c r="BC187" s="302"/>
      <c r="BD187" s="302"/>
      <c r="BE187" s="302"/>
      <c r="BF187" s="302"/>
      <c r="BG187" s="302"/>
      <c r="BH187" s="302"/>
      <c r="BI187" s="302"/>
      <c r="BJ187" s="302"/>
      <c r="BM187">
        <v>43</v>
      </c>
      <c r="BS187">
        <v>13.7</v>
      </c>
      <c r="BY187">
        <v>48.4</v>
      </c>
      <c r="CA187">
        <v>21.8</v>
      </c>
      <c r="CC187">
        <v>74.2</v>
      </c>
      <c r="CI187">
        <v>6.9</v>
      </c>
      <c r="CO187" t="s">
        <v>8700</v>
      </c>
      <c r="CR187">
        <v>4</v>
      </c>
      <c r="CT187" s="304" t="s">
        <v>11678</v>
      </c>
    </row>
    <row r="188" spans="1:98" s="304" customFormat="1">
      <c r="A188" s="304" t="s">
        <v>8506</v>
      </c>
      <c r="B188" s="463">
        <v>7</v>
      </c>
      <c r="C188" s="296" t="s">
        <v>7616</v>
      </c>
      <c r="D188" s="296" t="s">
        <v>7456</v>
      </c>
      <c r="E188" s="296" t="s">
        <v>7616</v>
      </c>
      <c r="F188" s="296"/>
      <c r="G188" s="296" t="s">
        <v>8506</v>
      </c>
      <c r="H188" s="297" t="s">
        <v>8697</v>
      </c>
      <c r="I188" s="297">
        <v>1</v>
      </c>
      <c r="J188" s="297">
        <v>1142</v>
      </c>
      <c r="K188" s="299"/>
      <c r="L188" s="299"/>
      <c r="M188" s="299">
        <v>30</v>
      </c>
      <c r="N188" s="299">
        <v>3</v>
      </c>
      <c r="O188" s="300">
        <v>30</v>
      </c>
      <c r="P188" s="301">
        <v>42090</v>
      </c>
      <c r="Q188" s="302"/>
      <c r="R188" s="303"/>
      <c r="S188" s="289">
        <v>4.2</v>
      </c>
      <c r="T188" s="303">
        <v>42208</v>
      </c>
      <c r="U188" s="302"/>
      <c r="V188" s="303"/>
      <c r="W188" s="302"/>
      <c r="X188" s="303"/>
      <c r="Y188" s="302">
        <v>15.81</v>
      </c>
      <c r="Z188" s="303">
        <v>42208</v>
      </c>
      <c r="AA188">
        <v>14.4</v>
      </c>
      <c r="AB188" s="303"/>
      <c r="AC188" s="302"/>
      <c r="AD188" s="303"/>
      <c r="AE188" s="302"/>
      <c r="AF188" s="303"/>
      <c r="AG188">
        <v>51559.935897435898</v>
      </c>
      <c r="AH188" s="521">
        <f>(AK188*10000)/AM188</f>
        <v>51559.935897435898</v>
      </c>
      <c r="AI188" s="302"/>
      <c r="AJ188" s="303"/>
      <c r="AK188">
        <v>26.811166666666669</v>
      </c>
      <c r="AL188" s="521"/>
      <c r="AM188">
        <v>5.2</v>
      </c>
      <c r="AN188" s="303">
        <v>42244</v>
      </c>
      <c r="AO188">
        <v>135</v>
      </c>
      <c r="AP188" s="303">
        <v>42170</v>
      </c>
      <c r="AQ188" s="302"/>
      <c r="AR188" s="303"/>
      <c r="AS188" s="302"/>
      <c r="AT188" s="303"/>
      <c r="AU188">
        <v>108</v>
      </c>
      <c r="AV188" s="303"/>
      <c r="AW188" s="302"/>
      <c r="AX188" s="302"/>
      <c r="AY188" s="302"/>
      <c r="AZ188" s="303"/>
      <c r="BA188" s="302"/>
      <c r="BB188" s="302"/>
      <c r="BC188" s="302"/>
      <c r="BD188" s="302"/>
      <c r="BE188" s="302"/>
      <c r="BF188" s="302"/>
      <c r="BG188" s="302"/>
      <c r="BH188" s="302"/>
      <c r="BI188" s="302"/>
      <c r="BJ188" s="302"/>
      <c r="BM188">
        <v>42.1</v>
      </c>
      <c r="BS188">
        <v>13.9</v>
      </c>
      <c r="BY188">
        <v>52.6</v>
      </c>
      <c r="CA188">
        <v>17.7</v>
      </c>
      <c r="CC188">
        <v>70.5</v>
      </c>
      <c r="CI188">
        <v>6.2</v>
      </c>
      <c r="CO188" t="s">
        <v>8698</v>
      </c>
      <c r="CR188">
        <v>3</v>
      </c>
      <c r="CT188" s="304" t="s">
        <v>11678</v>
      </c>
    </row>
    <row r="189" spans="1:98" s="304" customFormat="1">
      <c r="A189" s="304" t="s">
        <v>8506</v>
      </c>
      <c r="B189" s="463">
        <v>9</v>
      </c>
      <c r="C189" s="296" t="s">
        <v>7618</v>
      </c>
      <c r="D189" s="296" t="s">
        <v>7458</v>
      </c>
      <c r="E189" s="296" t="s">
        <v>7618</v>
      </c>
      <c r="F189" s="296"/>
      <c r="G189" s="296" t="s">
        <v>8506</v>
      </c>
      <c r="H189" s="297" t="s">
        <v>8696</v>
      </c>
      <c r="I189" s="297">
        <v>2</v>
      </c>
      <c r="J189" s="308">
        <v>2322</v>
      </c>
      <c r="K189" s="299"/>
      <c r="L189" s="299"/>
      <c r="M189" s="299">
        <v>30</v>
      </c>
      <c r="N189" s="299">
        <v>12</v>
      </c>
      <c r="O189" s="300">
        <v>30</v>
      </c>
      <c r="P189" s="301">
        <v>42090</v>
      </c>
      <c r="Q189" s="306"/>
      <c r="R189" s="303"/>
      <c r="S189" s="289">
        <v>3.35</v>
      </c>
      <c r="T189" s="303">
        <v>42208</v>
      </c>
      <c r="U189" s="307"/>
      <c r="V189" s="303"/>
      <c r="W189" s="306"/>
      <c r="X189" s="303"/>
      <c r="Y189" s="306">
        <v>11.1</v>
      </c>
      <c r="Z189" s="303">
        <v>42208</v>
      </c>
      <c r="AA189">
        <v>14.4</v>
      </c>
      <c r="AB189" s="303"/>
      <c r="AC189" s="306"/>
      <c r="AD189" s="303"/>
      <c r="AE189" s="302"/>
      <c r="AF189" s="303"/>
      <c r="AG189">
        <v>42678.999999999993</v>
      </c>
      <c r="AH189" s="521">
        <f>(AK189*10000)/AM189</f>
        <v>42678.999999999993</v>
      </c>
      <c r="AI189" s="302"/>
      <c r="AJ189" s="303"/>
      <c r="AK189">
        <v>21.339499999999997</v>
      </c>
      <c r="AL189" s="521"/>
      <c r="AM189">
        <v>5</v>
      </c>
      <c r="AN189" s="303">
        <v>42244</v>
      </c>
      <c r="AO189">
        <v>130</v>
      </c>
      <c r="AP189" s="303">
        <v>42170</v>
      </c>
      <c r="AQ189" s="306"/>
      <c r="AR189" s="303"/>
      <c r="AS189" s="306"/>
      <c r="AT189" s="303"/>
      <c r="AU189">
        <v>108</v>
      </c>
      <c r="AV189" s="303"/>
      <c r="AW189" s="302"/>
      <c r="AX189" s="302"/>
      <c r="AY189" s="302"/>
      <c r="AZ189" s="303"/>
      <c r="BA189" s="302"/>
      <c r="BB189" s="302"/>
      <c r="BC189" s="302"/>
      <c r="BD189" s="302"/>
      <c r="BE189" s="302"/>
      <c r="BF189" s="302"/>
      <c r="BG189" s="302"/>
      <c r="BH189" s="302"/>
      <c r="BI189" s="302"/>
      <c r="BJ189" s="302"/>
      <c r="BM189">
        <v>37.4</v>
      </c>
      <c r="BS189">
        <v>19.2</v>
      </c>
      <c r="BY189">
        <v>46.4</v>
      </c>
      <c r="CA189">
        <v>23.4</v>
      </c>
      <c r="CC189">
        <v>70.8</v>
      </c>
      <c r="CI189">
        <v>6.4</v>
      </c>
      <c r="CO189" t="s">
        <v>8698</v>
      </c>
      <c r="CR189">
        <v>2</v>
      </c>
      <c r="CT189" s="304" t="s">
        <v>11678</v>
      </c>
    </row>
    <row r="190" spans="1:98" s="304" customFormat="1">
      <c r="A190" s="304" t="s">
        <v>8506</v>
      </c>
      <c r="B190" s="463">
        <v>39</v>
      </c>
      <c r="C190" s="296" t="s">
        <v>7656</v>
      </c>
      <c r="D190" s="296" t="s">
        <v>7489</v>
      </c>
      <c r="E190" s="296" t="s">
        <v>7656</v>
      </c>
      <c r="F190" s="296"/>
      <c r="G190" s="296" t="s">
        <v>8506</v>
      </c>
      <c r="H190" s="297" t="s">
        <v>8696</v>
      </c>
      <c r="I190" s="297">
        <v>2</v>
      </c>
      <c r="J190" s="308">
        <v>2142</v>
      </c>
      <c r="K190" s="299"/>
      <c r="L190" s="299"/>
      <c r="M190" s="299">
        <v>30</v>
      </c>
      <c r="N190" s="299">
        <v>9</v>
      </c>
      <c r="O190" s="300">
        <v>47</v>
      </c>
      <c r="P190" s="301">
        <v>42090</v>
      </c>
      <c r="Q190" s="306"/>
      <c r="R190" s="303"/>
      <c r="S190" s="289">
        <v>6.5</v>
      </c>
      <c r="T190" s="303">
        <v>42208</v>
      </c>
      <c r="U190" s="307"/>
      <c r="V190" s="303"/>
      <c r="W190" s="306"/>
      <c r="X190" s="303"/>
      <c r="Y190" s="306">
        <v>23.91</v>
      </c>
      <c r="Z190" s="303">
        <v>42208</v>
      </c>
      <c r="AA190">
        <v>14.4</v>
      </c>
      <c r="AB190" s="303"/>
      <c r="AC190" s="306"/>
      <c r="AD190" s="303"/>
      <c r="AE190" s="302"/>
      <c r="AF190" s="303"/>
      <c r="AG190">
        <v>73779.513888888905</v>
      </c>
      <c r="AH190" s="521">
        <f>(AK190*10000)/AM190</f>
        <v>73779.513888888905</v>
      </c>
      <c r="AI190" s="302"/>
      <c r="AJ190" s="303"/>
      <c r="AK190">
        <v>41.316527777777779</v>
      </c>
      <c r="AL190" s="521"/>
      <c r="AM190">
        <v>5.6</v>
      </c>
      <c r="AN190" s="303">
        <v>42244</v>
      </c>
      <c r="AO190">
        <v>140</v>
      </c>
      <c r="AP190" s="303">
        <v>42170</v>
      </c>
      <c r="AQ190" s="306"/>
      <c r="AR190" s="303"/>
      <c r="AS190" s="306"/>
      <c r="AT190" s="303"/>
      <c r="AU190">
        <v>108</v>
      </c>
      <c r="AV190" s="303"/>
      <c r="AW190" s="302"/>
      <c r="AX190" s="302"/>
      <c r="AY190" s="302"/>
      <c r="AZ190" s="303"/>
      <c r="BA190" s="302"/>
      <c r="BB190" s="302"/>
      <c r="BC190" s="302"/>
      <c r="BD190" s="302"/>
      <c r="BE190" s="302"/>
      <c r="BF190" s="302"/>
      <c r="BG190" s="302"/>
      <c r="BH190" s="302"/>
      <c r="BI190" s="302"/>
      <c r="BJ190" s="302"/>
      <c r="BM190">
        <v>-3.9</v>
      </c>
      <c r="BS190">
        <v>63.9</v>
      </c>
      <c r="BY190">
        <v>51.6</v>
      </c>
      <c r="CA190">
        <v>17.899999999999999</v>
      </c>
      <c r="CC190">
        <v>14.3</v>
      </c>
      <c r="CI190">
        <v>6.6</v>
      </c>
      <c r="CO190" t="s">
        <v>8698</v>
      </c>
      <c r="CR190">
        <v>1</v>
      </c>
      <c r="CT190" s="304" t="s">
        <v>11678</v>
      </c>
    </row>
    <row r="191" spans="1:98" s="304" customFormat="1">
      <c r="A191" s="304" t="s">
        <v>8506</v>
      </c>
      <c r="B191" s="463">
        <v>56</v>
      </c>
      <c r="C191" s="296" t="s">
        <v>7674</v>
      </c>
      <c r="D191" s="296" t="s">
        <v>7506</v>
      </c>
      <c r="E191" s="296" t="s">
        <v>7674</v>
      </c>
      <c r="F191" s="296"/>
      <c r="G191" s="296" t="s">
        <v>8506</v>
      </c>
      <c r="H191" s="297" t="s">
        <v>8696</v>
      </c>
      <c r="I191" s="297">
        <v>2</v>
      </c>
      <c r="J191" s="297">
        <v>2202</v>
      </c>
      <c r="K191" s="299"/>
      <c r="L191" s="299"/>
      <c r="M191" s="299">
        <v>30</v>
      </c>
      <c r="N191" s="299">
        <v>10</v>
      </c>
      <c r="O191" s="300">
        <v>40</v>
      </c>
      <c r="P191" s="301">
        <v>42090</v>
      </c>
      <c r="Q191" s="302"/>
      <c r="R191" s="303"/>
      <c r="S191" s="289">
        <v>5.45</v>
      </c>
      <c r="T191" s="303">
        <v>42208</v>
      </c>
      <c r="U191" s="302"/>
      <c r="V191" s="303"/>
      <c r="W191" s="302"/>
      <c r="X191" s="303"/>
      <c r="Y191" s="302">
        <v>19.02</v>
      </c>
      <c r="Z191" s="303">
        <v>42208</v>
      </c>
      <c r="AA191">
        <v>14.4</v>
      </c>
      <c r="AB191" s="303"/>
      <c r="AC191" s="302"/>
      <c r="AD191" s="303"/>
      <c r="AE191" s="302"/>
      <c r="AF191" s="303"/>
      <c r="AG191">
        <v>70925.694444444453</v>
      </c>
      <c r="AH191" s="521">
        <f>(AK191*10000)/AM191</f>
        <v>70925.694444444453</v>
      </c>
      <c r="AI191" s="302"/>
      <c r="AJ191" s="303"/>
      <c r="AK191">
        <v>34.753590277777782</v>
      </c>
      <c r="AL191" s="521"/>
      <c r="AM191">
        <v>4.9000000000000004</v>
      </c>
      <c r="AN191" s="303">
        <v>42244</v>
      </c>
      <c r="AO191">
        <v>130</v>
      </c>
      <c r="AP191" s="303">
        <v>42170</v>
      </c>
      <c r="AQ191" s="302"/>
      <c r="AR191" s="303"/>
      <c r="AS191" s="302"/>
      <c r="AT191" s="303"/>
      <c r="AU191">
        <v>106</v>
      </c>
      <c r="AV191" s="303"/>
      <c r="AW191" s="302"/>
      <c r="AX191" s="302"/>
      <c r="AY191" s="302"/>
      <c r="AZ191" s="303"/>
      <c r="BA191" s="302"/>
      <c r="BB191" s="302"/>
      <c r="BC191" s="302"/>
      <c r="BD191" s="302"/>
      <c r="BE191" s="302"/>
      <c r="BF191" s="302"/>
      <c r="BG191" s="302"/>
      <c r="BH191" s="302"/>
      <c r="BI191" s="302"/>
      <c r="BJ191" s="302"/>
      <c r="BM191">
        <v>-0.9</v>
      </c>
      <c r="BS191">
        <v>57.4</v>
      </c>
      <c r="BY191">
        <v>48.8</v>
      </c>
      <c r="CA191">
        <v>18.600000000000001</v>
      </c>
      <c r="CC191">
        <v>16</v>
      </c>
      <c r="CI191">
        <v>6.3</v>
      </c>
      <c r="CO191" t="s">
        <v>8698</v>
      </c>
      <c r="CR191">
        <v>1</v>
      </c>
      <c r="CT191" s="304" t="s">
        <v>11678</v>
      </c>
    </row>
    <row r="192" spans="1:98" s="304" customFormat="1">
      <c r="A192" s="304" t="s">
        <v>8506</v>
      </c>
      <c r="B192" s="463">
        <v>159</v>
      </c>
      <c r="C192" s="296" t="s">
        <v>7787</v>
      </c>
      <c r="D192" s="296" t="s">
        <v>7588</v>
      </c>
      <c r="E192" s="296" t="s">
        <v>7787</v>
      </c>
      <c r="F192" s="296"/>
      <c r="G192" s="296" t="s">
        <v>8506</v>
      </c>
      <c r="H192" s="297" t="s">
        <v>8697</v>
      </c>
      <c r="I192" s="297">
        <v>1</v>
      </c>
      <c r="J192" s="297">
        <v>1202</v>
      </c>
      <c r="K192" s="299"/>
      <c r="L192" s="299"/>
      <c r="M192" s="299">
        <v>30</v>
      </c>
      <c r="N192" s="299">
        <v>4</v>
      </c>
      <c r="O192" s="300">
        <v>2</v>
      </c>
      <c r="P192" s="301">
        <v>42090</v>
      </c>
      <c r="Q192" s="302"/>
      <c r="R192" s="303"/>
      <c r="S192" s="289"/>
      <c r="T192" s="303"/>
      <c r="U192" s="302"/>
      <c r="V192" s="303"/>
      <c r="W192" s="302"/>
      <c r="X192" s="303"/>
      <c r="Y192" s="302"/>
      <c r="Z192" s="303"/>
      <c r="AA192"/>
      <c r="AB192" s="303"/>
      <c r="AC192" s="302"/>
      <c r="AD192" s="303"/>
      <c r="AE192" s="302"/>
      <c r="AF192" s="303"/>
      <c r="AG192" t="e">
        <v>#DIV/0!</v>
      </c>
      <c r="AH192" s="521" t="e">
        <f>(AK192*10000)/AM192</f>
        <v>#DIV/0!</v>
      </c>
      <c r="AI192" s="302"/>
      <c r="AJ192" s="303"/>
      <c r="AK192" t="e">
        <v>#DIV/0!</v>
      </c>
      <c r="AL192" s="521"/>
      <c r="AM192"/>
      <c r="AN192" s="303"/>
      <c r="AO192"/>
      <c r="AP192" s="303"/>
      <c r="AQ192" s="302"/>
      <c r="AR192" s="303"/>
      <c r="AS192" s="302"/>
      <c r="AT192" s="303"/>
      <c r="AU192"/>
      <c r="AV192" s="303"/>
      <c r="AW192" s="302"/>
      <c r="AX192" s="302"/>
      <c r="AY192" s="302"/>
      <c r="AZ192" s="303"/>
      <c r="BA192" s="302"/>
      <c r="BB192" s="302"/>
      <c r="BC192" s="302"/>
      <c r="BD192" s="302"/>
      <c r="BE192" s="302"/>
      <c r="BF192" s="302"/>
      <c r="BG192" s="302"/>
      <c r="BH192" s="302"/>
      <c r="BI192" s="302"/>
      <c r="BJ192" s="302"/>
      <c r="BM192"/>
      <c r="BS192"/>
      <c r="BY192"/>
      <c r="CA192"/>
      <c r="CC192"/>
      <c r="CI192"/>
      <c r="CO192" t="s">
        <v>8712</v>
      </c>
      <c r="CR192"/>
      <c r="CT192" s="304" t="s">
        <v>11677</v>
      </c>
    </row>
    <row r="193" spans="1:98" s="304" customFormat="1">
      <c r="A193" s="304" t="s">
        <v>8506</v>
      </c>
      <c r="B193" s="463">
        <v>171</v>
      </c>
      <c r="C193" s="296" t="s">
        <v>7799</v>
      </c>
      <c r="D193" s="296" t="s">
        <v>7600</v>
      </c>
      <c r="E193" s="296" t="s">
        <v>7799</v>
      </c>
      <c r="F193" s="296"/>
      <c r="G193" s="296" t="s">
        <v>8506</v>
      </c>
      <c r="H193" s="297" t="s">
        <v>8696</v>
      </c>
      <c r="I193" s="297">
        <v>2</v>
      </c>
      <c r="J193" s="308">
        <v>2262</v>
      </c>
      <c r="K193" s="299"/>
      <c r="L193" s="299"/>
      <c r="M193" s="299">
        <v>30</v>
      </c>
      <c r="N193" s="299">
        <v>11</v>
      </c>
      <c r="O193" s="300">
        <v>24</v>
      </c>
      <c r="P193" s="301">
        <v>42090</v>
      </c>
      <c r="Q193" s="306"/>
      <c r="R193" s="303"/>
      <c r="S193" s="289">
        <v>5.95</v>
      </c>
      <c r="T193" s="303">
        <v>42208</v>
      </c>
      <c r="U193" s="307"/>
      <c r="V193" s="303"/>
      <c r="W193" s="306"/>
      <c r="X193" s="303"/>
      <c r="Y193" s="306">
        <v>21.67</v>
      </c>
      <c r="Z193" s="303">
        <v>42208</v>
      </c>
      <c r="AA193">
        <v>14.4</v>
      </c>
      <c r="AB193" s="303"/>
      <c r="AC193" s="306"/>
      <c r="AD193" s="303"/>
      <c r="AE193" s="302"/>
      <c r="AF193" s="303"/>
      <c r="AG193">
        <v>77019.444444444438</v>
      </c>
      <c r="AH193" s="521">
        <f>(AK193*10000)/AM193</f>
        <v>77019.444444444438</v>
      </c>
      <c r="AI193" s="302"/>
      <c r="AJ193" s="303"/>
      <c r="AK193">
        <v>37.739527777777774</v>
      </c>
      <c r="AL193" s="521"/>
      <c r="AM193">
        <v>4.9000000000000004</v>
      </c>
      <c r="AN193" s="303">
        <v>42244</v>
      </c>
      <c r="AO193">
        <v>120</v>
      </c>
      <c r="AP193" s="303">
        <v>42170</v>
      </c>
      <c r="AQ193" s="306"/>
      <c r="AR193" s="303"/>
      <c r="AS193" s="306"/>
      <c r="AT193" s="303"/>
      <c r="AU193">
        <v>110</v>
      </c>
      <c r="AV193" s="303"/>
      <c r="AW193" s="302"/>
      <c r="AX193" s="302"/>
      <c r="AY193" s="302"/>
      <c r="AZ193" s="303"/>
      <c r="BA193" s="302"/>
      <c r="BB193" s="302"/>
      <c r="BC193" s="302"/>
      <c r="BD193" s="302"/>
      <c r="BE193" s="302"/>
      <c r="BF193" s="302"/>
      <c r="BG193" s="302"/>
      <c r="BH193" s="302"/>
      <c r="BI193" s="302"/>
      <c r="BJ193" s="302"/>
      <c r="BM193">
        <v>-2</v>
      </c>
      <c r="BS193">
        <v>64.3</v>
      </c>
      <c r="BY193">
        <v>51.2</v>
      </c>
      <c r="CA193">
        <v>18.2</v>
      </c>
      <c r="CC193">
        <v>15</v>
      </c>
      <c r="CI193">
        <v>6.8</v>
      </c>
      <c r="CO193" t="s">
        <v>8698</v>
      </c>
      <c r="CR193">
        <v>2</v>
      </c>
      <c r="CT193" s="304" t="s">
        <v>11678</v>
      </c>
    </row>
    <row r="194" spans="1:98" s="304" customFormat="1">
      <c r="A194" s="304" t="s">
        <v>8506</v>
      </c>
      <c r="B194" s="523">
        <v>358</v>
      </c>
      <c r="C194" s="296" t="s">
        <v>8510</v>
      </c>
      <c r="D194" s="296" t="s">
        <v>8299</v>
      </c>
      <c r="E194" s="296" t="s">
        <v>8299</v>
      </c>
      <c r="F194" s="296"/>
      <c r="G194" s="296" t="s">
        <v>8506</v>
      </c>
      <c r="H194" s="297" t="s">
        <v>8697</v>
      </c>
      <c r="I194" s="297">
        <v>1</v>
      </c>
      <c r="J194" s="297">
        <v>122</v>
      </c>
      <c r="K194" s="299"/>
      <c r="L194" s="299"/>
      <c r="M194" s="299">
        <v>30</v>
      </c>
      <c r="N194" s="299">
        <v>1</v>
      </c>
      <c r="O194" s="300">
        <v>40</v>
      </c>
      <c r="P194" s="301">
        <v>42090</v>
      </c>
      <c r="Q194" s="302"/>
      <c r="R194" s="303"/>
      <c r="S194" s="289">
        <v>4.8</v>
      </c>
      <c r="T194" s="303">
        <v>42208</v>
      </c>
      <c r="U194" s="302"/>
      <c r="V194" s="303"/>
      <c r="W194" s="302"/>
      <c r="X194" s="303"/>
      <c r="Y194" s="302">
        <v>18.29</v>
      </c>
      <c r="Z194" s="303">
        <v>42208</v>
      </c>
      <c r="AA194">
        <v>14.4</v>
      </c>
      <c r="AB194" s="303"/>
      <c r="AC194" s="302"/>
      <c r="AD194" s="303"/>
      <c r="AE194" s="302"/>
      <c r="AF194" s="303"/>
      <c r="AG194">
        <v>57752.201257861641</v>
      </c>
      <c r="AH194" s="521">
        <f>(AK194*10000)/AM194</f>
        <v>57752.201257861641</v>
      </c>
      <c r="AI194" s="302"/>
      <c r="AJ194" s="303"/>
      <c r="AK194">
        <v>30.608666666666668</v>
      </c>
      <c r="AL194" s="521"/>
      <c r="AM194">
        <v>5.3</v>
      </c>
      <c r="AN194" s="303">
        <v>42244</v>
      </c>
      <c r="AO194">
        <v>125</v>
      </c>
      <c r="AP194" s="303">
        <v>42170</v>
      </c>
      <c r="AQ194" s="302"/>
      <c r="AR194" s="303"/>
      <c r="AS194" s="302"/>
      <c r="AT194" s="303"/>
      <c r="AU194">
        <v>108</v>
      </c>
      <c r="AV194" s="302"/>
      <c r="AW194" s="302"/>
      <c r="AX194" s="302"/>
      <c r="AY194" s="302"/>
      <c r="AZ194" s="302"/>
      <c r="BA194" s="302"/>
      <c r="BB194" s="302"/>
      <c r="BC194" s="302"/>
      <c r="BD194" s="302"/>
      <c r="BE194" s="302"/>
      <c r="BF194" s="302"/>
      <c r="BG194" s="302"/>
      <c r="BH194" s="302"/>
      <c r="BI194" s="302"/>
      <c r="BJ194" s="302"/>
      <c r="BM194">
        <v>-5.8</v>
      </c>
      <c r="BS194">
        <v>68.8</v>
      </c>
      <c r="BY194">
        <v>53.3</v>
      </c>
      <c r="CA194">
        <v>16.2</v>
      </c>
      <c r="CC194">
        <v>12.2</v>
      </c>
      <c r="CI194">
        <v>6.3</v>
      </c>
      <c r="CO194" t="s">
        <v>8698</v>
      </c>
      <c r="CR194">
        <v>1</v>
      </c>
      <c r="CT194" s="304" t="s">
        <v>11678</v>
      </c>
    </row>
    <row r="195" spans="1:98" s="304" customFormat="1">
      <c r="A195" s="304" t="s">
        <v>8506</v>
      </c>
      <c r="B195" s="463">
        <v>2</v>
      </c>
      <c r="C195" s="296" t="s">
        <v>7608</v>
      </c>
      <c r="D195" s="296" t="s">
        <v>7810</v>
      </c>
      <c r="E195" s="296" t="s">
        <v>7608</v>
      </c>
      <c r="F195" s="296"/>
      <c r="G195" s="296" t="s">
        <v>8506</v>
      </c>
      <c r="H195" s="297" t="s">
        <v>8697</v>
      </c>
      <c r="I195" s="297">
        <v>1</v>
      </c>
      <c r="J195" s="297">
        <v>1143</v>
      </c>
      <c r="K195" s="299"/>
      <c r="L195" s="299"/>
      <c r="M195" s="299">
        <v>31</v>
      </c>
      <c r="N195" s="299">
        <v>3</v>
      </c>
      <c r="O195" s="300">
        <v>41</v>
      </c>
      <c r="P195" s="301">
        <v>42090</v>
      </c>
      <c r="Q195" s="302"/>
      <c r="R195" s="303"/>
      <c r="S195" s="289">
        <v>3.4</v>
      </c>
      <c r="T195" s="303">
        <v>42208</v>
      </c>
      <c r="U195" s="302"/>
      <c r="V195" s="303"/>
      <c r="W195" s="302"/>
      <c r="X195" s="303"/>
      <c r="Y195" s="302">
        <v>12.28</v>
      </c>
      <c r="Z195" s="303">
        <v>42208</v>
      </c>
      <c r="AA195">
        <v>14.4</v>
      </c>
      <c r="AB195" s="303"/>
      <c r="AC195" s="302"/>
      <c r="AD195" s="303"/>
      <c r="AE195" s="302"/>
      <c r="AF195" s="303"/>
      <c r="AG195">
        <v>40820.492662473793</v>
      </c>
      <c r="AH195" s="521">
        <f>(AK195*10000)/AM195</f>
        <v>40820.492662473793</v>
      </c>
      <c r="AI195" s="302"/>
      <c r="AJ195" s="303"/>
      <c r="AK195">
        <v>21.63486111111111</v>
      </c>
      <c r="AL195" s="521"/>
      <c r="AM195">
        <v>5.3</v>
      </c>
      <c r="AN195" s="303">
        <v>42244</v>
      </c>
      <c r="AO195">
        <v>135</v>
      </c>
      <c r="AP195" s="303">
        <v>42170</v>
      </c>
      <c r="AQ195" s="302"/>
      <c r="AR195" s="303"/>
      <c r="AS195" s="302"/>
      <c r="AT195" s="303"/>
      <c r="AU195">
        <v>110</v>
      </c>
      <c r="AV195" s="303"/>
      <c r="AW195" s="302"/>
      <c r="AX195" s="302"/>
      <c r="AY195" s="302"/>
      <c r="AZ195" s="303"/>
      <c r="BA195" s="302"/>
      <c r="BB195" s="302"/>
      <c r="BC195" s="302"/>
      <c r="BD195" s="302"/>
      <c r="BE195" s="302"/>
      <c r="BF195" s="302"/>
      <c r="BG195" s="302"/>
      <c r="BH195" s="302"/>
      <c r="BI195" s="302"/>
      <c r="BJ195" s="302"/>
      <c r="BM195">
        <v>46.9</v>
      </c>
      <c r="BS195">
        <v>8.1999999999999993</v>
      </c>
      <c r="BY195">
        <v>50.6</v>
      </c>
      <c r="CA195">
        <v>18.399999999999999</v>
      </c>
      <c r="CC195">
        <v>68.599999999999994</v>
      </c>
      <c r="CI195">
        <v>6.5</v>
      </c>
      <c r="CO195" s="304" t="s">
        <v>11676</v>
      </c>
      <c r="CR195">
        <v>6</v>
      </c>
      <c r="CT195" s="304" t="s">
        <v>11678</v>
      </c>
    </row>
    <row r="196" spans="1:98" s="304" customFormat="1">
      <c r="A196" s="304" t="s">
        <v>8506</v>
      </c>
      <c r="B196" s="463">
        <v>13</v>
      </c>
      <c r="C196" s="296" t="s">
        <v>7622</v>
      </c>
      <c r="D196" s="296" t="s">
        <v>7813</v>
      </c>
      <c r="E196" s="296" t="s">
        <v>7622</v>
      </c>
      <c r="F196" s="296"/>
      <c r="G196" s="296" t="s">
        <v>8506</v>
      </c>
      <c r="H196" s="297" t="s">
        <v>8696</v>
      </c>
      <c r="I196" s="297">
        <v>2</v>
      </c>
      <c r="J196" s="308">
        <v>2263</v>
      </c>
      <c r="K196" s="299"/>
      <c r="L196" s="299"/>
      <c r="M196" s="299">
        <v>31</v>
      </c>
      <c r="N196" s="299">
        <v>11</v>
      </c>
      <c r="O196" s="300">
        <v>39</v>
      </c>
      <c r="P196" s="301">
        <v>42090</v>
      </c>
      <c r="Q196" s="306"/>
      <c r="R196" s="303"/>
      <c r="S196" s="289">
        <v>4.9000000000000004</v>
      </c>
      <c r="T196" s="303">
        <v>42208</v>
      </c>
      <c r="U196" s="307"/>
      <c r="V196" s="303"/>
      <c r="W196" s="306"/>
      <c r="X196" s="303"/>
      <c r="Y196" s="306">
        <v>16.989999999999998</v>
      </c>
      <c r="Z196" s="303">
        <v>42208</v>
      </c>
      <c r="AA196">
        <v>14.4</v>
      </c>
      <c r="AB196" s="303"/>
      <c r="AC196" s="306"/>
      <c r="AD196" s="303"/>
      <c r="AE196" s="302"/>
      <c r="AF196" s="303"/>
      <c r="AG196">
        <v>55916.145833333343</v>
      </c>
      <c r="AH196" s="521">
        <f>(AK196*10000)/AM196</f>
        <v>55916.145833333343</v>
      </c>
      <c r="AI196" s="302"/>
      <c r="AJ196" s="303"/>
      <c r="AK196">
        <v>31.31304166666667</v>
      </c>
      <c r="AL196" s="521"/>
      <c r="AM196">
        <v>5.6</v>
      </c>
      <c r="AN196" s="303">
        <v>42244</v>
      </c>
      <c r="AO196">
        <v>140</v>
      </c>
      <c r="AP196" s="303">
        <v>42170</v>
      </c>
      <c r="AQ196" s="306"/>
      <c r="AR196" s="303"/>
      <c r="AS196" s="306"/>
      <c r="AT196" s="303"/>
      <c r="AU196">
        <v>106</v>
      </c>
      <c r="AV196" s="303"/>
      <c r="AW196" s="302"/>
      <c r="AX196" s="302"/>
      <c r="AY196" s="302"/>
      <c r="AZ196" s="303"/>
      <c r="BA196" s="302"/>
      <c r="BB196" s="302"/>
      <c r="BC196" s="302"/>
      <c r="BD196" s="302"/>
      <c r="BE196" s="302"/>
      <c r="BF196" s="302"/>
      <c r="BG196" s="302"/>
      <c r="BH196" s="302"/>
      <c r="BI196" s="302"/>
      <c r="BJ196" s="302"/>
      <c r="BM196">
        <v>22</v>
      </c>
      <c r="BS196">
        <v>36.9</v>
      </c>
      <c r="BY196">
        <v>48.4</v>
      </c>
      <c r="CA196">
        <v>21</v>
      </c>
      <c r="CC196">
        <v>45.7</v>
      </c>
      <c r="CI196">
        <v>6.1</v>
      </c>
      <c r="CO196" t="s">
        <v>8698</v>
      </c>
      <c r="CR196">
        <v>2</v>
      </c>
      <c r="CT196" s="304" t="s">
        <v>11678</v>
      </c>
    </row>
    <row r="197" spans="1:98" s="304" customFormat="1">
      <c r="A197" s="304" t="s">
        <v>8506</v>
      </c>
      <c r="B197" s="463">
        <v>45</v>
      </c>
      <c r="C197" s="296" t="s">
        <v>7662</v>
      </c>
      <c r="D197" s="296" t="s">
        <v>7495</v>
      </c>
      <c r="E197" s="296" t="s">
        <v>7662</v>
      </c>
      <c r="F197" s="296"/>
      <c r="G197" s="296" t="s">
        <v>8506</v>
      </c>
      <c r="H197" s="297" t="s">
        <v>8697</v>
      </c>
      <c r="I197" s="297">
        <v>1</v>
      </c>
      <c r="J197" s="297">
        <v>123</v>
      </c>
      <c r="K197" s="299"/>
      <c r="L197" s="299"/>
      <c r="M197" s="299">
        <v>31</v>
      </c>
      <c r="N197" s="299">
        <v>1</v>
      </c>
      <c r="O197" s="300">
        <v>42</v>
      </c>
      <c r="P197" s="301">
        <v>42090</v>
      </c>
      <c r="Q197" s="302"/>
      <c r="R197" s="303"/>
      <c r="S197" s="289">
        <v>4.75</v>
      </c>
      <c r="T197" s="303">
        <v>42208</v>
      </c>
      <c r="U197" s="302"/>
      <c r="V197" s="303"/>
      <c r="W197" s="302"/>
      <c r="X197" s="303"/>
      <c r="Y197" s="302">
        <v>18.39</v>
      </c>
      <c r="Z197" s="303">
        <v>42208</v>
      </c>
      <c r="AA197">
        <v>14.4</v>
      </c>
      <c r="AB197" s="303"/>
      <c r="AC197" s="302"/>
      <c r="AD197" s="303"/>
      <c r="AE197" s="302"/>
      <c r="AF197" s="303"/>
      <c r="AG197">
        <v>68767.045454545441</v>
      </c>
      <c r="AH197" s="521">
        <f>(AK197*10000)/AM197</f>
        <v>68767.045454545441</v>
      </c>
      <c r="AI197" s="302"/>
      <c r="AJ197" s="303"/>
      <c r="AK197">
        <v>30.257499999999993</v>
      </c>
      <c r="AL197" s="521"/>
      <c r="AM197">
        <v>4.4000000000000004</v>
      </c>
      <c r="AN197" s="303">
        <v>42244</v>
      </c>
      <c r="AO197">
        <v>125</v>
      </c>
      <c r="AP197" s="303">
        <v>42170</v>
      </c>
      <c r="AQ197" s="302"/>
      <c r="AR197" s="303"/>
      <c r="AS197" s="302"/>
      <c r="AT197" s="303"/>
      <c r="AU197">
        <v>106</v>
      </c>
      <c r="AV197" s="303"/>
      <c r="AW197" s="302"/>
      <c r="AX197" s="302"/>
      <c r="AY197" s="302"/>
      <c r="AZ197" s="303"/>
      <c r="BA197" s="302"/>
      <c r="BB197" s="302"/>
      <c r="BC197" s="302"/>
      <c r="BD197" s="302"/>
      <c r="BE197" s="302"/>
      <c r="BF197" s="302"/>
      <c r="BG197" s="302"/>
      <c r="BH197" s="302"/>
      <c r="BI197" s="302"/>
      <c r="BJ197" s="302"/>
      <c r="BM197">
        <v>-2.6</v>
      </c>
      <c r="BS197">
        <v>67.099999999999994</v>
      </c>
      <c r="BY197">
        <v>54.2</v>
      </c>
      <c r="CA197">
        <v>15.7</v>
      </c>
      <c r="CC197">
        <v>16.8</v>
      </c>
      <c r="CI197">
        <v>6.4</v>
      </c>
      <c r="CO197" t="s">
        <v>8698</v>
      </c>
      <c r="CR197">
        <v>1</v>
      </c>
      <c r="CT197" s="304" t="s">
        <v>11678</v>
      </c>
    </row>
    <row r="198" spans="1:98" s="304" customFormat="1">
      <c r="A198" s="304" t="s">
        <v>8506</v>
      </c>
      <c r="B198" s="463">
        <v>53</v>
      </c>
      <c r="C198" s="296" t="s">
        <v>7671</v>
      </c>
      <c r="D198" s="296" t="s">
        <v>7503</v>
      </c>
      <c r="E198" s="296" t="s">
        <v>7671</v>
      </c>
      <c r="F198" s="296"/>
      <c r="G198" s="296" t="s">
        <v>8506</v>
      </c>
      <c r="H198" s="297" t="s">
        <v>8696</v>
      </c>
      <c r="I198" s="297">
        <v>2</v>
      </c>
      <c r="J198" s="297">
        <v>223</v>
      </c>
      <c r="K198" s="299"/>
      <c r="L198" s="299"/>
      <c r="M198" s="299">
        <v>31</v>
      </c>
      <c r="N198" s="299">
        <v>7</v>
      </c>
      <c r="O198" s="300">
        <v>68</v>
      </c>
      <c r="P198" s="301">
        <v>42090</v>
      </c>
      <c r="Q198" s="302"/>
      <c r="R198" s="303"/>
      <c r="S198" s="289">
        <v>6.3</v>
      </c>
      <c r="T198" s="303">
        <v>42208</v>
      </c>
      <c r="U198" s="302"/>
      <c r="V198" s="303"/>
      <c r="W198" s="302"/>
      <c r="X198" s="303"/>
      <c r="Y198" s="302">
        <v>22.87</v>
      </c>
      <c r="Z198" s="303">
        <v>42208</v>
      </c>
      <c r="AA198">
        <v>14.4</v>
      </c>
      <c r="AB198" s="303"/>
      <c r="AC198" s="302"/>
      <c r="AD198" s="303"/>
      <c r="AE198" s="302"/>
      <c r="AF198" s="303"/>
      <c r="AG198">
        <v>85567.553191489365</v>
      </c>
      <c r="AH198" s="521">
        <f>(AK198*10000)/AM198</f>
        <v>85567.553191489365</v>
      </c>
      <c r="AI198" s="302"/>
      <c r="AJ198" s="303"/>
      <c r="AK198">
        <v>40.216749999999998</v>
      </c>
      <c r="AL198" s="521"/>
      <c r="AM198">
        <v>4.7</v>
      </c>
      <c r="AN198" s="303">
        <v>42244</v>
      </c>
      <c r="AO198">
        <v>125</v>
      </c>
      <c r="AP198" s="303">
        <v>42170</v>
      </c>
      <c r="AQ198" s="302"/>
      <c r="AR198" s="303"/>
      <c r="AS198" s="302"/>
      <c r="AT198" s="303"/>
      <c r="AU198">
        <v>111</v>
      </c>
      <c r="AV198" s="303"/>
      <c r="AW198" s="302"/>
      <c r="AX198" s="302"/>
      <c r="AY198" s="302"/>
      <c r="AZ198" s="303"/>
      <c r="BA198" s="302"/>
      <c r="BB198" s="302"/>
      <c r="BC198" s="302"/>
      <c r="BD198" s="302"/>
      <c r="BE198" s="302"/>
      <c r="BF198" s="302"/>
      <c r="BG198" s="302"/>
      <c r="BH198" s="302"/>
      <c r="BI198" s="302"/>
      <c r="BJ198" s="302"/>
      <c r="BM198">
        <v>-1.4</v>
      </c>
      <c r="BS198">
        <v>64.900000000000006</v>
      </c>
      <c r="BY198">
        <v>50.7</v>
      </c>
      <c r="CA198">
        <v>17.5</v>
      </c>
      <c r="CC198">
        <v>14.8</v>
      </c>
      <c r="CI198">
        <v>6.2</v>
      </c>
      <c r="CO198" t="s">
        <v>8698</v>
      </c>
      <c r="CR198">
        <v>1</v>
      </c>
      <c r="CT198" s="304" t="s">
        <v>11678</v>
      </c>
    </row>
    <row r="199" spans="1:98" s="304" customFormat="1">
      <c r="A199" s="304" t="s">
        <v>8506</v>
      </c>
      <c r="B199" s="463">
        <v>60</v>
      </c>
      <c r="C199" s="296" t="s">
        <v>7678</v>
      </c>
      <c r="D199" s="296" t="s">
        <v>261</v>
      </c>
      <c r="E199" s="296" t="s">
        <v>7678</v>
      </c>
      <c r="F199" s="296"/>
      <c r="G199" s="296" t="s">
        <v>8506</v>
      </c>
      <c r="H199" s="297" t="s">
        <v>8697</v>
      </c>
      <c r="I199" s="297">
        <v>1</v>
      </c>
      <c r="J199" s="297">
        <v>1263</v>
      </c>
      <c r="K199" s="299"/>
      <c r="L199" s="299"/>
      <c r="M199" s="299">
        <v>31</v>
      </c>
      <c r="N199" s="299">
        <v>5</v>
      </c>
      <c r="O199" s="300">
        <v>40</v>
      </c>
      <c r="P199" s="301">
        <v>42090</v>
      </c>
      <c r="Q199" s="302"/>
      <c r="R199" s="303"/>
      <c r="S199" s="289">
        <v>4.5999999999999996</v>
      </c>
      <c r="T199" s="303">
        <v>42208</v>
      </c>
      <c r="U199" s="302"/>
      <c r="V199" s="303"/>
      <c r="W199" s="302"/>
      <c r="X199" s="303"/>
      <c r="Y199" s="302">
        <v>17.329999999999998</v>
      </c>
      <c r="Z199" s="303">
        <v>42208</v>
      </c>
      <c r="AA199">
        <v>14.4</v>
      </c>
      <c r="AB199" s="303"/>
      <c r="AC199" s="302"/>
      <c r="AD199" s="303"/>
      <c r="AE199" s="302"/>
      <c r="AF199" s="303"/>
      <c r="AG199">
        <v>55227.725366876308</v>
      </c>
      <c r="AH199" s="521">
        <f>(AK199*10000)/AM199</f>
        <v>55227.725366876308</v>
      </c>
      <c r="AI199" s="302"/>
      <c r="AJ199" s="303"/>
      <c r="AK199">
        <v>29.270694444444445</v>
      </c>
      <c r="AL199" s="521"/>
      <c r="AM199">
        <v>5.3</v>
      </c>
      <c r="AN199" s="303">
        <v>42244</v>
      </c>
      <c r="AO199">
        <v>120</v>
      </c>
      <c r="AP199" s="303">
        <v>42170</v>
      </c>
      <c r="AQ199" s="302"/>
      <c r="AR199" s="303"/>
      <c r="AS199" s="302"/>
      <c r="AT199" s="303"/>
      <c r="AU199">
        <v>112</v>
      </c>
      <c r="AV199" s="303"/>
      <c r="AW199" s="302"/>
      <c r="AX199" s="302"/>
      <c r="AY199" s="302"/>
      <c r="AZ199" s="303"/>
      <c r="BA199" s="302"/>
      <c r="BB199" s="302"/>
      <c r="BC199" s="302"/>
      <c r="BD199" s="302"/>
      <c r="BE199" s="302"/>
      <c r="BF199" s="302"/>
      <c r="BG199" s="302"/>
      <c r="BH199" s="302"/>
      <c r="BI199" s="302"/>
      <c r="BJ199" s="302"/>
      <c r="BM199">
        <v>-5.3</v>
      </c>
      <c r="BS199">
        <v>71.599999999999994</v>
      </c>
      <c r="BY199">
        <v>52.8</v>
      </c>
      <c r="CA199">
        <v>16.899999999999999</v>
      </c>
      <c r="CC199">
        <v>19.600000000000001</v>
      </c>
      <c r="CI199">
        <v>6.5</v>
      </c>
      <c r="CO199" t="s">
        <v>8698</v>
      </c>
      <c r="CR199">
        <v>2</v>
      </c>
      <c r="CT199" s="304" t="s">
        <v>11678</v>
      </c>
    </row>
    <row r="200" spans="1:98" s="304" customFormat="1">
      <c r="A200" s="304" t="s">
        <v>8506</v>
      </c>
      <c r="B200" s="463">
        <v>129</v>
      </c>
      <c r="C200" s="296" t="s">
        <v>7757</v>
      </c>
      <c r="D200" s="296" t="s">
        <v>8687</v>
      </c>
      <c r="E200" s="296" t="s">
        <v>7757</v>
      </c>
      <c r="F200" s="296"/>
      <c r="G200" s="296" t="s">
        <v>8506</v>
      </c>
      <c r="H200" s="297" t="s">
        <v>8696</v>
      </c>
      <c r="I200" s="297">
        <v>2</v>
      </c>
      <c r="J200" s="297">
        <v>283</v>
      </c>
      <c r="K200" s="299"/>
      <c r="L200" s="299"/>
      <c r="M200" s="299">
        <v>31</v>
      </c>
      <c r="N200" s="299">
        <v>8</v>
      </c>
      <c r="O200" s="300">
        <v>47</v>
      </c>
      <c r="P200" s="301">
        <v>42090</v>
      </c>
      <c r="Q200" s="302"/>
      <c r="R200" s="303"/>
      <c r="S200" s="289">
        <v>5.25</v>
      </c>
      <c r="T200" s="303">
        <v>42208</v>
      </c>
      <c r="U200" s="302"/>
      <c r="V200" s="303"/>
      <c r="W200" s="302"/>
      <c r="X200" s="303"/>
      <c r="Y200" s="302">
        <v>17.96</v>
      </c>
      <c r="Z200" s="303">
        <v>42208</v>
      </c>
      <c r="AA200">
        <v>14.4</v>
      </c>
      <c r="AB200" s="303"/>
      <c r="AC200" s="302"/>
      <c r="AD200" s="303"/>
      <c r="AE200" s="302"/>
      <c r="AF200" s="303"/>
      <c r="AG200">
        <v>58545.687134502929</v>
      </c>
      <c r="AH200" s="521">
        <f>(AK200*10000)/AM200</f>
        <v>58545.687134502929</v>
      </c>
      <c r="AI200" s="302"/>
      <c r="AJ200" s="303"/>
      <c r="AK200">
        <v>33.37104166666667</v>
      </c>
      <c r="AL200" s="521"/>
      <c r="AM200">
        <v>5.7</v>
      </c>
      <c r="AN200" s="303">
        <v>42244</v>
      </c>
      <c r="AO200">
        <v>105</v>
      </c>
      <c r="AP200" s="303">
        <v>42170</v>
      </c>
      <c r="AQ200" s="302"/>
      <c r="AR200" s="303"/>
      <c r="AS200" s="302"/>
      <c r="AT200" s="303"/>
      <c r="AU200">
        <v>108</v>
      </c>
      <c r="AV200" s="303"/>
      <c r="AW200" s="302"/>
      <c r="AX200" s="302"/>
      <c r="AY200" s="302"/>
      <c r="AZ200" s="303"/>
      <c r="BA200" s="302"/>
      <c r="BB200" s="302"/>
      <c r="BC200" s="302"/>
      <c r="BD200" s="302"/>
      <c r="BE200" s="302"/>
      <c r="BF200" s="302"/>
      <c r="BG200" s="302"/>
      <c r="BH200" s="302"/>
      <c r="BI200" s="302"/>
      <c r="BJ200" s="302"/>
      <c r="BM200">
        <v>1.5</v>
      </c>
      <c r="BS200">
        <v>55.4</v>
      </c>
      <c r="BY200">
        <v>48</v>
      </c>
      <c r="CA200">
        <v>20.100000000000001</v>
      </c>
      <c r="CC200">
        <v>24.3</v>
      </c>
      <c r="CI200">
        <v>6.6</v>
      </c>
      <c r="CO200" t="s">
        <v>8698</v>
      </c>
      <c r="CR200">
        <v>2</v>
      </c>
      <c r="CT200" s="304" t="s">
        <v>11678</v>
      </c>
    </row>
    <row r="201" spans="1:98" s="304" customFormat="1">
      <c r="A201" s="304" t="s">
        <v>8506</v>
      </c>
      <c r="B201" s="463">
        <v>150</v>
      </c>
      <c r="C201" s="296" t="s">
        <v>7778</v>
      </c>
      <c r="D201" s="296" t="s">
        <v>7579</v>
      </c>
      <c r="E201" s="296" t="s">
        <v>7778</v>
      </c>
      <c r="F201" s="296"/>
      <c r="G201" s="296" t="s">
        <v>8506</v>
      </c>
      <c r="H201" s="297" t="s">
        <v>8696</v>
      </c>
      <c r="I201" s="297">
        <v>2</v>
      </c>
      <c r="J201" s="297">
        <v>2203</v>
      </c>
      <c r="K201" s="299"/>
      <c r="L201" s="299"/>
      <c r="M201" s="299">
        <v>31</v>
      </c>
      <c r="N201" s="299">
        <v>10</v>
      </c>
      <c r="O201" s="300">
        <v>69</v>
      </c>
      <c r="P201" s="301">
        <v>42090</v>
      </c>
      <c r="Q201" s="302"/>
      <c r="R201" s="303"/>
      <c r="S201" s="289">
        <v>6.2</v>
      </c>
      <c r="T201" s="303">
        <v>42208</v>
      </c>
      <c r="U201" s="302"/>
      <c r="V201" s="303"/>
      <c r="W201" s="302"/>
      <c r="X201" s="303"/>
      <c r="Y201" s="302">
        <v>22.57</v>
      </c>
      <c r="Z201" s="303">
        <v>42208</v>
      </c>
      <c r="AA201">
        <v>14.4</v>
      </c>
      <c r="AB201" s="303"/>
      <c r="AC201" s="302"/>
      <c r="AD201" s="303"/>
      <c r="AE201" s="302"/>
      <c r="AF201" s="303"/>
      <c r="AG201">
        <v>78312.888888888891</v>
      </c>
      <c r="AH201" s="521">
        <f>(AK201*10000)/AM201</f>
        <v>78312.888888888891</v>
      </c>
      <c r="AI201" s="302"/>
      <c r="AJ201" s="303"/>
      <c r="AK201">
        <v>39.156444444444446</v>
      </c>
      <c r="AL201" s="521"/>
      <c r="AM201">
        <v>5</v>
      </c>
      <c r="AN201" s="303">
        <v>42244</v>
      </c>
      <c r="AO201">
        <v>125</v>
      </c>
      <c r="AP201" s="303">
        <v>42170</v>
      </c>
      <c r="AQ201" s="302"/>
      <c r="AR201" s="303"/>
      <c r="AS201" s="302"/>
      <c r="AT201" s="303"/>
      <c r="AU201">
        <v>106</v>
      </c>
      <c r="AV201" s="303"/>
      <c r="AW201" s="302"/>
      <c r="AX201" s="302"/>
      <c r="AY201" s="302"/>
      <c r="AZ201" s="303"/>
      <c r="BA201" s="302"/>
      <c r="BB201" s="302"/>
      <c r="BC201" s="302"/>
      <c r="BD201" s="302"/>
      <c r="BE201" s="302"/>
      <c r="BF201" s="302"/>
      <c r="BG201" s="302"/>
      <c r="BH201" s="302"/>
      <c r="BI201" s="302"/>
      <c r="BJ201" s="302"/>
      <c r="BM201">
        <v>-0.2</v>
      </c>
      <c r="BS201">
        <v>60.4</v>
      </c>
      <c r="BY201">
        <v>51.4</v>
      </c>
      <c r="CA201">
        <v>18.399999999999999</v>
      </c>
      <c r="CC201">
        <v>9.3000000000000007</v>
      </c>
      <c r="CI201">
        <v>7.2</v>
      </c>
      <c r="CO201" t="s">
        <v>8698</v>
      </c>
      <c r="CR201">
        <v>1</v>
      </c>
      <c r="CT201" s="304" t="s">
        <v>11678</v>
      </c>
    </row>
    <row r="202" spans="1:98" s="304" customFormat="1">
      <c r="A202" s="304" t="s">
        <v>8506</v>
      </c>
      <c r="B202" s="463">
        <v>161</v>
      </c>
      <c r="C202" s="296" t="s">
        <v>7789</v>
      </c>
      <c r="D202" s="296" t="s">
        <v>7590</v>
      </c>
      <c r="E202" s="296" t="s">
        <v>7789</v>
      </c>
      <c r="F202" s="296"/>
      <c r="G202" s="296" t="s">
        <v>8506</v>
      </c>
      <c r="H202" s="297" t="s">
        <v>8697</v>
      </c>
      <c r="I202" s="297">
        <v>1</v>
      </c>
      <c r="J202" s="297">
        <v>183</v>
      </c>
      <c r="K202" s="299"/>
      <c r="L202" s="299"/>
      <c r="M202" s="299">
        <v>31</v>
      </c>
      <c r="N202" s="299">
        <v>2</v>
      </c>
      <c r="O202" s="300">
        <v>14</v>
      </c>
      <c r="P202" s="301">
        <v>42090</v>
      </c>
      <c r="Q202" s="302"/>
      <c r="R202" s="303"/>
      <c r="S202" s="289"/>
      <c r="T202" s="303"/>
      <c r="U202" s="302"/>
      <c r="V202" s="303"/>
      <c r="W202" s="302"/>
      <c r="X202" s="303"/>
      <c r="Y202" s="302"/>
      <c r="Z202" s="303"/>
      <c r="AA202"/>
      <c r="AB202" s="303"/>
      <c r="AC202" s="302"/>
      <c r="AD202" s="303"/>
      <c r="AE202" s="302"/>
      <c r="AF202" s="303"/>
      <c r="AG202" t="e">
        <v>#DIV/0!</v>
      </c>
      <c r="AH202" s="521" t="e">
        <f>(AK202*10000)/AM202</f>
        <v>#DIV/0!</v>
      </c>
      <c r="AI202" s="302"/>
      <c r="AJ202" s="303"/>
      <c r="AK202" t="e">
        <v>#DIV/0!</v>
      </c>
      <c r="AL202" s="521"/>
      <c r="AM202"/>
      <c r="AN202" s="303"/>
      <c r="AO202"/>
      <c r="AP202" s="303"/>
      <c r="AQ202" s="302"/>
      <c r="AR202" s="303"/>
      <c r="AS202" s="302"/>
      <c r="AT202" s="303"/>
      <c r="AU202"/>
      <c r="AV202" s="303"/>
      <c r="AW202" s="302"/>
      <c r="AX202" s="302"/>
      <c r="AY202" s="302"/>
      <c r="AZ202" s="303"/>
      <c r="BA202" s="302"/>
      <c r="BB202" s="302"/>
      <c r="BC202" s="302"/>
      <c r="BD202" s="302"/>
      <c r="BE202" s="302"/>
      <c r="BF202" s="302"/>
      <c r="BG202" s="302"/>
      <c r="BH202" s="302"/>
      <c r="BI202" s="302"/>
      <c r="BJ202" s="302"/>
      <c r="BM202"/>
      <c r="BS202"/>
      <c r="BY202"/>
      <c r="CA202"/>
      <c r="CC202"/>
      <c r="CI202"/>
      <c r="CO202" t="s">
        <v>8698</v>
      </c>
      <c r="CR202"/>
      <c r="CT202" s="304" t="s">
        <v>11678</v>
      </c>
    </row>
    <row r="203" spans="1:98" s="304" customFormat="1">
      <c r="A203" s="304" t="s">
        <v>8506</v>
      </c>
      <c r="B203" s="463">
        <v>46</v>
      </c>
      <c r="C203" s="296" t="s">
        <v>7663</v>
      </c>
      <c r="D203" s="296" t="s">
        <v>7496</v>
      </c>
      <c r="E203" s="296" t="s">
        <v>7663</v>
      </c>
      <c r="F203" s="296"/>
      <c r="G203" s="296" t="s">
        <v>8506</v>
      </c>
      <c r="H203" s="297" t="s">
        <v>8696</v>
      </c>
      <c r="I203" s="297">
        <v>2</v>
      </c>
      <c r="J203" s="297">
        <v>2204</v>
      </c>
      <c r="K203" s="299"/>
      <c r="L203" s="299"/>
      <c r="M203" s="299">
        <v>32</v>
      </c>
      <c r="N203" s="299">
        <v>10</v>
      </c>
      <c r="O203" s="300">
        <v>40</v>
      </c>
      <c r="P203" s="301">
        <v>42090</v>
      </c>
      <c r="Q203" s="302"/>
      <c r="R203" s="303"/>
      <c r="S203" s="289">
        <v>5.8</v>
      </c>
      <c r="T203" s="303">
        <v>42208</v>
      </c>
      <c r="U203" s="302"/>
      <c r="V203" s="303"/>
      <c r="W203" s="302"/>
      <c r="X203" s="303"/>
      <c r="Y203" s="302">
        <v>20.96</v>
      </c>
      <c r="Z203" s="303">
        <v>42208</v>
      </c>
      <c r="AA203">
        <v>14.4</v>
      </c>
      <c r="AB203" s="303"/>
      <c r="AC203" s="302"/>
      <c r="AD203" s="303"/>
      <c r="AE203" s="302"/>
      <c r="AF203" s="303"/>
      <c r="AG203">
        <v>81751.358024691348</v>
      </c>
      <c r="AH203" s="521">
        <f>(AK203*10000)/AM203</f>
        <v>81751.358024691348</v>
      </c>
      <c r="AI203" s="302"/>
      <c r="AJ203" s="303"/>
      <c r="AK203">
        <v>36.788111111111107</v>
      </c>
      <c r="AL203" s="521"/>
      <c r="AM203">
        <v>4.5</v>
      </c>
      <c r="AN203" s="303">
        <v>42244</v>
      </c>
      <c r="AO203">
        <v>130</v>
      </c>
      <c r="AP203" s="303">
        <v>42170</v>
      </c>
      <c r="AQ203" s="302"/>
      <c r="AR203" s="303"/>
      <c r="AS203" s="302"/>
      <c r="AT203" s="303"/>
      <c r="AU203">
        <v>107</v>
      </c>
      <c r="AV203" s="303"/>
      <c r="AW203" s="302"/>
      <c r="AX203" s="302"/>
      <c r="AY203" s="302"/>
      <c r="AZ203" s="303"/>
      <c r="BA203" s="302"/>
      <c r="BB203" s="302"/>
      <c r="BC203" s="302"/>
      <c r="BD203" s="302"/>
      <c r="BE203" s="302"/>
      <c r="BF203" s="302"/>
      <c r="BG203" s="302"/>
      <c r="BH203" s="302"/>
      <c r="BI203" s="302"/>
      <c r="BJ203" s="302"/>
      <c r="BM203">
        <v>-2.1</v>
      </c>
      <c r="BS203">
        <v>64.900000000000006</v>
      </c>
      <c r="BY203">
        <v>50.8</v>
      </c>
      <c r="CA203">
        <v>18.5</v>
      </c>
      <c r="CC203">
        <v>19.600000000000001</v>
      </c>
      <c r="CI203">
        <v>6.8</v>
      </c>
      <c r="CO203" t="s">
        <v>8698</v>
      </c>
      <c r="CR203">
        <v>1</v>
      </c>
      <c r="CT203" s="304" t="s">
        <v>11678</v>
      </c>
    </row>
    <row r="204" spans="1:98" s="304" customFormat="1">
      <c r="A204" s="304" t="s">
        <v>8506</v>
      </c>
      <c r="B204" s="463">
        <v>57</v>
      </c>
      <c r="C204" s="296" t="s">
        <v>7675</v>
      </c>
      <c r="D204" s="296" t="s">
        <v>7507</v>
      </c>
      <c r="E204" s="296" t="s">
        <v>7675</v>
      </c>
      <c r="F204" s="296"/>
      <c r="G204" s="296" t="s">
        <v>8506</v>
      </c>
      <c r="H204" s="297" t="s">
        <v>8697</v>
      </c>
      <c r="I204" s="297">
        <v>1</v>
      </c>
      <c r="J204" s="297">
        <v>1144</v>
      </c>
      <c r="K204" s="299"/>
      <c r="L204" s="299"/>
      <c r="M204" s="299">
        <v>32</v>
      </c>
      <c r="N204" s="299">
        <v>3</v>
      </c>
      <c r="O204" s="300">
        <v>22</v>
      </c>
      <c r="P204" s="301">
        <v>42090</v>
      </c>
      <c r="Q204" s="302"/>
      <c r="R204" s="303"/>
      <c r="S204" s="289">
        <v>4.75</v>
      </c>
      <c r="T204" s="303">
        <v>42208</v>
      </c>
      <c r="U204" s="302"/>
      <c r="V204" s="303"/>
      <c r="W204" s="302"/>
      <c r="X204" s="303"/>
      <c r="Y204" s="302">
        <v>17.73</v>
      </c>
      <c r="Z204" s="303">
        <v>42208</v>
      </c>
      <c r="AA204">
        <v>14.4</v>
      </c>
      <c r="AB204" s="303"/>
      <c r="AC204" s="302"/>
      <c r="AD204" s="303"/>
      <c r="AE204" s="302"/>
      <c r="AF204" s="303"/>
      <c r="AG204">
        <v>63103.804976851861</v>
      </c>
      <c r="AH204" s="521">
        <f>(AK204*10000)/AM204</f>
        <v>63103.804976851861</v>
      </c>
      <c r="AI204" s="302"/>
      <c r="AJ204" s="303"/>
      <c r="AK204">
        <v>30.289826388888891</v>
      </c>
      <c r="AL204" s="521"/>
      <c r="AM204">
        <v>4.8</v>
      </c>
      <c r="AN204" s="303">
        <v>42244</v>
      </c>
      <c r="AO204">
        <v>150</v>
      </c>
      <c r="AP204" s="303">
        <v>42170</v>
      </c>
      <c r="AQ204" s="302"/>
      <c r="AR204" s="303"/>
      <c r="AS204" s="302"/>
      <c r="AT204" s="303"/>
      <c r="AU204">
        <v>112</v>
      </c>
      <c r="AV204" s="303"/>
      <c r="AW204" s="302"/>
      <c r="AX204" s="302"/>
      <c r="AY204" s="302"/>
      <c r="AZ204" s="303"/>
      <c r="BA204" s="302"/>
      <c r="BB204" s="302"/>
      <c r="BC204" s="302"/>
      <c r="BD204" s="302"/>
      <c r="BE204" s="302"/>
      <c r="BF204" s="302"/>
      <c r="BG204" s="302"/>
      <c r="BH204" s="302"/>
      <c r="BI204" s="302"/>
      <c r="BJ204" s="302"/>
      <c r="BM204">
        <v>1.3</v>
      </c>
      <c r="BS204">
        <v>62</v>
      </c>
      <c r="BY204">
        <v>52.2</v>
      </c>
      <c r="CA204">
        <v>17.100000000000001</v>
      </c>
      <c r="CC204">
        <v>18</v>
      </c>
      <c r="CI204">
        <v>6.3</v>
      </c>
      <c r="CO204" t="s">
        <v>8698</v>
      </c>
      <c r="CR204">
        <v>3</v>
      </c>
      <c r="CT204" s="304" t="s">
        <v>11678</v>
      </c>
    </row>
    <row r="205" spans="1:98" s="304" customFormat="1">
      <c r="A205" s="304" t="s">
        <v>8506</v>
      </c>
      <c r="B205" s="463">
        <v>90</v>
      </c>
      <c r="C205" s="296" t="s">
        <v>7708</v>
      </c>
      <c r="D205" s="296" t="s">
        <v>7537</v>
      </c>
      <c r="E205" s="296" t="s">
        <v>7708</v>
      </c>
      <c r="F205" s="296"/>
      <c r="G205" s="296" t="s">
        <v>8506</v>
      </c>
      <c r="H205" s="297" t="s">
        <v>8696</v>
      </c>
      <c r="I205" s="297">
        <v>2</v>
      </c>
      <c r="J205" s="297">
        <v>224</v>
      </c>
      <c r="K205" s="299"/>
      <c r="L205" s="299"/>
      <c r="M205" s="299">
        <v>32</v>
      </c>
      <c r="N205" s="299">
        <v>7</v>
      </c>
      <c r="O205" s="300">
        <v>54</v>
      </c>
      <c r="P205" s="301">
        <v>42090</v>
      </c>
      <c r="Q205" s="302"/>
      <c r="R205" s="303"/>
      <c r="S205" s="289">
        <v>6</v>
      </c>
      <c r="T205" s="303">
        <v>42208</v>
      </c>
      <c r="U205" s="302"/>
      <c r="V205" s="303"/>
      <c r="W205" s="302"/>
      <c r="X205" s="303"/>
      <c r="Y205" s="302">
        <v>21.33</v>
      </c>
      <c r="Z205" s="303">
        <v>42208</v>
      </c>
      <c r="AA205">
        <v>14.4</v>
      </c>
      <c r="AB205" s="303"/>
      <c r="AC205" s="302"/>
      <c r="AD205" s="303"/>
      <c r="AE205" s="302"/>
      <c r="AF205" s="303"/>
      <c r="AG205">
        <v>77011.666666666657</v>
      </c>
      <c r="AH205" s="521">
        <f>(AK205*10000)/AM205</f>
        <v>77011.666666666657</v>
      </c>
      <c r="AI205" s="302"/>
      <c r="AJ205" s="303"/>
      <c r="AK205">
        <v>38.505833333333328</v>
      </c>
      <c r="AL205" s="521"/>
      <c r="AM205">
        <v>5</v>
      </c>
      <c r="AN205" s="303">
        <v>42244</v>
      </c>
      <c r="AO205">
        <v>110</v>
      </c>
      <c r="AP205" s="303">
        <v>42170</v>
      </c>
      <c r="AQ205" s="302"/>
      <c r="AR205" s="303"/>
      <c r="AS205" s="302"/>
      <c r="AT205" s="303"/>
      <c r="AU205">
        <v>109</v>
      </c>
      <c r="AV205" s="303"/>
      <c r="AW205" s="302"/>
      <c r="AX205" s="302"/>
      <c r="AY205" s="302"/>
      <c r="AZ205" s="303"/>
      <c r="BA205" s="302"/>
      <c r="BB205" s="302"/>
      <c r="BC205" s="302"/>
      <c r="BD205" s="302"/>
      <c r="BE205" s="302"/>
      <c r="BF205" s="302"/>
      <c r="BG205" s="302"/>
      <c r="BH205" s="302"/>
      <c r="BI205" s="302"/>
      <c r="BJ205" s="302"/>
      <c r="BM205">
        <v>-6.5</v>
      </c>
      <c r="BS205">
        <v>66.900000000000006</v>
      </c>
      <c r="BY205">
        <v>49.4</v>
      </c>
      <c r="CA205">
        <v>17.399999999999999</v>
      </c>
      <c r="CC205">
        <v>15.2</v>
      </c>
      <c r="CI205">
        <v>5.7</v>
      </c>
      <c r="CO205" t="s">
        <v>8698</v>
      </c>
      <c r="CR205">
        <v>1</v>
      </c>
      <c r="CT205" s="304" t="s">
        <v>11678</v>
      </c>
    </row>
    <row r="206" spans="1:98" s="304" customFormat="1">
      <c r="A206" s="304" t="s">
        <v>8506</v>
      </c>
      <c r="B206" s="463">
        <v>94</v>
      </c>
      <c r="C206" s="296" t="s">
        <v>7712</v>
      </c>
      <c r="D206" s="296" t="s">
        <v>259</v>
      </c>
      <c r="E206" s="296" t="s">
        <v>7712</v>
      </c>
      <c r="F206" s="296"/>
      <c r="G206" s="296" t="s">
        <v>8506</v>
      </c>
      <c r="H206" s="297" t="s">
        <v>8697</v>
      </c>
      <c r="I206" s="297">
        <v>1</v>
      </c>
      <c r="J206" s="297">
        <v>1264</v>
      </c>
      <c r="K206" s="299"/>
      <c r="L206" s="299"/>
      <c r="M206" s="299">
        <v>32</v>
      </c>
      <c r="N206" s="299">
        <v>5</v>
      </c>
      <c r="O206" s="300">
        <v>50</v>
      </c>
      <c r="P206" s="301">
        <v>42090</v>
      </c>
      <c r="Q206" s="302"/>
      <c r="R206" s="303"/>
      <c r="S206" s="289">
        <v>5.25</v>
      </c>
      <c r="T206" s="303">
        <v>42208</v>
      </c>
      <c r="U206" s="302"/>
      <c r="V206" s="303"/>
      <c r="W206" s="302"/>
      <c r="X206" s="303"/>
      <c r="Y206" s="302">
        <v>20.3</v>
      </c>
      <c r="Z206" s="303">
        <v>42208</v>
      </c>
      <c r="AA206">
        <v>14.4</v>
      </c>
      <c r="AB206" s="303"/>
      <c r="AC206" s="302"/>
      <c r="AD206" s="303"/>
      <c r="AE206" s="302"/>
      <c r="AF206" s="303"/>
      <c r="AG206">
        <v>73011.775362318833</v>
      </c>
      <c r="AH206" s="521">
        <f>(AK206*10000)/AM206</f>
        <v>73011.775362318833</v>
      </c>
      <c r="AI206" s="302"/>
      <c r="AJ206" s="303"/>
      <c r="AK206">
        <v>33.58541666666666</v>
      </c>
      <c r="AL206" s="521"/>
      <c r="AM206">
        <v>4.5999999999999996</v>
      </c>
      <c r="AN206" s="303">
        <v>42244</v>
      </c>
      <c r="AO206">
        <v>120</v>
      </c>
      <c r="AP206" s="303">
        <v>42170</v>
      </c>
      <c r="AQ206" s="302"/>
      <c r="AR206" s="303"/>
      <c r="AS206" s="302"/>
      <c r="AT206" s="303"/>
      <c r="AU206">
        <v>103</v>
      </c>
      <c r="AV206" s="303"/>
      <c r="AW206" s="302"/>
      <c r="AX206" s="302"/>
      <c r="AY206" s="302"/>
      <c r="AZ206" s="303"/>
      <c r="BA206" s="302"/>
      <c r="BB206" s="302"/>
      <c r="BC206" s="302"/>
      <c r="BD206" s="302"/>
      <c r="BE206" s="302"/>
      <c r="BF206" s="302"/>
      <c r="BG206" s="302"/>
      <c r="BH206" s="302"/>
      <c r="BI206" s="302"/>
      <c r="BJ206" s="302"/>
      <c r="BM206">
        <v>-6.5</v>
      </c>
      <c r="BS206">
        <v>64</v>
      </c>
      <c r="BY206">
        <v>53.9</v>
      </c>
      <c r="CA206">
        <v>14.8</v>
      </c>
      <c r="CC206">
        <v>13.1</v>
      </c>
      <c r="CI206">
        <v>6</v>
      </c>
      <c r="CO206" t="s">
        <v>8698</v>
      </c>
      <c r="CR206">
        <v>2</v>
      </c>
      <c r="CT206" s="304" t="s">
        <v>11678</v>
      </c>
    </row>
    <row r="207" spans="1:98" s="304" customFormat="1">
      <c r="A207" s="304" t="s">
        <v>8506</v>
      </c>
      <c r="B207" s="463">
        <v>111</v>
      </c>
      <c r="C207" s="296" t="s">
        <v>7729</v>
      </c>
      <c r="D207" s="296" t="s">
        <v>7555</v>
      </c>
      <c r="E207" s="296" t="s">
        <v>7729</v>
      </c>
      <c r="F207" s="296"/>
      <c r="G207" s="296" t="s">
        <v>8506</v>
      </c>
      <c r="H207" s="297" t="s">
        <v>8697</v>
      </c>
      <c r="I207" s="297">
        <v>1</v>
      </c>
      <c r="J207" s="297">
        <v>1204</v>
      </c>
      <c r="K207" s="299"/>
      <c r="L207" s="299"/>
      <c r="M207" s="299">
        <v>32</v>
      </c>
      <c r="N207" s="299">
        <v>4</v>
      </c>
      <c r="O207" s="300">
        <v>25</v>
      </c>
      <c r="P207" s="301">
        <v>42090</v>
      </c>
      <c r="Q207" s="302"/>
      <c r="R207" s="303"/>
      <c r="S207" s="289">
        <v>5.0999999999999996</v>
      </c>
      <c r="T207" s="303">
        <v>42208</v>
      </c>
      <c r="U207" s="302"/>
      <c r="V207" s="303"/>
      <c r="W207" s="302"/>
      <c r="X207" s="303"/>
      <c r="Y207" s="302">
        <v>19.34</v>
      </c>
      <c r="Z207" s="303">
        <v>42208</v>
      </c>
      <c r="AA207">
        <v>14.4</v>
      </c>
      <c r="AB207" s="303"/>
      <c r="AC207" s="302"/>
      <c r="AD207" s="303"/>
      <c r="AE207" s="302"/>
      <c r="AF207" s="303"/>
      <c r="AG207">
        <v>56994.736842105252</v>
      </c>
      <c r="AH207" s="521">
        <f>(AK207*10000)/AM207</f>
        <v>56994.736842105252</v>
      </c>
      <c r="AI207" s="302"/>
      <c r="AJ207" s="303"/>
      <c r="AK207">
        <v>32.486999999999995</v>
      </c>
      <c r="AL207" s="521"/>
      <c r="AM207">
        <v>5.7</v>
      </c>
      <c r="AN207" s="303">
        <v>42244</v>
      </c>
      <c r="AO207">
        <v>145</v>
      </c>
      <c r="AP207" s="303">
        <v>42170</v>
      </c>
      <c r="AQ207" s="302"/>
      <c r="AR207" s="303"/>
      <c r="AS207" s="302"/>
      <c r="AT207" s="303"/>
      <c r="AU207">
        <v>106</v>
      </c>
      <c r="AV207" s="303"/>
      <c r="AW207" s="302"/>
      <c r="AX207" s="302"/>
      <c r="AY207" s="302"/>
      <c r="AZ207" s="303"/>
      <c r="BA207" s="302"/>
      <c r="BB207" s="302"/>
      <c r="BC207" s="302"/>
      <c r="BD207" s="302"/>
      <c r="BE207" s="302"/>
      <c r="BF207" s="302"/>
      <c r="BG207" s="302"/>
      <c r="BH207" s="302"/>
      <c r="BI207" s="302"/>
      <c r="BJ207" s="302"/>
      <c r="BM207">
        <v>-4.9000000000000004</v>
      </c>
      <c r="BS207">
        <v>65.3</v>
      </c>
      <c r="BY207">
        <v>53.1</v>
      </c>
      <c r="CA207">
        <v>15.2</v>
      </c>
      <c r="CC207">
        <v>16.600000000000001</v>
      </c>
      <c r="CI207">
        <v>6.4</v>
      </c>
      <c r="CO207" t="s">
        <v>8698</v>
      </c>
      <c r="CR207">
        <v>2</v>
      </c>
      <c r="CT207" s="304" t="s">
        <v>11678</v>
      </c>
    </row>
    <row r="208" spans="1:98" s="304" customFormat="1">
      <c r="A208" s="304" t="s">
        <v>8506</v>
      </c>
      <c r="B208" s="463">
        <v>128</v>
      </c>
      <c r="C208" s="296" t="s">
        <v>7756</v>
      </c>
      <c r="D208" s="296" t="s">
        <v>7455</v>
      </c>
      <c r="E208" s="296" t="s">
        <v>7756</v>
      </c>
      <c r="F208" s="296"/>
      <c r="G208" s="296" t="s">
        <v>8506</v>
      </c>
      <c r="H208" s="297" t="s">
        <v>8696</v>
      </c>
      <c r="I208" s="297">
        <v>2</v>
      </c>
      <c r="J208" s="308">
        <v>2144</v>
      </c>
      <c r="K208" s="299"/>
      <c r="L208" s="299"/>
      <c r="M208" s="299">
        <v>32</v>
      </c>
      <c r="N208" s="299">
        <v>9</v>
      </c>
      <c r="O208" s="300">
        <v>41</v>
      </c>
      <c r="P208" s="301">
        <v>42090</v>
      </c>
      <c r="Q208" s="306"/>
      <c r="R208" s="303"/>
      <c r="S208" s="289">
        <v>4.55</v>
      </c>
      <c r="T208" s="303">
        <v>42208</v>
      </c>
      <c r="U208" s="307"/>
      <c r="V208" s="303"/>
      <c r="W208" s="306"/>
      <c r="X208" s="303"/>
      <c r="Y208" s="306">
        <v>15.6</v>
      </c>
      <c r="Z208" s="303">
        <v>42208</v>
      </c>
      <c r="AA208">
        <v>14.4</v>
      </c>
      <c r="AB208" s="303"/>
      <c r="AC208" s="306"/>
      <c r="AD208" s="303"/>
      <c r="AE208" s="302"/>
      <c r="AF208" s="303"/>
      <c r="AG208">
        <v>56830.392156862741</v>
      </c>
      <c r="AH208" s="521">
        <f>(AK208*10000)/AM208</f>
        <v>56830.392156862741</v>
      </c>
      <c r="AI208" s="302"/>
      <c r="AJ208" s="303"/>
      <c r="AK208">
        <v>28.983499999999996</v>
      </c>
      <c r="AL208" s="521"/>
      <c r="AM208">
        <v>5.0999999999999996</v>
      </c>
      <c r="AN208" s="303">
        <v>42244</v>
      </c>
      <c r="AO208">
        <v>130</v>
      </c>
      <c r="AP208" s="303">
        <v>42170</v>
      </c>
      <c r="AQ208" s="306"/>
      <c r="AR208" s="303"/>
      <c r="AS208" s="306"/>
      <c r="AT208" s="303"/>
      <c r="AU208">
        <v>115</v>
      </c>
      <c r="AV208" s="303"/>
      <c r="AW208" s="302"/>
      <c r="AX208" s="302"/>
      <c r="AY208" s="302"/>
      <c r="AZ208" s="303"/>
      <c r="BA208" s="302"/>
      <c r="BB208" s="302"/>
      <c r="BC208" s="302"/>
      <c r="BD208" s="302"/>
      <c r="BE208" s="302"/>
      <c r="BF208" s="302"/>
      <c r="BG208" s="302"/>
      <c r="BH208" s="302"/>
      <c r="BI208" s="302"/>
      <c r="BJ208" s="302"/>
      <c r="BM208">
        <v>43.1</v>
      </c>
      <c r="BS208">
        <v>12.9</v>
      </c>
      <c r="BY208">
        <v>48</v>
      </c>
      <c r="CA208">
        <v>23.3</v>
      </c>
      <c r="CC208">
        <v>66</v>
      </c>
      <c r="CI208">
        <v>6.4</v>
      </c>
      <c r="CO208" t="s">
        <v>8698</v>
      </c>
      <c r="CR208">
        <v>3</v>
      </c>
      <c r="CT208" s="304" t="s">
        <v>11678</v>
      </c>
    </row>
    <row r="209" spans="1:98" s="304" customFormat="1">
      <c r="A209" s="304" t="s">
        <v>8506</v>
      </c>
      <c r="B209" s="463">
        <v>3</v>
      </c>
      <c r="C209" s="296" t="s">
        <v>7610</v>
      </c>
      <c r="D209" s="296" t="s">
        <v>7452</v>
      </c>
      <c r="E209" s="296" t="s">
        <v>7610</v>
      </c>
      <c r="F209" s="296"/>
      <c r="G209" s="296" t="s">
        <v>8506</v>
      </c>
      <c r="H209" s="297" t="s">
        <v>8697</v>
      </c>
      <c r="I209" s="297">
        <v>1</v>
      </c>
      <c r="J209" s="308">
        <v>1325</v>
      </c>
      <c r="K209" s="299"/>
      <c r="L209" s="299"/>
      <c r="M209" s="299">
        <v>33</v>
      </c>
      <c r="N209" s="299">
        <v>6</v>
      </c>
      <c r="O209" s="300">
        <v>42</v>
      </c>
      <c r="P209" s="301">
        <v>42090</v>
      </c>
      <c r="Q209" s="306"/>
      <c r="R209" s="303"/>
      <c r="S209" s="289">
        <v>4.1500000000000004</v>
      </c>
      <c r="T209" s="303">
        <v>42208</v>
      </c>
      <c r="U209" s="307"/>
      <c r="V209" s="303"/>
      <c r="W209" s="306"/>
      <c r="X209" s="303"/>
      <c r="Y209" s="306">
        <v>14.41</v>
      </c>
      <c r="Z209" s="303">
        <v>42208</v>
      </c>
      <c r="AA209">
        <v>14.4</v>
      </c>
      <c r="AB209" s="303"/>
      <c r="AC209" s="306"/>
      <c r="AD209" s="303"/>
      <c r="AE209" s="302"/>
      <c r="AF209" s="303"/>
      <c r="AG209">
        <v>45578.448275862072</v>
      </c>
      <c r="AH209" s="521">
        <f>(AK209*10000)/AM209</f>
        <v>45578.448275862072</v>
      </c>
      <c r="AI209" s="302"/>
      <c r="AJ209" s="303"/>
      <c r="AK209">
        <v>26.435500000000001</v>
      </c>
      <c r="AL209" s="521"/>
      <c r="AM209">
        <v>5.8</v>
      </c>
      <c r="AN209" s="303">
        <v>42244</v>
      </c>
      <c r="AO209">
        <v>130</v>
      </c>
      <c r="AP209" s="303">
        <v>42170</v>
      </c>
      <c r="AQ209" s="306"/>
      <c r="AR209" s="303"/>
      <c r="AS209" s="306"/>
      <c r="AT209" s="303"/>
      <c r="AU209">
        <v>110</v>
      </c>
      <c r="AV209" s="303"/>
      <c r="AW209" s="302"/>
      <c r="AX209" s="302"/>
      <c r="AY209" s="302"/>
      <c r="AZ209" s="303"/>
      <c r="BA209" s="302"/>
      <c r="BB209" s="302"/>
      <c r="BC209" s="302"/>
      <c r="BD209" s="302"/>
      <c r="BE209" s="302"/>
      <c r="BF209" s="302"/>
      <c r="BG209" s="302"/>
      <c r="BH209" s="302"/>
      <c r="BI209" s="302"/>
      <c r="BJ209" s="302"/>
      <c r="BM209">
        <v>45.4</v>
      </c>
      <c r="BS209">
        <v>8.4</v>
      </c>
      <c r="BY209">
        <v>48.6</v>
      </c>
      <c r="CA209">
        <v>20.9</v>
      </c>
      <c r="CC209">
        <v>80.099999999999994</v>
      </c>
      <c r="CI209">
        <v>6.4</v>
      </c>
      <c r="CO209" t="s">
        <v>8698</v>
      </c>
      <c r="CR209">
        <v>3</v>
      </c>
      <c r="CT209" s="304" t="s">
        <v>11678</v>
      </c>
    </row>
    <row r="210" spans="1:98" s="304" customFormat="1">
      <c r="A210" s="304" t="s">
        <v>8506</v>
      </c>
      <c r="B210" s="463">
        <v>33</v>
      </c>
      <c r="C210" s="296" t="s">
        <v>7647</v>
      </c>
      <c r="D210" s="296" t="s">
        <v>7482</v>
      </c>
      <c r="E210" s="296" t="s">
        <v>7647</v>
      </c>
      <c r="F210" s="296"/>
      <c r="G210" s="296" t="s">
        <v>8506</v>
      </c>
      <c r="H210" s="297" t="s">
        <v>8696</v>
      </c>
      <c r="I210" s="297">
        <v>2</v>
      </c>
      <c r="J210" s="297">
        <v>2205</v>
      </c>
      <c r="K210" s="299"/>
      <c r="L210" s="299"/>
      <c r="M210" s="299">
        <v>33</v>
      </c>
      <c r="N210" s="299">
        <v>10</v>
      </c>
      <c r="O210" s="300">
        <v>60</v>
      </c>
      <c r="P210" s="301">
        <v>42090</v>
      </c>
      <c r="Q210" s="302"/>
      <c r="R210" s="303"/>
      <c r="S210" s="289">
        <v>3.8</v>
      </c>
      <c r="T210" s="303">
        <v>42208</v>
      </c>
      <c r="U210" s="302"/>
      <c r="V210" s="303"/>
      <c r="W210" s="302"/>
      <c r="X210" s="303"/>
      <c r="Y210" s="302">
        <v>12.32</v>
      </c>
      <c r="Z210" s="303">
        <v>42208</v>
      </c>
      <c r="AA210">
        <v>14.4</v>
      </c>
      <c r="AB210" s="303"/>
      <c r="AC210" s="302"/>
      <c r="AD210" s="303"/>
      <c r="AE210" s="302"/>
      <c r="AF210" s="303"/>
      <c r="AG210">
        <v>52846.618357487918</v>
      </c>
      <c r="AH210" s="521">
        <f>(AK210*10000)/AM210</f>
        <v>52846.618357487918</v>
      </c>
      <c r="AI210" s="302"/>
      <c r="AJ210" s="303"/>
      <c r="AK210">
        <v>24.309444444444441</v>
      </c>
      <c r="AL210" s="521"/>
      <c r="AM210">
        <v>4.5999999999999996</v>
      </c>
      <c r="AN210" s="303">
        <v>42244</v>
      </c>
      <c r="AO210">
        <v>155</v>
      </c>
      <c r="AP210" s="303">
        <v>42170</v>
      </c>
      <c r="AQ210" s="302"/>
      <c r="AR210" s="303"/>
      <c r="AS210" s="302"/>
      <c r="AT210" s="303"/>
      <c r="AU210">
        <v>108</v>
      </c>
      <c r="AV210" s="303"/>
      <c r="AW210" s="302"/>
      <c r="AX210" s="302"/>
      <c r="AY210" s="302"/>
      <c r="AZ210" s="303"/>
      <c r="BA210" s="302"/>
      <c r="BB210" s="302"/>
      <c r="BC210" s="302"/>
      <c r="BD210" s="302"/>
      <c r="BE210" s="302"/>
      <c r="BF210" s="302"/>
      <c r="BG210" s="302"/>
      <c r="BH210" s="302"/>
      <c r="BI210" s="302"/>
      <c r="BJ210" s="302"/>
      <c r="BM210">
        <v>2.2000000000000002</v>
      </c>
      <c r="BS210">
        <v>58.3</v>
      </c>
      <c r="BY210">
        <v>45.2</v>
      </c>
      <c r="CA210">
        <v>21.4</v>
      </c>
      <c r="CC210">
        <v>59.2</v>
      </c>
      <c r="CI210">
        <v>6</v>
      </c>
      <c r="CO210" t="s">
        <v>8698</v>
      </c>
      <c r="CR210">
        <v>4</v>
      </c>
      <c r="CT210" s="304" t="s">
        <v>11678</v>
      </c>
    </row>
    <row r="211" spans="1:98" s="304" customFormat="1">
      <c r="A211" s="304" t="s">
        <v>8506</v>
      </c>
      <c r="B211" s="463">
        <v>51</v>
      </c>
      <c r="C211" s="296" t="s">
        <v>7669</v>
      </c>
      <c r="D211" s="296" t="s">
        <v>7501</v>
      </c>
      <c r="E211" s="296" t="s">
        <v>7669</v>
      </c>
      <c r="F211" s="296"/>
      <c r="G211" s="296" t="s">
        <v>8506</v>
      </c>
      <c r="H211" s="297" t="s">
        <v>8697</v>
      </c>
      <c r="I211" s="297">
        <v>1</v>
      </c>
      <c r="J211" s="297">
        <v>1145</v>
      </c>
      <c r="K211" s="299"/>
      <c r="L211" s="299"/>
      <c r="M211" s="299">
        <v>33</v>
      </c>
      <c r="N211" s="299">
        <v>3</v>
      </c>
      <c r="O211" s="300">
        <v>36</v>
      </c>
      <c r="P211" s="301">
        <v>42090</v>
      </c>
      <c r="Q211" s="302"/>
      <c r="R211" s="303"/>
      <c r="S211" s="289">
        <v>4</v>
      </c>
      <c r="T211" s="303">
        <v>42208</v>
      </c>
      <c r="U211" s="302"/>
      <c r="V211" s="303"/>
      <c r="W211" s="302"/>
      <c r="X211" s="303"/>
      <c r="Y211" s="302">
        <v>15.06</v>
      </c>
      <c r="Z211" s="303">
        <v>42208</v>
      </c>
      <c r="AA211">
        <v>14.4</v>
      </c>
      <c r="AB211" s="303"/>
      <c r="AC211" s="302"/>
      <c r="AD211" s="303"/>
      <c r="AE211" s="302"/>
      <c r="AF211" s="303"/>
      <c r="AG211">
        <v>48738.24786324786</v>
      </c>
      <c r="AH211" s="521">
        <f>(AK211*10000)/AM211</f>
        <v>48738.24786324786</v>
      </c>
      <c r="AI211" s="302"/>
      <c r="AJ211" s="303"/>
      <c r="AK211">
        <v>25.343888888888888</v>
      </c>
      <c r="AL211" s="521"/>
      <c r="AM211">
        <v>5.2</v>
      </c>
      <c r="AN211" s="303">
        <v>42244</v>
      </c>
      <c r="AO211">
        <v>110</v>
      </c>
      <c r="AP211" s="303">
        <v>42170</v>
      </c>
      <c r="AQ211" s="302"/>
      <c r="AR211" s="303"/>
      <c r="AS211" s="302"/>
      <c r="AT211" s="303"/>
      <c r="AU211">
        <v>104</v>
      </c>
      <c r="AV211" s="303"/>
      <c r="AW211" s="302"/>
      <c r="AX211" s="302"/>
      <c r="AY211" s="302"/>
      <c r="AZ211" s="303"/>
      <c r="BA211" s="302"/>
      <c r="BB211" s="302"/>
      <c r="BC211" s="302"/>
      <c r="BD211" s="302"/>
      <c r="BE211" s="302"/>
      <c r="BF211" s="302"/>
      <c r="BG211" s="302"/>
      <c r="BH211" s="302"/>
      <c r="BI211" s="302"/>
      <c r="BJ211" s="302"/>
      <c r="BM211">
        <v>-1.3</v>
      </c>
      <c r="BS211">
        <v>68</v>
      </c>
      <c r="BY211">
        <v>53</v>
      </c>
      <c r="CA211">
        <v>16.899999999999999</v>
      </c>
      <c r="CC211">
        <v>15.8</v>
      </c>
      <c r="CI211">
        <v>6.9</v>
      </c>
      <c r="CO211" t="s">
        <v>8698</v>
      </c>
      <c r="CR211">
        <v>2</v>
      </c>
      <c r="CT211" s="304" t="s">
        <v>11678</v>
      </c>
    </row>
    <row r="212" spans="1:98" s="304" customFormat="1">
      <c r="A212" s="304" t="s">
        <v>8506</v>
      </c>
      <c r="B212" s="463">
        <v>54</v>
      </c>
      <c r="C212" s="296" t="s">
        <v>7672</v>
      </c>
      <c r="D212" s="296" t="s">
        <v>7504</v>
      </c>
      <c r="E212" s="296" t="s">
        <v>7672</v>
      </c>
      <c r="F212" s="296"/>
      <c r="G212" s="296" t="s">
        <v>8506</v>
      </c>
      <c r="H212" s="297" t="s">
        <v>8697</v>
      </c>
      <c r="I212" s="297">
        <v>1</v>
      </c>
      <c r="J212" s="297">
        <v>1265</v>
      </c>
      <c r="K212" s="299"/>
      <c r="L212" s="299"/>
      <c r="M212" s="299">
        <v>33</v>
      </c>
      <c r="N212" s="299">
        <v>5</v>
      </c>
      <c r="O212" s="300">
        <v>30</v>
      </c>
      <c r="P212" s="301">
        <v>42090</v>
      </c>
      <c r="Q212" s="302"/>
      <c r="R212" s="303"/>
      <c r="S212" s="289">
        <v>4.1500000000000004</v>
      </c>
      <c r="T212" s="303">
        <v>42208</v>
      </c>
      <c r="U212" s="302"/>
      <c r="V212" s="303"/>
      <c r="W212" s="302"/>
      <c r="X212" s="303"/>
      <c r="Y212" s="302">
        <v>15.54</v>
      </c>
      <c r="Z212" s="303">
        <v>42208</v>
      </c>
      <c r="AA212">
        <v>14.4</v>
      </c>
      <c r="AB212" s="303"/>
      <c r="AC212" s="302"/>
      <c r="AD212" s="303"/>
      <c r="AE212" s="302"/>
      <c r="AF212" s="303"/>
      <c r="AG212">
        <v>47307.118055555562</v>
      </c>
      <c r="AH212" s="521">
        <f>(AK212*10000)/AM212</f>
        <v>47307.118055555562</v>
      </c>
      <c r="AI212" s="302"/>
      <c r="AJ212" s="303"/>
      <c r="AK212">
        <v>26.49198611111111</v>
      </c>
      <c r="AL212" s="521"/>
      <c r="AM212">
        <v>5.6</v>
      </c>
      <c r="AN212" s="303">
        <v>42244</v>
      </c>
      <c r="AO212">
        <v>150</v>
      </c>
      <c r="AP212" s="303">
        <v>42170</v>
      </c>
      <c r="AQ212" s="302"/>
      <c r="AR212" s="303"/>
      <c r="AS212" s="302"/>
      <c r="AT212" s="303"/>
      <c r="AU212">
        <v>108</v>
      </c>
      <c r="AV212" s="303"/>
      <c r="AW212" s="302"/>
      <c r="AX212" s="302"/>
      <c r="AY212" s="302"/>
      <c r="AZ212" s="303"/>
      <c r="BA212" s="302"/>
      <c r="BB212" s="302"/>
      <c r="BC212" s="302"/>
      <c r="BD212" s="302"/>
      <c r="BE212" s="302"/>
      <c r="BF212" s="302"/>
      <c r="BG212" s="302"/>
      <c r="BH212" s="302"/>
      <c r="BI212" s="302"/>
      <c r="BJ212" s="302"/>
      <c r="BM212">
        <v>-6.1</v>
      </c>
      <c r="BS212">
        <v>63.6</v>
      </c>
      <c r="BY212">
        <v>52.3</v>
      </c>
      <c r="CA212">
        <v>15.7</v>
      </c>
      <c r="CC212">
        <v>19.399999999999999</v>
      </c>
      <c r="CI212">
        <v>6.2</v>
      </c>
      <c r="CO212" t="s">
        <v>8700</v>
      </c>
      <c r="CR212">
        <v>2</v>
      </c>
      <c r="CT212" s="304" t="s">
        <v>11678</v>
      </c>
    </row>
    <row r="213" spans="1:98" s="304" customFormat="1">
      <c r="A213" s="304" t="s">
        <v>8506</v>
      </c>
      <c r="B213" s="463">
        <v>91</v>
      </c>
      <c r="C213" s="296" t="s">
        <v>7709</v>
      </c>
      <c r="D213" s="296" t="s">
        <v>7817</v>
      </c>
      <c r="E213" s="296" t="s">
        <v>7709</v>
      </c>
      <c r="F213" s="296"/>
      <c r="G213" s="296" t="s">
        <v>8506</v>
      </c>
      <c r="H213" s="297" t="s">
        <v>8696</v>
      </c>
      <c r="I213" s="297">
        <v>2</v>
      </c>
      <c r="J213" s="297">
        <v>2145</v>
      </c>
      <c r="K213" s="299"/>
      <c r="L213" s="299"/>
      <c r="M213" s="299">
        <v>33</v>
      </c>
      <c r="N213" s="299">
        <v>9</v>
      </c>
      <c r="O213" s="300">
        <v>43</v>
      </c>
      <c r="P213" s="301">
        <v>42090</v>
      </c>
      <c r="Q213" s="302"/>
      <c r="R213" s="303"/>
      <c r="S213" s="289">
        <v>5.75</v>
      </c>
      <c r="T213" s="303">
        <v>42208</v>
      </c>
      <c r="U213" s="302"/>
      <c r="V213" s="303"/>
      <c r="W213" s="302"/>
      <c r="X213" s="303"/>
      <c r="Y213" s="302">
        <v>19.34</v>
      </c>
      <c r="Z213" s="303">
        <v>42208</v>
      </c>
      <c r="AA213">
        <v>14.4</v>
      </c>
      <c r="AB213" s="303"/>
      <c r="AC213" s="302"/>
      <c r="AD213" s="303"/>
      <c r="AE213" s="302"/>
      <c r="AF213" s="303"/>
      <c r="AG213">
        <v>77764.33215130023</v>
      </c>
      <c r="AH213" s="521">
        <f>(AK213*10000)/AM213</f>
        <v>77764.33215130023</v>
      </c>
      <c r="AI213" s="302"/>
      <c r="AJ213" s="303"/>
      <c r="AK213">
        <v>36.549236111111114</v>
      </c>
      <c r="AL213" s="521"/>
      <c r="AM213">
        <v>4.7</v>
      </c>
      <c r="AN213" s="303">
        <v>42244</v>
      </c>
      <c r="AO213">
        <v>130</v>
      </c>
      <c r="AP213" s="303">
        <v>42170</v>
      </c>
      <c r="AQ213" s="302"/>
      <c r="AR213" s="303"/>
      <c r="AS213" s="302"/>
      <c r="AT213" s="303"/>
      <c r="AU213">
        <v>108</v>
      </c>
      <c r="AV213" s="303"/>
      <c r="AW213" s="302"/>
      <c r="AX213" s="302"/>
      <c r="AY213" s="302"/>
      <c r="AZ213" s="303"/>
      <c r="BA213" s="302"/>
      <c r="BB213" s="302"/>
      <c r="BC213" s="302"/>
      <c r="BD213" s="302"/>
      <c r="BE213" s="302"/>
      <c r="BF213" s="302"/>
      <c r="BG213" s="302"/>
      <c r="BH213" s="302"/>
      <c r="BI213" s="302"/>
      <c r="BJ213" s="302"/>
      <c r="BM213">
        <v>-5.0999999999999996</v>
      </c>
      <c r="BS213">
        <v>58.7</v>
      </c>
      <c r="BY213">
        <v>47.2</v>
      </c>
      <c r="CA213">
        <v>18.899999999999999</v>
      </c>
      <c r="CC213">
        <v>25.6</v>
      </c>
      <c r="CI213">
        <v>6.6</v>
      </c>
      <c r="CO213" t="s">
        <v>8698</v>
      </c>
      <c r="CR213">
        <v>1</v>
      </c>
      <c r="CT213" s="304" t="s">
        <v>11678</v>
      </c>
    </row>
    <row r="214" spans="1:98" s="304" customFormat="1">
      <c r="A214" s="304" t="s">
        <v>8506</v>
      </c>
      <c r="B214" s="463">
        <v>122</v>
      </c>
      <c r="C214" s="296" t="s">
        <v>7747</v>
      </c>
      <c r="D214" s="296" t="s">
        <v>7831</v>
      </c>
      <c r="E214" s="296" t="s">
        <v>7747</v>
      </c>
      <c r="F214" s="296"/>
      <c r="G214" s="296" t="s">
        <v>8506</v>
      </c>
      <c r="H214" s="297" t="s">
        <v>8696</v>
      </c>
      <c r="I214" s="297">
        <v>2</v>
      </c>
      <c r="J214" s="308">
        <v>2265</v>
      </c>
      <c r="K214" s="299"/>
      <c r="L214" s="299"/>
      <c r="M214" s="299">
        <v>33</v>
      </c>
      <c r="N214" s="299">
        <v>11</v>
      </c>
      <c r="O214" s="300">
        <v>54</v>
      </c>
      <c r="P214" s="301">
        <v>42090</v>
      </c>
      <c r="Q214" s="306"/>
      <c r="R214" s="303"/>
      <c r="S214" s="289">
        <v>3.55</v>
      </c>
      <c r="T214" s="303">
        <v>42208</v>
      </c>
      <c r="U214" s="307"/>
      <c r="V214" s="303"/>
      <c r="W214" s="306"/>
      <c r="X214" s="303"/>
      <c r="Y214" s="306">
        <v>11.93</v>
      </c>
      <c r="Z214" s="303">
        <v>42208</v>
      </c>
      <c r="AA214">
        <v>14.4</v>
      </c>
      <c r="AB214" s="303"/>
      <c r="AC214" s="306"/>
      <c r="AD214" s="303"/>
      <c r="AE214" s="302"/>
      <c r="AF214" s="303"/>
      <c r="AG214">
        <v>64264.861111111102</v>
      </c>
      <c r="AH214" s="521">
        <f>(AK214*10000)/AM214</f>
        <v>64264.861111111102</v>
      </c>
      <c r="AI214" s="302"/>
      <c r="AJ214" s="303"/>
      <c r="AK214">
        <v>22.492701388888886</v>
      </c>
      <c r="AL214" s="521"/>
      <c r="AM214">
        <v>3.5</v>
      </c>
      <c r="AN214" s="303">
        <v>42244</v>
      </c>
      <c r="AO214">
        <v>160</v>
      </c>
      <c r="AP214" s="303">
        <v>42170</v>
      </c>
      <c r="AQ214" s="306"/>
      <c r="AR214" s="303"/>
      <c r="AS214" s="306"/>
      <c r="AT214" s="303"/>
      <c r="AU214">
        <v>114</v>
      </c>
      <c r="AV214" s="303"/>
      <c r="AW214" s="302"/>
      <c r="AX214" s="302"/>
      <c r="AY214" s="302"/>
      <c r="AZ214" s="303"/>
      <c r="BA214" s="302"/>
      <c r="BB214" s="302"/>
      <c r="BC214" s="302"/>
      <c r="BD214" s="302"/>
      <c r="BE214" s="302"/>
      <c r="BF214" s="302"/>
      <c r="BG214" s="302"/>
      <c r="BH214" s="302"/>
      <c r="BI214" s="302"/>
      <c r="BJ214" s="302"/>
      <c r="BM214">
        <v>46</v>
      </c>
      <c r="BS214">
        <v>14.1</v>
      </c>
      <c r="BY214">
        <v>47.3</v>
      </c>
      <c r="CA214">
        <v>21.9</v>
      </c>
      <c r="CC214">
        <v>65.5</v>
      </c>
      <c r="CI214">
        <v>6.9</v>
      </c>
      <c r="CO214" t="s">
        <v>8698</v>
      </c>
      <c r="CR214">
        <v>2</v>
      </c>
      <c r="CT214" s="304" t="s">
        <v>11678</v>
      </c>
    </row>
    <row r="215" spans="1:98" s="304" customFormat="1">
      <c r="A215" s="304" t="s">
        <v>8506</v>
      </c>
      <c r="B215" s="463">
        <v>127</v>
      </c>
      <c r="C215" s="296" t="s">
        <v>7754</v>
      </c>
      <c r="D215" s="296" t="s">
        <v>7565</v>
      </c>
      <c r="E215" s="296" t="s">
        <v>7754</v>
      </c>
      <c r="F215" s="296"/>
      <c r="G215" s="296" t="s">
        <v>8506</v>
      </c>
      <c r="H215" s="297" t="s">
        <v>8696</v>
      </c>
      <c r="I215" s="297">
        <v>2</v>
      </c>
      <c r="J215" s="297">
        <v>285</v>
      </c>
      <c r="K215" s="299"/>
      <c r="L215" s="299"/>
      <c r="M215" s="299">
        <v>33</v>
      </c>
      <c r="N215" s="299">
        <v>8</v>
      </c>
      <c r="O215" s="300">
        <v>56</v>
      </c>
      <c r="P215" s="301">
        <v>42090</v>
      </c>
      <c r="Q215" s="302"/>
      <c r="R215" s="303"/>
      <c r="S215" s="289">
        <v>4.55</v>
      </c>
      <c r="T215" s="303">
        <v>42208</v>
      </c>
      <c r="U215" s="302"/>
      <c r="V215" s="303"/>
      <c r="W215" s="302"/>
      <c r="X215" s="303"/>
      <c r="Y215" s="302">
        <v>16.190000000000001</v>
      </c>
      <c r="Z215" s="303">
        <v>42208</v>
      </c>
      <c r="AA215">
        <v>14.4</v>
      </c>
      <c r="AB215" s="303"/>
      <c r="AC215" s="302"/>
      <c r="AD215" s="303"/>
      <c r="AE215" s="302"/>
      <c r="AF215" s="303"/>
      <c r="AG215">
        <v>52697.272727272713</v>
      </c>
      <c r="AH215" s="521">
        <f>(AK215*10000)/AM215</f>
        <v>52697.272727272713</v>
      </c>
      <c r="AI215" s="302"/>
      <c r="AJ215" s="303"/>
      <c r="AK215">
        <v>28.983499999999996</v>
      </c>
      <c r="AL215" s="521"/>
      <c r="AM215">
        <v>5.5</v>
      </c>
      <c r="AN215" s="303">
        <v>42244</v>
      </c>
      <c r="AO215">
        <v>125</v>
      </c>
      <c r="AP215" s="303">
        <v>42170</v>
      </c>
      <c r="AQ215" s="302"/>
      <c r="AR215" s="303"/>
      <c r="AS215" s="302"/>
      <c r="AT215" s="303"/>
      <c r="AU215">
        <v>108</v>
      </c>
      <c r="AV215" s="303"/>
      <c r="AW215" s="302"/>
      <c r="AX215" s="302"/>
      <c r="AY215" s="302"/>
      <c r="AZ215" s="303"/>
      <c r="BA215" s="302"/>
      <c r="BB215" s="302"/>
      <c r="BC215" s="302"/>
      <c r="BD215" s="302"/>
      <c r="BE215" s="302"/>
      <c r="BF215" s="302"/>
      <c r="BG215" s="302"/>
      <c r="BH215" s="302"/>
      <c r="BI215" s="302"/>
      <c r="BJ215" s="302"/>
      <c r="BM215">
        <v>0.9</v>
      </c>
      <c r="BS215">
        <v>55.5</v>
      </c>
      <c r="BY215">
        <v>49.8</v>
      </c>
      <c r="CA215">
        <v>19.100000000000001</v>
      </c>
      <c r="CC215">
        <v>69.400000000000006</v>
      </c>
      <c r="CI215">
        <v>6.4</v>
      </c>
      <c r="CO215" t="s">
        <v>8698</v>
      </c>
      <c r="CR215">
        <v>2</v>
      </c>
      <c r="CT215" s="304" t="s">
        <v>11678</v>
      </c>
    </row>
    <row r="216" spans="1:98" s="304" customFormat="1">
      <c r="A216" s="304" t="s">
        <v>8506</v>
      </c>
      <c r="B216" s="463">
        <v>151</v>
      </c>
      <c r="C216" s="296" t="s">
        <v>7779</v>
      </c>
      <c r="D216" s="296" t="s">
        <v>7580</v>
      </c>
      <c r="E216" s="296" t="s">
        <v>7779</v>
      </c>
      <c r="F216" s="296"/>
      <c r="G216" s="296" t="s">
        <v>8506</v>
      </c>
      <c r="H216" s="297" t="s">
        <v>8696</v>
      </c>
      <c r="I216" s="297">
        <v>2</v>
      </c>
      <c r="J216" s="297">
        <v>225</v>
      </c>
      <c r="K216" s="299"/>
      <c r="L216" s="299"/>
      <c r="M216" s="299">
        <v>33</v>
      </c>
      <c r="N216" s="299">
        <v>7</v>
      </c>
      <c r="O216" s="300">
        <v>58</v>
      </c>
      <c r="P216" s="301">
        <v>42090</v>
      </c>
      <c r="Q216" s="302"/>
      <c r="R216" s="303"/>
      <c r="S216" s="289">
        <v>5.65</v>
      </c>
      <c r="T216" s="303">
        <v>42208</v>
      </c>
      <c r="U216" s="302"/>
      <c r="V216" s="303"/>
      <c r="W216" s="302"/>
      <c r="X216" s="303"/>
      <c r="Y216" s="302">
        <v>20.5</v>
      </c>
      <c r="Z216" s="303">
        <v>42208</v>
      </c>
      <c r="AA216">
        <v>14.4</v>
      </c>
      <c r="AB216" s="303"/>
      <c r="AC216" s="302"/>
      <c r="AD216" s="303"/>
      <c r="AE216" s="302"/>
      <c r="AF216" s="303"/>
      <c r="AG216">
        <v>69064.610042735047</v>
      </c>
      <c r="AH216" s="521">
        <f>(AK216*10000)/AM216</f>
        <v>69064.610042735047</v>
      </c>
      <c r="AI216" s="302"/>
      <c r="AJ216" s="303"/>
      <c r="AK216">
        <v>35.913597222222222</v>
      </c>
      <c r="AL216" s="521"/>
      <c r="AM216">
        <v>5.2</v>
      </c>
      <c r="AN216" s="303">
        <v>42244</v>
      </c>
      <c r="AO216">
        <v>115</v>
      </c>
      <c r="AP216" s="303">
        <v>42170</v>
      </c>
      <c r="AQ216" s="302"/>
      <c r="AR216" s="303"/>
      <c r="AS216" s="302"/>
      <c r="AT216" s="303"/>
      <c r="AU216">
        <v>106</v>
      </c>
      <c r="AV216" s="303"/>
      <c r="AW216" s="302"/>
      <c r="AX216" s="302"/>
      <c r="AY216" s="302"/>
      <c r="AZ216" s="303"/>
      <c r="BA216" s="302"/>
      <c r="BB216" s="302"/>
      <c r="BC216" s="302"/>
      <c r="BD216" s="302"/>
      <c r="BE216" s="302"/>
      <c r="BF216" s="302"/>
      <c r="BG216" s="302"/>
      <c r="BH216" s="302"/>
      <c r="BI216" s="302"/>
      <c r="BJ216" s="302"/>
      <c r="BM216">
        <v>1.9</v>
      </c>
      <c r="BS216">
        <v>61</v>
      </c>
      <c r="BY216">
        <v>50.9</v>
      </c>
      <c r="CA216">
        <v>18.5</v>
      </c>
      <c r="CC216">
        <v>17.399999999999999</v>
      </c>
      <c r="CI216">
        <v>6.6</v>
      </c>
      <c r="CO216" t="s">
        <v>8698</v>
      </c>
      <c r="CR216">
        <v>1</v>
      </c>
      <c r="CT216" s="304" t="s">
        <v>11678</v>
      </c>
    </row>
    <row r="217" spans="1:98" s="304" customFormat="1">
      <c r="A217" s="304" t="s">
        <v>8506</v>
      </c>
      <c r="B217" s="523">
        <v>355</v>
      </c>
      <c r="C217" s="296" t="s">
        <v>8509</v>
      </c>
      <c r="D217" s="296" t="s">
        <v>7845</v>
      </c>
      <c r="E217" s="296" t="s">
        <v>7845</v>
      </c>
      <c r="F217" s="296"/>
      <c r="G217" s="296" t="s">
        <v>8506</v>
      </c>
      <c r="H217" s="297" t="s">
        <v>8697</v>
      </c>
      <c r="I217" s="297">
        <v>1</v>
      </c>
      <c r="J217" s="297">
        <v>185</v>
      </c>
      <c r="K217" s="299"/>
      <c r="L217" s="299"/>
      <c r="M217" s="299">
        <v>33</v>
      </c>
      <c r="N217" s="299">
        <v>2</v>
      </c>
      <c r="O217" s="300">
        <v>24</v>
      </c>
      <c r="P217" s="301">
        <v>42090</v>
      </c>
      <c r="Q217" s="302"/>
      <c r="R217" s="303"/>
      <c r="S217" s="289">
        <v>4.2</v>
      </c>
      <c r="T217" s="303">
        <v>42208</v>
      </c>
      <c r="U217" s="302"/>
      <c r="V217" s="303"/>
      <c r="W217" s="302"/>
      <c r="X217" s="303"/>
      <c r="Y217" s="302">
        <v>16.02</v>
      </c>
      <c r="Z217" s="303">
        <v>42208</v>
      </c>
      <c r="AA217">
        <v>14.4</v>
      </c>
      <c r="AB217" s="303"/>
      <c r="AC217" s="302"/>
      <c r="AD217" s="303"/>
      <c r="AE217" s="302"/>
      <c r="AF217" s="303"/>
      <c r="AG217">
        <v>55737.5</v>
      </c>
      <c r="AH217" s="521">
        <f>(AK217*10000)/AM217</f>
        <v>55737.5</v>
      </c>
      <c r="AI217" s="302"/>
      <c r="AJ217" s="303"/>
      <c r="AK217">
        <v>26.754000000000001</v>
      </c>
      <c r="AL217" s="521"/>
      <c r="AM217">
        <v>4.8</v>
      </c>
      <c r="AN217" s="303">
        <v>42244</v>
      </c>
      <c r="AO217">
        <v>140</v>
      </c>
      <c r="AP217" s="303">
        <v>42170</v>
      </c>
      <c r="AQ217" s="302"/>
      <c r="AR217" s="303"/>
      <c r="AS217" s="302"/>
      <c r="AT217" s="303"/>
      <c r="AU217">
        <v>104</v>
      </c>
      <c r="AV217" s="302"/>
      <c r="AW217" s="302"/>
      <c r="AX217" s="302"/>
      <c r="AY217" s="302"/>
      <c r="AZ217" s="302"/>
      <c r="BA217" s="302"/>
      <c r="BB217" s="302"/>
      <c r="BC217" s="302"/>
      <c r="BD217" s="302"/>
      <c r="BE217" s="302"/>
      <c r="BF217" s="302"/>
      <c r="BG217" s="302"/>
      <c r="BH217" s="302"/>
      <c r="BI217" s="302"/>
      <c r="BJ217" s="302"/>
      <c r="BM217">
        <v>-1</v>
      </c>
      <c r="BS217">
        <v>63.7</v>
      </c>
      <c r="BY217">
        <v>53.4</v>
      </c>
      <c r="CA217">
        <v>15.4</v>
      </c>
      <c r="CC217">
        <v>19.100000000000001</v>
      </c>
      <c r="CI217">
        <v>6.4</v>
      </c>
      <c r="CO217" t="s">
        <v>8698</v>
      </c>
      <c r="CR217">
        <v>2</v>
      </c>
      <c r="CT217" s="304" t="s">
        <v>11678</v>
      </c>
    </row>
    <row r="218" spans="1:98" s="304" customFormat="1">
      <c r="A218" s="304" t="s">
        <v>8506</v>
      </c>
      <c r="B218" s="463">
        <v>1</v>
      </c>
      <c r="C218" s="296" t="s">
        <v>7606</v>
      </c>
      <c r="D218" s="296" t="s">
        <v>7809</v>
      </c>
      <c r="E218" s="296" t="s">
        <v>7606</v>
      </c>
      <c r="F218" s="296"/>
      <c r="G218" s="296" t="s">
        <v>8506</v>
      </c>
      <c r="H218" s="297" t="s">
        <v>8696</v>
      </c>
      <c r="I218" s="297">
        <v>2</v>
      </c>
      <c r="J218" s="308">
        <v>286</v>
      </c>
      <c r="K218" s="299"/>
      <c r="L218" s="299"/>
      <c r="M218" s="299">
        <v>34</v>
      </c>
      <c r="N218" s="299">
        <v>8</v>
      </c>
      <c r="O218" s="300">
        <v>37</v>
      </c>
      <c r="P218" s="301">
        <v>42090</v>
      </c>
      <c r="Q218" s="306"/>
      <c r="R218" s="303"/>
      <c r="S218" s="289">
        <v>4.8499999999999996</v>
      </c>
      <c r="T218" s="303">
        <v>42208</v>
      </c>
      <c r="U218" s="307"/>
      <c r="V218" s="303"/>
      <c r="W218" s="306"/>
      <c r="X218" s="303"/>
      <c r="Y218" s="306">
        <v>16.32</v>
      </c>
      <c r="Z218" s="303">
        <v>42208</v>
      </c>
      <c r="AA218">
        <v>14.4</v>
      </c>
      <c r="AB218" s="303"/>
      <c r="AC218" s="306"/>
      <c r="AD218" s="303"/>
      <c r="AE218" s="302"/>
      <c r="AF218" s="303"/>
      <c r="AG218">
        <v>63049.999999999971</v>
      </c>
      <c r="AH218" s="521">
        <f>(AK218*10000)/AM218</f>
        <v>63049.999999999971</v>
      </c>
      <c r="AI218" s="302"/>
      <c r="AJ218" s="303"/>
      <c r="AK218">
        <v>30.89449999999999</v>
      </c>
      <c r="AL218" s="521"/>
      <c r="AM218">
        <v>4.9000000000000004</v>
      </c>
      <c r="AN218" s="303">
        <v>42244</v>
      </c>
      <c r="AO218">
        <v>130</v>
      </c>
      <c r="AP218" s="303">
        <v>42170</v>
      </c>
      <c r="AQ218" s="306"/>
      <c r="AR218" s="303"/>
      <c r="AS218" s="306"/>
      <c r="AT218" s="303"/>
      <c r="AU218">
        <v>112</v>
      </c>
      <c r="AV218" s="303"/>
      <c r="AW218" s="302"/>
      <c r="AX218" s="302"/>
      <c r="AY218" s="302"/>
      <c r="AZ218" s="303"/>
      <c r="BA218" s="302"/>
      <c r="BB218" s="302"/>
      <c r="BC218" s="302"/>
      <c r="BD218" s="302"/>
      <c r="BE218" s="302"/>
      <c r="BF218" s="302"/>
      <c r="BG218" s="302"/>
      <c r="BH218" s="302"/>
      <c r="BI218" s="302"/>
      <c r="BJ218" s="302"/>
      <c r="BM218">
        <v>52</v>
      </c>
      <c r="BS218">
        <v>6.6</v>
      </c>
      <c r="BY218">
        <v>47.1</v>
      </c>
      <c r="CA218">
        <v>22.5</v>
      </c>
      <c r="CC218">
        <v>65.900000000000006</v>
      </c>
      <c r="CI218">
        <v>6.4</v>
      </c>
      <c r="CO218" t="s">
        <v>8698</v>
      </c>
      <c r="CR218">
        <v>3</v>
      </c>
      <c r="CT218" s="304" t="s">
        <v>11678</v>
      </c>
    </row>
    <row r="219" spans="1:98" s="304" customFormat="1">
      <c r="A219" s="304" t="s">
        <v>8506</v>
      </c>
      <c r="B219" s="463">
        <v>70</v>
      </c>
      <c r="C219" s="296" t="s">
        <v>7688</v>
      </c>
      <c r="D219" s="296" t="s">
        <v>7517</v>
      </c>
      <c r="E219" s="296" t="s">
        <v>7688</v>
      </c>
      <c r="F219" s="296"/>
      <c r="G219" s="296" t="s">
        <v>8506</v>
      </c>
      <c r="H219" s="297" t="s">
        <v>8697</v>
      </c>
      <c r="I219" s="297">
        <v>1</v>
      </c>
      <c r="J219" s="297">
        <v>1326</v>
      </c>
      <c r="K219" s="299"/>
      <c r="L219" s="299"/>
      <c r="M219" s="299">
        <v>34</v>
      </c>
      <c r="N219" s="299">
        <v>6</v>
      </c>
      <c r="O219" s="300">
        <v>40</v>
      </c>
      <c r="P219" s="301">
        <v>42090</v>
      </c>
      <c r="Q219" s="302"/>
      <c r="R219" s="303"/>
      <c r="S219" s="289">
        <v>5.25</v>
      </c>
      <c r="T219" s="303">
        <v>42208</v>
      </c>
      <c r="U219" s="302"/>
      <c r="V219" s="303"/>
      <c r="W219" s="302"/>
      <c r="X219" s="303"/>
      <c r="Y219" s="302">
        <v>19.649999999999999</v>
      </c>
      <c r="Z219" s="303">
        <v>42208</v>
      </c>
      <c r="AA219">
        <v>14.4</v>
      </c>
      <c r="AB219" s="303"/>
      <c r="AC219" s="302"/>
      <c r="AD219" s="303"/>
      <c r="AE219" s="302"/>
      <c r="AF219" s="303"/>
      <c r="AG219">
        <v>69820.746527777796</v>
      </c>
      <c r="AH219" s="521">
        <f>(AK219*10000)/AM219</f>
        <v>69820.746527777796</v>
      </c>
      <c r="AI219" s="302"/>
      <c r="AJ219" s="303"/>
      <c r="AK219">
        <v>33.513958333333335</v>
      </c>
      <c r="AL219" s="521"/>
      <c r="AM219">
        <v>4.8</v>
      </c>
      <c r="AN219" s="303">
        <v>42244</v>
      </c>
      <c r="AO219">
        <v>125</v>
      </c>
      <c r="AP219" s="303">
        <v>42170</v>
      </c>
      <c r="AQ219" s="302"/>
      <c r="AR219" s="303"/>
      <c r="AS219" s="302"/>
      <c r="AT219" s="303"/>
      <c r="AU219">
        <v>111</v>
      </c>
      <c r="AV219" s="303"/>
      <c r="AW219" s="302"/>
      <c r="AX219" s="302"/>
      <c r="AY219" s="302"/>
      <c r="AZ219" s="303"/>
      <c r="BA219" s="302"/>
      <c r="BB219" s="302"/>
      <c r="BC219" s="302"/>
      <c r="BD219" s="302"/>
      <c r="BE219" s="302"/>
      <c r="BF219" s="302"/>
      <c r="BG219" s="302"/>
      <c r="BH219" s="302"/>
      <c r="BI219" s="302"/>
      <c r="BJ219" s="302"/>
      <c r="BM219">
        <v>-4.7</v>
      </c>
      <c r="BS219">
        <v>61.7</v>
      </c>
      <c r="BY219">
        <v>52.3</v>
      </c>
      <c r="CA219">
        <v>15.9</v>
      </c>
      <c r="CC219">
        <v>19.2</v>
      </c>
      <c r="CI219">
        <v>6.2</v>
      </c>
      <c r="CO219" t="s">
        <v>8698</v>
      </c>
      <c r="CR219">
        <v>1</v>
      </c>
      <c r="CT219" s="304" t="s">
        <v>11678</v>
      </c>
    </row>
    <row r="220" spans="1:98" s="304" customFormat="1">
      <c r="A220" s="304" t="s">
        <v>8506</v>
      </c>
      <c r="B220" s="523">
        <v>357</v>
      </c>
      <c r="C220" s="296" t="s">
        <v>8509</v>
      </c>
      <c r="D220" s="296" t="s">
        <v>8086</v>
      </c>
      <c r="E220" s="296" t="s">
        <v>8086</v>
      </c>
      <c r="F220" s="296"/>
      <c r="G220" s="296" t="s">
        <v>8506</v>
      </c>
      <c r="H220" s="297" t="s">
        <v>8697</v>
      </c>
      <c r="I220" s="297">
        <v>1</v>
      </c>
      <c r="J220" s="297">
        <v>186</v>
      </c>
      <c r="K220" s="299"/>
      <c r="L220" s="299"/>
      <c r="M220" s="299">
        <v>34</v>
      </c>
      <c r="N220" s="299">
        <v>2</v>
      </c>
      <c r="O220" s="300">
        <v>50</v>
      </c>
      <c r="P220" s="301">
        <v>42090</v>
      </c>
      <c r="Q220" s="302"/>
      <c r="R220" s="303"/>
      <c r="S220" s="289">
        <v>5.5</v>
      </c>
      <c r="T220" s="303">
        <v>42208</v>
      </c>
      <c r="U220" s="302"/>
      <c r="V220" s="303"/>
      <c r="W220" s="302"/>
      <c r="X220" s="303"/>
      <c r="Y220" s="302">
        <v>21.6</v>
      </c>
      <c r="Z220" s="303">
        <v>42208</v>
      </c>
      <c r="AA220">
        <v>14.4</v>
      </c>
      <c r="AB220" s="303"/>
      <c r="AC220" s="302"/>
      <c r="AD220" s="303"/>
      <c r="AE220" s="302"/>
      <c r="AF220" s="303"/>
      <c r="AG220">
        <v>83238.425925925912</v>
      </c>
      <c r="AH220" s="521">
        <f>(AK220*10000)/AM220</f>
        <v>83238.425925925912</v>
      </c>
      <c r="AI220" s="302"/>
      <c r="AJ220" s="303"/>
      <c r="AK220">
        <v>34.960138888888885</v>
      </c>
      <c r="AL220" s="521"/>
      <c r="AM220">
        <v>4.2</v>
      </c>
      <c r="AN220" s="303">
        <v>42244</v>
      </c>
      <c r="AO220">
        <v>150</v>
      </c>
      <c r="AP220" s="303">
        <v>42170</v>
      </c>
      <c r="AQ220" s="302"/>
      <c r="AR220" s="303"/>
      <c r="AS220" s="302"/>
      <c r="AT220" s="303"/>
      <c r="AU220">
        <v>105</v>
      </c>
      <c r="AV220" s="302"/>
      <c r="AW220" s="302"/>
      <c r="AX220" s="302"/>
      <c r="AY220" s="302"/>
      <c r="AZ220" s="302"/>
      <c r="BA220" s="302"/>
      <c r="BB220" s="302"/>
      <c r="BC220" s="302"/>
      <c r="BD220" s="302"/>
      <c r="BE220" s="302"/>
      <c r="BF220" s="302"/>
      <c r="BG220" s="302"/>
      <c r="BH220" s="302"/>
      <c r="BI220" s="302"/>
      <c r="BJ220" s="302"/>
      <c r="BM220">
        <v>-5.6</v>
      </c>
      <c r="BS220">
        <v>66.599999999999994</v>
      </c>
      <c r="BY220">
        <v>55.1</v>
      </c>
      <c r="CA220">
        <v>13.6</v>
      </c>
      <c r="CC220">
        <v>14.1</v>
      </c>
      <c r="CI220">
        <v>6.6</v>
      </c>
      <c r="CO220" t="s">
        <v>8698</v>
      </c>
      <c r="CR220">
        <v>2</v>
      </c>
      <c r="CT220" s="304" t="s">
        <v>11678</v>
      </c>
    </row>
    <row r="221" spans="1:98" s="304" customFormat="1">
      <c r="A221" s="304" t="s">
        <v>8506</v>
      </c>
      <c r="B221" s="463">
        <v>72</v>
      </c>
      <c r="C221" s="296" t="s">
        <v>7690</v>
      </c>
      <c r="D221" s="296" t="s">
        <v>7519</v>
      </c>
      <c r="E221" s="296" t="s">
        <v>7690</v>
      </c>
      <c r="F221" s="296"/>
      <c r="G221" s="296" t="s">
        <v>8506</v>
      </c>
      <c r="H221" s="297" t="s">
        <v>8697</v>
      </c>
      <c r="I221" s="297">
        <v>1</v>
      </c>
      <c r="J221" s="308">
        <v>1147</v>
      </c>
      <c r="K221" s="299"/>
      <c r="L221" s="299"/>
      <c r="M221" s="299">
        <v>35</v>
      </c>
      <c r="N221" s="299">
        <v>3</v>
      </c>
      <c r="O221" s="300">
        <v>24</v>
      </c>
      <c r="P221" s="301">
        <v>42090</v>
      </c>
      <c r="Q221" s="306"/>
      <c r="R221" s="303"/>
      <c r="S221" s="289">
        <v>4.55</v>
      </c>
      <c r="T221" s="303">
        <v>42208</v>
      </c>
      <c r="U221" s="307"/>
      <c r="V221" s="303"/>
      <c r="W221" s="306"/>
      <c r="X221" s="303"/>
      <c r="Y221" s="306">
        <v>17.47</v>
      </c>
      <c r="Z221" s="303">
        <v>42208</v>
      </c>
      <c r="AA221">
        <v>14.4</v>
      </c>
      <c r="AB221" s="303"/>
      <c r="AC221" s="306"/>
      <c r="AD221" s="303"/>
      <c r="AE221" s="302"/>
      <c r="AF221" s="303"/>
      <c r="AG221">
        <v>72149.097222222219</v>
      </c>
      <c r="AH221" s="521">
        <f>(AK221*10000)/AM221</f>
        <v>72149.097222222219</v>
      </c>
      <c r="AI221" s="302"/>
      <c r="AJ221" s="303"/>
      <c r="AK221">
        <v>28.859638888888888</v>
      </c>
      <c r="AL221" s="521"/>
      <c r="AM221">
        <v>4</v>
      </c>
      <c r="AN221" s="303">
        <v>42244</v>
      </c>
      <c r="AO221">
        <v>120</v>
      </c>
      <c r="AP221" s="303">
        <v>42170</v>
      </c>
      <c r="AQ221" s="306"/>
      <c r="AR221" s="303"/>
      <c r="AS221" s="306"/>
      <c r="AT221" s="303"/>
      <c r="AU221">
        <v>105</v>
      </c>
      <c r="AV221" s="303"/>
      <c r="AW221" s="302"/>
      <c r="AX221" s="302"/>
      <c r="AY221" s="302"/>
      <c r="AZ221" s="303"/>
      <c r="BA221" s="302"/>
      <c r="BB221" s="302"/>
      <c r="BC221" s="302"/>
      <c r="BD221" s="302"/>
      <c r="BE221" s="302"/>
      <c r="BF221" s="302"/>
      <c r="BG221" s="302"/>
      <c r="BH221" s="302"/>
      <c r="BI221" s="302"/>
      <c r="BJ221" s="302"/>
      <c r="BM221">
        <v>-3.4</v>
      </c>
      <c r="BS221">
        <v>66.8</v>
      </c>
      <c r="BY221">
        <v>54</v>
      </c>
      <c r="CA221">
        <v>15.9</v>
      </c>
      <c r="CC221">
        <v>13.7</v>
      </c>
      <c r="CI221">
        <v>6.8</v>
      </c>
      <c r="CO221" t="s">
        <v>8698</v>
      </c>
      <c r="CR221">
        <v>1</v>
      </c>
      <c r="CT221" s="304" t="s">
        <v>11678</v>
      </c>
    </row>
    <row r="222" spans="1:98" s="304" customFormat="1">
      <c r="A222" s="304" t="s">
        <v>8506</v>
      </c>
      <c r="B222" s="463">
        <v>120</v>
      </c>
      <c r="C222" s="296" t="s">
        <v>7740</v>
      </c>
      <c r="D222" s="296" t="s">
        <v>7824</v>
      </c>
      <c r="E222" s="296" t="s">
        <v>7740</v>
      </c>
      <c r="F222" s="296"/>
      <c r="G222" s="296" t="s">
        <v>8506</v>
      </c>
      <c r="H222" s="297" t="s">
        <v>8697</v>
      </c>
      <c r="I222" s="297">
        <v>1</v>
      </c>
      <c r="J222" s="297">
        <v>1327</v>
      </c>
      <c r="K222" s="299"/>
      <c r="L222" s="299"/>
      <c r="M222" s="299">
        <v>35</v>
      </c>
      <c r="N222" s="299">
        <v>6</v>
      </c>
      <c r="O222" s="300">
        <v>55</v>
      </c>
      <c r="P222" s="301">
        <v>42090</v>
      </c>
      <c r="Q222" s="302"/>
      <c r="R222" s="303"/>
      <c r="S222" s="289">
        <v>4.2</v>
      </c>
      <c r="T222" s="303">
        <v>42208</v>
      </c>
      <c r="U222" s="302"/>
      <c r="V222" s="303"/>
      <c r="W222" s="302"/>
      <c r="X222" s="303"/>
      <c r="Y222" s="302">
        <v>14.63</v>
      </c>
      <c r="Z222" s="303">
        <v>42208</v>
      </c>
      <c r="AA222">
        <v>14.4</v>
      </c>
      <c r="AB222" s="303"/>
      <c r="AC222" s="302"/>
      <c r="AD222" s="303"/>
      <c r="AE222" s="302"/>
      <c r="AF222" s="303"/>
      <c r="AG222">
        <v>51395.032051282054</v>
      </c>
      <c r="AH222" s="521">
        <f>(AK222*10000)/AM222</f>
        <v>51395.032051282054</v>
      </c>
      <c r="AI222" s="302"/>
      <c r="AJ222" s="303"/>
      <c r="AK222">
        <v>26.725416666666668</v>
      </c>
      <c r="AL222" s="521"/>
      <c r="AM222">
        <v>5.2</v>
      </c>
      <c r="AN222" s="303">
        <v>42244</v>
      </c>
      <c r="AO222">
        <v>115</v>
      </c>
      <c r="AP222" s="303">
        <v>42170</v>
      </c>
      <c r="AQ222" s="302"/>
      <c r="AR222" s="303"/>
      <c r="AS222" s="302"/>
      <c r="AT222" s="303"/>
      <c r="AU222">
        <v>104</v>
      </c>
      <c r="AV222" s="303"/>
      <c r="AW222" s="302"/>
      <c r="AX222" s="302"/>
      <c r="AY222" s="302"/>
      <c r="AZ222" s="303"/>
      <c r="BA222" s="302"/>
      <c r="BB222" s="302"/>
      <c r="BC222" s="302"/>
      <c r="BD222" s="302"/>
      <c r="BE222" s="302"/>
      <c r="BF222" s="302"/>
      <c r="BG222" s="302"/>
      <c r="BH222" s="302"/>
      <c r="BI222" s="302"/>
      <c r="BJ222" s="302"/>
      <c r="BM222">
        <v>49.5</v>
      </c>
      <c r="BS222">
        <v>6.6</v>
      </c>
      <c r="BY222">
        <v>48.8</v>
      </c>
      <c r="CA222">
        <v>21.3</v>
      </c>
      <c r="CC222">
        <v>80.099999999999994</v>
      </c>
      <c r="CI222">
        <v>6.5</v>
      </c>
      <c r="CO222" t="s">
        <v>8698</v>
      </c>
      <c r="CR222">
        <v>4</v>
      </c>
      <c r="CT222" s="304" t="s">
        <v>11678</v>
      </c>
    </row>
    <row r="223" spans="1:98" s="304" customFormat="1">
      <c r="A223" s="304" t="s">
        <v>8506</v>
      </c>
      <c r="B223" s="463">
        <v>133</v>
      </c>
      <c r="C223" s="296" t="s">
        <v>7761</v>
      </c>
      <c r="D223" s="296" t="s">
        <v>7836</v>
      </c>
      <c r="E223" s="296" t="s">
        <v>7761</v>
      </c>
      <c r="F223" s="296"/>
      <c r="G223" s="296" t="s">
        <v>8506</v>
      </c>
      <c r="H223" s="297" t="s">
        <v>8696</v>
      </c>
      <c r="I223" s="297">
        <v>2</v>
      </c>
      <c r="J223" s="297">
        <v>2207</v>
      </c>
      <c r="K223" s="299"/>
      <c r="L223" s="299"/>
      <c r="M223" s="299">
        <v>35</v>
      </c>
      <c r="N223" s="299">
        <v>10</v>
      </c>
      <c r="O223" s="300">
        <v>46</v>
      </c>
      <c r="P223" s="301">
        <v>42090</v>
      </c>
      <c r="Q223" s="302"/>
      <c r="R223" s="303"/>
      <c r="S223" s="289">
        <v>5.55</v>
      </c>
      <c r="T223" s="303">
        <v>42208</v>
      </c>
      <c r="U223" s="302"/>
      <c r="V223" s="303"/>
      <c r="W223" s="302"/>
      <c r="X223" s="303"/>
      <c r="Y223" s="302">
        <v>19.66</v>
      </c>
      <c r="Z223" s="303">
        <v>42208</v>
      </c>
      <c r="AA223">
        <v>14.4</v>
      </c>
      <c r="AB223" s="303"/>
      <c r="AC223" s="302"/>
      <c r="AD223" s="303"/>
      <c r="AE223" s="302"/>
      <c r="AF223" s="303"/>
      <c r="AG223">
        <v>62023.684210526306</v>
      </c>
      <c r="AH223" s="521">
        <f>(AK223*10000)/AM223</f>
        <v>62023.684210526306</v>
      </c>
      <c r="AI223" s="302"/>
      <c r="AJ223" s="303"/>
      <c r="AK223">
        <v>35.353499999999997</v>
      </c>
      <c r="AL223" s="521"/>
      <c r="AM223">
        <v>5.7</v>
      </c>
      <c r="AN223" s="303">
        <v>42244</v>
      </c>
      <c r="AO223">
        <v>120</v>
      </c>
      <c r="AP223" s="303">
        <v>42170</v>
      </c>
      <c r="AQ223" s="302"/>
      <c r="AR223" s="303"/>
      <c r="AS223" s="302"/>
      <c r="AT223" s="303"/>
      <c r="AU223">
        <v>103</v>
      </c>
      <c r="AV223" s="303"/>
      <c r="AW223" s="302"/>
      <c r="AX223" s="302"/>
      <c r="AY223" s="302"/>
      <c r="AZ223" s="303"/>
      <c r="BA223" s="302"/>
      <c r="BB223" s="302"/>
      <c r="BC223" s="302"/>
      <c r="BD223" s="302"/>
      <c r="BE223" s="302"/>
      <c r="BF223" s="302"/>
      <c r="BG223" s="302"/>
      <c r="BH223" s="302"/>
      <c r="BI223" s="302"/>
      <c r="BJ223" s="302"/>
      <c r="BM223">
        <v>-2.9</v>
      </c>
      <c r="BS223">
        <v>62.8</v>
      </c>
      <c r="BY223">
        <v>49.6</v>
      </c>
      <c r="CA223">
        <v>19.3</v>
      </c>
      <c r="CC223">
        <v>17.399999999999999</v>
      </c>
      <c r="CI223">
        <v>6.4</v>
      </c>
      <c r="CO223" t="s">
        <v>8698</v>
      </c>
      <c r="CR223">
        <v>1</v>
      </c>
      <c r="CT223" s="304" t="s">
        <v>11678</v>
      </c>
    </row>
    <row r="224" spans="1:98" s="304" customFormat="1">
      <c r="A224" s="304" t="s">
        <v>8506</v>
      </c>
      <c r="B224" s="463">
        <v>170</v>
      </c>
      <c r="C224" s="296" t="s">
        <v>7798</v>
      </c>
      <c r="D224" s="296" t="s">
        <v>7599</v>
      </c>
      <c r="E224" s="296" t="s">
        <v>7798</v>
      </c>
      <c r="F224" s="296"/>
      <c r="G224" s="296" t="s">
        <v>8506</v>
      </c>
      <c r="H224" s="297" t="s">
        <v>8697</v>
      </c>
      <c r="I224" s="297">
        <v>1</v>
      </c>
      <c r="J224" s="297">
        <v>187</v>
      </c>
      <c r="K224" s="299"/>
      <c r="L224" s="299"/>
      <c r="M224" s="299">
        <v>35</v>
      </c>
      <c r="N224" s="299">
        <v>2</v>
      </c>
      <c r="O224" s="300">
        <v>31</v>
      </c>
      <c r="P224" s="301">
        <v>42090</v>
      </c>
      <c r="Q224" s="302"/>
      <c r="R224" s="303"/>
      <c r="S224" s="289">
        <v>4.95</v>
      </c>
      <c r="T224" s="303">
        <v>42208</v>
      </c>
      <c r="U224" s="302"/>
      <c r="V224" s="303"/>
      <c r="W224" s="302"/>
      <c r="X224" s="303"/>
      <c r="Y224" s="302">
        <v>18.79</v>
      </c>
      <c r="Z224" s="303">
        <v>42208</v>
      </c>
      <c r="AA224">
        <v>14.4</v>
      </c>
      <c r="AB224" s="303"/>
      <c r="AC224" s="302"/>
      <c r="AD224" s="303"/>
      <c r="AE224" s="302"/>
      <c r="AF224" s="303"/>
      <c r="AG224">
        <v>58454.050925925934</v>
      </c>
      <c r="AH224" s="521">
        <f>(AK224*10000)/AM224</f>
        <v>58454.050925925934</v>
      </c>
      <c r="AI224" s="302"/>
      <c r="AJ224" s="303"/>
      <c r="AK224">
        <v>31.565187500000004</v>
      </c>
      <c r="AL224" s="521"/>
      <c r="AM224">
        <v>5.4</v>
      </c>
      <c r="AN224" s="303">
        <v>42244</v>
      </c>
      <c r="AO224">
        <v>130</v>
      </c>
      <c r="AP224" s="303">
        <v>42170</v>
      </c>
      <c r="AQ224" s="302"/>
      <c r="AR224" s="303"/>
      <c r="AS224" s="302"/>
      <c r="AT224" s="303"/>
      <c r="AU224">
        <v>102</v>
      </c>
      <c r="AV224" s="303"/>
      <c r="AW224" s="302"/>
      <c r="AX224" s="302"/>
      <c r="AY224" s="302"/>
      <c r="AZ224" s="303"/>
      <c r="BA224" s="302"/>
      <c r="BB224" s="302"/>
      <c r="BC224" s="302"/>
      <c r="BD224" s="302"/>
      <c r="BE224" s="302"/>
      <c r="BF224" s="302"/>
      <c r="BG224" s="302"/>
      <c r="BH224" s="302"/>
      <c r="BI224" s="302"/>
      <c r="BJ224" s="302"/>
      <c r="BM224">
        <v>-3.1</v>
      </c>
      <c r="BS224">
        <v>67.400000000000006</v>
      </c>
      <c r="BY224">
        <v>53.1</v>
      </c>
      <c r="CA224">
        <v>15.7</v>
      </c>
      <c r="CC224">
        <v>10.3</v>
      </c>
      <c r="CI224">
        <v>6.3</v>
      </c>
      <c r="CO224" t="s">
        <v>8698</v>
      </c>
      <c r="CR224">
        <v>1</v>
      </c>
      <c r="CT224" s="304" t="s">
        <v>11678</v>
      </c>
    </row>
    <row r="225" spans="1:98" s="304" customFormat="1">
      <c r="A225" s="304" t="s">
        <v>8506</v>
      </c>
      <c r="B225" s="463">
        <v>5</v>
      </c>
      <c r="C225" s="296" t="s">
        <v>7612</v>
      </c>
      <c r="D225" s="296" t="s">
        <v>7811</v>
      </c>
      <c r="E225" s="296" t="s">
        <v>7612</v>
      </c>
      <c r="F225" s="296"/>
      <c r="G225" s="296" t="s">
        <v>8506</v>
      </c>
      <c r="H225" s="297" t="s">
        <v>8697</v>
      </c>
      <c r="I225" s="297">
        <v>1</v>
      </c>
      <c r="J225" s="297">
        <v>1148</v>
      </c>
      <c r="K225" s="299"/>
      <c r="L225" s="299"/>
      <c r="M225" s="299">
        <v>36</v>
      </c>
      <c r="N225" s="299">
        <v>3</v>
      </c>
      <c r="O225" s="300">
        <v>23</v>
      </c>
      <c r="P225" s="301">
        <v>42090</v>
      </c>
      <c r="Q225" s="302"/>
      <c r="R225" s="303"/>
      <c r="S225" s="289">
        <v>3.55</v>
      </c>
      <c r="T225" s="303">
        <v>42208</v>
      </c>
      <c r="U225" s="302"/>
      <c r="V225" s="303"/>
      <c r="W225" s="302"/>
      <c r="X225" s="303"/>
      <c r="Y225" s="302">
        <v>12.36</v>
      </c>
      <c r="Z225" s="303">
        <v>42208</v>
      </c>
      <c r="AA225">
        <v>14.4</v>
      </c>
      <c r="AB225" s="303"/>
      <c r="AC225" s="302"/>
      <c r="AD225" s="303"/>
      <c r="AE225" s="302"/>
      <c r="AF225" s="303"/>
      <c r="AG225">
        <v>41071.527777777774</v>
      </c>
      <c r="AH225" s="521">
        <f>(AK225*10000)/AM225</f>
        <v>41071.527777777774</v>
      </c>
      <c r="AI225" s="302"/>
      <c r="AJ225" s="303"/>
      <c r="AK225">
        <v>22.589340277777776</v>
      </c>
      <c r="AL225" s="521"/>
      <c r="AM225">
        <v>5.5</v>
      </c>
      <c r="AN225" s="303">
        <v>42244</v>
      </c>
      <c r="AO225">
        <v>120</v>
      </c>
      <c r="AP225" s="303">
        <v>42170</v>
      </c>
      <c r="AQ225" s="302"/>
      <c r="AR225" s="303"/>
      <c r="AS225" s="302"/>
      <c r="AT225" s="303"/>
      <c r="AU225">
        <v>99</v>
      </c>
      <c r="AV225" s="303"/>
      <c r="AW225" s="302"/>
      <c r="AX225" s="302"/>
      <c r="AY225" s="302"/>
      <c r="AZ225" s="303"/>
      <c r="BA225" s="302"/>
      <c r="BB225" s="302"/>
      <c r="BC225" s="302"/>
      <c r="BD225" s="302"/>
      <c r="BE225" s="302"/>
      <c r="BF225" s="302"/>
      <c r="BG225" s="302"/>
      <c r="BH225" s="302"/>
      <c r="BI225" s="302"/>
      <c r="BJ225" s="302"/>
      <c r="BM225">
        <v>43.6</v>
      </c>
      <c r="BS225">
        <v>9.6999999999999993</v>
      </c>
      <c r="BY225">
        <v>48.8</v>
      </c>
      <c r="CA225">
        <v>19.3</v>
      </c>
      <c r="CC225">
        <v>69.2</v>
      </c>
      <c r="CI225">
        <v>6.5</v>
      </c>
      <c r="CO225" t="s">
        <v>8698</v>
      </c>
      <c r="CR225">
        <v>3</v>
      </c>
      <c r="CT225" s="304" t="s">
        <v>11678</v>
      </c>
    </row>
    <row r="226" spans="1:98" s="304" customFormat="1">
      <c r="A226" s="304" t="s">
        <v>8506</v>
      </c>
      <c r="B226" s="463">
        <v>62</v>
      </c>
      <c r="C226" s="296" t="s">
        <v>7680</v>
      </c>
      <c r="D226" s="296" t="s">
        <v>7510</v>
      </c>
      <c r="E226" s="296" t="s">
        <v>7680</v>
      </c>
      <c r="F226" s="296"/>
      <c r="G226" s="296" t="s">
        <v>8506</v>
      </c>
      <c r="H226" s="297" t="s">
        <v>8697</v>
      </c>
      <c r="I226" s="297">
        <v>1</v>
      </c>
      <c r="J226" s="297">
        <v>1328</v>
      </c>
      <c r="K226" s="299"/>
      <c r="L226" s="299"/>
      <c r="M226" s="299">
        <v>36</v>
      </c>
      <c r="N226" s="299">
        <v>6</v>
      </c>
      <c r="O226" s="300">
        <v>40</v>
      </c>
      <c r="P226" s="301">
        <v>42090</v>
      </c>
      <c r="Q226" s="302"/>
      <c r="R226" s="303"/>
      <c r="S226" s="289">
        <v>4.95</v>
      </c>
      <c r="T226" s="303">
        <v>42208</v>
      </c>
      <c r="U226" s="302"/>
      <c r="V226" s="303"/>
      <c r="W226" s="302"/>
      <c r="X226" s="303"/>
      <c r="Y226" s="302">
        <v>17.59</v>
      </c>
      <c r="Z226" s="303">
        <v>42208</v>
      </c>
      <c r="AA226">
        <v>14.4</v>
      </c>
      <c r="AB226" s="303"/>
      <c r="AC226" s="302"/>
      <c r="AD226" s="303"/>
      <c r="AE226" s="302"/>
      <c r="AF226" s="303"/>
      <c r="AG226">
        <v>56005.46875</v>
      </c>
      <c r="AH226" s="521">
        <f>(AK226*10000)/AM226</f>
        <v>56005.46875</v>
      </c>
      <c r="AI226" s="302"/>
      <c r="AJ226" s="303"/>
      <c r="AK226">
        <v>31.363062499999998</v>
      </c>
      <c r="AL226" s="521"/>
      <c r="AM226">
        <v>5.6</v>
      </c>
      <c r="AN226" s="303">
        <v>42244</v>
      </c>
      <c r="AO226">
        <v>130</v>
      </c>
      <c r="AP226" s="303">
        <v>42170</v>
      </c>
      <c r="AQ226" s="302"/>
      <c r="AR226" s="303"/>
      <c r="AS226" s="302"/>
      <c r="AT226" s="303"/>
      <c r="AU226">
        <v>111</v>
      </c>
      <c r="AV226" s="303"/>
      <c r="AW226" s="302"/>
      <c r="AX226" s="302"/>
      <c r="AY226" s="302"/>
      <c r="AZ226" s="303"/>
      <c r="BA226" s="302"/>
      <c r="BB226" s="302"/>
      <c r="BC226" s="302"/>
      <c r="BD226" s="302"/>
      <c r="BE226" s="302"/>
      <c r="BF226" s="302"/>
      <c r="BG226" s="302"/>
      <c r="BH226" s="302"/>
      <c r="BI226" s="302"/>
      <c r="BJ226" s="302"/>
      <c r="BM226">
        <v>2.9</v>
      </c>
      <c r="BS226">
        <v>57.4</v>
      </c>
      <c r="BY226">
        <v>50</v>
      </c>
      <c r="CA226">
        <v>18.600000000000001</v>
      </c>
      <c r="CC226">
        <v>29.4</v>
      </c>
      <c r="CI226">
        <v>6.9</v>
      </c>
      <c r="CO226" t="s">
        <v>8698</v>
      </c>
      <c r="CR226">
        <v>3</v>
      </c>
      <c r="CT226" s="304" t="s">
        <v>11678</v>
      </c>
    </row>
    <row r="227" spans="1:98" s="304" customFormat="1">
      <c r="A227" s="304" t="s">
        <v>8506</v>
      </c>
      <c r="B227" s="463">
        <v>73</v>
      </c>
      <c r="C227" s="296" t="s">
        <v>7691</v>
      </c>
      <c r="D227" s="296" t="s">
        <v>7520</v>
      </c>
      <c r="E227" s="296" t="s">
        <v>7691</v>
      </c>
      <c r="F227" s="296"/>
      <c r="G227" s="296" t="s">
        <v>8506</v>
      </c>
      <c r="H227" s="297" t="s">
        <v>8696</v>
      </c>
      <c r="I227" s="297">
        <v>2</v>
      </c>
      <c r="J227" s="297">
        <v>228</v>
      </c>
      <c r="K227" s="299"/>
      <c r="L227" s="299"/>
      <c r="M227" s="299">
        <v>36</v>
      </c>
      <c r="N227" s="299">
        <v>7</v>
      </c>
      <c r="O227" s="300">
        <v>48</v>
      </c>
      <c r="P227" s="301">
        <v>42090</v>
      </c>
      <c r="Q227" s="302"/>
      <c r="R227" s="303"/>
      <c r="S227" s="289">
        <v>6.15</v>
      </c>
      <c r="T227" s="303">
        <v>42208</v>
      </c>
      <c r="U227" s="302"/>
      <c r="V227" s="303"/>
      <c r="W227" s="302"/>
      <c r="X227" s="303"/>
      <c r="Y227" s="302">
        <v>22.58</v>
      </c>
      <c r="Z227" s="303">
        <v>42208</v>
      </c>
      <c r="AA227">
        <v>14.4</v>
      </c>
      <c r="AB227" s="303"/>
      <c r="AC227" s="302"/>
      <c r="AD227" s="303"/>
      <c r="AE227" s="302"/>
      <c r="AF227" s="303"/>
      <c r="AG227">
        <v>83352.127659574471</v>
      </c>
      <c r="AH227" s="521">
        <f>(AK227*10000)/AM227</f>
        <v>83352.127659574471</v>
      </c>
      <c r="AI227" s="302"/>
      <c r="AJ227" s="303"/>
      <c r="AK227">
        <v>39.1755</v>
      </c>
      <c r="AL227" s="521"/>
      <c r="AM227">
        <v>4.7</v>
      </c>
      <c r="AN227" s="303">
        <v>42244</v>
      </c>
      <c r="AO227">
        <v>150</v>
      </c>
      <c r="AP227" s="303">
        <v>42170</v>
      </c>
      <c r="AQ227" s="302"/>
      <c r="AR227" s="303"/>
      <c r="AS227" s="302"/>
      <c r="AT227" s="303"/>
      <c r="AU227">
        <v>112</v>
      </c>
      <c r="AV227" s="303"/>
      <c r="AW227" s="302"/>
      <c r="AX227" s="302"/>
      <c r="AY227" s="302"/>
      <c r="AZ227" s="303"/>
      <c r="BA227" s="302"/>
      <c r="BB227" s="302"/>
      <c r="BC227" s="302"/>
      <c r="BD227" s="302"/>
      <c r="BE227" s="302"/>
      <c r="BF227" s="302"/>
      <c r="BG227" s="302"/>
      <c r="BH227" s="302"/>
      <c r="BI227" s="302"/>
      <c r="BJ227" s="302"/>
      <c r="BM227">
        <v>26.2</v>
      </c>
      <c r="BS227">
        <v>37.299999999999997</v>
      </c>
      <c r="BY227">
        <v>51.4</v>
      </c>
      <c r="CA227">
        <v>18.7</v>
      </c>
      <c r="CC227">
        <v>17.5</v>
      </c>
      <c r="CI227">
        <v>6.4</v>
      </c>
      <c r="CO227" t="s">
        <v>8698</v>
      </c>
      <c r="CR227">
        <v>2</v>
      </c>
      <c r="CT227" s="304" t="s">
        <v>11678</v>
      </c>
    </row>
    <row r="228" spans="1:98" s="304" customFormat="1">
      <c r="A228" s="304" t="s">
        <v>8506</v>
      </c>
      <c r="B228" s="463">
        <v>83</v>
      </c>
      <c r="C228" s="296" t="s">
        <v>7701</v>
      </c>
      <c r="D228" s="296" t="s">
        <v>7530</v>
      </c>
      <c r="E228" s="296" t="s">
        <v>7701</v>
      </c>
      <c r="F228" s="296"/>
      <c r="G228" s="296" t="s">
        <v>8506</v>
      </c>
      <c r="H228" s="297" t="s">
        <v>8696</v>
      </c>
      <c r="I228" s="297">
        <v>2</v>
      </c>
      <c r="J228" s="297">
        <v>2328</v>
      </c>
      <c r="K228" s="299"/>
      <c r="L228" s="299"/>
      <c r="M228" s="299">
        <v>36</v>
      </c>
      <c r="N228" s="299">
        <v>12</v>
      </c>
      <c r="O228" s="300">
        <v>37</v>
      </c>
      <c r="P228" s="301">
        <v>42090</v>
      </c>
      <c r="Q228" s="302"/>
      <c r="R228" s="303"/>
      <c r="S228" s="289">
        <v>5</v>
      </c>
      <c r="T228" s="303">
        <v>42208</v>
      </c>
      <c r="U228" s="302"/>
      <c r="V228" s="303"/>
      <c r="W228" s="302"/>
      <c r="X228" s="303"/>
      <c r="Y228" s="302">
        <v>17</v>
      </c>
      <c r="Z228" s="303">
        <v>42208</v>
      </c>
      <c r="AA228">
        <v>14.4</v>
      </c>
      <c r="AB228" s="303"/>
      <c r="AC228" s="302"/>
      <c r="AD228" s="303"/>
      <c r="AE228" s="302"/>
      <c r="AF228" s="303"/>
      <c r="AG228">
        <v>60094.339622641499</v>
      </c>
      <c r="AH228" s="521">
        <f>(AK228*10000)/AM228</f>
        <v>60094.339622641499</v>
      </c>
      <c r="AI228" s="302"/>
      <c r="AJ228" s="303"/>
      <c r="AK228">
        <v>31.849999999999994</v>
      </c>
      <c r="AL228" s="521"/>
      <c r="AM228">
        <v>5.3</v>
      </c>
      <c r="AN228" s="303">
        <v>42244</v>
      </c>
      <c r="AO228">
        <v>155</v>
      </c>
      <c r="AP228" s="303">
        <v>42170</v>
      </c>
      <c r="AQ228" s="302"/>
      <c r="AR228" s="303"/>
      <c r="AS228" s="302"/>
      <c r="AT228" s="303"/>
      <c r="AU228">
        <v>112</v>
      </c>
      <c r="AV228" s="303"/>
      <c r="AW228" s="302"/>
      <c r="AX228" s="302"/>
      <c r="AY228" s="302"/>
      <c r="AZ228" s="303"/>
      <c r="BA228" s="302"/>
      <c r="BB228" s="302"/>
      <c r="BC228" s="302"/>
      <c r="BD228" s="302"/>
      <c r="BE228" s="302"/>
      <c r="BF228" s="302"/>
      <c r="BG228" s="302"/>
      <c r="BH228" s="302"/>
      <c r="BI228" s="302"/>
      <c r="BJ228" s="302"/>
      <c r="BM228">
        <v>-0.4</v>
      </c>
      <c r="BS228">
        <v>59.9</v>
      </c>
      <c r="BY228">
        <v>47.6</v>
      </c>
      <c r="CA228">
        <v>20.3</v>
      </c>
      <c r="CC228">
        <v>21.2</v>
      </c>
      <c r="CI228">
        <v>6.4</v>
      </c>
      <c r="CO228" t="s">
        <v>8698</v>
      </c>
      <c r="CR228">
        <v>2</v>
      </c>
      <c r="CT228" s="304" t="s">
        <v>11678</v>
      </c>
    </row>
    <row r="229" spans="1:98" s="304" customFormat="1">
      <c r="A229" s="304" t="s">
        <v>8506</v>
      </c>
      <c r="B229" s="463">
        <v>92</v>
      </c>
      <c r="C229" s="296" t="s">
        <v>7710</v>
      </c>
      <c r="D229" s="296" t="s">
        <v>7538</v>
      </c>
      <c r="E229" s="296" t="s">
        <v>7710</v>
      </c>
      <c r="F229" s="296"/>
      <c r="G229" s="296" t="s">
        <v>8506</v>
      </c>
      <c r="H229" s="297" t="s">
        <v>8696</v>
      </c>
      <c r="I229" s="297">
        <v>2</v>
      </c>
      <c r="J229" s="297">
        <v>2208</v>
      </c>
      <c r="K229" s="299"/>
      <c r="L229" s="299"/>
      <c r="M229" s="299">
        <v>36</v>
      </c>
      <c r="N229" s="299">
        <v>10</v>
      </c>
      <c r="O229" s="300">
        <v>72</v>
      </c>
      <c r="P229" s="301">
        <v>42090</v>
      </c>
      <c r="Q229" s="302"/>
      <c r="R229" s="303"/>
      <c r="S229" s="289">
        <v>6.85</v>
      </c>
      <c r="T229" s="303">
        <v>42208</v>
      </c>
      <c r="U229" s="302"/>
      <c r="V229" s="303"/>
      <c r="W229" s="302"/>
      <c r="X229" s="303"/>
      <c r="Y229" s="302">
        <v>25.53</v>
      </c>
      <c r="Z229" s="303">
        <v>42208</v>
      </c>
      <c r="AA229">
        <v>14.4</v>
      </c>
      <c r="AB229" s="303"/>
      <c r="AC229" s="302"/>
      <c r="AD229" s="303"/>
      <c r="AE229" s="302"/>
      <c r="AF229" s="303"/>
      <c r="AG229">
        <v>86896.055555555547</v>
      </c>
      <c r="AH229" s="521">
        <f>(AK229*10000)/AM229</f>
        <v>86896.055555555547</v>
      </c>
      <c r="AI229" s="302"/>
      <c r="AJ229" s="303"/>
      <c r="AK229">
        <v>43.448027777777774</v>
      </c>
      <c r="AL229" s="521"/>
      <c r="AM229">
        <v>5</v>
      </c>
      <c r="AN229" s="303">
        <v>42244</v>
      </c>
      <c r="AO229">
        <v>135</v>
      </c>
      <c r="AP229" s="303">
        <v>42170</v>
      </c>
      <c r="AQ229" s="302"/>
      <c r="AR229" s="303"/>
      <c r="AS229" s="302"/>
      <c r="AT229" s="303"/>
      <c r="AU229">
        <v>104</v>
      </c>
      <c r="AV229" s="303"/>
      <c r="AW229" s="302"/>
      <c r="AX229" s="302"/>
      <c r="AY229" s="302"/>
      <c r="AZ229" s="303"/>
      <c r="BA229" s="302"/>
      <c r="BB229" s="302"/>
      <c r="BC229" s="302"/>
      <c r="BD229" s="302"/>
      <c r="BE229" s="302"/>
      <c r="BF229" s="302"/>
      <c r="BG229" s="302"/>
      <c r="BH229" s="302"/>
      <c r="BI229" s="302"/>
      <c r="BJ229" s="302"/>
      <c r="BM229">
        <v>-2.2000000000000002</v>
      </c>
      <c r="BS229">
        <v>65.3</v>
      </c>
      <c r="BY229">
        <v>52.4</v>
      </c>
      <c r="CA229">
        <v>18.100000000000001</v>
      </c>
      <c r="CC229">
        <v>16.8</v>
      </c>
      <c r="CI229">
        <v>6.8</v>
      </c>
      <c r="CO229" t="s">
        <v>8698</v>
      </c>
      <c r="CR229">
        <v>1</v>
      </c>
      <c r="CT229" s="304" t="s">
        <v>11678</v>
      </c>
    </row>
    <row r="230" spans="1:98" s="304" customFormat="1">
      <c r="A230" s="304" t="s">
        <v>8506</v>
      </c>
      <c r="B230" s="463">
        <v>112</v>
      </c>
      <c r="C230" s="296" t="s">
        <v>7730</v>
      </c>
      <c r="D230" s="296" t="s">
        <v>7556</v>
      </c>
      <c r="E230" s="296" t="s">
        <v>7730</v>
      </c>
      <c r="F230" s="296"/>
      <c r="G230" s="296" t="s">
        <v>8506</v>
      </c>
      <c r="H230" s="297" t="s">
        <v>8697</v>
      </c>
      <c r="I230" s="297">
        <v>1</v>
      </c>
      <c r="J230" s="297">
        <v>128</v>
      </c>
      <c r="K230" s="299"/>
      <c r="L230" s="299"/>
      <c r="M230" s="299">
        <v>36</v>
      </c>
      <c r="N230" s="299">
        <v>1</v>
      </c>
      <c r="O230" s="300">
        <v>36</v>
      </c>
      <c r="P230" s="301">
        <v>42090</v>
      </c>
      <c r="Q230" s="302"/>
      <c r="R230" s="303"/>
      <c r="S230" s="289">
        <v>3.45</v>
      </c>
      <c r="T230" s="303">
        <v>42208</v>
      </c>
      <c r="U230" s="302"/>
      <c r="V230" s="303"/>
      <c r="W230" s="302"/>
      <c r="X230" s="303"/>
      <c r="Y230" s="302">
        <v>13.17</v>
      </c>
      <c r="Z230" s="303">
        <v>42208</v>
      </c>
      <c r="AA230">
        <v>14.4</v>
      </c>
      <c r="AB230" s="303"/>
      <c r="AC230" s="302"/>
      <c r="AD230" s="303"/>
      <c r="AE230" s="302"/>
      <c r="AF230" s="303"/>
      <c r="AG230">
        <v>51053.536821705427</v>
      </c>
      <c r="AH230" s="521">
        <f>(AK230*10000)/AM230</f>
        <v>51053.536821705427</v>
      </c>
      <c r="AI230" s="302"/>
      <c r="AJ230" s="303"/>
      <c r="AK230">
        <v>21.953020833333333</v>
      </c>
      <c r="AL230" s="521"/>
      <c r="AM230">
        <v>4.3</v>
      </c>
      <c r="AN230" s="303">
        <v>42244</v>
      </c>
      <c r="AO230">
        <v>110</v>
      </c>
      <c r="AP230" s="303">
        <v>42170</v>
      </c>
      <c r="AQ230" s="302"/>
      <c r="AR230" s="303"/>
      <c r="AS230" s="302"/>
      <c r="AT230" s="303"/>
      <c r="AU230">
        <v>108</v>
      </c>
      <c r="AV230" s="303"/>
      <c r="AW230" s="302"/>
      <c r="AX230" s="302"/>
      <c r="AY230" s="302"/>
      <c r="AZ230" s="303"/>
      <c r="BA230" s="302"/>
      <c r="BB230" s="302"/>
      <c r="BC230" s="302"/>
      <c r="BD230" s="302"/>
      <c r="BE230" s="302"/>
      <c r="BF230" s="302"/>
      <c r="BG230" s="302"/>
      <c r="BH230" s="302"/>
      <c r="BI230" s="302"/>
      <c r="BJ230" s="302"/>
      <c r="BM230">
        <v>-6.8</v>
      </c>
      <c r="BS230">
        <v>68.3</v>
      </c>
      <c r="BY230">
        <v>53.5</v>
      </c>
      <c r="CA230">
        <v>14.5</v>
      </c>
      <c r="CC230">
        <v>15.7</v>
      </c>
      <c r="CI230">
        <v>6.5</v>
      </c>
      <c r="CO230" t="s">
        <v>8698</v>
      </c>
      <c r="CR230">
        <v>2</v>
      </c>
      <c r="CT230" s="304" t="s">
        <v>11678</v>
      </c>
    </row>
    <row r="231" spans="1:98" s="304" customFormat="1">
      <c r="A231" s="304" t="s">
        <v>8506</v>
      </c>
      <c r="B231" s="463">
        <v>137</v>
      </c>
      <c r="C231" s="296" t="s">
        <v>7765</v>
      </c>
      <c r="D231" s="296" t="s">
        <v>7839</v>
      </c>
      <c r="E231" s="296" t="s">
        <v>7765</v>
      </c>
      <c r="F231" s="296"/>
      <c r="G231" s="296" t="s">
        <v>8506</v>
      </c>
      <c r="H231" s="297" t="s">
        <v>8696</v>
      </c>
      <c r="I231" s="297">
        <v>2</v>
      </c>
      <c r="J231" s="297">
        <v>288</v>
      </c>
      <c r="K231" s="299"/>
      <c r="L231" s="299"/>
      <c r="M231" s="299">
        <v>36</v>
      </c>
      <c r="N231" s="299">
        <v>8</v>
      </c>
      <c r="O231" s="300">
        <v>44</v>
      </c>
      <c r="P231" s="301">
        <v>42090</v>
      </c>
      <c r="Q231" s="302"/>
      <c r="R231" s="303"/>
      <c r="S231" s="289">
        <v>6.55</v>
      </c>
      <c r="T231" s="303">
        <v>42208</v>
      </c>
      <c r="U231" s="302"/>
      <c r="V231" s="303"/>
      <c r="W231" s="302"/>
      <c r="X231" s="303"/>
      <c r="Y231" s="302">
        <v>24</v>
      </c>
      <c r="Z231" s="303">
        <v>42208</v>
      </c>
      <c r="AA231">
        <v>14.4</v>
      </c>
      <c r="AB231" s="303"/>
      <c r="AC231" s="302"/>
      <c r="AD231" s="303"/>
      <c r="AE231" s="302"/>
      <c r="AF231" s="303"/>
      <c r="AG231">
        <v>80237.499999999985</v>
      </c>
      <c r="AH231" s="521">
        <f>(AK231*10000)/AM231</f>
        <v>80237.499999999985</v>
      </c>
      <c r="AI231" s="302"/>
      <c r="AJ231" s="303"/>
      <c r="AK231">
        <v>41.723499999999994</v>
      </c>
      <c r="AL231" s="521"/>
      <c r="AM231">
        <v>5.2</v>
      </c>
      <c r="AN231" s="303">
        <v>42244</v>
      </c>
      <c r="AO231">
        <v>120</v>
      </c>
      <c r="AP231" s="303">
        <v>42170</v>
      </c>
      <c r="AQ231" s="302"/>
      <c r="AR231" s="303"/>
      <c r="AS231" s="302"/>
      <c r="AT231" s="303"/>
      <c r="AU231">
        <v>105</v>
      </c>
      <c r="AV231" s="303"/>
      <c r="AW231" s="302"/>
      <c r="AX231" s="302"/>
      <c r="AY231" s="302"/>
      <c r="AZ231" s="303"/>
      <c r="BA231" s="302"/>
      <c r="BB231" s="302"/>
      <c r="BC231" s="302"/>
      <c r="BD231" s="302"/>
      <c r="BE231" s="302"/>
      <c r="BF231" s="302"/>
      <c r="BG231" s="302"/>
      <c r="BH231" s="302"/>
      <c r="BI231" s="302"/>
      <c r="BJ231" s="302"/>
      <c r="BM231">
        <v>-1.8</v>
      </c>
      <c r="BS231">
        <v>63.3</v>
      </c>
      <c r="BY231">
        <v>51.3</v>
      </c>
      <c r="CA231">
        <v>18.7</v>
      </c>
      <c r="CC231">
        <v>15.6</v>
      </c>
      <c r="CI231">
        <v>6.4</v>
      </c>
      <c r="CO231" t="s">
        <v>8698</v>
      </c>
      <c r="CR231">
        <v>1</v>
      </c>
      <c r="CT231" s="304" t="s">
        <v>11678</v>
      </c>
    </row>
    <row r="232" spans="1:98" s="304" customFormat="1">
      <c r="A232" s="304" t="s">
        <v>8506</v>
      </c>
      <c r="B232" s="463">
        <v>148</v>
      </c>
      <c r="C232" s="296" t="s">
        <v>7776</v>
      </c>
      <c r="D232" s="296" t="s">
        <v>7577</v>
      </c>
      <c r="E232" s="296" t="s">
        <v>7776</v>
      </c>
      <c r="F232" s="296"/>
      <c r="G232" s="296" t="s">
        <v>8506</v>
      </c>
      <c r="H232" s="297" t="s">
        <v>8697</v>
      </c>
      <c r="I232" s="297">
        <v>1</v>
      </c>
      <c r="J232" s="297">
        <v>188</v>
      </c>
      <c r="K232" s="299"/>
      <c r="L232" s="299"/>
      <c r="M232" s="299">
        <v>36</v>
      </c>
      <c r="N232" s="299">
        <v>2</v>
      </c>
      <c r="O232" s="300">
        <v>46</v>
      </c>
      <c r="P232" s="301">
        <v>42090</v>
      </c>
      <c r="Q232" s="302"/>
      <c r="R232" s="303"/>
      <c r="S232" s="289">
        <v>4.05</v>
      </c>
      <c r="T232" s="303">
        <v>42208</v>
      </c>
      <c r="U232" s="302"/>
      <c r="V232" s="303"/>
      <c r="W232" s="302"/>
      <c r="X232" s="303"/>
      <c r="Y232" s="302">
        <v>15.41</v>
      </c>
      <c r="Z232" s="303">
        <v>42208</v>
      </c>
      <c r="AA232">
        <v>14.4</v>
      </c>
      <c r="AB232" s="303"/>
      <c r="AC232" s="302"/>
      <c r="AD232" s="303"/>
      <c r="AE232" s="302"/>
      <c r="AF232" s="303"/>
      <c r="AG232">
        <v>54033.984374999993</v>
      </c>
      <c r="AH232" s="521">
        <f>(AK232*10000)/AM232</f>
        <v>54033.984374999993</v>
      </c>
      <c r="AI232" s="302"/>
      <c r="AJ232" s="303"/>
      <c r="AK232">
        <v>25.936312499999996</v>
      </c>
      <c r="AL232" s="521"/>
      <c r="AM232">
        <v>4.8</v>
      </c>
      <c r="AN232" s="303">
        <v>42244</v>
      </c>
      <c r="AO232">
        <v>135</v>
      </c>
      <c r="AP232" s="303">
        <v>42170</v>
      </c>
      <c r="AQ232" s="302"/>
      <c r="AR232" s="303"/>
      <c r="AS232" s="302"/>
      <c r="AT232" s="303"/>
      <c r="AU232">
        <v>107</v>
      </c>
      <c r="AV232" s="303"/>
      <c r="AW232" s="302"/>
      <c r="AX232" s="302"/>
      <c r="AY232" s="302"/>
      <c r="AZ232" s="303"/>
      <c r="BA232" s="302"/>
      <c r="BB232" s="302"/>
      <c r="BC232" s="302"/>
      <c r="BD232" s="302"/>
      <c r="BE232" s="302"/>
      <c r="BF232" s="302"/>
      <c r="BG232" s="302"/>
      <c r="BH232" s="302"/>
      <c r="BI232" s="302"/>
      <c r="BJ232" s="302"/>
      <c r="BM232">
        <v>0.5</v>
      </c>
      <c r="BS232">
        <v>62.1</v>
      </c>
      <c r="BY232">
        <v>53</v>
      </c>
      <c r="CA232">
        <v>15.3</v>
      </c>
      <c r="CC232">
        <v>18</v>
      </c>
      <c r="CI232">
        <v>5.9</v>
      </c>
      <c r="CO232" t="s">
        <v>8698</v>
      </c>
      <c r="CR232">
        <v>1</v>
      </c>
      <c r="CT232" s="304" t="s">
        <v>11678</v>
      </c>
    </row>
    <row r="233" spans="1:98" s="304" customFormat="1">
      <c r="A233" s="304" t="s">
        <v>8506</v>
      </c>
      <c r="B233" s="463">
        <v>17</v>
      </c>
      <c r="C233" s="296" t="s">
        <v>7626</v>
      </c>
      <c r="D233" s="296" t="s">
        <v>7814</v>
      </c>
      <c r="E233" s="296" t="s">
        <v>7626</v>
      </c>
      <c r="F233" s="296"/>
      <c r="G233" s="296" t="s">
        <v>8506</v>
      </c>
      <c r="H233" s="297" t="s">
        <v>8697</v>
      </c>
      <c r="I233" s="297">
        <v>1</v>
      </c>
      <c r="J233" s="297">
        <v>129</v>
      </c>
      <c r="K233" s="299"/>
      <c r="L233" s="299"/>
      <c r="M233" s="299">
        <v>37</v>
      </c>
      <c r="N233" s="299">
        <v>1</v>
      </c>
      <c r="O233" s="300">
        <v>42</v>
      </c>
      <c r="P233" s="301">
        <v>42090</v>
      </c>
      <c r="Q233" s="302"/>
      <c r="R233" s="303"/>
      <c r="S233" s="289">
        <v>3.2</v>
      </c>
      <c r="T233" s="303">
        <v>42208</v>
      </c>
      <c r="U233" s="302"/>
      <c r="V233" s="303"/>
      <c r="W233" s="302"/>
      <c r="X233" s="303"/>
      <c r="Y233" s="302">
        <v>12.02</v>
      </c>
      <c r="Z233" s="303">
        <v>42208</v>
      </c>
      <c r="AA233">
        <v>14.4</v>
      </c>
      <c r="AB233" s="303"/>
      <c r="AC233" s="302"/>
      <c r="AD233" s="303"/>
      <c r="AE233" s="302"/>
      <c r="AF233" s="303"/>
      <c r="AG233">
        <v>40985.777777777774</v>
      </c>
      <c r="AH233" s="521">
        <f>(AK233*10000)/AM233</f>
        <v>40985.777777777774</v>
      </c>
      <c r="AI233" s="302"/>
      <c r="AJ233" s="303"/>
      <c r="AK233">
        <v>20.492888888888888</v>
      </c>
      <c r="AL233" s="521"/>
      <c r="AM233">
        <v>5</v>
      </c>
      <c r="AN233" s="303">
        <v>42244</v>
      </c>
      <c r="AO233">
        <v>140</v>
      </c>
      <c r="AP233" s="303">
        <v>42170</v>
      </c>
      <c r="AQ233" s="302"/>
      <c r="AR233" s="303"/>
      <c r="AS233" s="302"/>
      <c r="AT233" s="303"/>
      <c r="AU233">
        <v>110</v>
      </c>
      <c r="AV233" s="303"/>
      <c r="AW233" s="302"/>
      <c r="AX233" s="302"/>
      <c r="AY233" s="302"/>
      <c r="AZ233" s="303"/>
      <c r="BA233" s="302"/>
      <c r="BB233" s="302"/>
      <c r="BC233" s="302"/>
      <c r="BD233" s="302"/>
      <c r="BE233" s="302"/>
      <c r="BF233" s="302"/>
      <c r="BG233" s="302"/>
      <c r="BH233" s="302"/>
      <c r="BI233" s="302"/>
      <c r="BJ233" s="302"/>
      <c r="BM233">
        <v>39</v>
      </c>
      <c r="BS233">
        <v>21.1</v>
      </c>
      <c r="BY233">
        <v>52.3</v>
      </c>
      <c r="CA233">
        <v>16.600000000000001</v>
      </c>
      <c r="CC233">
        <v>63.5</v>
      </c>
      <c r="CI233">
        <v>5.9</v>
      </c>
      <c r="CO233" t="s">
        <v>8698</v>
      </c>
      <c r="CR233">
        <v>1</v>
      </c>
      <c r="CT233" s="304" t="s">
        <v>11678</v>
      </c>
    </row>
    <row r="234" spans="1:98" s="304" customFormat="1">
      <c r="A234" s="304" t="s">
        <v>8506</v>
      </c>
      <c r="B234" s="463">
        <v>75</v>
      </c>
      <c r="C234" s="296" t="s">
        <v>7693</v>
      </c>
      <c r="D234" s="296" t="s">
        <v>7522</v>
      </c>
      <c r="E234" s="296" t="s">
        <v>7693</v>
      </c>
      <c r="F234" s="296"/>
      <c r="G234" s="296" t="s">
        <v>8506</v>
      </c>
      <c r="H234" s="297" t="s">
        <v>8696</v>
      </c>
      <c r="I234" s="297">
        <v>2</v>
      </c>
      <c r="J234" s="297">
        <v>289</v>
      </c>
      <c r="K234" s="299"/>
      <c r="L234" s="299"/>
      <c r="M234" s="299">
        <v>37</v>
      </c>
      <c r="N234" s="299">
        <v>8</v>
      </c>
      <c r="O234" s="300">
        <v>72</v>
      </c>
      <c r="P234" s="301">
        <v>42090</v>
      </c>
      <c r="Q234" s="302"/>
      <c r="R234" s="303"/>
      <c r="S234" s="289">
        <v>5</v>
      </c>
      <c r="T234" s="303">
        <v>42208</v>
      </c>
      <c r="U234" s="302"/>
      <c r="V234" s="303"/>
      <c r="W234" s="302"/>
      <c r="X234" s="303"/>
      <c r="Y234" s="302">
        <v>17.36</v>
      </c>
      <c r="Z234" s="303">
        <v>42208</v>
      </c>
      <c r="AA234">
        <v>14.4</v>
      </c>
      <c r="AB234" s="303"/>
      <c r="AC234" s="302"/>
      <c r="AD234" s="303"/>
      <c r="AE234" s="302"/>
      <c r="AF234" s="303"/>
      <c r="AG234">
        <v>58981.481481481467</v>
      </c>
      <c r="AH234" s="521">
        <f>(AK234*10000)/AM234</f>
        <v>58981.481481481467</v>
      </c>
      <c r="AI234" s="302"/>
      <c r="AJ234" s="303"/>
      <c r="AK234">
        <v>31.849999999999994</v>
      </c>
      <c r="AL234" s="521"/>
      <c r="AM234">
        <v>5.4</v>
      </c>
      <c r="AN234" s="303">
        <v>42244</v>
      </c>
      <c r="AO234">
        <v>110</v>
      </c>
      <c r="AP234" s="303">
        <v>42170</v>
      </c>
      <c r="AQ234" s="302"/>
      <c r="AR234" s="303"/>
      <c r="AS234" s="302"/>
      <c r="AT234" s="303"/>
      <c r="AU234">
        <v>104</v>
      </c>
      <c r="AV234" s="303"/>
      <c r="AW234" s="302"/>
      <c r="AX234" s="302"/>
      <c r="AY234" s="302"/>
      <c r="AZ234" s="303"/>
      <c r="BA234" s="302"/>
      <c r="BB234" s="302"/>
      <c r="BC234" s="302"/>
      <c r="BD234" s="302"/>
      <c r="BE234" s="302"/>
      <c r="BF234" s="302"/>
      <c r="BG234" s="302"/>
      <c r="BH234" s="302"/>
      <c r="BI234" s="302"/>
      <c r="BJ234" s="302"/>
      <c r="BM234">
        <v>-0.7</v>
      </c>
      <c r="BS234">
        <v>60</v>
      </c>
      <c r="BY234">
        <v>48.6</v>
      </c>
      <c r="CA234">
        <v>20.5</v>
      </c>
      <c r="CC234">
        <v>17.3</v>
      </c>
      <c r="CI234">
        <v>6.4</v>
      </c>
      <c r="CO234" t="s">
        <v>8698</v>
      </c>
      <c r="CR234">
        <v>1</v>
      </c>
      <c r="CT234" s="304" t="s">
        <v>11678</v>
      </c>
    </row>
    <row r="235" spans="1:98" s="304" customFormat="1">
      <c r="A235" s="304" t="s">
        <v>8506</v>
      </c>
      <c r="B235" s="463">
        <v>124</v>
      </c>
      <c r="C235" s="296" t="s">
        <v>7751</v>
      </c>
      <c r="D235" s="296" t="s">
        <v>7562</v>
      </c>
      <c r="E235" s="296" t="s">
        <v>7751</v>
      </c>
      <c r="F235" s="296"/>
      <c r="G235" s="296" t="s">
        <v>8506</v>
      </c>
      <c r="H235" s="297" t="s">
        <v>8696</v>
      </c>
      <c r="I235" s="297">
        <v>2</v>
      </c>
      <c r="J235" s="297">
        <v>2329</v>
      </c>
      <c r="K235" s="299"/>
      <c r="L235" s="299"/>
      <c r="M235" s="299">
        <v>37</v>
      </c>
      <c r="N235" s="299">
        <v>12</v>
      </c>
      <c r="O235" s="300">
        <v>42</v>
      </c>
      <c r="P235" s="301">
        <v>42090</v>
      </c>
      <c r="Q235" s="302"/>
      <c r="R235" s="303"/>
      <c r="S235" s="289">
        <v>6.15</v>
      </c>
      <c r="T235" s="303">
        <v>42208</v>
      </c>
      <c r="U235" s="302"/>
      <c r="V235" s="303"/>
      <c r="W235" s="302"/>
      <c r="X235" s="303"/>
      <c r="Y235" s="302">
        <v>22.23</v>
      </c>
      <c r="Z235" s="303">
        <v>42208</v>
      </c>
      <c r="AA235">
        <v>14.4</v>
      </c>
      <c r="AB235" s="303"/>
      <c r="AC235" s="302"/>
      <c r="AD235" s="303"/>
      <c r="AE235" s="302"/>
      <c r="AF235" s="303"/>
      <c r="AG235">
        <v>78518.416666666657</v>
      </c>
      <c r="AH235" s="521">
        <f>(AK235*10000)/AM235</f>
        <v>78518.416666666657</v>
      </c>
      <c r="AI235" s="302"/>
      <c r="AJ235" s="303"/>
      <c r="AK235">
        <v>39.259208333333333</v>
      </c>
      <c r="AL235" s="521"/>
      <c r="AM235">
        <v>5</v>
      </c>
      <c r="AN235" s="303">
        <v>42244</v>
      </c>
      <c r="AO235">
        <v>135</v>
      </c>
      <c r="AP235" s="303">
        <v>42170</v>
      </c>
      <c r="AQ235" s="302"/>
      <c r="AR235" s="303"/>
      <c r="AS235" s="302"/>
      <c r="AT235" s="303"/>
      <c r="AU235">
        <v>106</v>
      </c>
      <c r="AV235" s="303"/>
      <c r="AW235" s="302"/>
      <c r="AX235" s="302"/>
      <c r="AY235" s="302"/>
      <c r="AZ235" s="303"/>
      <c r="BA235" s="302"/>
      <c r="BB235" s="302"/>
      <c r="BC235" s="302"/>
      <c r="BD235" s="302"/>
      <c r="BE235" s="302"/>
      <c r="BF235" s="302"/>
      <c r="BG235" s="302"/>
      <c r="BH235" s="302"/>
      <c r="BI235" s="302"/>
      <c r="BJ235" s="302"/>
      <c r="BM235">
        <v>-3.7</v>
      </c>
      <c r="BS235">
        <v>61.1</v>
      </c>
      <c r="BY235">
        <v>50.5</v>
      </c>
      <c r="CA235">
        <v>18.8</v>
      </c>
      <c r="CC235">
        <v>17.600000000000001</v>
      </c>
      <c r="CI235">
        <v>6.2</v>
      </c>
      <c r="CO235" t="s">
        <v>8698</v>
      </c>
      <c r="CR235">
        <v>1</v>
      </c>
      <c r="CT235" s="304" t="s">
        <v>11678</v>
      </c>
    </row>
    <row r="236" spans="1:98" s="304" customFormat="1">
      <c r="A236" s="304" t="s">
        <v>8506</v>
      </c>
      <c r="B236" s="463">
        <v>139</v>
      </c>
      <c r="C236" s="296" t="s">
        <v>7767</v>
      </c>
      <c r="D236" s="296" t="s">
        <v>7841</v>
      </c>
      <c r="E236" s="296" t="s">
        <v>7767</v>
      </c>
      <c r="F236" s="296"/>
      <c r="G236" s="296" t="s">
        <v>8506</v>
      </c>
      <c r="H236" s="297" t="s">
        <v>8697</v>
      </c>
      <c r="I236" s="297">
        <v>1</v>
      </c>
      <c r="J236" s="297">
        <v>1209</v>
      </c>
      <c r="K236" s="299"/>
      <c r="L236" s="299"/>
      <c r="M236" s="299">
        <v>37</v>
      </c>
      <c r="N236" s="299">
        <v>4</v>
      </c>
      <c r="O236" s="300">
        <v>48</v>
      </c>
      <c r="P236" s="301">
        <v>42090</v>
      </c>
      <c r="Q236" s="302"/>
      <c r="R236" s="303"/>
      <c r="S236" s="289">
        <v>4.2</v>
      </c>
      <c r="T236" s="303">
        <v>42208</v>
      </c>
      <c r="U236" s="302"/>
      <c r="V236" s="303"/>
      <c r="W236" s="302"/>
      <c r="X236" s="303"/>
      <c r="Y236" s="302">
        <v>16.05</v>
      </c>
      <c r="Z236" s="303">
        <v>42208</v>
      </c>
      <c r="AA236">
        <v>14.4</v>
      </c>
      <c r="AB236" s="303"/>
      <c r="AC236" s="302"/>
      <c r="AD236" s="303"/>
      <c r="AE236" s="302"/>
      <c r="AF236" s="303"/>
      <c r="AG236">
        <v>51834.775641025633</v>
      </c>
      <c r="AH236" s="521">
        <f>(AK236*10000)/AM236</f>
        <v>51834.775641025633</v>
      </c>
      <c r="AI236" s="302"/>
      <c r="AJ236" s="303"/>
      <c r="AK236">
        <v>26.954083333333333</v>
      </c>
      <c r="AL236" s="521"/>
      <c r="AM236">
        <v>5.2</v>
      </c>
      <c r="AN236" s="303">
        <v>42244</v>
      </c>
      <c r="AO236">
        <v>135</v>
      </c>
      <c r="AP236" s="303">
        <v>42170</v>
      </c>
      <c r="AQ236" s="302"/>
      <c r="AR236" s="303"/>
      <c r="AS236" s="302"/>
      <c r="AT236" s="303"/>
      <c r="AU236">
        <v>109</v>
      </c>
      <c r="AV236" s="303"/>
      <c r="AW236" s="302"/>
      <c r="AX236" s="302"/>
      <c r="AY236" s="302"/>
      <c r="AZ236" s="303"/>
      <c r="BA236" s="302"/>
      <c r="BB236" s="302"/>
      <c r="BC236" s="302"/>
      <c r="BD236" s="302"/>
      <c r="BE236" s="302"/>
      <c r="BF236" s="302"/>
      <c r="BG236" s="302"/>
      <c r="BH236" s="302"/>
      <c r="BI236" s="302"/>
      <c r="BJ236" s="302"/>
      <c r="BM236">
        <v>-4.7</v>
      </c>
      <c r="BS236">
        <v>66.2</v>
      </c>
      <c r="BY236">
        <v>53.1</v>
      </c>
      <c r="CA236">
        <v>15.3</v>
      </c>
      <c r="CC236">
        <v>17.600000000000001</v>
      </c>
      <c r="CI236">
        <v>5.7</v>
      </c>
      <c r="CO236" t="s">
        <v>8698</v>
      </c>
      <c r="CR236">
        <v>3</v>
      </c>
      <c r="CT236" s="304" t="s">
        <v>11678</v>
      </c>
    </row>
    <row r="237" spans="1:98" s="304" customFormat="1">
      <c r="A237" s="304" t="s">
        <v>8506</v>
      </c>
      <c r="B237" s="463">
        <v>149</v>
      </c>
      <c r="C237" s="296" t="s">
        <v>7777</v>
      </c>
      <c r="D237" s="296" t="s">
        <v>7578</v>
      </c>
      <c r="E237" s="296" t="s">
        <v>7777</v>
      </c>
      <c r="F237" s="296"/>
      <c r="G237" s="296" t="s">
        <v>8506</v>
      </c>
      <c r="H237" s="297" t="s">
        <v>8697</v>
      </c>
      <c r="I237" s="297">
        <v>1</v>
      </c>
      <c r="J237" s="297">
        <v>1329</v>
      </c>
      <c r="K237" s="299"/>
      <c r="L237" s="299"/>
      <c r="M237" s="299">
        <v>37</v>
      </c>
      <c r="N237" s="299">
        <v>6</v>
      </c>
      <c r="O237" s="300">
        <v>40</v>
      </c>
      <c r="P237" s="301">
        <v>42090</v>
      </c>
      <c r="Q237" s="302"/>
      <c r="R237" s="303"/>
      <c r="S237" s="289">
        <v>5.75</v>
      </c>
      <c r="T237" s="303">
        <v>42208</v>
      </c>
      <c r="U237" s="302"/>
      <c r="V237" s="303"/>
      <c r="W237" s="302"/>
      <c r="X237" s="303"/>
      <c r="Y237" s="302">
        <v>21.55</v>
      </c>
      <c r="Z237" s="303">
        <v>42208</v>
      </c>
      <c r="AA237">
        <v>14.4</v>
      </c>
      <c r="AB237" s="303"/>
      <c r="AC237" s="302"/>
      <c r="AD237" s="303"/>
      <c r="AE237" s="302"/>
      <c r="AF237" s="303"/>
      <c r="AG237">
        <v>65755.642361111095</v>
      </c>
      <c r="AH237" s="521">
        <f>(AK237*10000)/AM237</f>
        <v>65755.642361111095</v>
      </c>
      <c r="AI237" s="302"/>
      <c r="AJ237" s="303"/>
      <c r="AK237">
        <v>36.823159722222215</v>
      </c>
      <c r="AL237" s="521"/>
      <c r="AM237">
        <v>5.6</v>
      </c>
      <c r="AN237" s="303">
        <v>42244</v>
      </c>
      <c r="AO237">
        <v>135</v>
      </c>
      <c r="AP237" s="303">
        <v>42170</v>
      </c>
      <c r="AQ237" s="302"/>
      <c r="AR237" s="303"/>
      <c r="AS237" s="302"/>
      <c r="AT237" s="303"/>
      <c r="AU237">
        <v>105</v>
      </c>
      <c r="AV237" s="303"/>
      <c r="AW237" s="302"/>
      <c r="AX237" s="302"/>
      <c r="AY237" s="302"/>
      <c r="AZ237" s="303"/>
      <c r="BA237" s="302"/>
      <c r="BB237" s="302"/>
      <c r="BC237" s="302"/>
      <c r="BD237" s="302"/>
      <c r="BE237" s="302"/>
      <c r="BF237" s="302"/>
      <c r="BG237" s="302"/>
      <c r="BH237" s="302"/>
      <c r="BI237" s="302"/>
      <c r="BJ237" s="302"/>
      <c r="BM237">
        <v>-0.8</v>
      </c>
      <c r="BS237">
        <v>65.7</v>
      </c>
      <c r="BY237">
        <v>52.2</v>
      </c>
      <c r="CA237">
        <v>17.2</v>
      </c>
      <c r="CC237">
        <v>16.899999999999999</v>
      </c>
      <c r="CI237">
        <v>5.9</v>
      </c>
      <c r="CO237" t="s">
        <v>8698</v>
      </c>
      <c r="CR237">
        <v>2</v>
      </c>
      <c r="CT237" s="304" t="s">
        <v>11678</v>
      </c>
    </row>
    <row r="238" spans="1:98" s="304" customFormat="1">
      <c r="A238" s="304" t="s">
        <v>8506</v>
      </c>
      <c r="B238" s="523">
        <v>356</v>
      </c>
      <c r="C238" s="296" t="s">
        <v>8510</v>
      </c>
      <c r="D238" s="296" t="s">
        <v>8086</v>
      </c>
      <c r="E238" s="296" t="s">
        <v>8086</v>
      </c>
      <c r="F238" s="296"/>
      <c r="G238" s="296" t="s">
        <v>8506</v>
      </c>
      <c r="H238" s="297" t="s">
        <v>8696</v>
      </c>
      <c r="I238" s="297">
        <v>2</v>
      </c>
      <c r="J238" s="297">
        <v>2269</v>
      </c>
      <c r="K238" s="299"/>
      <c r="L238" s="299"/>
      <c r="M238" s="299">
        <v>37</v>
      </c>
      <c r="N238" s="299">
        <v>11</v>
      </c>
      <c r="O238" s="300">
        <v>54</v>
      </c>
      <c r="P238" s="301">
        <v>42090</v>
      </c>
      <c r="Q238" s="302"/>
      <c r="R238" s="303"/>
      <c r="S238" s="289">
        <v>7.1</v>
      </c>
      <c r="T238" s="303">
        <v>42208</v>
      </c>
      <c r="U238" s="302"/>
      <c r="V238" s="303"/>
      <c r="W238" s="302"/>
      <c r="X238" s="303"/>
      <c r="Y238" s="302">
        <v>26.2</v>
      </c>
      <c r="Z238" s="303">
        <v>42208</v>
      </c>
      <c r="AA238">
        <v>14.4</v>
      </c>
      <c r="AB238" s="303"/>
      <c r="AC238" s="302"/>
      <c r="AD238" s="303"/>
      <c r="AE238" s="302"/>
      <c r="AF238" s="303"/>
      <c r="AG238">
        <v>102898.45328282827</v>
      </c>
      <c r="AH238" s="521">
        <f>(AK238*10000)/AM238</f>
        <v>102898.45328282827</v>
      </c>
      <c r="AI238" s="302"/>
      <c r="AJ238" s="303"/>
      <c r="AK238">
        <v>45.275319444444442</v>
      </c>
      <c r="AL238" s="521"/>
      <c r="AM238">
        <v>4.4000000000000004</v>
      </c>
      <c r="AN238" s="303">
        <v>42244</v>
      </c>
      <c r="AO238">
        <v>155</v>
      </c>
      <c r="AP238" s="303">
        <v>42170</v>
      </c>
      <c r="AQ238" s="302"/>
      <c r="AR238" s="303"/>
      <c r="AS238" s="302"/>
      <c r="AT238" s="303"/>
      <c r="AU238">
        <v>106</v>
      </c>
      <c r="AV238" s="302"/>
      <c r="AW238" s="302"/>
      <c r="AX238" s="302"/>
      <c r="AY238" s="302"/>
      <c r="AZ238" s="302"/>
      <c r="BA238" s="302"/>
      <c r="BB238" s="302"/>
      <c r="BC238" s="302"/>
      <c r="BD238" s="302"/>
      <c r="BE238" s="302"/>
      <c r="BF238" s="302"/>
      <c r="BG238" s="302"/>
      <c r="BH238" s="302"/>
      <c r="BI238" s="302"/>
      <c r="BJ238" s="302"/>
      <c r="BM238">
        <v>-1.7</v>
      </c>
      <c r="BS238">
        <v>60.1</v>
      </c>
      <c r="BY238">
        <v>51.6</v>
      </c>
      <c r="CA238">
        <v>17.399999999999999</v>
      </c>
      <c r="CC238">
        <v>17.899999999999999</v>
      </c>
      <c r="CI238">
        <v>6.3</v>
      </c>
      <c r="CO238" t="s">
        <v>8698</v>
      </c>
      <c r="CR238">
        <v>2</v>
      </c>
      <c r="CT238" s="304" t="s">
        <v>11678</v>
      </c>
    </row>
    <row r="239" spans="1:98" s="304" customFormat="1">
      <c r="A239" s="304" t="s">
        <v>8506</v>
      </c>
      <c r="B239" s="463">
        <v>10</v>
      </c>
      <c r="C239" s="296" t="s">
        <v>7619</v>
      </c>
      <c r="D239" s="296" t="s">
        <v>7459</v>
      </c>
      <c r="E239" s="296" t="s">
        <v>7619</v>
      </c>
      <c r="F239" s="296"/>
      <c r="G239" s="296" t="s">
        <v>8506</v>
      </c>
      <c r="H239" s="297" t="s">
        <v>8697</v>
      </c>
      <c r="I239" s="297">
        <v>1</v>
      </c>
      <c r="J239" s="297">
        <v>1270</v>
      </c>
      <c r="K239" s="299"/>
      <c r="L239" s="299"/>
      <c r="M239" s="299">
        <v>38</v>
      </c>
      <c r="N239" s="299">
        <v>5</v>
      </c>
      <c r="O239" s="300">
        <v>58</v>
      </c>
      <c r="P239" s="301">
        <v>42090</v>
      </c>
      <c r="Q239" s="302"/>
      <c r="R239" s="303"/>
      <c r="S239" s="289">
        <v>4.25</v>
      </c>
      <c r="T239" s="303">
        <v>42208</v>
      </c>
      <c r="U239" s="302"/>
      <c r="V239" s="303"/>
      <c r="W239" s="302"/>
      <c r="X239" s="303"/>
      <c r="Y239" s="302">
        <v>16.079999999999998</v>
      </c>
      <c r="Z239" s="303">
        <v>42208</v>
      </c>
      <c r="AA239">
        <v>14.4</v>
      </c>
      <c r="AB239" s="303"/>
      <c r="AC239" s="302"/>
      <c r="AD239" s="303"/>
      <c r="AE239" s="302"/>
      <c r="AF239" s="303"/>
      <c r="AG239">
        <v>66383.21476964769</v>
      </c>
      <c r="AH239" s="521">
        <f>(AK239*10000)/AM239</f>
        <v>66383.21476964769</v>
      </c>
      <c r="AI239" s="302"/>
      <c r="AJ239" s="303"/>
      <c r="AK239">
        <v>27.217118055555549</v>
      </c>
      <c r="AL239" s="521"/>
      <c r="AM239">
        <v>4.0999999999999996</v>
      </c>
      <c r="AN239" s="303">
        <v>42244</v>
      </c>
      <c r="AO239">
        <v>110</v>
      </c>
      <c r="AP239" s="303">
        <v>42170</v>
      </c>
      <c r="AQ239" s="302"/>
      <c r="AR239" s="303"/>
      <c r="AS239" s="302"/>
      <c r="AT239" s="303"/>
      <c r="AU239">
        <v>103</v>
      </c>
      <c r="AV239" s="303"/>
      <c r="AW239" s="302"/>
      <c r="AX239" s="302"/>
      <c r="AY239" s="302"/>
      <c r="AZ239" s="303"/>
      <c r="BA239" s="302"/>
      <c r="BB239" s="302"/>
      <c r="BC239" s="302"/>
      <c r="BD239" s="302"/>
      <c r="BE239" s="302"/>
      <c r="BF239" s="302"/>
      <c r="BG239" s="302"/>
      <c r="BH239" s="302"/>
      <c r="BI239" s="302"/>
      <c r="BJ239" s="302"/>
      <c r="BM239">
        <v>50.8</v>
      </c>
      <c r="BS239">
        <v>4.0999999999999996</v>
      </c>
      <c r="BY239">
        <v>52.7</v>
      </c>
      <c r="CA239">
        <v>17.7</v>
      </c>
      <c r="CC239">
        <v>62.5</v>
      </c>
      <c r="CI239">
        <v>5.9</v>
      </c>
      <c r="CO239" t="s">
        <v>8698</v>
      </c>
      <c r="CR239">
        <v>2</v>
      </c>
      <c r="CT239" s="304" t="s">
        <v>11678</v>
      </c>
    </row>
    <row r="240" spans="1:98" s="304" customFormat="1">
      <c r="A240" s="304" t="s">
        <v>8506</v>
      </c>
      <c r="B240" s="463">
        <v>50</v>
      </c>
      <c r="C240" s="296" t="s">
        <v>7668</v>
      </c>
      <c r="D240" s="296" t="s">
        <v>7500</v>
      </c>
      <c r="E240" s="296" t="s">
        <v>7668</v>
      </c>
      <c r="F240" s="296"/>
      <c r="G240" s="296" t="s">
        <v>8506</v>
      </c>
      <c r="H240" s="297" t="s">
        <v>8697</v>
      </c>
      <c r="I240" s="297">
        <v>1</v>
      </c>
      <c r="J240" s="297">
        <v>1150</v>
      </c>
      <c r="K240" s="299"/>
      <c r="L240" s="299"/>
      <c r="M240" s="299">
        <v>38</v>
      </c>
      <c r="N240" s="299">
        <v>3</v>
      </c>
      <c r="O240" s="300">
        <v>24</v>
      </c>
      <c r="P240" s="301">
        <v>42090</v>
      </c>
      <c r="Q240" s="302"/>
      <c r="R240" s="303"/>
      <c r="S240" s="289">
        <v>4.6500000000000004</v>
      </c>
      <c r="T240" s="303">
        <v>42208</v>
      </c>
      <c r="U240" s="302"/>
      <c r="V240" s="303"/>
      <c r="W240" s="302"/>
      <c r="X240" s="303"/>
      <c r="Y240" s="302">
        <v>17.73</v>
      </c>
      <c r="Z240" s="303">
        <v>42208</v>
      </c>
      <c r="AA240">
        <v>14.4</v>
      </c>
      <c r="AB240" s="303"/>
      <c r="AC240" s="302"/>
      <c r="AD240" s="303"/>
      <c r="AE240" s="302"/>
      <c r="AF240" s="303"/>
      <c r="AG240">
        <v>56305.699685534586</v>
      </c>
      <c r="AH240" s="521">
        <f>(AK240*10000)/AM240</f>
        <v>56305.699685534586</v>
      </c>
      <c r="AI240" s="302"/>
      <c r="AJ240" s="303"/>
      <c r="AK240">
        <v>29.842020833333333</v>
      </c>
      <c r="AL240" s="521"/>
      <c r="AM240">
        <v>5.3</v>
      </c>
      <c r="AN240" s="303">
        <v>42244</v>
      </c>
      <c r="AO240">
        <v>135</v>
      </c>
      <c r="AP240" s="303">
        <v>42170</v>
      </c>
      <c r="AQ240" s="302"/>
      <c r="AR240" s="303"/>
      <c r="AS240" s="302"/>
      <c r="AT240" s="303"/>
      <c r="AU240">
        <v>110</v>
      </c>
      <c r="AV240" s="303"/>
      <c r="AW240" s="302"/>
      <c r="AX240" s="302"/>
      <c r="AY240" s="302"/>
      <c r="AZ240" s="303"/>
      <c r="BA240" s="302"/>
      <c r="BB240" s="302"/>
      <c r="BC240" s="302"/>
      <c r="BD240" s="302"/>
      <c r="BE240" s="302"/>
      <c r="BF240" s="302"/>
      <c r="BG240" s="302"/>
      <c r="BH240" s="302"/>
      <c r="BI240" s="302"/>
      <c r="BJ240" s="302"/>
      <c r="BM240">
        <v>-5.6</v>
      </c>
      <c r="BS240">
        <v>67.900000000000006</v>
      </c>
      <c r="BY240">
        <v>53</v>
      </c>
      <c r="CA240">
        <v>15.8</v>
      </c>
      <c r="CC240">
        <v>15.1</v>
      </c>
      <c r="CI240">
        <v>5.7</v>
      </c>
      <c r="CO240" t="s">
        <v>8698</v>
      </c>
      <c r="CR240">
        <v>2</v>
      </c>
      <c r="CT240" s="304" t="s">
        <v>11678</v>
      </c>
    </row>
    <row r="241" spans="1:98" s="304" customFormat="1">
      <c r="A241" s="304" t="s">
        <v>8506</v>
      </c>
      <c r="B241" s="463">
        <v>98</v>
      </c>
      <c r="C241" s="296" t="s">
        <v>7716</v>
      </c>
      <c r="D241" s="296" t="s">
        <v>7543</v>
      </c>
      <c r="E241" s="296" t="s">
        <v>7716</v>
      </c>
      <c r="F241" s="296"/>
      <c r="G241" s="296" t="s">
        <v>8506</v>
      </c>
      <c r="H241" s="297" t="s">
        <v>8696</v>
      </c>
      <c r="I241" s="297">
        <v>2</v>
      </c>
      <c r="J241" s="297">
        <v>2270</v>
      </c>
      <c r="K241" s="299"/>
      <c r="L241" s="299"/>
      <c r="M241" s="299">
        <v>38</v>
      </c>
      <c r="N241" s="299">
        <v>11</v>
      </c>
      <c r="O241" s="300">
        <v>36</v>
      </c>
      <c r="P241" s="301">
        <v>42090</v>
      </c>
      <c r="Q241" s="302"/>
      <c r="R241" s="303"/>
      <c r="S241" s="289">
        <v>5.95</v>
      </c>
      <c r="T241" s="303">
        <v>42208</v>
      </c>
      <c r="U241" s="302"/>
      <c r="V241" s="303"/>
      <c r="W241" s="302"/>
      <c r="X241" s="303"/>
      <c r="Y241" s="302">
        <v>20.78</v>
      </c>
      <c r="Z241" s="303">
        <v>42208</v>
      </c>
      <c r="AA241">
        <v>14.4</v>
      </c>
      <c r="AB241" s="303"/>
      <c r="AC241" s="302"/>
      <c r="AD241" s="303"/>
      <c r="AE241" s="302"/>
      <c r="AF241" s="303"/>
      <c r="AG241">
        <v>80813.800236406605</v>
      </c>
      <c r="AH241" s="521">
        <f>(AK241*10000)/AM241</f>
        <v>80813.800236406605</v>
      </c>
      <c r="AI241" s="302"/>
      <c r="AJ241" s="303"/>
      <c r="AK241">
        <v>37.982486111111108</v>
      </c>
      <c r="AL241" s="521"/>
      <c r="AM241">
        <v>4.7</v>
      </c>
      <c r="AN241" s="303">
        <v>42244</v>
      </c>
      <c r="AO241">
        <v>130</v>
      </c>
      <c r="AP241" s="303">
        <v>42170</v>
      </c>
      <c r="AQ241" s="302"/>
      <c r="AR241" s="303"/>
      <c r="AS241" s="302"/>
      <c r="AT241" s="303"/>
      <c r="AU241">
        <v>102</v>
      </c>
      <c r="AV241" s="303"/>
      <c r="AW241" s="302"/>
      <c r="AX241" s="302"/>
      <c r="AY241" s="302"/>
      <c r="AZ241" s="303"/>
      <c r="BA241" s="302"/>
      <c r="BB241" s="302"/>
      <c r="BC241" s="302"/>
      <c r="BD241" s="302"/>
      <c r="BE241" s="302"/>
      <c r="BF241" s="302"/>
      <c r="BG241" s="302"/>
      <c r="BH241" s="302"/>
      <c r="BI241" s="302"/>
      <c r="BJ241" s="302"/>
      <c r="BM241">
        <v>-4.2</v>
      </c>
      <c r="BS241">
        <v>60.5</v>
      </c>
      <c r="BY241">
        <v>48.8</v>
      </c>
      <c r="CA241">
        <v>18.899999999999999</v>
      </c>
      <c r="CC241">
        <v>15</v>
      </c>
      <c r="CI241">
        <v>6.2</v>
      </c>
      <c r="CO241" t="s">
        <v>8698</v>
      </c>
      <c r="CR241">
        <v>1</v>
      </c>
      <c r="CT241" s="304" t="s">
        <v>11678</v>
      </c>
    </row>
    <row r="242" spans="1:98" s="304" customFormat="1">
      <c r="A242" s="304" t="s">
        <v>8506</v>
      </c>
      <c r="B242" s="463">
        <v>147</v>
      </c>
      <c r="C242" s="296" t="s">
        <v>7775</v>
      </c>
      <c r="D242" s="296" t="s">
        <v>7576</v>
      </c>
      <c r="E242" s="296" t="s">
        <v>7775</v>
      </c>
      <c r="F242" s="296"/>
      <c r="G242" s="296" t="s">
        <v>8506</v>
      </c>
      <c r="H242" s="297" t="s">
        <v>8696</v>
      </c>
      <c r="I242" s="297">
        <v>2</v>
      </c>
      <c r="J242" s="297">
        <v>230</v>
      </c>
      <c r="K242" s="299"/>
      <c r="L242" s="299"/>
      <c r="M242" s="299">
        <v>38</v>
      </c>
      <c r="N242" s="299">
        <v>7</v>
      </c>
      <c r="O242" s="300">
        <v>61</v>
      </c>
      <c r="P242" s="301">
        <v>42090</v>
      </c>
      <c r="Q242" s="302"/>
      <c r="R242" s="303"/>
      <c r="S242" s="289">
        <v>6.05</v>
      </c>
      <c r="T242" s="303">
        <v>42208</v>
      </c>
      <c r="U242" s="302"/>
      <c r="V242" s="303"/>
      <c r="W242" s="302"/>
      <c r="X242" s="303"/>
      <c r="Y242" s="302">
        <v>21.44</v>
      </c>
      <c r="Z242" s="303">
        <v>42208</v>
      </c>
      <c r="AA242">
        <v>14.4</v>
      </c>
      <c r="AB242" s="303"/>
      <c r="AC242" s="302"/>
      <c r="AD242" s="303"/>
      <c r="AE242" s="302"/>
      <c r="AF242" s="303"/>
      <c r="AG242">
        <v>78818.055555555547</v>
      </c>
      <c r="AH242" s="521">
        <f>(AK242*10000)/AM242</f>
        <v>78818.055555555547</v>
      </c>
      <c r="AI242" s="302"/>
      <c r="AJ242" s="303"/>
      <c r="AK242">
        <v>38.620847222222217</v>
      </c>
      <c r="AL242" s="521"/>
      <c r="AM242">
        <v>4.9000000000000004</v>
      </c>
      <c r="AN242" s="303">
        <v>42244</v>
      </c>
      <c r="AO242">
        <v>125</v>
      </c>
      <c r="AP242" s="303">
        <v>42170</v>
      </c>
      <c r="AQ242" s="302"/>
      <c r="AR242" s="303"/>
      <c r="AS242" s="302"/>
      <c r="AT242" s="303"/>
      <c r="AU242">
        <v>108</v>
      </c>
      <c r="AV242" s="303"/>
      <c r="AW242" s="302"/>
      <c r="AX242" s="302"/>
      <c r="AY242" s="302"/>
      <c r="AZ242" s="303"/>
      <c r="BA242" s="302"/>
      <c r="BB242" s="302"/>
      <c r="BC242" s="302"/>
      <c r="BD242" s="302"/>
      <c r="BE242" s="302"/>
      <c r="BF242" s="302"/>
      <c r="BG242" s="302"/>
      <c r="BH242" s="302"/>
      <c r="BI242" s="302"/>
      <c r="BJ242" s="302"/>
      <c r="BM242">
        <v>0.1</v>
      </c>
      <c r="BS242">
        <v>61.1</v>
      </c>
      <c r="BY242">
        <v>49.5</v>
      </c>
      <c r="CA242">
        <v>18.5</v>
      </c>
      <c r="CC242">
        <v>18.399999999999999</v>
      </c>
      <c r="CI242">
        <v>6.2</v>
      </c>
      <c r="CO242" t="s">
        <v>8698</v>
      </c>
      <c r="CR242">
        <v>2</v>
      </c>
      <c r="CT242" s="304" t="s">
        <v>11678</v>
      </c>
    </row>
    <row r="243" spans="1:98" s="304" customFormat="1">
      <c r="A243" s="304" t="s">
        <v>8506</v>
      </c>
      <c r="B243" s="463">
        <v>158</v>
      </c>
      <c r="C243" s="296" t="s">
        <v>7786</v>
      </c>
      <c r="D243" s="296" t="s">
        <v>7587</v>
      </c>
      <c r="E243" s="296" t="s">
        <v>7786</v>
      </c>
      <c r="F243" s="296"/>
      <c r="G243" s="296" t="s">
        <v>8506</v>
      </c>
      <c r="H243" s="297" t="s">
        <v>8696</v>
      </c>
      <c r="I243" s="297">
        <v>2</v>
      </c>
      <c r="J243" s="297">
        <v>2150</v>
      </c>
      <c r="K243" s="299"/>
      <c r="L243" s="299"/>
      <c r="M243" s="299">
        <v>38</v>
      </c>
      <c r="N243" s="299">
        <v>9</v>
      </c>
      <c r="O243" s="300">
        <v>52</v>
      </c>
      <c r="P243" s="301">
        <v>42090</v>
      </c>
      <c r="Q243" s="302"/>
      <c r="R243" s="303"/>
      <c r="S243" s="289">
        <v>6.9</v>
      </c>
      <c r="T243" s="303">
        <v>42208</v>
      </c>
      <c r="U243" s="302"/>
      <c r="V243" s="303"/>
      <c r="W243" s="302"/>
      <c r="X243" s="303"/>
      <c r="Y243" s="302">
        <v>24.4</v>
      </c>
      <c r="Z243" s="303">
        <v>42208</v>
      </c>
      <c r="AA243">
        <v>14.4</v>
      </c>
      <c r="AB243" s="303"/>
      <c r="AC243" s="302"/>
      <c r="AD243" s="303"/>
      <c r="AE243" s="302"/>
      <c r="AF243" s="303"/>
      <c r="AG243">
        <v>78655.208333333328</v>
      </c>
      <c r="AH243" s="521">
        <f>(AK243*10000)/AM243</f>
        <v>78655.208333333328</v>
      </c>
      <c r="AI243" s="302"/>
      <c r="AJ243" s="303"/>
      <c r="AK243">
        <v>44.046916666666661</v>
      </c>
      <c r="AL243" s="521"/>
      <c r="AM243">
        <v>5.6</v>
      </c>
      <c r="AN243" s="303">
        <v>42244</v>
      </c>
      <c r="AO243">
        <v>130</v>
      </c>
      <c r="AP243" s="303">
        <v>42170</v>
      </c>
      <c r="AQ243" s="302"/>
      <c r="AR243" s="303"/>
      <c r="AS243" s="302"/>
      <c r="AT243" s="303"/>
      <c r="AU243">
        <v>107</v>
      </c>
      <c r="AV243" s="303"/>
      <c r="AW243" s="302"/>
      <c r="AX243" s="302"/>
      <c r="AY243" s="302"/>
      <c r="AZ243" s="303"/>
      <c r="BA243" s="302"/>
      <c r="BB243" s="302"/>
      <c r="BC243" s="302"/>
      <c r="BD243" s="302"/>
      <c r="BE243" s="302"/>
      <c r="BF243" s="302"/>
      <c r="BG243" s="302"/>
      <c r="BH243" s="302"/>
      <c r="BI243" s="302"/>
      <c r="BJ243" s="302"/>
      <c r="BM243">
        <v>-2.4</v>
      </c>
      <c r="BS243">
        <v>59.7</v>
      </c>
      <c r="BY243">
        <v>49.4</v>
      </c>
      <c r="CA243">
        <v>19.100000000000001</v>
      </c>
      <c r="CC243">
        <v>18.600000000000001</v>
      </c>
      <c r="CI243">
        <v>6.2</v>
      </c>
      <c r="CO243" t="s">
        <v>8698</v>
      </c>
      <c r="CR243">
        <v>2</v>
      </c>
      <c r="CT243" s="304" t="s">
        <v>11678</v>
      </c>
    </row>
    <row r="244" spans="1:98" s="304" customFormat="1">
      <c r="A244" s="304" t="s">
        <v>8506</v>
      </c>
      <c r="B244" s="463">
        <v>11</v>
      </c>
      <c r="C244" s="296" t="s">
        <v>7620</v>
      </c>
      <c r="D244" s="296" t="s">
        <v>263</v>
      </c>
      <c r="E244" s="296" t="s">
        <v>7620</v>
      </c>
      <c r="F244" s="296"/>
      <c r="G244" s="296" t="s">
        <v>8506</v>
      </c>
      <c r="H244" s="297" t="s">
        <v>8697</v>
      </c>
      <c r="I244" s="297">
        <v>1</v>
      </c>
      <c r="J244" s="308">
        <v>1331</v>
      </c>
      <c r="K244" s="299"/>
      <c r="L244" s="299"/>
      <c r="M244" s="299">
        <v>39</v>
      </c>
      <c r="N244" s="299">
        <v>6</v>
      </c>
      <c r="O244" s="300">
        <v>32</v>
      </c>
      <c r="P244" s="301">
        <v>42090</v>
      </c>
      <c r="Q244" s="306"/>
      <c r="R244" s="303"/>
      <c r="S244" s="289">
        <v>4.1500000000000004</v>
      </c>
      <c r="T244" s="303">
        <v>42208</v>
      </c>
      <c r="U244" s="307"/>
      <c r="V244" s="303"/>
      <c r="W244" s="306"/>
      <c r="X244" s="303"/>
      <c r="Y244" s="306">
        <v>14.53</v>
      </c>
      <c r="Z244" s="303">
        <v>42208</v>
      </c>
      <c r="AA244">
        <v>14.4</v>
      </c>
      <c r="AB244" s="303"/>
      <c r="AC244" s="306"/>
      <c r="AD244" s="303"/>
      <c r="AE244" s="302"/>
      <c r="AF244" s="303"/>
      <c r="AG244">
        <v>60337.436868686869</v>
      </c>
      <c r="AH244" s="521">
        <f>(AK244*10000)/AM244</f>
        <v>60337.436868686869</v>
      </c>
      <c r="AI244" s="302"/>
      <c r="AJ244" s="303"/>
      <c r="AK244">
        <v>26.548472222222223</v>
      </c>
      <c r="AL244" s="521"/>
      <c r="AM244">
        <v>4.4000000000000004</v>
      </c>
      <c r="AN244" s="303">
        <v>42244</v>
      </c>
      <c r="AO244">
        <v>110</v>
      </c>
      <c r="AP244" s="303">
        <v>42170</v>
      </c>
      <c r="AQ244" s="306"/>
      <c r="AR244" s="303"/>
      <c r="AS244" s="306"/>
      <c r="AT244" s="303"/>
      <c r="AU244">
        <v>107</v>
      </c>
      <c r="AV244" s="303"/>
      <c r="AW244" s="302"/>
      <c r="AX244" s="302"/>
      <c r="AY244" s="302"/>
      <c r="AZ244" s="303"/>
      <c r="BA244" s="302"/>
      <c r="BB244" s="302"/>
      <c r="BC244" s="302"/>
      <c r="BD244" s="302"/>
      <c r="BE244" s="302"/>
      <c r="BF244" s="302"/>
      <c r="BG244" s="302"/>
      <c r="BH244" s="302"/>
      <c r="BI244" s="302"/>
      <c r="BJ244" s="302"/>
      <c r="BM244">
        <v>53.2</v>
      </c>
      <c r="BS244">
        <v>3.6</v>
      </c>
      <c r="BY244">
        <v>48.8</v>
      </c>
      <c r="CA244">
        <v>23.8</v>
      </c>
      <c r="CC244">
        <v>72.099999999999994</v>
      </c>
      <c r="CI244">
        <v>6</v>
      </c>
      <c r="CO244" t="s">
        <v>8698</v>
      </c>
      <c r="CR244">
        <v>3</v>
      </c>
      <c r="CT244" s="304" t="s">
        <v>11678</v>
      </c>
    </row>
    <row r="245" spans="1:98" s="304" customFormat="1">
      <c r="A245" s="304" t="s">
        <v>8506</v>
      </c>
      <c r="B245" s="463">
        <v>16</v>
      </c>
      <c r="C245" s="296" t="s">
        <v>7625</v>
      </c>
      <c r="D245" s="296" t="s">
        <v>7463</v>
      </c>
      <c r="E245" s="296" t="s">
        <v>7625</v>
      </c>
      <c r="F245" s="296"/>
      <c r="G245" s="296" t="s">
        <v>8506</v>
      </c>
      <c r="H245" s="297" t="s">
        <v>8696</v>
      </c>
      <c r="I245" s="297">
        <v>2</v>
      </c>
      <c r="J245" s="308">
        <v>231</v>
      </c>
      <c r="K245" s="299"/>
      <c r="L245" s="299"/>
      <c r="M245" s="299">
        <v>39</v>
      </c>
      <c r="N245" s="299">
        <v>7</v>
      </c>
      <c r="O245" s="300">
        <v>47</v>
      </c>
      <c r="P245" s="301">
        <v>42090</v>
      </c>
      <c r="Q245" s="306"/>
      <c r="R245" s="303"/>
      <c r="S245" s="289">
        <v>4.45</v>
      </c>
      <c r="T245" s="303">
        <v>42208</v>
      </c>
      <c r="U245" s="307"/>
      <c r="V245" s="303"/>
      <c r="W245" s="306"/>
      <c r="X245" s="303"/>
      <c r="Y245" s="306">
        <v>15.15</v>
      </c>
      <c r="Z245" s="303">
        <v>42208</v>
      </c>
      <c r="AA245">
        <v>14.4</v>
      </c>
      <c r="AB245" s="303"/>
      <c r="AC245" s="306"/>
      <c r="AD245" s="303"/>
      <c r="AE245" s="302"/>
      <c r="AF245" s="303"/>
      <c r="AG245">
        <v>49238.781130268202</v>
      </c>
      <c r="AH245" s="521">
        <f>(AK245*10000)/AM245</f>
        <v>49238.781130268202</v>
      </c>
      <c r="AI245" s="302"/>
      <c r="AJ245" s="303"/>
      <c r="AK245">
        <v>28.558493055555555</v>
      </c>
      <c r="AL245" s="521"/>
      <c r="AM245">
        <v>5.8</v>
      </c>
      <c r="AN245" s="303">
        <v>42244</v>
      </c>
      <c r="AO245">
        <v>125</v>
      </c>
      <c r="AP245" s="303">
        <v>42170</v>
      </c>
      <c r="AQ245" s="306"/>
      <c r="AR245" s="303"/>
      <c r="AS245" s="306"/>
      <c r="AT245" s="303"/>
      <c r="AU245">
        <v>105</v>
      </c>
      <c r="AV245" s="303"/>
      <c r="AW245" s="302"/>
      <c r="AX245" s="302"/>
      <c r="AY245" s="302"/>
      <c r="AZ245" s="303"/>
      <c r="BA245" s="302"/>
      <c r="BB245" s="302"/>
      <c r="BC245" s="302"/>
      <c r="BD245" s="302"/>
      <c r="BE245" s="302"/>
      <c r="BF245" s="302"/>
      <c r="BG245" s="302"/>
      <c r="BH245" s="302"/>
      <c r="BI245" s="302"/>
      <c r="BJ245" s="302"/>
      <c r="BM245">
        <v>33</v>
      </c>
      <c r="BS245">
        <v>21.5</v>
      </c>
      <c r="BY245">
        <v>47.3</v>
      </c>
      <c r="CA245">
        <v>20.5</v>
      </c>
      <c r="CC245">
        <v>70.7</v>
      </c>
      <c r="CI245">
        <v>5.7</v>
      </c>
      <c r="CO245" t="s">
        <v>8698</v>
      </c>
      <c r="CR245">
        <v>4</v>
      </c>
      <c r="CT245" s="304" t="s">
        <v>11678</v>
      </c>
    </row>
    <row r="246" spans="1:98" s="304" customFormat="1">
      <c r="A246" s="304" t="s">
        <v>8506</v>
      </c>
      <c r="B246" s="463">
        <v>62</v>
      </c>
      <c r="C246" s="296" t="s">
        <v>7680</v>
      </c>
      <c r="D246" s="296" t="s">
        <v>7510</v>
      </c>
      <c r="E246" s="296" t="s">
        <v>7680</v>
      </c>
      <c r="F246" s="296"/>
      <c r="G246" s="296" t="s">
        <v>8506</v>
      </c>
      <c r="H246" s="297" t="s">
        <v>8696</v>
      </c>
      <c r="I246" s="297">
        <v>2</v>
      </c>
      <c r="J246" s="297">
        <v>2211</v>
      </c>
      <c r="K246" s="299"/>
      <c r="L246" s="299"/>
      <c r="M246" s="299">
        <v>39</v>
      </c>
      <c r="N246" s="299">
        <v>10</v>
      </c>
      <c r="O246" s="300">
        <v>60</v>
      </c>
      <c r="P246" s="301">
        <v>42090</v>
      </c>
      <c r="Q246" s="302"/>
      <c r="R246" s="303"/>
      <c r="S246" s="289">
        <v>5</v>
      </c>
      <c r="T246" s="303">
        <v>42208</v>
      </c>
      <c r="U246" s="302"/>
      <c r="V246" s="303"/>
      <c r="W246" s="302"/>
      <c r="X246" s="303"/>
      <c r="Y246" s="302">
        <v>17.57</v>
      </c>
      <c r="Z246" s="303">
        <v>42208</v>
      </c>
      <c r="AA246">
        <v>14.4</v>
      </c>
      <c r="AB246" s="303"/>
      <c r="AC246" s="302"/>
      <c r="AD246" s="303"/>
      <c r="AE246" s="302"/>
      <c r="AF246" s="303"/>
      <c r="AG246">
        <v>52324.68123861566</v>
      </c>
      <c r="AH246" s="521">
        <f>(AK246*10000)/AM246</f>
        <v>52324.68123861566</v>
      </c>
      <c r="AI246" s="302"/>
      <c r="AJ246" s="303"/>
      <c r="AK246">
        <v>31.918055555555551</v>
      </c>
      <c r="AL246" s="521"/>
      <c r="AM246">
        <v>6.1</v>
      </c>
      <c r="AN246" s="303">
        <v>42244</v>
      </c>
      <c r="AO246">
        <v>120</v>
      </c>
      <c r="AP246" s="303">
        <v>42170</v>
      </c>
      <c r="AQ246" s="302"/>
      <c r="AR246" s="303"/>
      <c r="AS246" s="302"/>
      <c r="AT246" s="303"/>
      <c r="AU246">
        <v>113</v>
      </c>
      <c r="AV246" s="303"/>
      <c r="AW246" s="302"/>
      <c r="AX246" s="302"/>
      <c r="AY246" s="302"/>
      <c r="AZ246" s="303"/>
      <c r="BA246" s="302"/>
      <c r="BB246" s="302"/>
      <c r="BC246" s="302"/>
      <c r="BD246" s="302"/>
      <c r="BE246" s="302"/>
      <c r="BF246" s="302"/>
      <c r="BG246" s="302"/>
      <c r="BH246" s="302"/>
      <c r="BI246" s="302"/>
      <c r="BJ246" s="302"/>
      <c r="BM246">
        <v>0.2</v>
      </c>
      <c r="BS246">
        <v>58.8</v>
      </c>
      <c r="BY246">
        <v>49.1</v>
      </c>
      <c r="CA246">
        <v>20</v>
      </c>
      <c r="CC246">
        <v>31.8</v>
      </c>
      <c r="CI246">
        <v>6.2</v>
      </c>
      <c r="CO246" t="s">
        <v>8698</v>
      </c>
      <c r="CR246">
        <v>2</v>
      </c>
      <c r="CT246" s="304" t="s">
        <v>11678</v>
      </c>
    </row>
    <row r="247" spans="1:98" s="304" customFormat="1">
      <c r="A247" s="304" t="s">
        <v>8506</v>
      </c>
      <c r="B247" s="463">
        <v>83</v>
      </c>
      <c r="C247" s="296" t="s">
        <v>7701</v>
      </c>
      <c r="D247" s="296" t="s">
        <v>7530</v>
      </c>
      <c r="E247" s="296" t="s">
        <v>7701</v>
      </c>
      <c r="F247" s="296"/>
      <c r="G247" s="296" t="s">
        <v>8506</v>
      </c>
      <c r="H247" s="297" t="s">
        <v>8697</v>
      </c>
      <c r="I247" s="297">
        <v>1</v>
      </c>
      <c r="J247" s="297">
        <v>191</v>
      </c>
      <c r="K247" s="299"/>
      <c r="L247" s="299"/>
      <c r="M247" s="299">
        <v>39</v>
      </c>
      <c r="N247" s="299">
        <v>2</v>
      </c>
      <c r="O247" s="300">
        <v>30</v>
      </c>
      <c r="P247" s="301">
        <v>42090</v>
      </c>
      <c r="Q247" s="302"/>
      <c r="R247" s="303"/>
      <c r="S247" s="289">
        <v>3.65</v>
      </c>
      <c r="T247" s="303">
        <v>42208</v>
      </c>
      <c r="U247" s="302"/>
      <c r="V247" s="303"/>
      <c r="W247" s="302"/>
      <c r="X247" s="303"/>
      <c r="Y247" s="302">
        <v>14.03</v>
      </c>
      <c r="Z247" s="303">
        <v>42208</v>
      </c>
      <c r="AA247">
        <v>14.4</v>
      </c>
      <c r="AB247" s="303"/>
      <c r="AC247" s="302"/>
      <c r="AD247" s="303"/>
      <c r="AE247" s="302"/>
      <c r="AF247" s="303"/>
      <c r="AG247">
        <v>47652.777777777774</v>
      </c>
      <c r="AH247" s="521">
        <f>(AK247*10000)/AM247</f>
        <v>47652.777777777774</v>
      </c>
      <c r="AI247" s="302"/>
      <c r="AJ247" s="303"/>
      <c r="AK247">
        <v>23.34986111111111</v>
      </c>
      <c r="AL247" s="521"/>
      <c r="AM247">
        <v>4.9000000000000004</v>
      </c>
      <c r="AN247" s="303">
        <v>42244</v>
      </c>
      <c r="AO247">
        <v>140</v>
      </c>
      <c r="AP247" s="303">
        <v>42170</v>
      </c>
      <c r="AQ247" s="302"/>
      <c r="AR247" s="303"/>
      <c r="AS247" s="302"/>
      <c r="AT247" s="303"/>
      <c r="AU247">
        <v>111</v>
      </c>
      <c r="AV247" s="303"/>
      <c r="AW247" s="302"/>
      <c r="AX247" s="302"/>
      <c r="AY247" s="302"/>
      <c r="AZ247" s="303"/>
      <c r="BA247" s="302"/>
      <c r="BB247" s="302"/>
      <c r="BC247" s="302"/>
      <c r="BD247" s="302"/>
      <c r="BE247" s="302"/>
      <c r="BF247" s="302"/>
      <c r="BG247" s="302"/>
      <c r="BH247" s="302"/>
      <c r="BI247" s="302"/>
      <c r="BJ247" s="302"/>
      <c r="BM247">
        <v>-7.2</v>
      </c>
      <c r="BS247">
        <v>68.7</v>
      </c>
      <c r="BY247">
        <v>53.6</v>
      </c>
      <c r="CA247">
        <v>14.7</v>
      </c>
      <c r="CC247">
        <v>17</v>
      </c>
      <c r="CI247">
        <v>6</v>
      </c>
      <c r="CO247" t="s">
        <v>8698</v>
      </c>
      <c r="CR247">
        <v>2</v>
      </c>
      <c r="CT247" s="304" t="s">
        <v>11678</v>
      </c>
    </row>
    <row r="248" spans="1:98" s="304" customFormat="1">
      <c r="A248" s="304" t="s">
        <v>8506</v>
      </c>
      <c r="B248" s="463">
        <v>141</v>
      </c>
      <c r="C248" s="296" t="s">
        <v>7769</v>
      </c>
      <c r="D248" s="296" t="s">
        <v>7570</v>
      </c>
      <c r="E248" s="296" t="s">
        <v>7769</v>
      </c>
      <c r="F248" s="296"/>
      <c r="G248" s="296" t="s">
        <v>8506</v>
      </c>
      <c r="H248" s="297" t="s">
        <v>8697</v>
      </c>
      <c r="I248" s="297">
        <v>1</v>
      </c>
      <c r="J248" s="297">
        <v>131</v>
      </c>
      <c r="K248" s="299"/>
      <c r="L248" s="299"/>
      <c r="M248" s="299">
        <v>39</v>
      </c>
      <c r="N248" s="299">
        <v>1</v>
      </c>
      <c r="O248" s="300">
        <v>36</v>
      </c>
      <c r="P248" s="301">
        <v>42090</v>
      </c>
      <c r="Q248" s="302"/>
      <c r="R248" s="303"/>
      <c r="S248" s="289">
        <v>4.5</v>
      </c>
      <c r="T248" s="303">
        <v>42208</v>
      </c>
      <c r="U248" s="302"/>
      <c r="V248" s="303"/>
      <c r="W248" s="302"/>
      <c r="X248" s="303"/>
      <c r="Y248" s="302">
        <v>18.16</v>
      </c>
      <c r="Z248" s="303">
        <v>42208</v>
      </c>
      <c r="AA248">
        <v>14.4</v>
      </c>
      <c r="AB248" s="303"/>
      <c r="AC248" s="302"/>
      <c r="AD248" s="303"/>
      <c r="AE248" s="302"/>
      <c r="AF248" s="303"/>
      <c r="AG248">
        <v>54373.820754716973</v>
      </c>
      <c r="AH248" s="521">
        <f>(AK248*10000)/AM248</f>
        <v>54373.820754716973</v>
      </c>
      <c r="AI248" s="302"/>
      <c r="AJ248" s="303"/>
      <c r="AK248">
        <v>28.818124999999995</v>
      </c>
      <c r="AL248" s="521"/>
      <c r="AM248">
        <v>5.3</v>
      </c>
      <c r="AN248" s="303">
        <v>42244</v>
      </c>
      <c r="AO248">
        <v>140</v>
      </c>
      <c r="AP248" s="303">
        <v>42170</v>
      </c>
      <c r="AQ248" s="302"/>
      <c r="AR248" s="303"/>
      <c r="AS248" s="302"/>
      <c r="AT248" s="303"/>
      <c r="AU248">
        <v>107</v>
      </c>
      <c r="AV248" s="303"/>
      <c r="AW248" s="302"/>
      <c r="AX248" s="302"/>
      <c r="AY248" s="302"/>
      <c r="AZ248" s="303"/>
      <c r="BA248" s="302"/>
      <c r="BB248" s="302"/>
      <c r="BC248" s="302"/>
      <c r="BD248" s="302"/>
      <c r="BE248" s="302"/>
      <c r="BF248" s="302"/>
      <c r="BG248" s="302"/>
      <c r="BH248" s="302"/>
      <c r="BI248" s="302"/>
      <c r="BJ248" s="302"/>
      <c r="BM248">
        <v>-9.6999999999999993</v>
      </c>
      <c r="BS248">
        <v>73.3</v>
      </c>
      <c r="BY248">
        <v>56.2</v>
      </c>
      <c r="CA248">
        <v>12.9</v>
      </c>
      <c r="CC248">
        <v>14.2</v>
      </c>
      <c r="CI248">
        <v>5.9</v>
      </c>
      <c r="CO248" t="s">
        <v>8698</v>
      </c>
      <c r="CR248">
        <v>2</v>
      </c>
      <c r="CT248" s="304" t="s">
        <v>11678</v>
      </c>
    </row>
    <row r="249" spans="1:98" s="304" customFormat="1">
      <c r="A249" s="304" t="s">
        <v>8506</v>
      </c>
      <c r="B249" s="463">
        <v>147</v>
      </c>
      <c r="C249" s="296" t="s">
        <v>7775</v>
      </c>
      <c r="D249" s="296" t="s">
        <v>7576</v>
      </c>
      <c r="E249" s="296" t="s">
        <v>7775</v>
      </c>
      <c r="F249" s="296"/>
      <c r="G249" s="296" t="s">
        <v>8506</v>
      </c>
      <c r="H249" s="297" t="s">
        <v>8697</v>
      </c>
      <c r="I249" s="297">
        <v>1</v>
      </c>
      <c r="J249" s="297">
        <v>1271</v>
      </c>
      <c r="K249" s="299"/>
      <c r="L249" s="299"/>
      <c r="M249" s="299">
        <v>39</v>
      </c>
      <c r="N249" s="299">
        <v>5</v>
      </c>
      <c r="O249" s="300">
        <v>36</v>
      </c>
      <c r="P249" s="301">
        <v>42090</v>
      </c>
      <c r="Q249" s="302"/>
      <c r="R249" s="303"/>
      <c r="S249" s="289">
        <v>5.6</v>
      </c>
      <c r="T249" s="303">
        <v>42208</v>
      </c>
      <c r="U249" s="302"/>
      <c r="V249" s="303"/>
      <c r="W249" s="302"/>
      <c r="X249" s="303"/>
      <c r="Y249" s="302">
        <v>21.54</v>
      </c>
      <c r="Z249" s="303">
        <v>42208</v>
      </c>
      <c r="AA249">
        <v>14.4</v>
      </c>
      <c r="AB249" s="303"/>
      <c r="AC249" s="302"/>
      <c r="AD249" s="303"/>
      <c r="AE249" s="302"/>
      <c r="AF249" s="303"/>
      <c r="AG249">
        <v>72877.777777777781</v>
      </c>
      <c r="AH249" s="521">
        <f>(AK249*10000)/AM249</f>
        <v>72877.777777777781</v>
      </c>
      <c r="AI249" s="302"/>
      <c r="AJ249" s="303"/>
      <c r="AK249">
        <v>35.710111111111111</v>
      </c>
      <c r="AL249" s="521"/>
      <c r="AM249">
        <v>4.9000000000000004</v>
      </c>
      <c r="AN249" s="303">
        <v>42244</v>
      </c>
      <c r="AO249">
        <v>130</v>
      </c>
      <c r="AP249" s="303">
        <v>42170</v>
      </c>
      <c r="AQ249" s="302"/>
      <c r="AR249" s="303"/>
      <c r="AS249" s="302"/>
      <c r="AT249" s="303"/>
      <c r="AU249">
        <v>107</v>
      </c>
      <c r="AV249" s="303"/>
      <c r="AW249" s="302"/>
      <c r="AX249" s="302"/>
      <c r="AY249" s="302"/>
      <c r="AZ249" s="303"/>
      <c r="BA249" s="302"/>
      <c r="BB249" s="302"/>
      <c r="BC249" s="302"/>
      <c r="BD249" s="302"/>
      <c r="BE249" s="302"/>
      <c r="BF249" s="302"/>
      <c r="BG249" s="302"/>
      <c r="BH249" s="302"/>
      <c r="BI249" s="302"/>
      <c r="BJ249" s="302"/>
      <c r="BM249">
        <v>-3.7</v>
      </c>
      <c r="BS249">
        <v>65.400000000000006</v>
      </c>
      <c r="BY249">
        <v>53.8</v>
      </c>
      <c r="CA249">
        <v>14.4</v>
      </c>
      <c r="CC249">
        <v>16.399999999999999</v>
      </c>
      <c r="CI249">
        <v>6.3</v>
      </c>
      <c r="CO249" t="s">
        <v>8698</v>
      </c>
      <c r="CR249">
        <v>2</v>
      </c>
      <c r="CT249" s="304" t="s">
        <v>11678</v>
      </c>
    </row>
    <row r="250" spans="1:98" s="304" customFormat="1">
      <c r="A250" s="304" t="s">
        <v>8506</v>
      </c>
      <c r="B250" s="523">
        <v>355</v>
      </c>
      <c r="C250" s="296" t="s">
        <v>8509</v>
      </c>
      <c r="D250" s="296" t="s">
        <v>7845</v>
      </c>
      <c r="E250" s="296" t="s">
        <v>7845</v>
      </c>
      <c r="F250" s="296"/>
      <c r="G250" s="296" t="s">
        <v>8506</v>
      </c>
      <c r="H250" s="297" t="s">
        <v>8696</v>
      </c>
      <c r="I250" s="297">
        <v>2</v>
      </c>
      <c r="J250" s="297">
        <v>2271</v>
      </c>
      <c r="K250" s="299"/>
      <c r="L250" s="299"/>
      <c r="M250" s="299">
        <v>39</v>
      </c>
      <c r="N250" s="299">
        <v>11</v>
      </c>
      <c r="O250" s="300">
        <v>36</v>
      </c>
      <c r="P250" s="301">
        <v>42090</v>
      </c>
      <c r="Q250" s="302"/>
      <c r="R250" s="303"/>
      <c r="S250" s="289">
        <v>7.15</v>
      </c>
      <c r="T250" s="303">
        <v>42208</v>
      </c>
      <c r="U250" s="302"/>
      <c r="V250" s="303"/>
      <c r="W250" s="302"/>
      <c r="X250" s="303"/>
      <c r="Y250" s="302">
        <v>26.21</v>
      </c>
      <c r="Z250" s="303">
        <v>42208</v>
      </c>
      <c r="AA250">
        <v>14.4</v>
      </c>
      <c r="AB250" s="303"/>
      <c r="AC250" s="302"/>
      <c r="AD250" s="303"/>
      <c r="AE250" s="302"/>
      <c r="AF250" s="303"/>
      <c r="AG250">
        <v>97319.444444444438</v>
      </c>
      <c r="AH250" s="521">
        <f>(AK250*10000)/AM250</f>
        <v>97319.444444444438</v>
      </c>
      <c r="AI250" s="302"/>
      <c r="AJ250" s="303"/>
      <c r="AK250">
        <v>45.740138888888886</v>
      </c>
      <c r="AL250" s="521"/>
      <c r="AM250">
        <v>4.7</v>
      </c>
      <c r="AN250" s="303">
        <v>42244</v>
      </c>
      <c r="AO250">
        <v>145</v>
      </c>
      <c r="AP250" s="303">
        <v>42170</v>
      </c>
      <c r="AQ250" s="302"/>
      <c r="AR250" s="303"/>
      <c r="AS250" s="302"/>
      <c r="AT250" s="303"/>
      <c r="AU250">
        <v>104</v>
      </c>
      <c r="AV250" s="302"/>
      <c r="AW250" s="302"/>
      <c r="AX250" s="302"/>
      <c r="AY250" s="302"/>
      <c r="AZ250" s="302"/>
      <c r="BA250" s="302"/>
      <c r="BB250" s="302"/>
      <c r="BC250" s="302"/>
      <c r="BD250" s="302"/>
      <c r="BE250" s="302"/>
      <c r="BF250" s="302"/>
      <c r="BG250" s="302"/>
      <c r="BH250" s="302"/>
      <c r="BI250" s="302"/>
      <c r="BJ250" s="302"/>
      <c r="BM250">
        <v>-1</v>
      </c>
      <c r="BS250">
        <v>59.2</v>
      </c>
      <c r="BY250">
        <v>51.1</v>
      </c>
      <c r="CA250">
        <v>17.5</v>
      </c>
      <c r="CC250">
        <v>19.3</v>
      </c>
      <c r="CI250">
        <v>6</v>
      </c>
      <c r="CO250" t="s">
        <v>8698</v>
      </c>
      <c r="CR250">
        <v>1</v>
      </c>
      <c r="CT250" s="304" t="s">
        <v>11678</v>
      </c>
    </row>
    <row r="251" spans="1:98" s="304" customFormat="1">
      <c r="A251" s="304" t="s">
        <v>8506</v>
      </c>
      <c r="B251" s="463">
        <v>54</v>
      </c>
      <c r="C251" s="296" t="s">
        <v>7672</v>
      </c>
      <c r="D251" s="296" t="s">
        <v>7504</v>
      </c>
      <c r="E251" s="296" t="s">
        <v>7672</v>
      </c>
      <c r="F251" s="296"/>
      <c r="G251" s="296" t="s">
        <v>8506</v>
      </c>
      <c r="H251" s="297" t="s">
        <v>8696</v>
      </c>
      <c r="I251" s="297">
        <v>2</v>
      </c>
      <c r="J251" s="297">
        <v>2152</v>
      </c>
      <c r="K251" s="299"/>
      <c r="L251" s="299"/>
      <c r="M251" s="299">
        <v>40</v>
      </c>
      <c r="N251" s="299">
        <v>9</v>
      </c>
      <c r="O251" s="300">
        <v>51</v>
      </c>
      <c r="P251" s="301">
        <v>42090</v>
      </c>
      <c r="Q251" s="302"/>
      <c r="R251" s="303"/>
      <c r="S251" s="289">
        <v>5.6</v>
      </c>
      <c r="T251" s="303">
        <v>42208</v>
      </c>
      <c r="U251" s="302"/>
      <c r="V251" s="303"/>
      <c r="W251" s="302"/>
      <c r="X251" s="303"/>
      <c r="Y251" s="302">
        <v>19.46</v>
      </c>
      <c r="Z251" s="303">
        <v>42208</v>
      </c>
      <c r="AA251">
        <v>14.4</v>
      </c>
      <c r="AB251" s="303"/>
      <c r="AC251" s="302"/>
      <c r="AD251" s="303"/>
      <c r="AE251" s="302"/>
      <c r="AF251" s="303"/>
      <c r="AG251">
        <v>58541.165755919857</v>
      </c>
      <c r="AH251" s="521">
        <f>(AK251*10000)/AM251</f>
        <v>58541.165755919857</v>
      </c>
      <c r="AI251" s="302"/>
      <c r="AJ251" s="303"/>
      <c r="AK251">
        <v>35.710111111111111</v>
      </c>
      <c r="AL251" s="521"/>
      <c r="AM251">
        <v>6.1</v>
      </c>
      <c r="AN251" s="303">
        <v>42244</v>
      </c>
      <c r="AO251">
        <v>120</v>
      </c>
      <c r="AP251" s="303">
        <v>42170</v>
      </c>
      <c r="AQ251" s="302"/>
      <c r="AR251" s="303"/>
      <c r="AS251" s="302"/>
      <c r="AT251" s="303"/>
      <c r="AU251">
        <v>108</v>
      </c>
      <c r="AV251" s="303"/>
      <c r="AW251" s="302"/>
      <c r="AX251" s="302"/>
      <c r="AY251" s="302"/>
      <c r="AZ251" s="303"/>
      <c r="BA251" s="302"/>
      <c r="BB251" s="302"/>
      <c r="BC251" s="302"/>
      <c r="BD251" s="302"/>
      <c r="BE251" s="302"/>
      <c r="BF251" s="302"/>
      <c r="BG251" s="302"/>
      <c r="BH251" s="302"/>
      <c r="BI251" s="302"/>
      <c r="BJ251" s="302"/>
      <c r="BM251">
        <v>-2</v>
      </c>
      <c r="BS251">
        <v>58</v>
      </c>
      <c r="BY251">
        <v>48.6</v>
      </c>
      <c r="CA251">
        <v>20</v>
      </c>
      <c r="CC251">
        <v>23.1</v>
      </c>
      <c r="CI251">
        <v>6.3</v>
      </c>
      <c r="CO251" t="s">
        <v>8703</v>
      </c>
      <c r="CR251">
        <v>2</v>
      </c>
      <c r="CT251" s="304" t="s">
        <v>11677</v>
      </c>
    </row>
    <row r="252" spans="1:98" s="304" customFormat="1">
      <c r="A252" s="304" t="s">
        <v>8506</v>
      </c>
      <c r="B252" s="463">
        <v>69</v>
      </c>
      <c r="C252" s="296" t="s">
        <v>7687</v>
      </c>
      <c r="D252" s="296" t="s">
        <v>7516</v>
      </c>
      <c r="E252" s="296" t="s">
        <v>7687</v>
      </c>
      <c r="F252" s="296"/>
      <c r="G252" s="296" t="s">
        <v>8506</v>
      </c>
      <c r="H252" s="297" t="s">
        <v>8697</v>
      </c>
      <c r="I252" s="297">
        <v>1</v>
      </c>
      <c r="J252" s="297">
        <v>192</v>
      </c>
      <c r="K252" s="299"/>
      <c r="L252" s="299"/>
      <c r="M252" s="299">
        <v>40</v>
      </c>
      <c r="N252" s="299">
        <v>2</v>
      </c>
      <c r="O252" s="300">
        <v>11</v>
      </c>
      <c r="P252" s="301">
        <v>42090</v>
      </c>
      <c r="Q252" s="302"/>
      <c r="R252" s="303"/>
      <c r="S252" s="289"/>
      <c r="T252" s="303"/>
      <c r="U252" s="302"/>
      <c r="V252" s="303"/>
      <c r="W252" s="302"/>
      <c r="X252" s="303"/>
      <c r="Y252" s="302"/>
      <c r="Z252" s="303"/>
      <c r="AA252"/>
      <c r="AB252" s="303"/>
      <c r="AC252" s="302"/>
      <c r="AD252" s="303"/>
      <c r="AE252" s="302"/>
      <c r="AF252" s="303"/>
      <c r="AG252" t="e">
        <v>#DIV/0!</v>
      </c>
      <c r="AH252" s="521" t="e">
        <f>(AK252*10000)/AM252</f>
        <v>#DIV/0!</v>
      </c>
      <c r="AI252" s="302"/>
      <c r="AJ252" s="303"/>
      <c r="AK252" t="e">
        <v>#DIV/0!</v>
      </c>
      <c r="AL252" s="521"/>
      <c r="AM252"/>
      <c r="AN252" s="303"/>
      <c r="AO252"/>
      <c r="AP252" s="303"/>
      <c r="AQ252" s="302"/>
      <c r="AR252" s="303"/>
      <c r="AS252" s="302"/>
      <c r="AT252" s="303"/>
      <c r="AU252"/>
      <c r="AV252" s="303"/>
      <c r="AW252" s="302"/>
      <c r="AX252" s="302"/>
      <c r="AY252" s="302"/>
      <c r="AZ252" s="303"/>
      <c r="BA252" s="302"/>
      <c r="BB252" s="302"/>
      <c r="BC252" s="302"/>
      <c r="BD252" s="302"/>
      <c r="BE252" s="302"/>
      <c r="BF252" s="302"/>
      <c r="BG252" s="302"/>
      <c r="BH252" s="302"/>
      <c r="BI252" s="302"/>
      <c r="BJ252" s="302"/>
      <c r="BM252"/>
      <c r="BS252"/>
      <c r="BY252"/>
      <c r="CA252"/>
      <c r="CC252"/>
      <c r="CI252"/>
      <c r="CO252" t="s">
        <v>8698</v>
      </c>
      <c r="CR252"/>
      <c r="CT252" s="304" t="s">
        <v>11678</v>
      </c>
    </row>
    <row r="253" spans="1:98" s="304" customFormat="1">
      <c r="A253" s="304" t="s">
        <v>8506</v>
      </c>
      <c r="B253" s="463">
        <v>70</v>
      </c>
      <c r="C253" s="296" t="s">
        <v>7688</v>
      </c>
      <c r="D253" s="296" t="s">
        <v>7517</v>
      </c>
      <c r="E253" s="296" t="s">
        <v>7688</v>
      </c>
      <c r="F253" s="296"/>
      <c r="G253" s="296" t="s">
        <v>8506</v>
      </c>
      <c r="H253" s="297" t="s">
        <v>8696</v>
      </c>
      <c r="I253" s="297">
        <v>2</v>
      </c>
      <c r="J253" s="297">
        <v>2332</v>
      </c>
      <c r="K253" s="299"/>
      <c r="L253" s="299"/>
      <c r="M253" s="299">
        <v>40</v>
      </c>
      <c r="N253" s="299">
        <v>12</v>
      </c>
      <c r="O253" s="300">
        <v>40</v>
      </c>
      <c r="P253" s="301">
        <v>42090</v>
      </c>
      <c r="Q253" s="302"/>
      <c r="R253" s="303"/>
      <c r="S253" s="289">
        <v>5.6</v>
      </c>
      <c r="T253" s="303">
        <v>42208</v>
      </c>
      <c r="U253" s="302"/>
      <c r="V253" s="303"/>
      <c r="W253" s="302"/>
      <c r="X253" s="303"/>
      <c r="Y253" s="302">
        <v>19.78</v>
      </c>
      <c r="Z253" s="303">
        <v>42208</v>
      </c>
      <c r="AA253">
        <v>14.4</v>
      </c>
      <c r="AB253" s="303"/>
      <c r="AC253" s="302"/>
      <c r="AD253" s="303"/>
      <c r="AE253" s="302"/>
      <c r="AF253" s="303"/>
      <c r="AG253">
        <v>74396.064814814818</v>
      </c>
      <c r="AH253" s="521">
        <f>(AK253*10000)/AM253</f>
        <v>74396.064814814818</v>
      </c>
      <c r="AI253" s="302"/>
      <c r="AJ253" s="303"/>
      <c r="AK253">
        <v>35.710111111111111</v>
      </c>
      <c r="AL253" s="521"/>
      <c r="AM253">
        <v>4.8</v>
      </c>
      <c r="AN253" s="303">
        <v>42244</v>
      </c>
      <c r="AO253">
        <v>125</v>
      </c>
      <c r="AP253" s="303">
        <v>42170</v>
      </c>
      <c r="AQ253" s="302"/>
      <c r="AR253" s="303"/>
      <c r="AS253" s="302"/>
      <c r="AT253" s="303"/>
      <c r="AU253">
        <v>112</v>
      </c>
      <c r="AV253" s="303"/>
      <c r="AW253" s="302"/>
      <c r="AX253" s="302"/>
      <c r="AY253" s="302"/>
      <c r="AZ253" s="303"/>
      <c r="BA253" s="302"/>
      <c r="BB253" s="302"/>
      <c r="BC253" s="302"/>
      <c r="BD253" s="302"/>
      <c r="BE253" s="302"/>
      <c r="BF253" s="302"/>
      <c r="BG253" s="302"/>
      <c r="BH253" s="302"/>
      <c r="BI253" s="302"/>
      <c r="BJ253" s="302"/>
      <c r="BM253">
        <v>-2.7</v>
      </c>
      <c r="BS253">
        <v>59.7</v>
      </c>
      <c r="BY253">
        <v>49.4</v>
      </c>
      <c r="CA253">
        <v>19</v>
      </c>
      <c r="CC253">
        <v>21.2</v>
      </c>
      <c r="CI253">
        <v>6.3</v>
      </c>
      <c r="CO253" t="s">
        <v>8698</v>
      </c>
      <c r="CR253">
        <v>1</v>
      </c>
      <c r="CT253" s="304" t="s">
        <v>11678</v>
      </c>
    </row>
    <row r="254" spans="1:98" s="304" customFormat="1">
      <c r="A254" s="304" t="s">
        <v>8506</v>
      </c>
      <c r="B254" s="463">
        <v>82</v>
      </c>
      <c r="C254" s="296" t="s">
        <v>7700</v>
      </c>
      <c r="D254" s="296" t="s">
        <v>7529</v>
      </c>
      <c r="E254" s="296" t="s">
        <v>7700</v>
      </c>
      <c r="F254" s="296"/>
      <c r="G254" s="296" t="s">
        <v>8506</v>
      </c>
      <c r="H254" s="297" t="s">
        <v>8697</v>
      </c>
      <c r="I254" s="297">
        <v>1</v>
      </c>
      <c r="J254" s="297">
        <v>1272</v>
      </c>
      <c r="K254" s="299"/>
      <c r="L254" s="299"/>
      <c r="M254" s="299">
        <v>40</v>
      </c>
      <c r="N254" s="299">
        <v>5</v>
      </c>
      <c r="O254" s="300">
        <v>31</v>
      </c>
      <c r="P254" s="301">
        <v>42090</v>
      </c>
      <c r="Q254" s="302"/>
      <c r="R254" s="303"/>
      <c r="S254" s="289">
        <v>5.15</v>
      </c>
      <c r="T254" s="303">
        <v>42208</v>
      </c>
      <c r="U254" s="302"/>
      <c r="V254" s="303"/>
      <c r="W254" s="302"/>
      <c r="X254" s="303"/>
      <c r="Y254" s="302">
        <v>18.72</v>
      </c>
      <c r="Z254" s="303">
        <v>42208</v>
      </c>
      <c r="AA254">
        <v>14.4</v>
      </c>
      <c r="AB254" s="303"/>
      <c r="AC254" s="302"/>
      <c r="AD254" s="303"/>
      <c r="AE254" s="302"/>
      <c r="AF254" s="303"/>
      <c r="AG254">
        <v>69948.079196217484</v>
      </c>
      <c r="AH254" s="521">
        <f>(AK254*10000)/AM254</f>
        <v>69948.079196217484</v>
      </c>
      <c r="AI254" s="302"/>
      <c r="AJ254" s="303"/>
      <c r="AK254">
        <v>32.875597222222218</v>
      </c>
      <c r="AL254" s="521"/>
      <c r="AM254">
        <v>4.7</v>
      </c>
      <c r="AN254" s="303">
        <v>42244</v>
      </c>
      <c r="AO254">
        <v>130</v>
      </c>
      <c r="AP254" s="303">
        <v>42170</v>
      </c>
      <c r="AQ254" s="302"/>
      <c r="AR254" s="303"/>
      <c r="AS254" s="302"/>
      <c r="AT254" s="303"/>
      <c r="AU254">
        <v>107</v>
      </c>
      <c r="AV254" s="303"/>
      <c r="AW254" s="302"/>
      <c r="AX254" s="302"/>
      <c r="AY254" s="302"/>
      <c r="AZ254" s="303"/>
      <c r="BA254" s="302"/>
      <c r="BB254" s="302"/>
      <c r="BC254" s="302"/>
      <c r="BD254" s="302"/>
      <c r="BE254" s="302"/>
      <c r="BF254" s="302"/>
      <c r="BG254" s="302"/>
      <c r="BH254" s="302"/>
      <c r="BI254" s="302"/>
      <c r="BJ254" s="302"/>
      <c r="BM254">
        <v>-3.6</v>
      </c>
      <c r="BS254">
        <v>64.2</v>
      </c>
      <c r="BY254">
        <v>50.8</v>
      </c>
      <c r="CA254">
        <v>18.100000000000001</v>
      </c>
      <c r="CC254">
        <v>15.2</v>
      </c>
      <c r="CI254">
        <v>6.2</v>
      </c>
      <c r="CO254" t="s">
        <v>8698</v>
      </c>
      <c r="CR254">
        <v>3</v>
      </c>
      <c r="CT254" s="304" t="s">
        <v>11678</v>
      </c>
    </row>
    <row r="255" spans="1:98" s="304" customFormat="1">
      <c r="A255" s="304" t="s">
        <v>8506</v>
      </c>
      <c r="B255" s="463">
        <v>109</v>
      </c>
      <c r="C255" s="296" t="s">
        <v>7727</v>
      </c>
      <c r="D255" s="296" t="s">
        <v>7553</v>
      </c>
      <c r="E255" s="296" t="s">
        <v>7727</v>
      </c>
      <c r="F255" s="296"/>
      <c r="G255" s="296" t="s">
        <v>8506</v>
      </c>
      <c r="H255" s="297" t="s">
        <v>8697</v>
      </c>
      <c r="I255" s="297">
        <v>1</v>
      </c>
      <c r="J255" s="297">
        <v>1152</v>
      </c>
      <c r="K255" s="299"/>
      <c r="L255" s="299"/>
      <c r="M255" s="299">
        <v>40</v>
      </c>
      <c r="N255" s="299">
        <v>3</v>
      </c>
      <c r="O255" s="300">
        <v>12</v>
      </c>
      <c r="P255" s="301">
        <v>42090</v>
      </c>
      <c r="Q255" s="302"/>
      <c r="R255" s="303"/>
      <c r="S255" s="289"/>
      <c r="T255" s="303"/>
      <c r="U255" s="302"/>
      <c r="V255" s="303"/>
      <c r="W255" s="302"/>
      <c r="X255" s="303"/>
      <c r="Y255" s="302"/>
      <c r="Z255" s="303"/>
      <c r="AA255"/>
      <c r="AB255" s="303"/>
      <c r="AC255" s="302"/>
      <c r="AD255" s="303"/>
      <c r="AE255" s="302"/>
      <c r="AF255" s="303"/>
      <c r="AG255" t="e">
        <v>#DIV/0!</v>
      </c>
      <c r="AH255" s="521" t="e">
        <f>(AK255*10000)/AM255</f>
        <v>#DIV/0!</v>
      </c>
      <c r="AI255" s="302"/>
      <c r="AJ255" s="303"/>
      <c r="AK255" t="e">
        <v>#DIV/0!</v>
      </c>
      <c r="AL255" s="521"/>
      <c r="AM255"/>
      <c r="AN255" s="303"/>
      <c r="AO255"/>
      <c r="AP255" s="303"/>
      <c r="AQ255" s="302"/>
      <c r="AR255" s="303"/>
      <c r="AS255" s="302"/>
      <c r="AT255" s="303"/>
      <c r="AU255"/>
      <c r="AV255" s="303"/>
      <c r="AW255" s="302"/>
      <c r="AX255" s="302"/>
      <c r="AY255" s="302"/>
      <c r="AZ255" s="303"/>
      <c r="BA255" s="302"/>
      <c r="BB255" s="302"/>
      <c r="BC255" s="302"/>
      <c r="BD255" s="302"/>
      <c r="BE255" s="302"/>
      <c r="BF255" s="302"/>
      <c r="BG255" s="302"/>
      <c r="BH255" s="302"/>
      <c r="BI255" s="302"/>
      <c r="BJ255" s="302"/>
      <c r="BM255"/>
      <c r="BS255"/>
      <c r="BY255"/>
      <c r="CA255"/>
      <c r="CC255"/>
      <c r="CI255"/>
      <c r="CO255" t="s">
        <v>8698</v>
      </c>
      <c r="CR255"/>
      <c r="CT255" s="304" t="s">
        <v>11678</v>
      </c>
    </row>
    <row r="256" spans="1:98" s="304" customFormat="1">
      <c r="A256" s="304" t="s">
        <v>8506</v>
      </c>
      <c r="B256" s="463">
        <v>111</v>
      </c>
      <c r="C256" s="296" t="s">
        <v>7729</v>
      </c>
      <c r="D256" s="296" t="s">
        <v>7555</v>
      </c>
      <c r="E256" s="296" t="s">
        <v>7729</v>
      </c>
      <c r="F256" s="296"/>
      <c r="G256" s="296" t="s">
        <v>8506</v>
      </c>
      <c r="H256" s="297" t="s">
        <v>8696</v>
      </c>
      <c r="I256" s="297">
        <v>2</v>
      </c>
      <c r="J256" s="297">
        <v>2212</v>
      </c>
      <c r="K256" s="299"/>
      <c r="L256" s="299"/>
      <c r="M256" s="299">
        <v>40</v>
      </c>
      <c r="N256" s="299">
        <v>10</v>
      </c>
      <c r="O256" s="300">
        <v>42</v>
      </c>
      <c r="P256" s="301">
        <v>42090</v>
      </c>
      <c r="Q256" s="302"/>
      <c r="R256" s="303"/>
      <c r="S256" s="289">
        <v>7</v>
      </c>
      <c r="T256" s="303">
        <v>42208</v>
      </c>
      <c r="U256" s="302"/>
      <c r="V256" s="303"/>
      <c r="W256" s="302"/>
      <c r="X256" s="303"/>
      <c r="Y256" s="302">
        <v>24.91</v>
      </c>
      <c r="Z256" s="303">
        <v>42208</v>
      </c>
      <c r="AA256">
        <v>14.4</v>
      </c>
      <c r="AB256" s="303"/>
      <c r="AC256" s="302"/>
      <c r="AD256" s="303"/>
      <c r="AE256" s="302"/>
      <c r="AF256" s="303"/>
      <c r="AG256">
        <v>73566.93989071039</v>
      </c>
      <c r="AH256" s="521">
        <f>(AK256*10000)/AM256</f>
        <v>73566.93989071039</v>
      </c>
      <c r="AI256" s="302"/>
      <c r="AJ256" s="303"/>
      <c r="AK256">
        <v>44.87583333333334</v>
      </c>
      <c r="AL256" s="521"/>
      <c r="AM256">
        <v>6.1</v>
      </c>
      <c r="AN256" s="303">
        <v>42244</v>
      </c>
      <c r="AO256">
        <v>140</v>
      </c>
      <c r="AP256" s="303">
        <v>42170</v>
      </c>
      <c r="AQ256" s="302"/>
      <c r="AR256" s="303"/>
      <c r="AS256" s="302"/>
      <c r="AT256" s="303"/>
      <c r="AU256">
        <v>107</v>
      </c>
      <c r="AV256" s="303"/>
      <c r="AW256" s="302"/>
      <c r="AX256" s="302"/>
      <c r="AY256" s="302"/>
      <c r="AZ256" s="303"/>
      <c r="BA256" s="302"/>
      <c r="BB256" s="302"/>
      <c r="BC256" s="302"/>
      <c r="BD256" s="302"/>
      <c r="BE256" s="302"/>
      <c r="BF256" s="302"/>
      <c r="BG256" s="302"/>
      <c r="BH256" s="302"/>
      <c r="BI256" s="302"/>
      <c r="BJ256" s="302"/>
      <c r="BM256">
        <v>6.5</v>
      </c>
      <c r="BS256">
        <v>51.9</v>
      </c>
      <c r="BY256">
        <v>49.5</v>
      </c>
      <c r="CA256">
        <v>19.2</v>
      </c>
      <c r="CC256">
        <v>28.2</v>
      </c>
      <c r="CI256">
        <v>5.8</v>
      </c>
      <c r="CO256" t="s">
        <v>8698</v>
      </c>
      <c r="CR256">
        <v>1</v>
      </c>
      <c r="CT256" s="304" t="s">
        <v>11678</v>
      </c>
    </row>
    <row r="257" spans="1:98" s="304" customFormat="1">
      <c r="A257" s="304" t="s">
        <v>8506</v>
      </c>
      <c r="B257" s="463">
        <v>142</v>
      </c>
      <c r="C257" s="296" t="s">
        <v>7770</v>
      </c>
      <c r="D257" s="296" t="s">
        <v>7571</v>
      </c>
      <c r="E257" s="296" t="s">
        <v>7770</v>
      </c>
      <c r="F257" s="296"/>
      <c r="G257" s="296" t="s">
        <v>8506</v>
      </c>
      <c r="H257" s="297" t="s">
        <v>8696</v>
      </c>
      <c r="I257" s="297">
        <v>2</v>
      </c>
      <c r="J257" s="297">
        <v>2272</v>
      </c>
      <c r="K257" s="299"/>
      <c r="L257" s="299"/>
      <c r="M257" s="299">
        <v>40</v>
      </c>
      <c r="N257" s="299">
        <v>11</v>
      </c>
      <c r="O257" s="300">
        <v>46</v>
      </c>
      <c r="P257" s="301">
        <v>42090</v>
      </c>
      <c r="Q257" s="302"/>
      <c r="R257" s="303"/>
      <c r="S257" s="289">
        <v>7.05</v>
      </c>
      <c r="T257" s="303">
        <v>42208</v>
      </c>
      <c r="U257" s="302"/>
      <c r="V257" s="303"/>
      <c r="W257" s="302"/>
      <c r="X257" s="303"/>
      <c r="Y257" s="302">
        <v>26.69</v>
      </c>
      <c r="Z257" s="303">
        <v>42208</v>
      </c>
      <c r="AA257">
        <v>14.4</v>
      </c>
      <c r="AB257" s="303"/>
      <c r="AC257" s="302"/>
      <c r="AD257" s="303"/>
      <c r="AE257" s="302"/>
      <c r="AF257" s="303"/>
      <c r="AG257">
        <v>99796.666666666642</v>
      </c>
      <c r="AH257" s="521">
        <f>(AK257*10000)/AM257</f>
        <v>99796.666666666642</v>
      </c>
      <c r="AI257" s="302"/>
      <c r="AJ257" s="303"/>
      <c r="AK257">
        <v>44.908499999999989</v>
      </c>
      <c r="AL257" s="521"/>
      <c r="AM257">
        <v>4.5</v>
      </c>
      <c r="AN257" s="303">
        <v>42244</v>
      </c>
      <c r="AO257">
        <v>150</v>
      </c>
      <c r="AP257" s="303">
        <v>42170</v>
      </c>
      <c r="AQ257" s="302"/>
      <c r="AR257" s="303"/>
      <c r="AS257" s="302"/>
      <c r="AT257" s="303"/>
      <c r="AU257">
        <v>103</v>
      </c>
      <c r="AV257" s="303"/>
      <c r="AW257" s="302"/>
      <c r="AX257" s="302"/>
      <c r="AY257" s="302"/>
      <c r="AZ257" s="303"/>
      <c r="BA257" s="302"/>
      <c r="BB257" s="302"/>
      <c r="BC257" s="302"/>
      <c r="BD257" s="302"/>
      <c r="BE257" s="302"/>
      <c r="BF257" s="302"/>
      <c r="BG257" s="302"/>
      <c r="BH257" s="302"/>
      <c r="BI257" s="302"/>
      <c r="BJ257" s="302"/>
      <c r="BM257">
        <v>-5.2</v>
      </c>
      <c r="BS257">
        <v>62.9</v>
      </c>
      <c r="BY257">
        <v>53</v>
      </c>
      <c r="CA257">
        <v>16.7</v>
      </c>
      <c r="CC257">
        <v>14.3</v>
      </c>
      <c r="CI257">
        <v>6.4</v>
      </c>
      <c r="CO257" t="s">
        <v>8698</v>
      </c>
      <c r="CR257">
        <v>1</v>
      </c>
      <c r="CT257" s="304" t="s">
        <v>11678</v>
      </c>
    </row>
    <row r="258" spans="1:98" s="304" customFormat="1">
      <c r="A258" s="304" t="s">
        <v>8506</v>
      </c>
      <c r="B258" s="463">
        <v>154</v>
      </c>
      <c r="C258" s="296" t="s">
        <v>7782</v>
      </c>
      <c r="D258" s="296" t="s">
        <v>7583</v>
      </c>
      <c r="E258" s="296" t="s">
        <v>7782</v>
      </c>
      <c r="F258" s="296"/>
      <c r="G258" s="296" t="s">
        <v>8506</v>
      </c>
      <c r="H258" s="297" t="s">
        <v>8696</v>
      </c>
      <c r="I258" s="297">
        <v>2</v>
      </c>
      <c r="J258" s="297">
        <v>232</v>
      </c>
      <c r="K258" s="299"/>
      <c r="L258" s="299"/>
      <c r="M258" s="299">
        <v>40</v>
      </c>
      <c r="N258" s="299">
        <v>7</v>
      </c>
      <c r="O258" s="300">
        <v>64</v>
      </c>
      <c r="P258" s="301">
        <v>42090</v>
      </c>
      <c r="Q258" s="302"/>
      <c r="R258" s="303"/>
      <c r="S258" s="289">
        <v>6.7</v>
      </c>
      <c r="T258" s="303">
        <v>42208</v>
      </c>
      <c r="U258" s="302"/>
      <c r="V258" s="303"/>
      <c r="W258" s="302"/>
      <c r="X258" s="303"/>
      <c r="Y258" s="302">
        <v>24.22</v>
      </c>
      <c r="Z258" s="303">
        <v>42208</v>
      </c>
      <c r="AA258">
        <v>14.4</v>
      </c>
      <c r="AB258" s="303"/>
      <c r="AC258" s="302"/>
      <c r="AD258" s="303"/>
      <c r="AE258" s="302"/>
      <c r="AF258" s="303"/>
      <c r="AG258">
        <v>76701.041666666672</v>
      </c>
      <c r="AH258" s="521">
        <f>(AK258*10000)/AM258</f>
        <v>76701.041666666672</v>
      </c>
      <c r="AI258" s="302"/>
      <c r="AJ258" s="303"/>
      <c r="AK258">
        <v>42.952583333333337</v>
      </c>
      <c r="AL258" s="521"/>
      <c r="AM258">
        <v>5.6</v>
      </c>
      <c r="AN258" s="303">
        <v>42244</v>
      </c>
      <c r="AO258">
        <v>130</v>
      </c>
      <c r="AP258" s="303">
        <v>42170</v>
      </c>
      <c r="AQ258" s="302"/>
      <c r="AR258" s="303"/>
      <c r="AS258" s="302"/>
      <c r="AT258" s="303"/>
      <c r="AU258">
        <v>108</v>
      </c>
      <c r="AV258" s="303"/>
      <c r="AW258" s="302"/>
      <c r="AX258" s="302"/>
      <c r="AY258" s="302"/>
      <c r="AZ258" s="303"/>
      <c r="BA258" s="302"/>
      <c r="BB258" s="302"/>
      <c r="BC258" s="302"/>
      <c r="BD258" s="302"/>
      <c r="BE258" s="302"/>
      <c r="BF258" s="302"/>
      <c r="BG258" s="302"/>
      <c r="BH258" s="302"/>
      <c r="BI258" s="302"/>
      <c r="BJ258" s="302"/>
      <c r="BM258">
        <v>-3.8</v>
      </c>
      <c r="BS258">
        <v>58.8</v>
      </c>
      <c r="BY258">
        <v>50.3</v>
      </c>
      <c r="CA258">
        <v>17.2</v>
      </c>
      <c r="CC258">
        <v>17.8</v>
      </c>
      <c r="CI258">
        <v>5.8</v>
      </c>
      <c r="CO258" t="s">
        <v>8698</v>
      </c>
      <c r="CR258">
        <v>2</v>
      </c>
      <c r="CT258" s="304" t="s">
        <v>11678</v>
      </c>
    </row>
    <row r="259" spans="1:98" s="304" customFormat="1">
      <c r="A259" s="304" t="s">
        <v>8506</v>
      </c>
      <c r="B259" s="463">
        <v>176</v>
      </c>
      <c r="C259" s="296" t="s">
        <v>7804</v>
      </c>
      <c r="D259" s="296" t="s">
        <v>7601</v>
      </c>
      <c r="E259" s="296" t="s">
        <v>7804</v>
      </c>
      <c r="F259" s="296"/>
      <c r="G259" s="296" t="s">
        <v>8506</v>
      </c>
      <c r="H259" s="297" t="s">
        <v>8696</v>
      </c>
      <c r="I259" s="297">
        <v>2</v>
      </c>
      <c r="J259" s="297">
        <v>292</v>
      </c>
      <c r="K259" s="299"/>
      <c r="L259" s="299"/>
      <c r="M259" s="299">
        <v>40</v>
      </c>
      <c r="N259" s="299">
        <v>8</v>
      </c>
      <c r="O259" s="300">
        <v>56</v>
      </c>
      <c r="P259" s="301">
        <v>42090</v>
      </c>
      <c r="Q259" s="302"/>
      <c r="R259" s="303"/>
      <c r="S259" s="289">
        <v>5.95</v>
      </c>
      <c r="T259" s="303">
        <v>42208</v>
      </c>
      <c r="U259" s="302"/>
      <c r="V259" s="303"/>
      <c r="W259" s="302"/>
      <c r="X259" s="303"/>
      <c r="Y259" s="302">
        <v>20.79</v>
      </c>
      <c r="Z259" s="303">
        <v>42208</v>
      </c>
      <c r="AA259">
        <v>14.4</v>
      </c>
      <c r="AB259" s="303"/>
      <c r="AC259" s="302"/>
      <c r="AD259" s="303"/>
      <c r="AE259" s="302"/>
      <c r="AF259" s="303"/>
      <c r="AG259">
        <v>84585.493827160491</v>
      </c>
      <c r="AH259" s="521">
        <f>(AK259*10000)/AM259</f>
        <v>84585.493827160491</v>
      </c>
      <c r="AI259" s="302"/>
      <c r="AJ259" s="303"/>
      <c r="AK259">
        <v>38.063472222222217</v>
      </c>
      <c r="AL259" s="521"/>
      <c r="AM259">
        <v>4.5</v>
      </c>
      <c r="AN259" s="303">
        <v>42244</v>
      </c>
      <c r="AO259">
        <v>115</v>
      </c>
      <c r="AP259" s="303">
        <v>42170</v>
      </c>
      <c r="AQ259" s="302"/>
      <c r="AR259" s="303"/>
      <c r="AS259" s="302"/>
      <c r="AT259" s="303"/>
      <c r="AU259">
        <v>105</v>
      </c>
      <c r="AV259" s="303"/>
      <c r="AW259" s="302"/>
      <c r="AX259" s="302"/>
      <c r="AY259" s="302"/>
      <c r="AZ259" s="303"/>
      <c r="BA259" s="302"/>
      <c r="BB259" s="302"/>
      <c r="BC259" s="302"/>
      <c r="BD259" s="302"/>
      <c r="BE259" s="302"/>
      <c r="BF259" s="302"/>
      <c r="BG259" s="302"/>
      <c r="BH259" s="302"/>
      <c r="BI259" s="302"/>
      <c r="BJ259" s="302"/>
      <c r="BM259">
        <v>-0.7</v>
      </c>
      <c r="BS259">
        <v>57.8</v>
      </c>
      <c r="BY259">
        <v>48.7</v>
      </c>
      <c r="CA259">
        <v>18.2</v>
      </c>
      <c r="CC259">
        <v>19.899999999999999</v>
      </c>
      <c r="CI259">
        <v>6</v>
      </c>
      <c r="CO259" t="s">
        <v>8698</v>
      </c>
      <c r="CR259">
        <v>2</v>
      </c>
      <c r="CT259" s="304" t="s">
        <v>11678</v>
      </c>
    </row>
    <row r="260" spans="1:98" s="304" customFormat="1">
      <c r="A260" s="304" t="s">
        <v>8506</v>
      </c>
      <c r="B260" s="463">
        <v>12</v>
      </c>
      <c r="C260" s="296" t="s">
        <v>7621</v>
      </c>
      <c r="D260" s="296" t="s">
        <v>7460</v>
      </c>
      <c r="E260" s="296" t="s">
        <v>7621</v>
      </c>
      <c r="F260" s="296"/>
      <c r="G260" s="296" t="s">
        <v>8506</v>
      </c>
      <c r="H260" s="297" t="s">
        <v>8696</v>
      </c>
      <c r="I260" s="297">
        <v>2</v>
      </c>
      <c r="J260" s="308">
        <v>2273</v>
      </c>
      <c r="K260" s="299"/>
      <c r="L260" s="299"/>
      <c r="M260" s="299">
        <v>41</v>
      </c>
      <c r="N260" s="299">
        <v>11</v>
      </c>
      <c r="O260" s="300">
        <v>63</v>
      </c>
      <c r="P260" s="301">
        <v>42090</v>
      </c>
      <c r="Q260" s="306"/>
      <c r="R260" s="303"/>
      <c r="S260" s="289">
        <v>4.8499999999999996</v>
      </c>
      <c r="T260" s="303">
        <v>42208</v>
      </c>
      <c r="U260" s="307"/>
      <c r="V260" s="303"/>
      <c r="W260" s="306"/>
      <c r="X260" s="303"/>
      <c r="Y260" s="306">
        <v>16.190000000000001</v>
      </c>
      <c r="Z260" s="303">
        <v>42208</v>
      </c>
      <c r="AA260">
        <v>14.4</v>
      </c>
      <c r="AB260" s="303"/>
      <c r="AC260" s="306"/>
      <c r="AD260" s="303"/>
      <c r="AE260" s="302"/>
      <c r="AF260" s="303"/>
      <c r="AG260">
        <v>57395.408950617275</v>
      </c>
      <c r="AH260" s="521">
        <f>(AK260*10000)/AM260</f>
        <v>57395.408950617275</v>
      </c>
      <c r="AI260" s="302"/>
      <c r="AJ260" s="303"/>
      <c r="AK260">
        <v>30.993520833333331</v>
      </c>
      <c r="AL260" s="521"/>
      <c r="AM260">
        <v>5.4</v>
      </c>
      <c r="AN260" s="303">
        <v>42244</v>
      </c>
      <c r="AO260">
        <v>125</v>
      </c>
      <c r="AP260" s="303">
        <v>42170</v>
      </c>
      <c r="AQ260" s="306"/>
      <c r="AR260" s="303"/>
      <c r="AS260" s="306"/>
      <c r="AT260" s="303"/>
      <c r="AU260">
        <v>107</v>
      </c>
      <c r="AV260" s="303"/>
      <c r="AW260" s="302"/>
      <c r="AX260" s="302"/>
      <c r="AY260" s="302"/>
      <c r="AZ260" s="303"/>
      <c r="BA260" s="302"/>
      <c r="BB260" s="302"/>
      <c r="BC260" s="302"/>
      <c r="BD260" s="302"/>
      <c r="BE260" s="302"/>
      <c r="BF260" s="302"/>
      <c r="BG260" s="302"/>
      <c r="BH260" s="302"/>
      <c r="BI260" s="302"/>
      <c r="BJ260" s="302"/>
      <c r="BM260">
        <v>48.2</v>
      </c>
      <c r="BS260">
        <v>3.9</v>
      </c>
      <c r="BY260">
        <v>46.6</v>
      </c>
      <c r="CA260">
        <v>21.9</v>
      </c>
      <c r="CC260">
        <v>77.2</v>
      </c>
      <c r="CI260">
        <v>6.1</v>
      </c>
      <c r="CO260" t="s">
        <v>8698</v>
      </c>
      <c r="CR260">
        <v>4</v>
      </c>
      <c r="CT260" s="304" t="s">
        <v>11678</v>
      </c>
    </row>
    <row r="261" spans="1:98" s="304" customFormat="1">
      <c r="A261" s="304" t="s">
        <v>8506</v>
      </c>
      <c r="B261" s="463">
        <v>25</v>
      </c>
      <c r="C261" s="296" t="s">
        <v>7637</v>
      </c>
      <c r="D261" s="296" t="s">
        <v>7473</v>
      </c>
      <c r="E261" s="296" t="s">
        <v>7637</v>
      </c>
      <c r="F261" s="296"/>
      <c r="G261" s="296" t="s">
        <v>8506</v>
      </c>
      <c r="H261" s="297" t="s">
        <v>8696</v>
      </c>
      <c r="I261" s="297">
        <v>2</v>
      </c>
      <c r="J261" s="297">
        <v>293</v>
      </c>
      <c r="K261" s="299"/>
      <c r="L261" s="299"/>
      <c r="M261" s="299">
        <v>41</v>
      </c>
      <c r="N261" s="299">
        <v>8</v>
      </c>
      <c r="O261" s="300">
        <v>49</v>
      </c>
      <c r="P261" s="301">
        <v>42090</v>
      </c>
      <c r="Q261" s="302"/>
      <c r="R261" s="303"/>
      <c r="S261" s="289">
        <v>4.6500000000000004</v>
      </c>
      <c r="T261" s="303">
        <v>42208</v>
      </c>
      <c r="U261" s="302"/>
      <c r="V261" s="303"/>
      <c r="W261" s="302"/>
      <c r="X261" s="303"/>
      <c r="Y261" s="302">
        <v>15.51</v>
      </c>
      <c r="Z261" s="303">
        <v>42208</v>
      </c>
      <c r="AA261">
        <v>14.4</v>
      </c>
      <c r="AB261" s="303"/>
      <c r="AC261" s="302"/>
      <c r="AD261" s="303"/>
      <c r="AE261" s="302"/>
      <c r="AF261" s="303"/>
      <c r="AG261">
        <v>52076.827485380105</v>
      </c>
      <c r="AH261" s="521">
        <f>(AK261*10000)/AM261</f>
        <v>52076.827485380105</v>
      </c>
      <c r="AI261" s="302"/>
      <c r="AJ261" s="303"/>
      <c r="AK261">
        <v>29.683791666666664</v>
      </c>
      <c r="AL261" s="521"/>
      <c r="AM261">
        <v>5.7</v>
      </c>
      <c r="AN261" s="303">
        <v>42244</v>
      </c>
      <c r="AO261">
        <v>135</v>
      </c>
      <c r="AP261" s="303">
        <v>42170</v>
      </c>
      <c r="AQ261" s="302"/>
      <c r="AR261" s="303"/>
      <c r="AS261" s="302"/>
      <c r="AT261" s="303"/>
      <c r="AU261">
        <v>110</v>
      </c>
      <c r="AV261" s="303"/>
      <c r="AW261" s="302"/>
      <c r="AX261" s="302"/>
      <c r="AY261" s="302"/>
      <c r="AZ261" s="303"/>
      <c r="BA261" s="302"/>
      <c r="BB261" s="302"/>
      <c r="BC261" s="302"/>
      <c r="BD261" s="302"/>
      <c r="BE261" s="302"/>
      <c r="BF261" s="302"/>
      <c r="BG261" s="302"/>
      <c r="BH261" s="302"/>
      <c r="BI261" s="302"/>
      <c r="BJ261" s="302"/>
      <c r="BM261">
        <v>3.2</v>
      </c>
      <c r="BS261">
        <v>51.1</v>
      </c>
      <c r="BY261">
        <v>46.6</v>
      </c>
      <c r="CA261">
        <v>21.3</v>
      </c>
      <c r="CC261">
        <v>71.900000000000006</v>
      </c>
      <c r="CI261">
        <v>6.2</v>
      </c>
      <c r="CO261" t="s">
        <v>8698</v>
      </c>
      <c r="CR261">
        <v>1</v>
      </c>
      <c r="CT261" s="304" t="s">
        <v>11678</v>
      </c>
    </row>
    <row r="262" spans="1:98" s="304" customFormat="1">
      <c r="A262" s="304" t="s">
        <v>8506</v>
      </c>
      <c r="B262" s="463">
        <v>37</v>
      </c>
      <c r="C262" s="296" t="s">
        <v>7653</v>
      </c>
      <c r="D262" s="296" t="s">
        <v>7487</v>
      </c>
      <c r="E262" s="296" t="s">
        <v>7653</v>
      </c>
      <c r="F262" s="296"/>
      <c r="G262" s="296" t="s">
        <v>8506</v>
      </c>
      <c r="H262" s="297" t="s">
        <v>8696</v>
      </c>
      <c r="I262" s="297">
        <v>2</v>
      </c>
      <c r="J262" s="297">
        <v>2333</v>
      </c>
      <c r="K262" s="299"/>
      <c r="L262" s="299"/>
      <c r="M262" s="299">
        <v>41</v>
      </c>
      <c r="N262" s="299">
        <v>12</v>
      </c>
      <c r="O262" s="300">
        <v>67</v>
      </c>
      <c r="P262" s="301">
        <v>42090</v>
      </c>
      <c r="Q262" s="302"/>
      <c r="R262" s="303"/>
      <c r="S262" s="289">
        <v>4.3</v>
      </c>
      <c r="T262" s="303">
        <v>42208</v>
      </c>
      <c r="U262" s="302"/>
      <c r="V262" s="303"/>
      <c r="W262" s="302"/>
      <c r="X262" s="303"/>
      <c r="Y262" s="302">
        <v>14.07</v>
      </c>
      <c r="Z262" s="303">
        <v>42208</v>
      </c>
      <c r="AA262">
        <v>14.4</v>
      </c>
      <c r="AB262" s="303"/>
      <c r="AC262" s="302"/>
      <c r="AD262" s="303"/>
      <c r="AE262" s="302"/>
      <c r="AF262" s="303"/>
      <c r="AG262">
        <v>45095.173041894348</v>
      </c>
      <c r="AH262" s="521">
        <f>(AK262*10000)/AM262</f>
        <v>45095.173041894348</v>
      </c>
      <c r="AI262" s="302"/>
      <c r="AJ262" s="303"/>
      <c r="AK262">
        <v>27.508055555555551</v>
      </c>
      <c r="AL262" s="521"/>
      <c r="AM262">
        <v>6.1</v>
      </c>
      <c r="AN262" s="303">
        <v>42244</v>
      </c>
      <c r="AO262">
        <v>140</v>
      </c>
      <c r="AP262" s="303">
        <v>42170</v>
      </c>
      <c r="AQ262" s="302"/>
      <c r="AR262" s="303"/>
      <c r="AS262" s="302"/>
      <c r="AT262" s="303"/>
      <c r="AU262">
        <v>107</v>
      </c>
      <c r="AV262" s="303"/>
      <c r="AW262" s="302"/>
      <c r="AX262" s="302"/>
      <c r="AY262" s="302"/>
      <c r="AZ262" s="303"/>
      <c r="BA262" s="302"/>
      <c r="BB262" s="302"/>
      <c r="BC262" s="302"/>
      <c r="BD262" s="302"/>
      <c r="BE262" s="302"/>
      <c r="BF262" s="302"/>
      <c r="BG262" s="302"/>
      <c r="BH262" s="302"/>
      <c r="BI262" s="302"/>
      <c r="BJ262" s="302"/>
      <c r="BM262">
        <v>3.8</v>
      </c>
      <c r="BS262">
        <v>50.7</v>
      </c>
      <c r="BY262">
        <v>45.6</v>
      </c>
      <c r="CA262">
        <v>22.8</v>
      </c>
      <c r="CC262">
        <v>39.5</v>
      </c>
      <c r="CI262">
        <v>6</v>
      </c>
      <c r="CO262" t="s">
        <v>8698</v>
      </c>
      <c r="CR262">
        <v>3</v>
      </c>
      <c r="CT262" s="304" t="s">
        <v>11678</v>
      </c>
    </row>
    <row r="263" spans="1:98" s="304" customFormat="1">
      <c r="A263" s="304" t="s">
        <v>8506</v>
      </c>
      <c r="B263" s="463">
        <v>106</v>
      </c>
      <c r="C263" s="296" t="s">
        <v>7724</v>
      </c>
      <c r="D263" s="296" t="s">
        <v>7818</v>
      </c>
      <c r="E263" s="296" t="s">
        <v>7724</v>
      </c>
      <c r="F263" s="296"/>
      <c r="G263" s="296" t="s">
        <v>8506</v>
      </c>
      <c r="H263" s="297" t="s">
        <v>8697</v>
      </c>
      <c r="I263" s="297">
        <v>1</v>
      </c>
      <c r="J263" s="297">
        <v>1333</v>
      </c>
      <c r="K263" s="299"/>
      <c r="L263" s="299"/>
      <c r="M263" s="299">
        <v>41</v>
      </c>
      <c r="N263" s="299">
        <v>6</v>
      </c>
      <c r="O263" s="300">
        <v>48</v>
      </c>
      <c r="P263" s="301">
        <v>42090</v>
      </c>
      <c r="Q263" s="302"/>
      <c r="R263" s="303"/>
      <c r="S263" s="289">
        <v>6.65</v>
      </c>
      <c r="T263" s="303">
        <v>42208</v>
      </c>
      <c r="U263" s="302"/>
      <c r="V263" s="303"/>
      <c r="W263" s="302"/>
      <c r="X263" s="303"/>
      <c r="Y263" s="302">
        <v>24.96</v>
      </c>
      <c r="Z263" s="303">
        <v>42208</v>
      </c>
      <c r="AA263">
        <v>14.4</v>
      </c>
      <c r="AB263" s="303"/>
      <c r="AC263" s="302"/>
      <c r="AD263" s="303"/>
      <c r="AE263" s="302"/>
      <c r="AF263" s="303"/>
      <c r="AG263">
        <v>86542.361111111109</v>
      </c>
      <c r="AH263" s="521">
        <f>(AK263*10000)/AM263</f>
        <v>86542.361111111109</v>
      </c>
      <c r="AI263" s="302"/>
      <c r="AJ263" s="303"/>
      <c r="AK263">
        <v>42.405756944444448</v>
      </c>
      <c r="AL263" s="521"/>
      <c r="AM263">
        <v>4.9000000000000004</v>
      </c>
      <c r="AN263" s="303">
        <v>42244</v>
      </c>
      <c r="AO263">
        <v>130</v>
      </c>
      <c r="AP263" s="303">
        <v>42170</v>
      </c>
      <c r="AQ263" s="302"/>
      <c r="AR263" s="303"/>
      <c r="AS263" s="302"/>
      <c r="AT263" s="303"/>
      <c r="AU263">
        <v>107</v>
      </c>
      <c r="AV263" s="303"/>
      <c r="AW263" s="302"/>
      <c r="AX263" s="302"/>
      <c r="AY263" s="302"/>
      <c r="AZ263" s="303"/>
      <c r="BA263" s="302"/>
      <c r="BB263" s="302"/>
      <c r="BC263" s="302"/>
      <c r="BD263" s="302"/>
      <c r="BE263" s="302"/>
      <c r="BF263" s="302"/>
      <c r="BG263" s="302"/>
      <c r="BH263" s="302"/>
      <c r="BI263" s="302"/>
      <c r="BJ263" s="302"/>
      <c r="BM263">
        <v>-3.7</v>
      </c>
      <c r="BS263">
        <v>66.5</v>
      </c>
      <c r="BY263">
        <v>52.5</v>
      </c>
      <c r="CA263">
        <v>16.899999999999999</v>
      </c>
      <c r="CC263">
        <v>17.8</v>
      </c>
      <c r="CI263">
        <v>6.3</v>
      </c>
      <c r="CO263" t="s">
        <v>8698</v>
      </c>
      <c r="CR263">
        <v>1</v>
      </c>
      <c r="CT263" s="304" t="s">
        <v>11678</v>
      </c>
    </row>
    <row r="264" spans="1:98" s="304" customFormat="1">
      <c r="A264" s="304" t="s">
        <v>8506</v>
      </c>
      <c r="B264" s="463">
        <v>52</v>
      </c>
      <c r="C264" s="296" t="s">
        <v>7670</v>
      </c>
      <c r="D264" s="296" t="s">
        <v>7502</v>
      </c>
      <c r="E264" s="296" t="s">
        <v>7670</v>
      </c>
      <c r="F264" s="296"/>
      <c r="G264" s="296" t="s">
        <v>8506</v>
      </c>
      <c r="H264" s="297" t="s">
        <v>8697</v>
      </c>
      <c r="I264" s="297">
        <v>1</v>
      </c>
      <c r="J264" s="297">
        <v>134</v>
      </c>
      <c r="K264" s="299"/>
      <c r="L264" s="299"/>
      <c r="M264" s="299">
        <v>42</v>
      </c>
      <c r="N264" s="299">
        <v>1</v>
      </c>
      <c r="O264" s="300">
        <v>41</v>
      </c>
      <c r="P264" s="301">
        <v>42090</v>
      </c>
      <c r="Q264" s="302"/>
      <c r="R264" s="303"/>
      <c r="S264" s="289">
        <v>4.45</v>
      </c>
      <c r="T264" s="303">
        <v>42208</v>
      </c>
      <c r="U264" s="302"/>
      <c r="V264" s="303"/>
      <c r="W264" s="302"/>
      <c r="X264" s="303"/>
      <c r="Y264" s="302">
        <v>17.13</v>
      </c>
      <c r="Z264" s="303">
        <v>42208</v>
      </c>
      <c r="AA264">
        <v>14.4</v>
      </c>
      <c r="AB264" s="303"/>
      <c r="AC264" s="302"/>
      <c r="AD264" s="303"/>
      <c r="AE264" s="302"/>
      <c r="AF264" s="303"/>
      <c r="AG264">
        <v>59496.860532407409</v>
      </c>
      <c r="AH264" s="521">
        <f>(AK264*10000)/AM264</f>
        <v>59496.860532407409</v>
      </c>
      <c r="AI264" s="302"/>
      <c r="AJ264" s="303"/>
      <c r="AK264">
        <v>28.558493055555555</v>
      </c>
      <c r="AL264" s="521"/>
      <c r="AM264">
        <v>4.8</v>
      </c>
      <c r="AN264" s="303">
        <v>42244</v>
      </c>
      <c r="AO264">
        <v>130</v>
      </c>
      <c r="AP264" s="303">
        <v>42170</v>
      </c>
      <c r="AQ264" s="302"/>
      <c r="AR264" s="303"/>
      <c r="AS264" s="302"/>
      <c r="AT264" s="303"/>
      <c r="AU264">
        <v>107</v>
      </c>
      <c r="AV264" s="303"/>
      <c r="AW264" s="302"/>
      <c r="AX264" s="302"/>
      <c r="AY264" s="302"/>
      <c r="AZ264" s="303"/>
      <c r="BA264" s="302"/>
      <c r="BB264" s="302"/>
      <c r="BC264" s="302"/>
      <c r="BD264" s="302"/>
      <c r="BE264" s="302"/>
      <c r="BF264" s="302"/>
      <c r="BG264" s="302"/>
      <c r="BH264" s="302"/>
      <c r="BI264" s="302"/>
      <c r="BJ264" s="302"/>
      <c r="BM264">
        <v>-2.2999999999999998</v>
      </c>
      <c r="BS264">
        <v>66.599999999999994</v>
      </c>
      <c r="BY264">
        <v>53.5</v>
      </c>
      <c r="CA264">
        <v>15.1</v>
      </c>
      <c r="CC264">
        <v>12.7</v>
      </c>
      <c r="CI264">
        <v>5.7</v>
      </c>
      <c r="CO264" t="s">
        <v>8702</v>
      </c>
      <c r="CR264">
        <v>2</v>
      </c>
      <c r="CT264" s="304" t="s">
        <v>11677</v>
      </c>
    </row>
    <row r="265" spans="1:98" s="304" customFormat="1">
      <c r="A265" s="304" t="s">
        <v>8506</v>
      </c>
      <c r="B265" s="463">
        <v>78</v>
      </c>
      <c r="C265" s="296" t="s">
        <v>7696</v>
      </c>
      <c r="D265" s="296" t="s">
        <v>7525</v>
      </c>
      <c r="E265" s="296" t="s">
        <v>7696</v>
      </c>
      <c r="F265" s="296"/>
      <c r="G265" s="296" t="s">
        <v>8506</v>
      </c>
      <c r="H265" s="297" t="s">
        <v>8697</v>
      </c>
      <c r="I265" s="297">
        <v>1</v>
      </c>
      <c r="J265" s="297">
        <v>1274</v>
      </c>
      <c r="K265" s="299"/>
      <c r="L265" s="299"/>
      <c r="M265" s="299">
        <v>42</v>
      </c>
      <c r="N265" s="299">
        <v>5</v>
      </c>
      <c r="O265" s="300">
        <v>38</v>
      </c>
      <c r="P265" s="301">
        <v>42090</v>
      </c>
      <c r="Q265" s="302"/>
      <c r="R265" s="303"/>
      <c r="S265" s="289">
        <v>5.3</v>
      </c>
      <c r="T265" s="303">
        <v>42208</v>
      </c>
      <c r="U265" s="302"/>
      <c r="V265" s="303"/>
      <c r="W265" s="302"/>
      <c r="X265" s="303"/>
      <c r="Y265" s="302">
        <v>19.52</v>
      </c>
      <c r="Z265" s="303">
        <v>42208</v>
      </c>
      <c r="AA265">
        <v>14.4</v>
      </c>
      <c r="AB265" s="303"/>
      <c r="AC265" s="302"/>
      <c r="AD265" s="303"/>
      <c r="AE265" s="302"/>
      <c r="AF265" s="303"/>
      <c r="AG265">
        <v>67882.694444444438</v>
      </c>
      <c r="AH265" s="521">
        <f>(AK265*10000)/AM265</f>
        <v>67882.694444444438</v>
      </c>
      <c r="AI265" s="302"/>
      <c r="AJ265" s="303"/>
      <c r="AK265">
        <v>33.94134722222222</v>
      </c>
      <c r="AL265" s="521"/>
      <c r="AM265">
        <v>5</v>
      </c>
      <c r="AN265" s="303">
        <v>42244</v>
      </c>
      <c r="AO265">
        <v>140</v>
      </c>
      <c r="AP265" s="303">
        <v>42170</v>
      </c>
      <c r="AQ265" s="302"/>
      <c r="AR265" s="303"/>
      <c r="AS265" s="302"/>
      <c r="AT265" s="303"/>
      <c r="AU265">
        <v>102</v>
      </c>
      <c r="AV265" s="303"/>
      <c r="AW265" s="302"/>
      <c r="AX265" s="302"/>
      <c r="AY265" s="302"/>
      <c r="AZ265" s="303"/>
      <c r="BA265" s="302"/>
      <c r="BB265" s="302"/>
      <c r="BC265" s="302"/>
      <c r="BD265" s="302"/>
      <c r="BE265" s="302"/>
      <c r="BF265" s="302"/>
      <c r="BG265" s="302"/>
      <c r="BH265" s="302"/>
      <c r="BI265" s="302"/>
      <c r="BJ265" s="302"/>
      <c r="BM265">
        <v>4.5</v>
      </c>
      <c r="BS265">
        <v>58.7</v>
      </c>
      <c r="BY265">
        <v>51.3</v>
      </c>
      <c r="CA265">
        <v>16</v>
      </c>
      <c r="CC265">
        <v>20</v>
      </c>
      <c r="CI265">
        <v>5.9</v>
      </c>
      <c r="CO265" t="s">
        <v>8698</v>
      </c>
      <c r="CR265">
        <v>2</v>
      </c>
      <c r="CT265" s="304" t="s">
        <v>11678</v>
      </c>
    </row>
    <row r="266" spans="1:98" s="304" customFormat="1">
      <c r="A266" s="304" t="s">
        <v>8506</v>
      </c>
      <c r="B266" s="463">
        <v>124</v>
      </c>
      <c r="C266" s="296" t="s">
        <v>7751</v>
      </c>
      <c r="D266" s="296" t="s">
        <v>7562</v>
      </c>
      <c r="E266" s="296" t="s">
        <v>7751</v>
      </c>
      <c r="F266" s="296"/>
      <c r="G266" s="296" t="s">
        <v>8506</v>
      </c>
      <c r="H266" s="297" t="s">
        <v>8697</v>
      </c>
      <c r="I266" s="297">
        <v>1</v>
      </c>
      <c r="J266" s="297">
        <v>1334</v>
      </c>
      <c r="K266" s="299"/>
      <c r="L266" s="299"/>
      <c r="M266" s="299">
        <v>42</v>
      </c>
      <c r="N266" s="299">
        <v>6</v>
      </c>
      <c r="O266" s="300">
        <v>27</v>
      </c>
      <c r="P266" s="301">
        <v>42090</v>
      </c>
      <c r="Q266" s="302"/>
      <c r="R266" s="303"/>
      <c r="S266" s="289">
        <v>5.65</v>
      </c>
      <c r="T266" s="303">
        <v>42208</v>
      </c>
      <c r="U266" s="302"/>
      <c r="V266" s="303"/>
      <c r="W266" s="302"/>
      <c r="X266" s="303"/>
      <c r="Y266" s="302">
        <v>21.66</v>
      </c>
      <c r="Z266" s="303">
        <v>42208</v>
      </c>
      <c r="AA266">
        <v>14.4</v>
      </c>
      <c r="AB266" s="303"/>
      <c r="AC266" s="302"/>
      <c r="AD266" s="303"/>
      <c r="AE266" s="302"/>
      <c r="AF266" s="303"/>
      <c r="AG266">
        <v>70795.792483660145</v>
      </c>
      <c r="AH266" s="521">
        <f>(AK266*10000)/AM266</f>
        <v>70795.792483660145</v>
      </c>
      <c r="AI266" s="302"/>
      <c r="AJ266" s="303"/>
      <c r="AK266">
        <v>36.105854166666667</v>
      </c>
      <c r="AL266" s="521"/>
      <c r="AM266">
        <v>5.0999999999999996</v>
      </c>
      <c r="AN266" s="303">
        <v>42244</v>
      </c>
      <c r="AO266">
        <v>135</v>
      </c>
      <c r="AP266" s="303">
        <v>42170</v>
      </c>
      <c r="AQ266" s="302"/>
      <c r="AR266" s="303"/>
      <c r="AS266" s="302"/>
      <c r="AT266" s="303"/>
      <c r="AU266">
        <v>104</v>
      </c>
      <c r="AV266" s="303"/>
      <c r="AW266" s="302"/>
      <c r="AX266" s="302"/>
      <c r="AY266" s="302"/>
      <c r="AZ266" s="303"/>
      <c r="BA266" s="302"/>
      <c r="BB266" s="302"/>
      <c r="BC266" s="302"/>
      <c r="BD266" s="302"/>
      <c r="BE266" s="302"/>
      <c r="BF266" s="302"/>
      <c r="BG266" s="302"/>
      <c r="BH266" s="302"/>
      <c r="BI266" s="302"/>
      <c r="BJ266" s="302"/>
      <c r="BM266">
        <v>-5.6</v>
      </c>
      <c r="BS266">
        <v>63.3</v>
      </c>
      <c r="BY266">
        <v>53.5</v>
      </c>
      <c r="CA266">
        <v>15.8</v>
      </c>
      <c r="CC266">
        <v>14.7</v>
      </c>
      <c r="CI266">
        <v>6.1</v>
      </c>
      <c r="CO266" t="s">
        <v>8698</v>
      </c>
      <c r="CR266">
        <v>2</v>
      </c>
      <c r="CT266" s="304" t="s">
        <v>11678</v>
      </c>
    </row>
    <row r="267" spans="1:98" s="304" customFormat="1">
      <c r="A267" s="304" t="s">
        <v>8506</v>
      </c>
      <c r="B267" s="463">
        <v>130</v>
      </c>
      <c r="C267" s="296" t="s">
        <v>7758</v>
      </c>
      <c r="D267" s="296" t="s">
        <v>7568</v>
      </c>
      <c r="E267" s="296" t="s">
        <v>7758</v>
      </c>
      <c r="F267" s="296"/>
      <c r="G267" s="296" t="s">
        <v>8506</v>
      </c>
      <c r="H267" s="297" t="s">
        <v>8697</v>
      </c>
      <c r="I267" s="297">
        <v>1</v>
      </c>
      <c r="J267" s="297">
        <v>1214</v>
      </c>
      <c r="K267" s="299"/>
      <c r="L267" s="299"/>
      <c r="M267" s="299">
        <v>42</v>
      </c>
      <c r="N267" s="299">
        <v>4</v>
      </c>
      <c r="O267" s="300">
        <v>39</v>
      </c>
      <c r="P267" s="301">
        <v>42090</v>
      </c>
      <c r="Q267" s="302"/>
      <c r="R267" s="303"/>
      <c r="S267" s="289">
        <v>4.8</v>
      </c>
      <c r="T267" s="303">
        <v>42208</v>
      </c>
      <c r="U267" s="302"/>
      <c r="V267" s="303"/>
      <c r="W267" s="302"/>
      <c r="X267" s="303"/>
      <c r="Y267" s="302">
        <v>18.71</v>
      </c>
      <c r="Z267" s="303">
        <v>42208</v>
      </c>
      <c r="AA267">
        <v>14.4</v>
      </c>
      <c r="AB267" s="303"/>
      <c r="AC267" s="302"/>
      <c r="AD267" s="303"/>
      <c r="AE267" s="302"/>
      <c r="AF267" s="303"/>
      <c r="AG267">
        <v>58988.461538461539</v>
      </c>
      <c r="AH267" s="521">
        <f>(AK267*10000)/AM267</f>
        <v>58988.461538461539</v>
      </c>
      <c r="AI267" s="302"/>
      <c r="AJ267" s="303"/>
      <c r="AK267">
        <v>30.673999999999999</v>
      </c>
      <c r="AL267" s="521"/>
      <c r="AM267">
        <v>5.2</v>
      </c>
      <c r="AN267" s="303">
        <v>42244</v>
      </c>
      <c r="AO267">
        <v>120</v>
      </c>
      <c r="AP267" s="303">
        <v>42170</v>
      </c>
      <c r="AQ267" s="302"/>
      <c r="AR267" s="303"/>
      <c r="AS267" s="302"/>
      <c r="AT267" s="303"/>
      <c r="AU267">
        <v>107</v>
      </c>
      <c r="AV267" s="303"/>
      <c r="AW267" s="302"/>
      <c r="AX267" s="302"/>
      <c r="AY267" s="302"/>
      <c r="AZ267" s="303"/>
      <c r="BA267" s="302"/>
      <c r="BB267" s="302"/>
      <c r="BC267" s="302"/>
      <c r="BD267" s="302"/>
      <c r="BE267" s="302"/>
      <c r="BF267" s="302"/>
      <c r="BG267" s="302"/>
      <c r="BH267" s="302"/>
      <c r="BI267" s="302"/>
      <c r="BJ267" s="302"/>
      <c r="BM267">
        <v>-5.3</v>
      </c>
      <c r="BS267">
        <v>64.400000000000006</v>
      </c>
      <c r="BY267">
        <v>54.4</v>
      </c>
      <c r="CA267">
        <v>14.6</v>
      </c>
      <c r="CC267">
        <v>15.6</v>
      </c>
      <c r="CI267">
        <v>6.1</v>
      </c>
      <c r="CO267" t="s">
        <v>8698</v>
      </c>
      <c r="CR267">
        <v>2</v>
      </c>
      <c r="CT267" s="304" t="s">
        <v>11678</v>
      </c>
    </row>
    <row r="268" spans="1:98" s="304" customFormat="1">
      <c r="A268" s="304" t="s">
        <v>8506</v>
      </c>
      <c r="B268" s="463">
        <v>139</v>
      </c>
      <c r="C268" s="296" t="s">
        <v>7767</v>
      </c>
      <c r="D268" s="296" t="s">
        <v>7841</v>
      </c>
      <c r="E268" s="296" t="s">
        <v>7767</v>
      </c>
      <c r="F268" s="296"/>
      <c r="G268" s="296" t="s">
        <v>8506</v>
      </c>
      <c r="H268" s="297" t="s">
        <v>8696</v>
      </c>
      <c r="I268" s="297">
        <v>2</v>
      </c>
      <c r="J268" s="297">
        <v>294</v>
      </c>
      <c r="K268" s="299"/>
      <c r="L268" s="299"/>
      <c r="M268" s="299">
        <v>42</v>
      </c>
      <c r="N268" s="299">
        <v>8</v>
      </c>
      <c r="O268" s="300">
        <v>60</v>
      </c>
      <c r="P268" s="301">
        <v>42090</v>
      </c>
      <c r="Q268" s="302"/>
      <c r="R268" s="303"/>
      <c r="S268" s="289">
        <v>6.45</v>
      </c>
      <c r="T268" s="303">
        <v>42208</v>
      </c>
      <c r="U268" s="302"/>
      <c r="V268" s="303"/>
      <c r="W268" s="302"/>
      <c r="X268" s="303"/>
      <c r="Y268" s="302">
        <v>23.01</v>
      </c>
      <c r="Z268" s="303">
        <v>42208</v>
      </c>
      <c r="AA268">
        <v>14.4</v>
      </c>
      <c r="AB268" s="303"/>
      <c r="AC268" s="302"/>
      <c r="AD268" s="303"/>
      <c r="AE268" s="302"/>
      <c r="AF268" s="303"/>
      <c r="AG268">
        <v>73447.135416666672</v>
      </c>
      <c r="AH268" s="521">
        <f>(AK268*10000)/AM268</f>
        <v>73447.135416666672</v>
      </c>
      <c r="AI268" s="302"/>
      <c r="AJ268" s="303"/>
      <c r="AK268">
        <v>41.130395833333338</v>
      </c>
      <c r="AL268" s="521"/>
      <c r="AM268">
        <v>5.6</v>
      </c>
      <c r="AN268" s="303">
        <v>42244</v>
      </c>
      <c r="AO268">
        <v>130</v>
      </c>
      <c r="AP268" s="303">
        <v>42170</v>
      </c>
      <c r="AQ268" s="302"/>
      <c r="AR268" s="303"/>
      <c r="AS268" s="302"/>
      <c r="AT268" s="303"/>
      <c r="AU268">
        <v>109</v>
      </c>
      <c r="AV268" s="303"/>
      <c r="AW268" s="302"/>
      <c r="AX268" s="302"/>
      <c r="AY268" s="302"/>
      <c r="AZ268" s="303"/>
      <c r="BA268" s="302"/>
      <c r="BB268" s="302"/>
      <c r="BC268" s="302"/>
      <c r="BD268" s="302"/>
      <c r="BE268" s="302"/>
      <c r="BF268" s="302"/>
      <c r="BG268" s="302"/>
      <c r="BH268" s="302"/>
      <c r="BI268" s="302"/>
      <c r="BJ268" s="302"/>
      <c r="BM268">
        <v>-2.5</v>
      </c>
      <c r="BS268">
        <v>62.8</v>
      </c>
      <c r="BY268">
        <v>49.9</v>
      </c>
      <c r="CA268">
        <v>19</v>
      </c>
      <c r="CC268">
        <v>19.399999999999999</v>
      </c>
      <c r="CI268">
        <v>6.3</v>
      </c>
      <c r="CO268" t="s">
        <v>8698</v>
      </c>
      <c r="CR268">
        <v>2</v>
      </c>
      <c r="CT268" s="304" t="s">
        <v>11678</v>
      </c>
    </row>
    <row r="269" spans="1:98" s="304" customFormat="1">
      <c r="A269" s="304" t="s">
        <v>8506</v>
      </c>
      <c r="B269" s="463">
        <v>146</v>
      </c>
      <c r="C269" s="296" t="s">
        <v>7774</v>
      </c>
      <c r="D269" s="296" t="s">
        <v>7575</v>
      </c>
      <c r="E269" s="296" t="s">
        <v>7774</v>
      </c>
      <c r="F269" s="296"/>
      <c r="G269" s="296" t="s">
        <v>8506</v>
      </c>
      <c r="H269" s="297" t="s">
        <v>8696</v>
      </c>
      <c r="I269" s="297">
        <v>2</v>
      </c>
      <c r="J269" s="297">
        <v>2334</v>
      </c>
      <c r="K269" s="299"/>
      <c r="L269" s="299"/>
      <c r="M269" s="299">
        <v>42</v>
      </c>
      <c r="N269" s="299">
        <v>12</v>
      </c>
      <c r="O269" s="300">
        <v>31</v>
      </c>
      <c r="P269" s="301">
        <v>42090</v>
      </c>
      <c r="Q269" s="302"/>
      <c r="R269" s="303"/>
      <c r="S269" s="289">
        <v>6.1</v>
      </c>
      <c r="T269" s="303">
        <v>42208</v>
      </c>
      <c r="U269" s="302"/>
      <c r="V269" s="303"/>
      <c r="W269" s="302"/>
      <c r="X269" s="303"/>
      <c r="Y269" s="302">
        <v>21.09</v>
      </c>
      <c r="Z269" s="303">
        <v>42208</v>
      </c>
      <c r="AA269">
        <v>14.4</v>
      </c>
      <c r="AB269" s="303"/>
      <c r="AC269" s="302"/>
      <c r="AD269" s="303"/>
      <c r="AE269" s="302"/>
      <c r="AF269" s="303"/>
      <c r="AG269">
        <v>70649.090909090897</v>
      </c>
      <c r="AH269" s="521">
        <f>(AK269*10000)/AM269</f>
        <v>70649.090909090897</v>
      </c>
      <c r="AI269" s="302"/>
      <c r="AJ269" s="303"/>
      <c r="AK269">
        <v>38.856999999999992</v>
      </c>
      <c r="AL269" s="521"/>
      <c r="AM269">
        <v>5.5</v>
      </c>
      <c r="AN269" s="303">
        <v>42244</v>
      </c>
      <c r="AO269">
        <v>125</v>
      </c>
      <c r="AP269" s="303">
        <v>42170</v>
      </c>
      <c r="AQ269" s="302"/>
      <c r="AR269" s="303"/>
      <c r="AS269" s="302"/>
      <c r="AT269" s="303"/>
      <c r="AU269">
        <v>107</v>
      </c>
      <c r="AV269" s="303"/>
      <c r="AW269" s="302"/>
      <c r="AX269" s="302"/>
      <c r="AY269" s="302"/>
      <c r="AZ269" s="303"/>
      <c r="BA269" s="302"/>
      <c r="BB269" s="302"/>
      <c r="BC269" s="302"/>
      <c r="BD269" s="302"/>
      <c r="BE269" s="302"/>
      <c r="BF269" s="302"/>
      <c r="BG269" s="302"/>
      <c r="BH269" s="302"/>
      <c r="BI269" s="302"/>
      <c r="BJ269" s="302"/>
      <c r="BM269">
        <v>-0.8</v>
      </c>
      <c r="BS269">
        <v>58.2</v>
      </c>
      <c r="BY269">
        <v>48.4</v>
      </c>
      <c r="CA269">
        <v>20.7</v>
      </c>
      <c r="CC269">
        <v>16</v>
      </c>
      <c r="CI269">
        <v>6.4</v>
      </c>
      <c r="CO269" t="s">
        <v>8698</v>
      </c>
      <c r="CR269">
        <v>1</v>
      </c>
      <c r="CT269" s="304" t="s">
        <v>11678</v>
      </c>
    </row>
    <row r="270" spans="1:98" s="304" customFormat="1">
      <c r="A270" s="304" t="s">
        <v>8506</v>
      </c>
      <c r="B270" s="463">
        <v>26</v>
      </c>
      <c r="C270" s="296" t="s">
        <v>7638</v>
      </c>
      <c r="D270" s="296" t="s">
        <v>7474</v>
      </c>
      <c r="E270" s="296" t="s">
        <v>7638</v>
      </c>
      <c r="F270" s="296"/>
      <c r="G270" s="296" t="s">
        <v>8506</v>
      </c>
      <c r="H270" s="297" t="s">
        <v>8696</v>
      </c>
      <c r="I270" s="297">
        <v>2</v>
      </c>
      <c r="J270" s="297">
        <v>2215</v>
      </c>
      <c r="K270" s="299"/>
      <c r="L270" s="299"/>
      <c r="M270" s="299">
        <v>43</v>
      </c>
      <c r="N270" s="299">
        <v>10</v>
      </c>
      <c r="O270" s="300">
        <v>52</v>
      </c>
      <c r="P270" s="301">
        <v>42090</v>
      </c>
      <c r="Q270" s="302"/>
      <c r="R270" s="303"/>
      <c r="S270" s="289">
        <v>3.6</v>
      </c>
      <c r="T270" s="303">
        <v>42208</v>
      </c>
      <c r="U270" s="302"/>
      <c r="V270" s="303"/>
      <c r="W270" s="302"/>
      <c r="X270" s="303"/>
      <c r="Y270" s="302">
        <v>11.96</v>
      </c>
      <c r="Z270" s="303">
        <v>42208</v>
      </c>
      <c r="AA270">
        <v>14.4</v>
      </c>
      <c r="AB270" s="303"/>
      <c r="AC270" s="302"/>
      <c r="AD270" s="303"/>
      <c r="AE270" s="302"/>
      <c r="AF270" s="303"/>
      <c r="AG270">
        <v>37066.129032258061</v>
      </c>
      <c r="AH270" s="521">
        <f>(AK270*10000)/AM270</f>
        <v>37066.129032258061</v>
      </c>
      <c r="AI270" s="302"/>
      <c r="AJ270" s="303"/>
      <c r="AK270">
        <v>22.980999999999998</v>
      </c>
      <c r="AL270" s="521"/>
      <c r="AM270">
        <v>6.2</v>
      </c>
      <c r="AN270" s="303">
        <v>42244</v>
      </c>
      <c r="AO270">
        <v>135</v>
      </c>
      <c r="AP270" s="303">
        <v>42170</v>
      </c>
      <c r="AQ270" s="302"/>
      <c r="AR270" s="303"/>
      <c r="AS270" s="302"/>
      <c r="AT270" s="303"/>
      <c r="AU270">
        <v>110</v>
      </c>
      <c r="AV270" s="303"/>
      <c r="AW270" s="302"/>
      <c r="AX270" s="302"/>
      <c r="AY270" s="302"/>
      <c r="AZ270" s="303"/>
      <c r="BA270" s="302"/>
      <c r="BB270" s="302"/>
      <c r="BC270" s="302"/>
      <c r="BD270" s="302"/>
      <c r="BE270" s="302"/>
      <c r="BF270" s="302"/>
      <c r="BG270" s="302"/>
      <c r="BH270" s="302"/>
      <c r="BI270" s="302"/>
      <c r="BJ270" s="302"/>
      <c r="BM270">
        <v>4.3</v>
      </c>
      <c r="BS270">
        <v>46.7</v>
      </c>
      <c r="BY270">
        <v>46.4</v>
      </c>
      <c r="CA270">
        <v>22.9</v>
      </c>
      <c r="CC270">
        <v>69.2</v>
      </c>
      <c r="CI270">
        <v>6.2</v>
      </c>
      <c r="CO270" t="s">
        <v>8698</v>
      </c>
      <c r="CR270">
        <v>4</v>
      </c>
      <c r="CT270" s="304" t="s">
        <v>11678</v>
      </c>
    </row>
    <row r="271" spans="1:98" s="304" customFormat="1">
      <c r="A271" s="304" t="s">
        <v>8506</v>
      </c>
      <c r="B271" s="463">
        <v>33</v>
      </c>
      <c r="C271" s="296" t="s">
        <v>7647</v>
      </c>
      <c r="D271" s="296" t="s">
        <v>7482</v>
      </c>
      <c r="E271" s="296" t="s">
        <v>7647</v>
      </c>
      <c r="F271" s="296"/>
      <c r="G271" s="296" t="s">
        <v>8506</v>
      </c>
      <c r="H271" s="297" t="s">
        <v>8697</v>
      </c>
      <c r="I271" s="297">
        <v>1</v>
      </c>
      <c r="J271" s="297">
        <v>1275</v>
      </c>
      <c r="K271" s="299"/>
      <c r="L271" s="299"/>
      <c r="M271" s="299">
        <v>43</v>
      </c>
      <c r="N271" s="299">
        <v>5</v>
      </c>
      <c r="O271" s="300">
        <v>49</v>
      </c>
      <c r="P271" s="301">
        <v>42090</v>
      </c>
      <c r="Q271" s="302"/>
      <c r="R271" s="303"/>
      <c r="S271" s="289">
        <v>4.3</v>
      </c>
      <c r="T271" s="303">
        <v>42208</v>
      </c>
      <c r="U271" s="302"/>
      <c r="V271" s="303"/>
      <c r="W271" s="302"/>
      <c r="X271" s="303"/>
      <c r="Y271" s="302">
        <v>14.94</v>
      </c>
      <c r="Z271" s="303">
        <v>42208</v>
      </c>
      <c r="AA271">
        <v>14.4</v>
      </c>
      <c r="AB271" s="303"/>
      <c r="AC271" s="302"/>
      <c r="AD271" s="303"/>
      <c r="AE271" s="302"/>
      <c r="AF271" s="303"/>
      <c r="AG271">
        <v>58091.93262411347</v>
      </c>
      <c r="AH271" s="521">
        <f>(AK271*10000)/AM271</f>
        <v>58091.93262411347</v>
      </c>
      <c r="AI271" s="302"/>
      <c r="AJ271" s="303"/>
      <c r="AK271">
        <v>27.30320833333333</v>
      </c>
      <c r="AL271" s="521"/>
      <c r="AM271">
        <v>4.7</v>
      </c>
      <c r="AN271" s="303">
        <v>42244</v>
      </c>
      <c r="AO271">
        <v>130</v>
      </c>
      <c r="AP271" s="303">
        <v>42170</v>
      </c>
      <c r="AQ271" s="302"/>
      <c r="AR271" s="303"/>
      <c r="AS271" s="302"/>
      <c r="AT271" s="303"/>
      <c r="AU271">
        <v>108</v>
      </c>
      <c r="AV271" s="303"/>
      <c r="AW271" s="302"/>
      <c r="AX271" s="302"/>
      <c r="AY271" s="302"/>
      <c r="AZ271" s="303"/>
      <c r="BA271" s="302"/>
      <c r="BB271" s="302"/>
      <c r="BC271" s="302"/>
      <c r="BD271" s="302"/>
      <c r="BE271" s="302"/>
      <c r="BF271" s="302"/>
      <c r="BG271" s="302"/>
      <c r="BH271" s="302"/>
      <c r="BI271" s="302"/>
      <c r="BJ271" s="302"/>
      <c r="BM271">
        <v>4.8</v>
      </c>
      <c r="BS271">
        <v>56.7</v>
      </c>
      <c r="BY271">
        <v>48.8</v>
      </c>
      <c r="CA271">
        <v>18.100000000000001</v>
      </c>
      <c r="CC271">
        <v>57.9</v>
      </c>
      <c r="CI271">
        <v>6.7</v>
      </c>
      <c r="CO271" t="s">
        <v>8698</v>
      </c>
      <c r="CR271">
        <v>4</v>
      </c>
      <c r="CT271" s="304" t="s">
        <v>11678</v>
      </c>
    </row>
    <row r="272" spans="1:98" s="304" customFormat="1">
      <c r="A272" s="304" t="s">
        <v>8506</v>
      </c>
      <c r="B272" s="463">
        <v>51</v>
      </c>
      <c r="C272" s="296" t="s">
        <v>7669</v>
      </c>
      <c r="D272" s="296" t="s">
        <v>7501</v>
      </c>
      <c r="E272" s="296" t="s">
        <v>7669</v>
      </c>
      <c r="F272" s="296"/>
      <c r="G272" s="296" t="s">
        <v>8506</v>
      </c>
      <c r="H272" s="297" t="s">
        <v>8696</v>
      </c>
      <c r="I272" s="297">
        <v>2</v>
      </c>
      <c r="J272" s="297">
        <v>235</v>
      </c>
      <c r="K272" s="299"/>
      <c r="L272" s="299"/>
      <c r="M272" s="299">
        <v>43</v>
      </c>
      <c r="N272" s="299">
        <v>7</v>
      </c>
      <c r="O272" s="300">
        <v>63</v>
      </c>
      <c r="P272" s="301">
        <v>42090</v>
      </c>
      <c r="Q272" s="302"/>
      <c r="R272" s="303"/>
      <c r="S272" s="289">
        <v>5.5</v>
      </c>
      <c r="T272" s="303">
        <v>42208</v>
      </c>
      <c r="U272" s="302"/>
      <c r="V272" s="303"/>
      <c r="W272" s="302"/>
      <c r="X272" s="303"/>
      <c r="Y272" s="302">
        <v>20.149999999999999</v>
      </c>
      <c r="Z272" s="303">
        <v>42208</v>
      </c>
      <c r="AA272">
        <v>14.4</v>
      </c>
      <c r="AB272" s="303"/>
      <c r="AC272" s="302"/>
      <c r="AD272" s="303"/>
      <c r="AE272" s="302"/>
      <c r="AF272" s="303"/>
      <c r="AG272">
        <v>65226.20884773662</v>
      </c>
      <c r="AH272" s="521">
        <f>(AK272*10000)/AM272</f>
        <v>65226.20884773662</v>
      </c>
      <c r="AI272" s="302"/>
      <c r="AJ272" s="303"/>
      <c r="AK272">
        <v>35.222152777777772</v>
      </c>
      <c r="AL272" s="521"/>
      <c r="AM272">
        <v>5.4</v>
      </c>
      <c r="AN272" s="303">
        <v>42244</v>
      </c>
      <c r="AO272">
        <v>100</v>
      </c>
      <c r="AP272" s="303">
        <v>42170</v>
      </c>
      <c r="AQ272" s="302"/>
      <c r="AR272" s="303"/>
      <c r="AS272" s="302"/>
      <c r="AT272" s="303"/>
      <c r="AU272">
        <v>104</v>
      </c>
      <c r="AV272" s="303"/>
      <c r="AW272" s="302"/>
      <c r="AX272" s="302"/>
      <c r="AY272" s="302"/>
      <c r="AZ272" s="303"/>
      <c r="BA272" s="302"/>
      <c r="BB272" s="302"/>
      <c r="BC272" s="302"/>
      <c r="BD272" s="302"/>
      <c r="BE272" s="302"/>
      <c r="BF272" s="302"/>
      <c r="BG272" s="302"/>
      <c r="BH272" s="302"/>
      <c r="BI272" s="302"/>
      <c r="BJ272" s="302"/>
      <c r="BM272">
        <v>2.2000000000000002</v>
      </c>
      <c r="BS272">
        <v>59.9</v>
      </c>
      <c r="BY272">
        <v>51</v>
      </c>
      <c r="CA272">
        <v>18.8</v>
      </c>
      <c r="CC272">
        <v>17.2</v>
      </c>
      <c r="CI272">
        <v>5.9</v>
      </c>
      <c r="CO272" t="s">
        <v>8698</v>
      </c>
      <c r="CR272">
        <v>2</v>
      </c>
      <c r="CT272" s="304" t="s">
        <v>11678</v>
      </c>
    </row>
    <row r="273" spans="1:98" s="304" customFormat="1">
      <c r="A273" s="304" t="s">
        <v>8506</v>
      </c>
      <c r="B273" s="463">
        <v>80</v>
      </c>
      <c r="C273" s="296" t="s">
        <v>7698</v>
      </c>
      <c r="D273" s="296" t="s">
        <v>7527</v>
      </c>
      <c r="E273" s="296" t="s">
        <v>7698</v>
      </c>
      <c r="F273" s="296"/>
      <c r="G273" s="296" t="s">
        <v>8506</v>
      </c>
      <c r="H273" s="297" t="s">
        <v>8696</v>
      </c>
      <c r="I273" s="297">
        <v>2</v>
      </c>
      <c r="J273" s="308">
        <v>2275</v>
      </c>
      <c r="K273" s="299"/>
      <c r="L273" s="299"/>
      <c r="M273" s="299">
        <v>43</v>
      </c>
      <c r="N273" s="299">
        <v>11</v>
      </c>
      <c r="O273" s="300">
        <v>58</v>
      </c>
      <c r="P273" s="301">
        <v>42090</v>
      </c>
      <c r="Q273" s="306"/>
      <c r="R273" s="303"/>
      <c r="S273" s="289">
        <v>5.55</v>
      </c>
      <c r="T273" s="303">
        <v>42208</v>
      </c>
      <c r="U273" s="307"/>
      <c r="V273" s="303"/>
      <c r="W273" s="306"/>
      <c r="X273" s="303"/>
      <c r="Y273" s="306">
        <v>19.78</v>
      </c>
      <c r="Z273" s="303">
        <v>42208</v>
      </c>
      <c r="AA273">
        <v>14.4</v>
      </c>
      <c r="AB273" s="303"/>
      <c r="AC273" s="306"/>
      <c r="AD273" s="303"/>
      <c r="AE273" s="302"/>
      <c r="AF273" s="303"/>
      <c r="AG273">
        <v>88383.749999999985</v>
      </c>
      <c r="AH273" s="521">
        <f>(AK273*10000)/AM273</f>
        <v>88383.749999999985</v>
      </c>
      <c r="AI273" s="302"/>
      <c r="AJ273" s="303"/>
      <c r="AK273">
        <v>35.353499999999997</v>
      </c>
      <c r="AL273" s="521"/>
      <c r="AM273">
        <v>4</v>
      </c>
      <c r="AN273" s="303">
        <v>42244</v>
      </c>
      <c r="AO273">
        <v>130</v>
      </c>
      <c r="AP273" s="303">
        <v>42170</v>
      </c>
      <c r="AQ273" s="306"/>
      <c r="AR273" s="303"/>
      <c r="AS273" s="306"/>
      <c r="AT273" s="303"/>
      <c r="AU273">
        <v>116</v>
      </c>
      <c r="AV273" s="303"/>
      <c r="AW273" s="302"/>
      <c r="AX273" s="302"/>
      <c r="AY273" s="302"/>
      <c r="AZ273" s="303"/>
      <c r="BA273" s="302"/>
      <c r="BB273" s="302"/>
      <c r="BC273" s="302"/>
      <c r="BD273" s="302"/>
      <c r="BE273" s="302"/>
      <c r="BF273" s="302"/>
      <c r="BG273" s="302"/>
      <c r="BH273" s="302"/>
      <c r="BI273" s="302"/>
      <c r="BJ273" s="302"/>
      <c r="BM273">
        <v>-2.2999999999999998</v>
      </c>
      <c r="BS273">
        <v>59.4</v>
      </c>
      <c r="BY273">
        <v>49.9</v>
      </c>
      <c r="CA273">
        <v>18.8</v>
      </c>
      <c r="CC273">
        <v>18.2</v>
      </c>
      <c r="CI273">
        <v>6.4</v>
      </c>
      <c r="CO273" t="s">
        <v>8698</v>
      </c>
      <c r="CR273">
        <v>1</v>
      </c>
      <c r="CT273" s="304" t="s">
        <v>11678</v>
      </c>
    </row>
    <row r="274" spans="1:98" s="304" customFormat="1">
      <c r="A274" s="304" t="s">
        <v>8506</v>
      </c>
      <c r="B274" s="463">
        <v>90</v>
      </c>
      <c r="C274" s="296" t="s">
        <v>7708</v>
      </c>
      <c r="D274" s="296" t="s">
        <v>7537</v>
      </c>
      <c r="E274" s="296" t="s">
        <v>7708</v>
      </c>
      <c r="F274" s="296"/>
      <c r="G274" s="296" t="s">
        <v>8506</v>
      </c>
      <c r="H274" s="297" t="s">
        <v>8697</v>
      </c>
      <c r="I274" s="297">
        <v>1</v>
      </c>
      <c r="J274" s="297">
        <v>1215</v>
      </c>
      <c r="K274" s="299"/>
      <c r="L274" s="299"/>
      <c r="M274" s="299">
        <v>43</v>
      </c>
      <c r="N274" s="299">
        <v>4</v>
      </c>
      <c r="O274" s="300">
        <v>35</v>
      </c>
      <c r="P274" s="301">
        <v>42090</v>
      </c>
      <c r="Q274" s="302"/>
      <c r="R274" s="303"/>
      <c r="S274" s="289">
        <v>4.3499999999999996</v>
      </c>
      <c r="T274" s="303">
        <v>42208</v>
      </c>
      <c r="U274" s="302"/>
      <c r="V274" s="303"/>
      <c r="W274" s="302"/>
      <c r="X274" s="303"/>
      <c r="Y274" s="302">
        <v>16.71</v>
      </c>
      <c r="Z274" s="303">
        <v>42208</v>
      </c>
      <c r="AA274">
        <v>14.4</v>
      </c>
      <c r="AB274" s="303"/>
      <c r="AC274" s="302"/>
      <c r="AD274" s="303"/>
      <c r="AE274" s="302"/>
      <c r="AF274" s="303"/>
      <c r="AG274">
        <v>58036.501736111095</v>
      </c>
      <c r="AH274" s="521">
        <f>(AK274*10000)/AM274</f>
        <v>58036.501736111095</v>
      </c>
      <c r="AI274" s="302"/>
      <c r="AJ274" s="303"/>
      <c r="AK274">
        <v>27.857520833333325</v>
      </c>
      <c r="AL274" s="521"/>
      <c r="AM274">
        <v>4.8</v>
      </c>
      <c r="AN274" s="303">
        <v>42244</v>
      </c>
      <c r="AO274">
        <v>150</v>
      </c>
      <c r="AP274" s="303">
        <v>42170</v>
      </c>
      <c r="AQ274" s="302"/>
      <c r="AR274" s="303"/>
      <c r="AS274" s="302"/>
      <c r="AT274" s="303"/>
      <c r="AU274">
        <v>108</v>
      </c>
      <c r="AV274" s="303"/>
      <c r="AW274" s="302"/>
      <c r="AX274" s="302"/>
      <c r="AY274" s="302"/>
      <c r="AZ274" s="303"/>
      <c r="BA274" s="302"/>
      <c r="BB274" s="302"/>
      <c r="BC274" s="302"/>
      <c r="BD274" s="302"/>
      <c r="BE274" s="302"/>
      <c r="BF274" s="302"/>
      <c r="BG274" s="302"/>
      <c r="BH274" s="302"/>
      <c r="BI274" s="302"/>
      <c r="BJ274" s="302"/>
      <c r="BM274">
        <v>-9.4</v>
      </c>
      <c r="BS274">
        <v>68.7</v>
      </c>
      <c r="BY274">
        <v>53.5</v>
      </c>
      <c r="CA274">
        <v>13.8</v>
      </c>
      <c r="CC274">
        <v>12</v>
      </c>
      <c r="CI274">
        <v>5.9</v>
      </c>
      <c r="CO274" t="s">
        <v>8698</v>
      </c>
      <c r="CR274">
        <v>2</v>
      </c>
      <c r="CT274" s="304" t="s">
        <v>11678</v>
      </c>
    </row>
    <row r="275" spans="1:98" s="304" customFormat="1">
      <c r="A275" s="304" t="s">
        <v>8506</v>
      </c>
      <c r="B275" s="463">
        <v>148</v>
      </c>
      <c r="C275" s="296" t="s">
        <v>7776</v>
      </c>
      <c r="D275" s="296" t="s">
        <v>7577</v>
      </c>
      <c r="E275" s="296" t="s">
        <v>7776</v>
      </c>
      <c r="F275" s="296"/>
      <c r="G275" s="296" t="s">
        <v>8506</v>
      </c>
      <c r="H275" s="297" t="s">
        <v>8696</v>
      </c>
      <c r="I275" s="297">
        <v>2</v>
      </c>
      <c r="J275" s="297">
        <v>2335</v>
      </c>
      <c r="K275" s="299"/>
      <c r="L275" s="299"/>
      <c r="M275" s="299">
        <v>43</v>
      </c>
      <c r="N275" s="299">
        <v>12</v>
      </c>
      <c r="O275" s="300">
        <v>47</v>
      </c>
      <c r="P275" s="301">
        <v>42090</v>
      </c>
      <c r="Q275" s="302"/>
      <c r="R275" s="303"/>
      <c r="S275" s="289">
        <v>5.8</v>
      </c>
      <c r="T275" s="303">
        <v>42208</v>
      </c>
      <c r="U275" s="302"/>
      <c r="V275" s="303"/>
      <c r="W275" s="302"/>
      <c r="X275" s="303"/>
      <c r="Y275" s="302">
        <v>20.47</v>
      </c>
      <c r="Z275" s="303">
        <v>42208</v>
      </c>
      <c r="AA275">
        <v>14.4</v>
      </c>
      <c r="AB275" s="303"/>
      <c r="AC275" s="302"/>
      <c r="AD275" s="303"/>
      <c r="AE275" s="302"/>
      <c r="AF275" s="303"/>
      <c r="AG275">
        <v>74365.666666666672</v>
      </c>
      <c r="AH275" s="521">
        <f>(AK275*10000)/AM275</f>
        <v>74365.666666666672</v>
      </c>
      <c r="AI275" s="302"/>
      <c r="AJ275" s="303"/>
      <c r="AK275">
        <v>37.182833333333335</v>
      </c>
      <c r="AL275" s="521"/>
      <c r="AM275">
        <v>5</v>
      </c>
      <c r="AN275" s="303">
        <v>42244</v>
      </c>
      <c r="AO275">
        <v>135</v>
      </c>
      <c r="AP275" s="303">
        <v>42170</v>
      </c>
      <c r="AQ275" s="302"/>
      <c r="AR275" s="303"/>
      <c r="AS275" s="302"/>
      <c r="AT275" s="303"/>
      <c r="AU275">
        <v>108</v>
      </c>
      <c r="AV275" s="303"/>
      <c r="AW275" s="302"/>
      <c r="AX275" s="302"/>
      <c r="AY275" s="302"/>
      <c r="AZ275" s="303"/>
      <c r="BA275" s="302"/>
      <c r="BB275" s="302"/>
      <c r="BC275" s="302"/>
      <c r="BD275" s="302"/>
      <c r="BE275" s="302"/>
      <c r="BF275" s="302"/>
      <c r="BG275" s="302"/>
      <c r="BH275" s="302"/>
      <c r="BI275" s="302"/>
      <c r="BJ275" s="302"/>
      <c r="BM275">
        <v>-0.7</v>
      </c>
      <c r="BS275">
        <v>58.2</v>
      </c>
      <c r="BY275">
        <v>49.1</v>
      </c>
      <c r="CA275">
        <v>19.2</v>
      </c>
      <c r="CC275">
        <v>16.899999999999999</v>
      </c>
      <c r="CI275">
        <v>5.8</v>
      </c>
      <c r="CO275" t="s">
        <v>8698</v>
      </c>
      <c r="CR275">
        <v>1</v>
      </c>
      <c r="CT275" s="304" t="s">
        <v>11678</v>
      </c>
    </row>
    <row r="276" spans="1:98" s="304" customFormat="1">
      <c r="A276" s="304" t="s">
        <v>8506</v>
      </c>
      <c r="B276" s="463">
        <v>34</v>
      </c>
      <c r="C276" s="296" t="s">
        <v>7648</v>
      </c>
      <c r="D276" s="296" t="s">
        <v>7483</v>
      </c>
      <c r="E276" s="296" t="s">
        <v>7648</v>
      </c>
      <c r="F276" s="296"/>
      <c r="G276" s="296" t="s">
        <v>8506</v>
      </c>
      <c r="H276" s="297" t="s">
        <v>8697</v>
      </c>
      <c r="I276" s="297">
        <v>1</v>
      </c>
      <c r="J276" s="297">
        <v>1336</v>
      </c>
      <c r="K276" s="299"/>
      <c r="L276" s="299"/>
      <c r="M276" s="299">
        <v>44</v>
      </c>
      <c r="N276" s="299">
        <v>6</v>
      </c>
      <c r="O276" s="300">
        <v>42</v>
      </c>
      <c r="P276" s="301">
        <v>42090</v>
      </c>
      <c r="Q276" s="302"/>
      <c r="R276" s="303"/>
      <c r="S276" s="289">
        <v>4.8499999999999996</v>
      </c>
      <c r="T276" s="303">
        <v>42208</v>
      </c>
      <c r="U276" s="302"/>
      <c r="V276" s="303"/>
      <c r="W276" s="302"/>
      <c r="X276" s="303"/>
      <c r="Y276" s="302">
        <v>16.670000000000002</v>
      </c>
      <c r="Z276" s="303">
        <v>42208</v>
      </c>
      <c r="AA276">
        <v>14.4</v>
      </c>
      <c r="AB276" s="303"/>
      <c r="AC276" s="302"/>
      <c r="AD276" s="303"/>
      <c r="AE276" s="302"/>
      <c r="AF276" s="303"/>
      <c r="AG276">
        <v>63184.722222222212</v>
      </c>
      <c r="AH276" s="521">
        <f>(AK276*10000)/AM276</f>
        <v>63184.722222222212</v>
      </c>
      <c r="AI276" s="302"/>
      <c r="AJ276" s="303"/>
      <c r="AK276">
        <v>30.960513888888887</v>
      </c>
      <c r="AL276" s="521"/>
      <c r="AM276">
        <v>4.9000000000000004</v>
      </c>
      <c r="AN276" s="303">
        <v>42244</v>
      </c>
      <c r="AO276">
        <v>130</v>
      </c>
      <c r="AP276" s="303">
        <v>42170</v>
      </c>
      <c r="AQ276" s="302"/>
      <c r="AR276" s="303"/>
      <c r="AS276" s="302"/>
      <c r="AT276" s="303"/>
      <c r="AU276">
        <v>107</v>
      </c>
      <c r="AV276" s="303"/>
      <c r="AW276" s="302"/>
      <c r="AX276" s="302"/>
      <c r="AY276" s="302"/>
      <c r="AZ276" s="303"/>
      <c r="BA276" s="302"/>
      <c r="BB276" s="302"/>
      <c r="BC276" s="302"/>
      <c r="BD276" s="302"/>
      <c r="BE276" s="302"/>
      <c r="BF276" s="302"/>
      <c r="BG276" s="302"/>
      <c r="BH276" s="302"/>
      <c r="BI276" s="302"/>
      <c r="BJ276" s="302"/>
      <c r="BM276">
        <v>8.6</v>
      </c>
      <c r="BS276">
        <v>51.4</v>
      </c>
      <c r="BY276">
        <v>48</v>
      </c>
      <c r="CA276">
        <v>20.399999999999999</v>
      </c>
      <c r="CC276">
        <v>69.099999999999994</v>
      </c>
      <c r="CI276">
        <v>6.2</v>
      </c>
      <c r="CO276" t="s">
        <v>8698</v>
      </c>
      <c r="CR276">
        <v>4</v>
      </c>
      <c r="CT276" s="304" t="s">
        <v>11678</v>
      </c>
    </row>
    <row r="277" spans="1:98" s="304" customFormat="1">
      <c r="A277" s="304" t="s">
        <v>8506</v>
      </c>
      <c r="B277" s="463">
        <v>63</v>
      </c>
      <c r="C277" s="296" t="s">
        <v>7681</v>
      </c>
      <c r="D277" s="296" t="s">
        <v>7511</v>
      </c>
      <c r="E277" s="296" t="s">
        <v>7681</v>
      </c>
      <c r="F277" s="296"/>
      <c r="G277" s="296" t="s">
        <v>8506</v>
      </c>
      <c r="H277" s="297" t="s">
        <v>8697</v>
      </c>
      <c r="I277" s="297">
        <v>1</v>
      </c>
      <c r="J277" s="297">
        <v>1276</v>
      </c>
      <c r="K277" s="299"/>
      <c r="L277" s="299"/>
      <c r="M277" s="299">
        <v>44</v>
      </c>
      <c r="N277" s="299">
        <v>5</v>
      </c>
      <c r="O277" s="300">
        <v>32</v>
      </c>
      <c r="P277" s="301">
        <v>42090</v>
      </c>
      <c r="Q277" s="302"/>
      <c r="R277" s="303"/>
      <c r="S277" s="289">
        <v>5.45</v>
      </c>
      <c r="T277" s="303">
        <v>42208</v>
      </c>
      <c r="U277" s="302"/>
      <c r="V277" s="303"/>
      <c r="W277" s="302"/>
      <c r="X277" s="303"/>
      <c r="Y277" s="302">
        <v>21.27</v>
      </c>
      <c r="Z277" s="303">
        <v>42208</v>
      </c>
      <c r="AA277">
        <v>14.4</v>
      </c>
      <c r="AB277" s="303"/>
      <c r="AC277" s="302"/>
      <c r="AD277" s="303"/>
      <c r="AE277" s="302"/>
      <c r="AF277" s="303"/>
      <c r="AG277">
        <v>72363.888888888891</v>
      </c>
      <c r="AH277" s="521">
        <f>(AK277*10000)/AM277</f>
        <v>72363.888888888891</v>
      </c>
      <c r="AI277" s="302"/>
      <c r="AJ277" s="303"/>
      <c r="AK277">
        <v>35.458305555555555</v>
      </c>
      <c r="AL277" s="521"/>
      <c r="AM277">
        <v>4.9000000000000004</v>
      </c>
      <c r="AN277" s="303">
        <v>42244</v>
      </c>
      <c r="AO277">
        <v>135</v>
      </c>
      <c r="AP277" s="303">
        <v>42170</v>
      </c>
      <c r="AQ277" s="302"/>
      <c r="AR277" s="303"/>
      <c r="AS277" s="302"/>
      <c r="AT277" s="303"/>
      <c r="AU277">
        <v>107</v>
      </c>
      <c r="AV277" s="303"/>
      <c r="AW277" s="302"/>
      <c r="AX277" s="302"/>
      <c r="AY277" s="302"/>
      <c r="AZ277" s="303"/>
      <c r="BA277" s="302"/>
      <c r="BB277" s="302"/>
      <c r="BC277" s="302"/>
      <c r="BD277" s="302"/>
      <c r="BE277" s="302"/>
      <c r="BF277" s="302"/>
      <c r="BG277" s="302"/>
      <c r="BH277" s="302"/>
      <c r="BI277" s="302"/>
      <c r="BJ277" s="302"/>
      <c r="BM277">
        <v>-0.3</v>
      </c>
      <c r="BS277">
        <v>61.8</v>
      </c>
      <c r="BY277">
        <v>53.5</v>
      </c>
      <c r="CA277">
        <v>16.5</v>
      </c>
      <c r="CC277">
        <v>18</v>
      </c>
      <c r="CI277">
        <v>4.4000000000000004</v>
      </c>
      <c r="CO277" t="s">
        <v>8698</v>
      </c>
      <c r="CR277">
        <v>4</v>
      </c>
      <c r="CT277" s="304" t="s">
        <v>11678</v>
      </c>
    </row>
    <row r="278" spans="1:98" s="304" customFormat="1">
      <c r="A278" s="304" t="s">
        <v>8506</v>
      </c>
      <c r="B278" s="463">
        <v>81</v>
      </c>
      <c r="C278" s="296" t="s">
        <v>7699</v>
      </c>
      <c r="D278" s="296" t="s">
        <v>7528</v>
      </c>
      <c r="E278" s="296" t="s">
        <v>7699</v>
      </c>
      <c r="F278" s="296"/>
      <c r="G278" s="296" t="s">
        <v>8506</v>
      </c>
      <c r="H278" s="297" t="s">
        <v>8697</v>
      </c>
      <c r="I278" s="297">
        <v>1</v>
      </c>
      <c r="J278" s="297">
        <v>196</v>
      </c>
      <c r="K278" s="299"/>
      <c r="L278" s="299"/>
      <c r="M278" s="299">
        <v>44</v>
      </c>
      <c r="N278" s="299">
        <v>2</v>
      </c>
      <c r="O278" s="300">
        <v>44</v>
      </c>
      <c r="P278" s="301">
        <v>42090</v>
      </c>
      <c r="Q278" s="302"/>
      <c r="R278" s="303"/>
      <c r="S278" s="289">
        <v>4.8499999999999996</v>
      </c>
      <c r="T278" s="303">
        <v>42208</v>
      </c>
      <c r="U278" s="302"/>
      <c r="V278" s="303"/>
      <c r="W278" s="302"/>
      <c r="X278" s="303"/>
      <c r="Y278" s="302">
        <v>19.2</v>
      </c>
      <c r="Z278" s="303">
        <v>42208</v>
      </c>
      <c r="AA278">
        <v>14.4</v>
      </c>
      <c r="AB278" s="303"/>
      <c r="AC278" s="302"/>
      <c r="AD278" s="303"/>
      <c r="AE278" s="302"/>
      <c r="AF278" s="303"/>
      <c r="AG278">
        <v>73715.509259259255</v>
      </c>
      <c r="AH278" s="521">
        <f>(AK278*10000)/AM278</f>
        <v>73715.509259259255</v>
      </c>
      <c r="AI278" s="302"/>
      <c r="AJ278" s="303"/>
      <c r="AK278">
        <v>30.960513888888887</v>
      </c>
      <c r="AL278" s="521"/>
      <c r="AM278">
        <v>4.2</v>
      </c>
      <c r="AN278" s="303">
        <v>42244</v>
      </c>
      <c r="AO278">
        <v>140</v>
      </c>
      <c r="AP278" s="303">
        <v>42170</v>
      </c>
      <c r="AQ278" s="302"/>
      <c r="AR278" s="303"/>
      <c r="AS278" s="302"/>
      <c r="AT278" s="303"/>
      <c r="AU278">
        <v>104</v>
      </c>
      <c r="AV278" s="303"/>
      <c r="AW278" s="302"/>
      <c r="AX278" s="302"/>
      <c r="AY278" s="302"/>
      <c r="AZ278" s="303"/>
      <c r="BA278" s="302"/>
      <c r="BB278" s="302"/>
      <c r="BC278" s="302"/>
      <c r="BD278" s="302"/>
      <c r="BE278" s="302"/>
      <c r="BF278" s="302"/>
      <c r="BG278" s="302"/>
      <c r="BH278" s="302"/>
      <c r="BI278" s="302"/>
      <c r="BJ278" s="302"/>
      <c r="BM278">
        <v>-3</v>
      </c>
      <c r="BS278">
        <v>66.099999999999994</v>
      </c>
      <c r="BY278">
        <v>55.3</v>
      </c>
      <c r="CA278">
        <v>15.5</v>
      </c>
      <c r="CC278">
        <v>14.8</v>
      </c>
      <c r="CI278">
        <v>6.2</v>
      </c>
      <c r="CO278" t="s">
        <v>8698</v>
      </c>
      <c r="CR278">
        <v>1</v>
      </c>
      <c r="CT278" s="304" t="s">
        <v>11678</v>
      </c>
    </row>
    <row r="279" spans="1:98" s="304" customFormat="1">
      <c r="A279" s="304" t="s">
        <v>8506</v>
      </c>
      <c r="B279" s="463">
        <v>101</v>
      </c>
      <c r="C279" s="296" t="s">
        <v>7719</v>
      </c>
      <c r="D279" s="296" t="s">
        <v>7546</v>
      </c>
      <c r="E279" s="296" t="s">
        <v>7719</v>
      </c>
      <c r="F279" s="296"/>
      <c r="G279" s="296" t="s">
        <v>8506</v>
      </c>
      <c r="H279" s="297" t="s">
        <v>8696</v>
      </c>
      <c r="I279" s="297">
        <v>2</v>
      </c>
      <c r="J279" s="297">
        <v>296</v>
      </c>
      <c r="K279" s="299"/>
      <c r="L279" s="299"/>
      <c r="M279" s="299">
        <v>44</v>
      </c>
      <c r="N279" s="299">
        <v>8</v>
      </c>
      <c r="O279" s="300">
        <v>65</v>
      </c>
      <c r="P279" s="301">
        <v>42090</v>
      </c>
      <c r="Q279" s="302"/>
      <c r="R279" s="303"/>
      <c r="S279" s="289">
        <v>6.15</v>
      </c>
      <c r="T279" s="303">
        <v>42208</v>
      </c>
      <c r="U279" s="302"/>
      <c r="V279" s="303"/>
      <c r="W279" s="302"/>
      <c r="X279" s="303"/>
      <c r="Y279" s="302">
        <v>21.7</v>
      </c>
      <c r="Z279" s="303">
        <v>42208</v>
      </c>
      <c r="AA279">
        <v>14.4</v>
      </c>
      <c r="AB279" s="303"/>
      <c r="AC279" s="302"/>
      <c r="AD279" s="303"/>
      <c r="AE279" s="302"/>
      <c r="AF279" s="303"/>
      <c r="AG279">
        <v>73916.037735849066</v>
      </c>
      <c r="AH279" s="521">
        <f>(AK279*10000)/AM279</f>
        <v>73916.037735849066</v>
      </c>
      <c r="AI279" s="302"/>
      <c r="AJ279" s="303"/>
      <c r="AK279">
        <v>39.1755</v>
      </c>
      <c r="AL279" s="521"/>
      <c r="AM279">
        <v>5.3</v>
      </c>
      <c r="AN279" s="303">
        <v>42244</v>
      </c>
      <c r="AO279">
        <v>105</v>
      </c>
      <c r="AP279" s="303">
        <v>42170</v>
      </c>
      <c r="AQ279" s="302"/>
      <c r="AR279" s="303"/>
      <c r="AS279" s="302"/>
      <c r="AT279" s="303"/>
      <c r="AU279">
        <v>108</v>
      </c>
      <c r="AV279" s="303"/>
      <c r="AW279" s="302"/>
      <c r="AX279" s="302"/>
      <c r="AY279" s="302"/>
      <c r="AZ279" s="303"/>
      <c r="BA279" s="302"/>
      <c r="BB279" s="302"/>
      <c r="BC279" s="302"/>
      <c r="BD279" s="302"/>
      <c r="BE279" s="302"/>
      <c r="BF279" s="302"/>
      <c r="BG279" s="302"/>
      <c r="BH279" s="302"/>
      <c r="BI279" s="302"/>
      <c r="BJ279" s="302"/>
      <c r="BM279">
        <v>-2.1</v>
      </c>
      <c r="BS279">
        <v>60.1</v>
      </c>
      <c r="BY279">
        <v>49.4</v>
      </c>
      <c r="CA279">
        <v>19.100000000000001</v>
      </c>
      <c r="CC279">
        <v>15.8</v>
      </c>
      <c r="CI279">
        <v>6.4</v>
      </c>
      <c r="CO279" t="s">
        <v>8698</v>
      </c>
      <c r="CR279">
        <v>2</v>
      </c>
      <c r="CT279" s="304" t="s">
        <v>11678</v>
      </c>
    </row>
    <row r="280" spans="1:98" s="304" customFormat="1">
      <c r="A280" s="304" t="s">
        <v>8506</v>
      </c>
      <c r="B280" s="463">
        <v>115</v>
      </c>
      <c r="C280" s="296" t="s">
        <v>7734</v>
      </c>
      <c r="D280" s="296" t="s">
        <v>7560</v>
      </c>
      <c r="E280" s="296" t="s">
        <v>7734</v>
      </c>
      <c r="F280" s="296"/>
      <c r="G280" s="296" t="s">
        <v>8506</v>
      </c>
      <c r="H280" s="297" t="s">
        <v>8697</v>
      </c>
      <c r="I280" s="297">
        <v>1</v>
      </c>
      <c r="J280" s="297">
        <v>136</v>
      </c>
      <c r="K280" s="299"/>
      <c r="L280" s="299"/>
      <c r="M280" s="299">
        <v>44</v>
      </c>
      <c r="N280" s="299">
        <v>1</v>
      </c>
      <c r="O280" s="300">
        <v>64</v>
      </c>
      <c r="P280" s="301">
        <v>42090</v>
      </c>
      <c r="Q280" s="302"/>
      <c r="R280" s="303"/>
      <c r="S280" s="289">
        <v>3.85</v>
      </c>
      <c r="T280" s="303">
        <v>42208</v>
      </c>
      <c r="U280" s="302"/>
      <c r="V280" s="303"/>
      <c r="W280" s="302"/>
      <c r="X280" s="303"/>
      <c r="Y280" s="302">
        <v>14.75</v>
      </c>
      <c r="Z280" s="303">
        <v>42208</v>
      </c>
      <c r="AA280">
        <v>14.4</v>
      </c>
      <c r="AB280" s="303"/>
      <c r="AC280" s="302"/>
      <c r="AD280" s="303"/>
      <c r="AE280" s="302"/>
      <c r="AF280" s="303"/>
      <c r="AG280">
        <v>54731.790123456783</v>
      </c>
      <c r="AH280" s="521">
        <f>(AK280*10000)/AM280</f>
        <v>54731.790123456783</v>
      </c>
      <c r="AI280" s="302"/>
      <c r="AJ280" s="303"/>
      <c r="AK280">
        <v>24.629305555555554</v>
      </c>
      <c r="AL280" s="521"/>
      <c r="AM280">
        <v>4.5</v>
      </c>
      <c r="AN280" s="303">
        <v>42244</v>
      </c>
      <c r="AO280">
        <v>130</v>
      </c>
      <c r="AP280" s="303">
        <v>42170</v>
      </c>
      <c r="AQ280" s="302"/>
      <c r="AR280" s="303"/>
      <c r="AS280" s="302"/>
      <c r="AT280" s="303"/>
      <c r="AU280">
        <v>110</v>
      </c>
      <c r="AV280" s="303"/>
      <c r="AW280" s="302"/>
      <c r="AX280" s="302"/>
      <c r="AY280" s="302"/>
      <c r="AZ280" s="303"/>
      <c r="BA280" s="302"/>
      <c r="BB280" s="302"/>
      <c r="BC280" s="302"/>
      <c r="BD280" s="302"/>
      <c r="BE280" s="302"/>
      <c r="BF280" s="302"/>
      <c r="BG280" s="302"/>
      <c r="BH280" s="302"/>
      <c r="BI280" s="302"/>
      <c r="BJ280" s="302"/>
      <c r="BM280">
        <v>42.6</v>
      </c>
      <c r="BS280">
        <v>13.8</v>
      </c>
      <c r="BY280">
        <v>53.4</v>
      </c>
      <c r="CA280">
        <v>16.399999999999999</v>
      </c>
      <c r="CC280">
        <v>55.8</v>
      </c>
      <c r="CI280">
        <v>6</v>
      </c>
      <c r="CO280" t="s">
        <v>8698</v>
      </c>
      <c r="CR280">
        <v>2</v>
      </c>
      <c r="CT280" s="304" t="s">
        <v>11678</v>
      </c>
    </row>
    <row r="281" spans="1:98" s="304" customFormat="1">
      <c r="A281" s="304" t="s">
        <v>8506</v>
      </c>
      <c r="B281" s="463">
        <v>120</v>
      </c>
      <c r="C281" s="296" t="s">
        <v>7740</v>
      </c>
      <c r="D281" s="296" t="s">
        <v>7824</v>
      </c>
      <c r="E281" s="296" t="s">
        <v>7740</v>
      </c>
      <c r="F281" s="296"/>
      <c r="G281" s="296" t="s">
        <v>8506</v>
      </c>
      <c r="H281" s="297" t="s">
        <v>8696</v>
      </c>
      <c r="I281" s="297">
        <v>2</v>
      </c>
      <c r="J281" s="297">
        <v>236</v>
      </c>
      <c r="K281" s="299"/>
      <c r="L281" s="299"/>
      <c r="M281" s="299">
        <v>44</v>
      </c>
      <c r="N281" s="299">
        <v>7</v>
      </c>
      <c r="O281" s="300">
        <v>54</v>
      </c>
      <c r="P281" s="301">
        <v>42090</v>
      </c>
      <c r="Q281" s="302"/>
      <c r="R281" s="303"/>
      <c r="S281" s="289">
        <v>5.35</v>
      </c>
      <c r="T281" s="303">
        <v>42208</v>
      </c>
      <c r="U281" s="302"/>
      <c r="V281" s="303"/>
      <c r="W281" s="302"/>
      <c r="X281" s="303"/>
      <c r="Y281" s="302">
        <v>18.25</v>
      </c>
      <c r="Z281" s="303">
        <v>42208</v>
      </c>
      <c r="AA281">
        <v>14.4</v>
      </c>
      <c r="AB281" s="303"/>
      <c r="AC281" s="302"/>
      <c r="AD281" s="303"/>
      <c r="AE281" s="302"/>
      <c r="AF281" s="303"/>
      <c r="AG281">
        <v>63042.759773662554</v>
      </c>
      <c r="AH281" s="521">
        <f>(AK281*10000)/AM281</f>
        <v>63042.759773662554</v>
      </c>
      <c r="AI281" s="302"/>
      <c r="AJ281" s="303"/>
      <c r="AK281">
        <v>34.043090277777779</v>
      </c>
      <c r="AL281" s="521"/>
      <c r="AM281">
        <v>5.4</v>
      </c>
      <c r="AN281" s="303">
        <v>42244</v>
      </c>
      <c r="AO281">
        <v>105</v>
      </c>
      <c r="AP281" s="303">
        <v>42170</v>
      </c>
      <c r="AQ281" s="302"/>
      <c r="AR281" s="303"/>
      <c r="AS281" s="302"/>
      <c r="AT281" s="303"/>
      <c r="AU281">
        <v>103</v>
      </c>
      <c r="AV281" s="303"/>
      <c r="AW281" s="302"/>
      <c r="AX281" s="302"/>
      <c r="AY281" s="302"/>
      <c r="AZ281" s="303"/>
      <c r="BA281" s="302"/>
      <c r="BB281" s="302"/>
      <c r="BC281" s="302"/>
      <c r="BD281" s="302"/>
      <c r="BE281" s="302"/>
      <c r="BF281" s="302"/>
      <c r="BG281" s="302"/>
      <c r="BH281" s="302"/>
      <c r="BI281" s="302"/>
      <c r="BJ281" s="302"/>
      <c r="BM281">
        <v>43.9</v>
      </c>
      <c r="BS281">
        <v>11.8</v>
      </c>
      <c r="BY281">
        <v>47.8</v>
      </c>
      <c r="CA281">
        <v>21.4</v>
      </c>
      <c r="CC281">
        <v>77.7</v>
      </c>
      <c r="CI281">
        <v>6.5</v>
      </c>
      <c r="CO281" t="s">
        <v>8698</v>
      </c>
      <c r="CR281">
        <v>3</v>
      </c>
      <c r="CT281" s="304" t="s">
        <v>11678</v>
      </c>
    </row>
    <row r="282" spans="1:98" s="304" customFormat="1">
      <c r="A282" s="304" t="s">
        <v>8506</v>
      </c>
      <c r="B282" s="463">
        <v>122</v>
      </c>
      <c r="C282" s="296" t="s">
        <v>7747</v>
      </c>
      <c r="D282" s="296" t="s">
        <v>7831</v>
      </c>
      <c r="E282" s="296" t="s">
        <v>7747</v>
      </c>
      <c r="F282" s="296"/>
      <c r="G282" s="296" t="s">
        <v>8506</v>
      </c>
      <c r="H282" s="297" t="s">
        <v>8697</v>
      </c>
      <c r="I282" s="297">
        <v>1</v>
      </c>
      <c r="J282" s="308">
        <v>1216</v>
      </c>
      <c r="K282" s="299"/>
      <c r="L282" s="299"/>
      <c r="M282" s="299">
        <v>44</v>
      </c>
      <c r="N282" s="299">
        <v>4</v>
      </c>
      <c r="O282" s="300">
        <v>48</v>
      </c>
      <c r="P282" s="301">
        <v>42090</v>
      </c>
      <c r="Q282" s="306"/>
      <c r="R282" s="303"/>
      <c r="S282" s="289">
        <v>3.05</v>
      </c>
      <c r="T282" s="303">
        <v>42208</v>
      </c>
      <c r="U282" s="307"/>
      <c r="V282" s="303"/>
      <c r="W282" s="306"/>
      <c r="X282" s="303"/>
      <c r="Y282" s="306">
        <v>10.9</v>
      </c>
      <c r="Z282" s="303">
        <v>42208</v>
      </c>
      <c r="AA282">
        <v>14.4</v>
      </c>
      <c r="AB282" s="303"/>
      <c r="AC282" s="306"/>
      <c r="AD282" s="303"/>
      <c r="AE282" s="302"/>
      <c r="AF282" s="303"/>
      <c r="AG282">
        <v>54429.320987654319</v>
      </c>
      <c r="AH282" s="521">
        <f>(AK282*10000)/AM282</f>
        <v>54429.320987654319</v>
      </c>
      <c r="AI282" s="302"/>
      <c r="AJ282" s="303"/>
      <c r="AK282">
        <v>19.594555555555555</v>
      </c>
      <c r="AL282" s="521"/>
      <c r="AM282">
        <v>3.6</v>
      </c>
      <c r="AN282" s="303">
        <v>42244</v>
      </c>
      <c r="AO282">
        <v>160</v>
      </c>
      <c r="AP282" s="303">
        <v>42170</v>
      </c>
      <c r="AQ282" s="306"/>
      <c r="AR282" s="303"/>
      <c r="AS282" s="306"/>
      <c r="AT282" s="303"/>
      <c r="AU282">
        <v>113</v>
      </c>
      <c r="AV282" s="303"/>
      <c r="AW282" s="302"/>
      <c r="AX282" s="302"/>
      <c r="AY282" s="302"/>
      <c r="AZ282" s="303"/>
      <c r="BA282" s="302"/>
      <c r="BB282" s="302"/>
      <c r="BC282" s="302"/>
      <c r="BD282" s="302"/>
      <c r="BE282" s="302"/>
      <c r="BF282" s="302"/>
      <c r="BG282" s="302"/>
      <c r="BH282" s="302"/>
      <c r="BI282" s="302"/>
      <c r="BJ282" s="302"/>
      <c r="BM282">
        <v>45.6</v>
      </c>
      <c r="BS282">
        <v>12.2</v>
      </c>
      <c r="BY282">
        <v>49.6</v>
      </c>
      <c r="CA282">
        <v>19.2</v>
      </c>
      <c r="CC282">
        <v>59.9</v>
      </c>
      <c r="CI282">
        <v>5.6</v>
      </c>
      <c r="CO282" t="s">
        <v>8698</v>
      </c>
      <c r="CR282">
        <v>3</v>
      </c>
      <c r="CT282" s="304" t="s">
        <v>11678</v>
      </c>
    </row>
    <row r="283" spans="1:98" s="304" customFormat="1">
      <c r="A283" s="304" t="s">
        <v>8506</v>
      </c>
      <c r="B283" s="463">
        <v>136</v>
      </c>
      <c r="C283" s="296" t="s">
        <v>7764</v>
      </c>
      <c r="D283" s="296" t="s">
        <v>7569</v>
      </c>
      <c r="E283" s="296" t="s">
        <v>7764</v>
      </c>
      <c r="F283" s="296"/>
      <c r="G283" s="296" t="s">
        <v>8506</v>
      </c>
      <c r="H283" s="297" t="s">
        <v>8696</v>
      </c>
      <c r="I283" s="297">
        <v>2</v>
      </c>
      <c r="J283" s="297">
        <v>2276</v>
      </c>
      <c r="K283" s="299"/>
      <c r="L283" s="299"/>
      <c r="M283" s="299">
        <v>44</v>
      </c>
      <c r="N283" s="299">
        <v>11</v>
      </c>
      <c r="O283" s="300">
        <v>33</v>
      </c>
      <c r="P283" s="301">
        <v>42090</v>
      </c>
      <c r="Q283" s="302"/>
      <c r="R283" s="303"/>
      <c r="S283" s="289">
        <v>6.5</v>
      </c>
      <c r="T283" s="303">
        <v>42208</v>
      </c>
      <c r="U283" s="302"/>
      <c r="V283" s="303"/>
      <c r="W283" s="302"/>
      <c r="X283" s="303"/>
      <c r="Y283" s="302">
        <v>23.65</v>
      </c>
      <c r="Z283" s="303">
        <v>42208</v>
      </c>
      <c r="AA283">
        <v>14.4</v>
      </c>
      <c r="AB283" s="303"/>
      <c r="AC283" s="302"/>
      <c r="AD283" s="303"/>
      <c r="AE283" s="302"/>
      <c r="AF283" s="303"/>
      <c r="AG283">
        <v>84409.722222222219</v>
      </c>
      <c r="AH283" s="521">
        <f>(AK283*10000)/AM283</f>
        <v>84409.722222222219</v>
      </c>
      <c r="AI283" s="302"/>
      <c r="AJ283" s="303"/>
      <c r="AK283">
        <v>41.36076388888889</v>
      </c>
      <c r="AL283" s="521"/>
      <c r="AM283">
        <v>4.9000000000000004</v>
      </c>
      <c r="AN283" s="303">
        <v>42244</v>
      </c>
      <c r="AO283">
        <v>140</v>
      </c>
      <c r="AP283" s="303">
        <v>42170</v>
      </c>
      <c r="AQ283" s="302"/>
      <c r="AR283" s="303"/>
      <c r="AS283" s="302"/>
      <c r="AT283" s="303"/>
      <c r="AU283">
        <v>113</v>
      </c>
      <c r="AV283" s="303"/>
      <c r="AW283" s="302"/>
      <c r="AX283" s="302"/>
      <c r="AY283" s="302"/>
      <c r="AZ283" s="303"/>
      <c r="BA283" s="302"/>
      <c r="BB283" s="302"/>
      <c r="BC283" s="302"/>
      <c r="BD283" s="302"/>
      <c r="BE283" s="302"/>
      <c r="BF283" s="302"/>
      <c r="BG283" s="302"/>
      <c r="BH283" s="302"/>
      <c r="BI283" s="302"/>
      <c r="BJ283" s="302"/>
      <c r="BM283">
        <v>-3.1</v>
      </c>
      <c r="BS283">
        <v>64.599999999999994</v>
      </c>
      <c r="BY283">
        <v>51</v>
      </c>
      <c r="CA283">
        <v>17.5</v>
      </c>
      <c r="CC283">
        <v>16.5</v>
      </c>
      <c r="CI283">
        <v>6.5</v>
      </c>
      <c r="CO283" t="s">
        <v>8698</v>
      </c>
      <c r="CR283">
        <v>2</v>
      </c>
      <c r="CT283" s="304" t="s">
        <v>11678</v>
      </c>
    </row>
    <row r="284" spans="1:98" s="304" customFormat="1">
      <c r="A284" s="304" t="s">
        <v>8506</v>
      </c>
      <c r="B284" s="463">
        <v>167</v>
      </c>
      <c r="C284" s="296" t="s">
        <v>7795</v>
      </c>
      <c r="D284" s="296" t="s">
        <v>7596</v>
      </c>
      <c r="E284" s="296" t="s">
        <v>7795</v>
      </c>
      <c r="F284" s="296"/>
      <c r="G284" s="296" t="s">
        <v>8506</v>
      </c>
      <c r="H284" s="297" t="s">
        <v>8696</v>
      </c>
      <c r="I284" s="297">
        <v>2</v>
      </c>
      <c r="J284" s="297">
        <v>2336</v>
      </c>
      <c r="K284" s="299"/>
      <c r="L284" s="299"/>
      <c r="M284" s="299">
        <v>44</v>
      </c>
      <c r="N284" s="299">
        <v>12</v>
      </c>
      <c r="O284" s="300">
        <v>40</v>
      </c>
      <c r="P284" s="301">
        <v>42090</v>
      </c>
      <c r="Q284" s="302"/>
      <c r="R284" s="303"/>
      <c r="S284" s="289">
        <v>6.95</v>
      </c>
      <c r="T284" s="303">
        <v>42208</v>
      </c>
      <c r="U284" s="302"/>
      <c r="V284" s="303"/>
      <c r="W284" s="302"/>
      <c r="X284" s="303"/>
      <c r="Y284" s="302">
        <v>25.02</v>
      </c>
      <c r="Z284" s="303">
        <v>42208</v>
      </c>
      <c r="AA284">
        <v>14.4</v>
      </c>
      <c r="AB284" s="303"/>
      <c r="AC284" s="302"/>
      <c r="AD284" s="303"/>
      <c r="AE284" s="302"/>
      <c r="AF284" s="303"/>
      <c r="AG284">
        <v>75036.440677966093</v>
      </c>
      <c r="AH284" s="521">
        <f>(AK284*10000)/AM284</f>
        <v>75036.440677966093</v>
      </c>
      <c r="AI284" s="302"/>
      <c r="AJ284" s="303"/>
      <c r="AK284">
        <v>44.271499999999996</v>
      </c>
      <c r="AL284" s="521"/>
      <c r="AM284">
        <v>5.9</v>
      </c>
      <c r="AN284" s="303">
        <v>42244</v>
      </c>
      <c r="AO284">
        <v>145</v>
      </c>
      <c r="AP284" s="303">
        <v>42170</v>
      </c>
      <c r="AQ284" s="302"/>
      <c r="AR284" s="303"/>
      <c r="AS284" s="302"/>
      <c r="AT284" s="303"/>
      <c r="AU284">
        <v>108</v>
      </c>
      <c r="AV284" s="303"/>
      <c r="AW284" s="302"/>
      <c r="AX284" s="302"/>
      <c r="AY284" s="302"/>
      <c r="AZ284" s="303"/>
      <c r="BA284" s="302"/>
      <c r="BB284" s="302"/>
      <c r="BC284" s="302"/>
      <c r="BD284" s="302"/>
      <c r="BE284" s="302"/>
      <c r="BF284" s="302"/>
      <c r="BG284" s="302"/>
      <c r="BH284" s="302"/>
      <c r="BI284" s="302"/>
      <c r="BJ284" s="302"/>
      <c r="BM284">
        <v>-4</v>
      </c>
      <c r="BS284">
        <v>58.9</v>
      </c>
      <c r="BY284">
        <v>50.4</v>
      </c>
      <c r="CA284">
        <v>18.8</v>
      </c>
      <c r="CC284">
        <v>18.600000000000001</v>
      </c>
      <c r="CI284">
        <v>6.4</v>
      </c>
      <c r="CO284" t="s">
        <v>8698</v>
      </c>
      <c r="CR284">
        <v>1</v>
      </c>
      <c r="CT284" s="304" t="s">
        <v>11678</v>
      </c>
    </row>
    <row r="285" spans="1:98" s="304" customFormat="1">
      <c r="A285" s="304" t="s">
        <v>8506</v>
      </c>
      <c r="B285" s="463">
        <v>13</v>
      </c>
      <c r="C285" s="296" t="s">
        <v>7622</v>
      </c>
      <c r="D285" s="296" t="s">
        <v>7813</v>
      </c>
      <c r="E285" s="296" t="s">
        <v>7622</v>
      </c>
      <c r="F285" s="296"/>
      <c r="G285" s="296" t="s">
        <v>8506</v>
      </c>
      <c r="H285" s="297" t="s">
        <v>8697</v>
      </c>
      <c r="I285" s="297">
        <v>1</v>
      </c>
      <c r="J285" s="297">
        <v>1157</v>
      </c>
      <c r="K285" s="299"/>
      <c r="L285" s="299"/>
      <c r="M285" s="299">
        <v>45</v>
      </c>
      <c r="N285" s="299">
        <v>3</v>
      </c>
      <c r="O285" s="300">
        <v>46</v>
      </c>
      <c r="P285" s="301">
        <v>42090</v>
      </c>
      <c r="Q285" s="302"/>
      <c r="R285" s="303"/>
      <c r="S285" s="289">
        <v>3.4</v>
      </c>
      <c r="T285" s="303">
        <v>42208</v>
      </c>
      <c r="U285" s="302"/>
      <c r="V285" s="303"/>
      <c r="W285" s="302"/>
      <c r="X285" s="303"/>
      <c r="Y285" s="302">
        <v>12.25</v>
      </c>
      <c r="Z285" s="303">
        <v>42208</v>
      </c>
      <c r="AA285">
        <v>14.4</v>
      </c>
      <c r="AB285" s="303"/>
      <c r="AC285" s="302"/>
      <c r="AD285" s="303"/>
      <c r="AE285" s="302"/>
      <c r="AF285" s="303"/>
      <c r="AG285">
        <v>41213.417190775683</v>
      </c>
      <c r="AH285" s="521">
        <f>(AK285*10000)/AM285</f>
        <v>41213.417190775683</v>
      </c>
      <c r="AI285" s="302"/>
      <c r="AJ285" s="303"/>
      <c r="AK285">
        <v>21.843111111111114</v>
      </c>
      <c r="AL285" s="521"/>
      <c r="AM285">
        <v>5.3</v>
      </c>
      <c r="AN285" s="303">
        <v>42244</v>
      </c>
      <c r="AO285">
        <v>130</v>
      </c>
      <c r="AP285" s="303">
        <v>42170</v>
      </c>
      <c r="AQ285" s="302"/>
      <c r="AR285" s="303"/>
      <c r="AS285" s="302"/>
      <c r="AT285" s="303"/>
      <c r="AU285">
        <v>104</v>
      </c>
      <c r="AV285" s="303"/>
      <c r="AW285" s="302"/>
      <c r="AX285" s="302"/>
      <c r="AY285" s="302"/>
      <c r="AZ285" s="303"/>
      <c r="BA285" s="302"/>
      <c r="BB285" s="302"/>
      <c r="BC285" s="302"/>
      <c r="BD285" s="302"/>
      <c r="BE285" s="302"/>
      <c r="BF285" s="302"/>
      <c r="BG285" s="302"/>
      <c r="BH285" s="302"/>
      <c r="BI285" s="302"/>
      <c r="BJ285" s="302"/>
      <c r="BM285">
        <v>20.100000000000001</v>
      </c>
      <c r="BS285">
        <v>37.299999999999997</v>
      </c>
      <c r="BY285">
        <v>50</v>
      </c>
      <c r="CA285">
        <v>19.100000000000001</v>
      </c>
      <c r="CC285">
        <v>45.6</v>
      </c>
      <c r="CI285">
        <v>5.6</v>
      </c>
      <c r="CO285" t="s">
        <v>8698</v>
      </c>
      <c r="CR285">
        <v>5</v>
      </c>
      <c r="CT285" s="304" t="s">
        <v>11678</v>
      </c>
    </row>
    <row r="286" spans="1:98" s="304" customFormat="1">
      <c r="A286" s="304" t="s">
        <v>8506</v>
      </c>
      <c r="B286" s="463">
        <v>38</v>
      </c>
      <c r="C286" s="296" t="s">
        <v>7654</v>
      </c>
      <c r="D286" s="296" t="s">
        <v>7488</v>
      </c>
      <c r="E286" s="296" t="s">
        <v>7654</v>
      </c>
      <c r="F286" s="296"/>
      <c r="G286" s="296" t="s">
        <v>8506</v>
      </c>
      <c r="H286" s="297" t="s">
        <v>8697</v>
      </c>
      <c r="I286" s="297">
        <v>1</v>
      </c>
      <c r="J286" s="308">
        <v>1337</v>
      </c>
      <c r="K286" s="299"/>
      <c r="L286" s="299"/>
      <c r="M286" s="299">
        <v>45</v>
      </c>
      <c r="N286" s="299">
        <v>6</v>
      </c>
      <c r="O286" s="300">
        <v>38</v>
      </c>
      <c r="P286" s="301">
        <v>42090</v>
      </c>
      <c r="Q286" s="306"/>
      <c r="R286" s="303"/>
      <c r="S286" s="289">
        <v>4.5999999999999996</v>
      </c>
      <c r="T286" s="303">
        <v>42208</v>
      </c>
      <c r="U286" s="307"/>
      <c r="V286" s="303"/>
      <c r="W286" s="306"/>
      <c r="X286" s="303"/>
      <c r="Y286" s="306">
        <v>16.5</v>
      </c>
      <c r="Z286" s="303">
        <v>42208</v>
      </c>
      <c r="AA286">
        <v>14.4</v>
      </c>
      <c r="AB286" s="303"/>
      <c r="AC286" s="306"/>
      <c r="AD286" s="303"/>
      <c r="AE286" s="302"/>
      <c r="AF286" s="303"/>
      <c r="AG286">
        <v>52548.611111111109</v>
      </c>
      <c r="AH286" s="521">
        <f>(AK286*10000)/AM286</f>
        <v>52548.611111111109</v>
      </c>
      <c r="AI286" s="302"/>
      <c r="AJ286" s="303"/>
      <c r="AK286">
        <v>29.427222222222216</v>
      </c>
      <c r="AL286" s="521"/>
      <c r="AM286">
        <v>5.6</v>
      </c>
      <c r="AN286" s="303">
        <v>42244</v>
      </c>
      <c r="AO286">
        <v>145</v>
      </c>
      <c r="AP286" s="303">
        <v>42170</v>
      </c>
      <c r="AQ286" s="306"/>
      <c r="AR286" s="303"/>
      <c r="AS286" s="306"/>
      <c r="AT286" s="303"/>
      <c r="AU286">
        <v>108</v>
      </c>
      <c r="AV286" s="303"/>
      <c r="AW286" s="302"/>
      <c r="AX286" s="302"/>
      <c r="AY286" s="302"/>
      <c r="AZ286" s="303"/>
      <c r="BA286" s="302"/>
      <c r="BB286" s="302"/>
      <c r="BC286" s="302"/>
      <c r="BD286" s="302"/>
      <c r="BE286" s="302"/>
      <c r="BF286" s="302"/>
      <c r="BG286" s="302"/>
      <c r="BH286" s="302"/>
      <c r="BI286" s="302"/>
      <c r="BJ286" s="302"/>
      <c r="BM286">
        <v>-1.4</v>
      </c>
      <c r="BS286">
        <v>56.8</v>
      </c>
      <c r="BY286">
        <v>50</v>
      </c>
      <c r="CA286">
        <v>18</v>
      </c>
      <c r="CC286">
        <v>59.1</v>
      </c>
      <c r="CI286">
        <v>6</v>
      </c>
      <c r="CO286" t="s">
        <v>8698</v>
      </c>
      <c r="CR286">
        <v>2</v>
      </c>
      <c r="CT286" s="304" t="s">
        <v>11678</v>
      </c>
    </row>
    <row r="287" spans="1:98" s="304" customFormat="1">
      <c r="A287" s="304" t="s">
        <v>8506</v>
      </c>
      <c r="B287" s="463">
        <v>86</v>
      </c>
      <c r="C287" s="296" t="s">
        <v>7704</v>
      </c>
      <c r="D287" s="296" t="s">
        <v>7533</v>
      </c>
      <c r="E287" s="296" t="s">
        <v>7704</v>
      </c>
      <c r="F287" s="296"/>
      <c r="G287" s="296" t="s">
        <v>8506</v>
      </c>
      <c r="H287" s="297" t="s">
        <v>8696</v>
      </c>
      <c r="I287" s="297">
        <v>2</v>
      </c>
      <c r="J287" s="297">
        <v>297</v>
      </c>
      <c r="K287" s="299"/>
      <c r="L287" s="299"/>
      <c r="M287" s="299">
        <v>45</v>
      </c>
      <c r="N287" s="299">
        <v>8</v>
      </c>
      <c r="O287" s="300">
        <v>74</v>
      </c>
      <c r="P287" s="301">
        <v>42090</v>
      </c>
      <c r="Q287" s="302"/>
      <c r="R287" s="303"/>
      <c r="S287" s="289">
        <v>5.05</v>
      </c>
      <c r="T287" s="303">
        <v>42208</v>
      </c>
      <c r="U287" s="302"/>
      <c r="V287" s="303"/>
      <c r="W287" s="302"/>
      <c r="X287" s="303"/>
      <c r="Y287" s="302">
        <v>18.05</v>
      </c>
      <c r="Z287" s="303">
        <v>42208</v>
      </c>
      <c r="AA287">
        <v>14.4</v>
      </c>
      <c r="AB287" s="303"/>
      <c r="AC287" s="302"/>
      <c r="AD287" s="303"/>
      <c r="AE287" s="302"/>
      <c r="AF287" s="303"/>
      <c r="AG287">
        <v>71103.688271604929</v>
      </c>
      <c r="AH287" s="521">
        <f>(AK287*10000)/AM287</f>
        <v>71103.688271604929</v>
      </c>
      <c r="AI287" s="302"/>
      <c r="AJ287" s="303"/>
      <c r="AK287">
        <v>31.996659722222219</v>
      </c>
      <c r="AL287" s="521"/>
      <c r="AM287">
        <v>4.5</v>
      </c>
      <c r="AN287" s="303">
        <v>42244</v>
      </c>
      <c r="AO287">
        <v>120</v>
      </c>
      <c r="AP287" s="303">
        <v>42170</v>
      </c>
      <c r="AQ287" s="302"/>
      <c r="AR287" s="303"/>
      <c r="AS287" s="302"/>
      <c r="AT287" s="303"/>
      <c r="AU287">
        <v>109</v>
      </c>
      <c r="AV287" s="303"/>
      <c r="AW287" s="302"/>
      <c r="AX287" s="302"/>
      <c r="AY287" s="302"/>
      <c r="AZ287" s="303"/>
      <c r="BA287" s="302"/>
      <c r="BB287" s="302"/>
      <c r="BC287" s="302"/>
      <c r="BD287" s="302"/>
      <c r="BE287" s="302"/>
      <c r="BF287" s="302"/>
      <c r="BG287" s="302"/>
      <c r="BH287" s="302"/>
      <c r="BI287" s="302"/>
      <c r="BJ287" s="302"/>
      <c r="BM287">
        <v>-2.4</v>
      </c>
      <c r="BS287">
        <v>61.5</v>
      </c>
      <c r="BY287">
        <v>50.3</v>
      </c>
      <c r="CA287">
        <v>19.399999999999999</v>
      </c>
      <c r="CC287">
        <v>21.9</v>
      </c>
      <c r="CI287">
        <v>6.9</v>
      </c>
      <c r="CO287" t="s">
        <v>8698</v>
      </c>
      <c r="CR287">
        <v>1</v>
      </c>
      <c r="CT287" s="304" t="s">
        <v>11678</v>
      </c>
    </row>
    <row r="288" spans="1:98" s="304" customFormat="1">
      <c r="A288" s="304" t="s">
        <v>8506</v>
      </c>
      <c r="B288" s="463">
        <v>123</v>
      </c>
      <c r="C288" s="296" t="s">
        <v>7750</v>
      </c>
      <c r="D288" s="296" t="s">
        <v>7561</v>
      </c>
      <c r="E288" s="296" t="s">
        <v>7750</v>
      </c>
      <c r="F288" s="296"/>
      <c r="G288" s="296" t="s">
        <v>8506</v>
      </c>
      <c r="H288" s="297" t="s">
        <v>8696</v>
      </c>
      <c r="I288" s="297">
        <v>2</v>
      </c>
      <c r="J288" s="297">
        <v>2217</v>
      </c>
      <c r="K288" s="299"/>
      <c r="L288" s="299"/>
      <c r="M288" s="299">
        <v>45</v>
      </c>
      <c r="N288" s="299">
        <v>10</v>
      </c>
      <c r="O288" s="300">
        <v>84</v>
      </c>
      <c r="P288" s="301">
        <v>42090</v>
      </c>
      <c r="Q288" s="302"/>
      <c r="R288" s="303"/>
      <c r="S288" s="289">
        <v>4.3499999999999996</v>
      </c>
      <c r="T288" s="303">
        <v>42208</v>
      </c>
      <c r="U288" s="302"/>
      <c r="V288" s="303"/>
      <c r="W288" s="302"/>
      <c r="X288" s="303"/>
      <c r="Y288" s="302">
        <v>15.16</v>
      </c>
      <c r="Z288" s="303">
        <v>42208</v>
      </c>
      <c r="AA288">
        <v>14.4</v>
      </c>
      <c r="AB288" s="303"/>
      <c r="AC288" s="302"/>
      <c r="AD288" s="303"/>
      <c r="AE288" s="302"/>
      <c r="AF288" s="303"/>
      <c r="AG288">
        <v>57728.124999999993</v>
      </c>
      <c r="AH288" s="521">
        <f>(AK288*10000)/AM288</f>
        <v>57728.124999999993</v>
      </c>
      <c r="AI288" s="302"/>
      <c r="AJ288" s="303"/>
      <c r="AK288">
        <v>27.709499999999991</v>
      </c>
      <c r="AL288" s="521"/>
      <c r="AM288">
        <v>4.8</v>
      </c>
      <c r="AN288" s="303">
        <v>42244</v>
      </c>
      <c r="AO288">
        <v>135</v>
      </c>
      <c r="AP288" s="303">
        <v>42170</v>
      </c>
      <c r="AQ288" s="302"/>
      <c r="AR288" s="303"/>
      <c r="AS288" s="302"/>
      <c r="AT288" s="303"/>
      <c r="AU288">
        <v>112</v>
      </c>
      <c r="AV288" s="303"/>
      <c r="AW288" s="302"/>
      <c r="AX288" s="302"/>
      <c r="AY288" s="302"/>
      <c r="AZ288" s="303"/>
      <c r="BA288" s="302"/>
      <c r="BB288" s="302"/>
      <c r="BC288" s="302"/>
      <c r="BD288" s="302"/>
      <c r="BE288" s="302"/>
      <c r="BF288" s="302"/>
      <c r="BG288" s="302"/>
      <c r="BH288" s="302"/>
      <c r="BI288" s="302"/>
      <c r="BJ288" s="302"/>
      <c r="BM288">
        <v>50.2</v>
      </c>
      <c r="BS288">
        <v>6.7</v>
      </c>
      <c r="BY288">
        <v>48.8</v>
      </c>
      <c r="CA288">
        <v>21.6</v>
      </c>
      <c r="CC288">
        <v>50.8</v>
      </c>
      <c r="CI288">
        <v>6.4</v>
      </c>
      <c r="CO288" t="s">
        <v>8698</v>
      </c>
      <c r="CR288">
        <v>3</v>
      </c>
      <c r="CT288" s="304" t="s">
        <v>11678</v>
      </c>
    </row>
    <row r="289" spans="1:98" s="304" customFormat="1">
      <c r="A289" s="304" t="s">
        <v>8506</v>
      </c>
      <c r="B289" s="463">
        <v>132</v>
      </c>
      <c r="C289" s="296" t="s">
        <v>7760</v>
      </c>
      <c r="D289" s="296" t="s">
        <v>7835</v>
      </c>
      <c r="E289" s="296" t="s">
        <v>7760</v>
      </c>
      <c r="F289" s="296"/>
      <c r="G289" s="296" t="s">
        <v>8506</v>
      </c>
      <c r="H289" s="297" t="s">
        <v>8697</v>
      </c>
      <c r="I289" s="297">
        <v>1</v>
      </c>
      <c r="J289" s="297">
        <v>1277</v>
      </c>
      <c r="K289" s="299"/>
      <c r="L289" s="299"/>
      <c r="M289" s="299">
        <v>45</v>
      </c>
      <c r="N289" s="299">
        <v>5</v>
      </c>
      <c r="O289" s="300">
        <v>30</v>
      </c>
      <c r="P289" s="301">
        <v>42090</v>
      </c>
      <c r="Q289" s="302"/>
      <c r="R289" s="303"/>
      <c r="S289" s="289">
        <v>4.75</v>
      </c>
      <c r="T289" s="303">
        <v>42208</v>
      </c>
      <c r="U289" s="302"/>
      <c r="V289" s="303"/>
      <c r="W289" s="302"/>
      <c r="X289" s="303"/>
      <c r="Y289" s="302">
        <v>18.73</v>
      </c>
      <c r="Z289" s="303">
        <v>42208</v>
      </c>
      <c r="AA289">
        <v>14.4</v>
      </c>
      <c r="AB289" s="303"/>
      <c r="AC289" s="302"/>
      <c r="AD289" s="303"/>
      <c r="AE289" s="302"/>
      <c r="AF289" s="303"/>
      <c r="AG289">
        <v>64515.218676122924</v>
      </c>
      <c r="AH289" s="521">
        <f>(AK289*10000)/AM289</f>
        <v>64515.218676122924</v>
      </c>
      <c r="AI289" s="302"/>
      <c r="AJ289" s="303"/>
      <c r="AK289">
        <v>30.322152777777777</v>
      </c>
      <c r="AL289" s="521"/>
      <c r="AM289">
        <v>4.7</v>
      </c>
      <c r="AN289" s="303">
        <v>42244</v>
      </c>
      <c r="AO289">
        <v>130</v>
      </c>
      <c r="AP289" s="303">
        <v>42170</v>
      </c>
      <c r="AQ289" s="302"/>
      <c r="AR289" s="303"/>
      <c r="AS289" s="302"/>
      <c r="AT289" s="303"/>
      <c r="AU289">
        <v>102</v>
      </c>
      <c r="AV289" s="303"/>
      <c r="AW289" s="302"/>
      <c r="AX289" s="302"/>
      <c r="AY289" s="302"/>
      <c r="AZ289" s="303"/>
      <c r="BA289" s="302"/>
      <c r="BB289" s="302"/>
      <c r="BC289" s="302"/>
      <c r="BD289" s="302"/>
      <c r="BE289" s="302"/>
      <c r="BF289" s="302"/>
      <c r="BG289" s="302"/>
      <c r="BH289" s="302"/>
      <c r="BI289" s="302"/>
      <c r="BJ289" s="302"/>
      <c r="BM289">
        <v>-6</v>
      </c>
      <c r="BS289">
        <v>65.8</v>
      </c>
      <c r="BY289">
        <v>55.1</v>
      </c>
      <c r="CA289">
        <v>14.6</v>
      </c>
      <c r="CC289">
        <v>11.4</v>
      </c>
      <c r="CI289">
        <v>6.2</v>
      </c>
      <c r="CO289" t="s">
        <v>8698</v>
      </c>
      <c r="CR289">
        <v>2</v>
      </c>
      <c r="CT289" s="304" t="s">
        <v>11678</v>
      </c>
    </row>
    <row r="290" spans="1:98" s="304" customFormat="1">
      <c r="A290" s="304" t="s">
        <v>8506</v>
      </c>
      <c r="B290" s="463">
        <v>134</v>
      </c>
      <c r="C290" s="296" t="s">
        <v>7762</v>
      </c>
      <c r="D290" s="296" t="s">
        <v>7837</v>
      </c>
      <c r="E290" s="296" t="s">
        <v>7762</v>
      </c>
      <c r="F290" s="296"/>
      <c r="G290" s="296" t="s">
        <v>8506</v>
      </c>
      <c r="H290" s="297" t="s">
        <v>8696</v>
      </c>
      <c r="I290" s="297">
        <v>2</v>
      </c>
      <c r="J290" s="308">
        <v>2157</v>
      </c>
      <c r="K290" s="299"/>
      <c r="L290" s="299"/>
      <c r="M290" s="299">
        <v>45</v>
      </c>
      <c r="N290" s="299">
        <v>9</v>
      </c>
      <c r="O290" s="300">
        <v>77</v>
      </c>
      <c r="P290" s="301">
        <v>42090</v>
      </c>
      <c r="Q290" s="306"/>
      <c r="R290" s="303"/>
      <c r="S290" s="289">
        <v>6.05</v>
      </c>
      <c r="T290" s="303">
        <v>42208</v>
      </c>
      <c r="U290" s="307"/>
      <c r="V290" s="303"/>
      <c r="W290" s="306"/>
      <c r="X290" s="303"/>
      <c r="Y290" s="306">
        <v>21.86</v>
      </c>
      <c r="Z290" s="303">
        <v>42208</v>
      </c>
      <c r="AA290">
        <v>14.4</v>
      </c>
      <c r="AB290" s="303"/>
      <c r="AC290" s="306"/>
      <c r="AD290" s="303"/>
      <c r="AE290" s="302"/>
      <c r="AF290" s="303"/>
      <c r="AG290">
        <v>71367.592592592584</v>
      </c>
      <c r="AH290" s="521">
        <f>(AK290*10000)/AM290</f>
        <v>71367.592592592584</v>
      </c>
      <c r="AI290" s="302"/>
      <c r="AJ290" s="303"/>
      <c r="AK290">
        <v>38.538499999999992</v>
      </c>
      <c r="AL290" s="521"/>
      <c r="AM290">
        <v>5.4</v>
      </c>
      <c r="AN290" s="303">
        <v>42244</v>
      </c>
      <c r="AO290">
        <v>125</v>
      </c>
      <c r="AP290" s="303">
        <v>42170</v>
      </c>
      <c r="AQ290" s="306"/>
      <c r="AR290" s="303"/>
      <c r="AS290" s="306"/>
      <c r="AT290" s="303"/>
      <c r="AU290">
        <v>102</v>
      </c>
      <c r="AV290" s="303"/>
      <c r="AW290" s="302"/>
      <c r="AX290" s="302"/>
      <c r="AY290" s="302"/>
      <c r="AZ290" s="303"/>
      <c r="BA290" s="302"/>
      <c r="BB290" s="302"/>
      <c r="BC290" s="302"/>
      <c r="BD290" s="302"/>
      <c r="BE290" s="302"/>
      <c r="BF290" s="302"/>
      <c r="BG290" s="302"/>
      <c r="BH290" s="302"/>
      <c r="BI290" s="302"/>
      <c r="BJ290" s="302"/>
      <c r="BM290">
        <v>-1.8</v>
      </c>
      <c r="BS290">
        <v>64.400000000000006</v>
      </c>
      <c r="BY290">
        <v>50.6</v>
      </c>
      <c r="CA290">
        <v>19.100000000000001</v>
      </c>
      <c r="CC290">
        <v>18.8</v>
      </c>
      <c r="CI290">
        <v>6.4</v>
      </c>
      <c r="CO290" t="s">
        <v>8698</v>
      </c>
      <c r="CR290">
        <v>4</v>
      </c>
      <c r="CT290" s="304" t="s">
        <v>11678</v>
      </c>
    </row>
    <row r="291" spans="1:98" s="304" customFormat="1">
      <c r="A291" s="304" t="s">
        <v>8506</v>
      </c>
      <c r="B291" s="463">
        <v>140</v>
      </c>
      <c r="C291" s="296" t="s">
        <v>7768</v>
      </c>
      <c r="D291" s="296" t="s">
        <v>7842</v>
      </c>
      <c r="E291" s="296" t="s">
        <v>7768</v>
      </c>
      <c r="F291" s="296"/>
      <c r="G291" s="296" t="s">
        <v>8506</v>
      </c>
      <c r="H291" s="297" t="s">
        <v>8697</v>
      </c>
      <c r="I291" s="297">
        <v>1</v>
      </c>
      <c r="J291" s="297">
        <v>137</v>
      </c>
      <c r="K291" s="299"/>
      <c r="L291" s="299"/>
      <c r="M291" s="299">
        <v>45</v>
      </c>
      <c r="N291" s="299">
        <v>1</v>
      </c>
      <c r="O291" s="300">
        <v>44</v>
      </c>
      <c r="P291" s="301">
        <v>42090</v>
      </c>
      <c r="Q291" s="302"/>
      <c r="R291" s="303"/>
      <c r="S291" s="289">
        <v>4.8499999999999996</v>
      </c>
      <c r="T291" s="303">
        <v>42208</v>
      </c>
      <c r="U291" s="302"/>
      <c r="V291" s="303"/>
      <c r="W291" s="302"/>
      <c r="X291" s="303"/>
      <c r="Y291" s="302">
        <v>18.239999999999998</v>
      </c>
      <c r="Z291" s="303">
        <v>42208</v>
      </c>
      <c r="AA291">
        <v>14.4</v>
      </c>
      <c r="AB291" s="303"/>
      <c r="AC291" s="302"/>
      <c r="AD291" s="303"/>
      <c r="AE291" s="302"/>
      <c r="AF291" s="303"/>
      <c r="AG291">
        <v>60642.170479302833</v>
      </c>
      <c r="AH291" s="521">
        <f>(AK291*10000)/AM291</f>
        <v>60642.170479302833</v>
      </c>
      <c r="AI291" s="302"/>
      <c r="AJ291" s="303"/>
      <c r="AK291">
        <v>30.927506944444445</v>
      </c>
      <c r="AL291" s="521"/>
      <c r="AM291">
        <v>5.0999999999999996</v>
      </c>
      <c r="AN291" s="303">
        <v>42244</v>
      </c>
      <c r="AO291">
        <v>115</v>
      </c>
      <c r="AP291" s="303">
        <v>42170</v>
      </c>
      <c r="AQ291" s="302"/>
      <c r="AR291" s="303"/>
      <c r="AS291" s="302"/>
      <c r="AT291" s="303"/>
      <c r="AU291">
        <v>107</v>
      </c>
      <c r="AV291" s="303"/>
      <c r="AW291" s="302"/>
      <c r="AX291" s="302"/>
      <c r="AY291" s="302"/>
      <c r="AZ291" s="303"/>
      <c r="BA291" s="302"/>
      <c r="BB291" s="302"/>
      <c r="BC291" s="302"/>
      <c r="BD291" s="302"/>
      <c r="BE291" s="302"/>
      <c r="BF291" s="302"/>
      <c r="BG291" s="302"/>
      <c r="BH291" s="302"/>
      <c r="BI291" s="302"/>
      <c r="BJ291" s="302"/>
      <c r="BM291">
        <v>0.7</v>
      </c>
      <c r="BS291">
        <v>58.3</v>
      </c>
      <c r="BY291">
        <v>52.6</v>
      </c>
      <c r="CA291">
        <v>15.8</v>
      </c>
      <c r="CC291">
        <v>13.9</v>
      </c>
      <c r="CI291">
        <v>6.3</v>
      </c>
      <c r="CO291" t="s">
        <v>8698</v>
      </c>
      <c r="CR291">
        <v>1</v>
      </c>
      <c r="CT291" s="304" t="s">
        <v>11678</v>
      </c>
    </row>
    <row r="292" spans="1:98" s="304" customFormat="1">
      <c r="A292" s="304" t="s">
        <v>8506</v>
      </c>
      <c r="B292" s="463">
        <v>18</v>
      </c>
      <c r="C292" s="296" t="s">
        <v>7627</v>
      </c>
      <c r="D292" s="296" t="s">
        <v>7464</v>
      </c>
      <c r="E292" s="296" t="s">
        <v>7627</v>
      </c>
      <c r="F292" s="296"/>
      <c r="G292" s="296" t="s">
        <v>8506</v>
      </c>
      <c r="H292" s="297" t="s">
        <v>8696</v>
      </c>
      <c r="I292" s="297">
        <v>2</v>
      </c>
      <c r="J292" s="308">
        <v>2158</v>
      </c>
      <c r="K292" s="299"/>
      <c r="L292" s="299"/>
      <c r="M292" s="299">
        <v>46</v>
      </c>
      <c r="N292" s="299">
        <v>9</v>
      </c>
      <c r="O292" s="300">
        <v>42</v>
      </c>
      <c r="P292" s="301">
        <v>42090</v>
      </c>
      <c r="Q292" s="306"/>
      <c r="R292" s="303"/>
      <c r="S292" s="289">
        <v>4.8</v>
      </c>
      <c r="T292" s="303">
        <v>42208</v>
      </c>
      <c r="U292" s="307"/>
      <c r="V292" s="303"/>
      <c r="W292" s="306"/>
      <c r="X292" s="303"/>
      <c r="Y292" s="306">
        <v>16.170000000000002</v>
      </c>
      <c r="Z292" s="303">
        <v>42208</v>
      </c>
      <c r="AA292">
        <v>14.4</v>
      </c>
      <c r="AB292" s="303"/>
      <c r="AC292" s="306"/>
      <c r="AD292" s="303"/>
      <c r="AE292" s="302"/>
      <c r="AF292" s="303"/>
      <c r="AG292">
        <v>57628.93081761006</v>
      </c>
      <c r="AH292" s="521">
        <f>(AK292*10000)/AM292</f>
        <v>57628.93081761006</v>
      </c>
      <c r="AI292" s="302"/>
      <c r="AJ292" s="303"/>
      <c r="AK292">
        <v>30.543333333333333</v>
      </c>
      <c r="AL292" s="521"/>
      <c r="AM292">
        <v>5.3</v>
      </c>
      <c r="AN292" s="303">
        <v>42244</v>
      </c>
      <c r="AO292">
        <v>140</v>
      </c>
      <c r="AP292" s="303">
        <v>42170</v>
      </c>
      <c r="AQ292" s="306"/>
      <c r="AR292" s="303"/>
      <c r="AS292" s="306"/>
      <c r="AT292" s="303"/>
      <c r="AU292">
        <v>106</v>
      </c>
      <c r="AV292" s="303"/>
      <c r="AW292" s="302"/>
      <c r="AX292" s="302"/>
      <c r="AY292" s="302"/>
      <c r="AZ292" s="303"/>
      <c r="BA292" s="302"/>
      <c r="BB292" s="302"/>
      <c r="BC292" s="302"/>
      <c r="BD292" s="302"/>
      <c r="BE292" s="302"/>
      <c r="BF292" s="302"/>
      <c r="BG292" s="302"/>
      <c r="BH292" s="302"/>
      <c r="BI292" s="302"/>
      <c r="BJ292" s="302"/>
      <c r="BM292">
        <v>7.6</v>
      </c>
      <c r="BS292">
        <v>50.6</v>
      </c>
      <c r="BY292">
        <v>47.2</v>
      </c>
      <c r="CA292">
        <v>22.2</v>
      </c>
      <c r="CC292">
        <v>58.2</v>
      </c>
      <c r="CI292">
        <v>6.5</v>
      </c>
      <c r="CO292" t="s">
        <v>8698</v>
      </c>
      <c r="CR292">
        <v>3</v>
      </c>
      <c r="CT292" s="304" t="s">
        <v>11678</v>
      </c>
    </row>
    <row r="293" spans="1:98" s="304" customFormat="1">
      <c r="A293" s="304" t="s">
        <v>8506</v>
      </c>
      <c r="B293" s="463">
        <v>43</v>
      </c>
      <c r="C293" s="296" t="s">
        <v>7660</v>
      </c>
      <c r="D293" s="296" t="s">
        <v>7493</v>
      </c>
      <c r="E293" s="296" t="s">
        <v>7660</v>
      </c>
      <c r="F293" s="296"/>
      <c r="G293" s="296" t="s">
        <v>8506</v>
      </c>
      <c r="H293" s="297" t="s">
        <v>8697</v>
      </c>
      <c r="I293" s="297">
        <v>1</v>
      </c>
      <c r="J293" s="297">
        <v>198</v>
      </c>
      <c r="K293" s="299"/>
      <c r="L293" s="299"/>
      <c r="M293" s="299">
        <v>46</v>
      </c>
      <c r="N293" s="299">
        <v>2</v>
      </c>
      <c r="O293" s="300">
        <v>18</v>
      </c>
      <c r="P293" s="301">
        <v>42090</v>
      </c>
      <c r="Q293" s="302"/>
      <c r="R293" s="303"/>
      <c r="S293" s="289">
        <v>4.6500000000000004</v>
      </c>
      <c r="T293" s="303">
        <v>42208</v>
      </c>
      <c r="U293" s="302"/>
      <c r="V293" s="303"/>
      <c r="W293" s="302"/>
      <c r="X293" s="303"/>
      <c r="Y293" s="302">
        <v>17.46</v>
      </c>
      <c r="Z293" s="303">
        <v>42208</v>
      </c>
      <c r="AA293">
        <v>14.4</v>
      </c>
      <c r="AB293" s="303"/>
      <c r="AC293" s="302"/>
      <c r="AD293" s="303"/>
      <c r="AE293" s="302"/>
      <c r="AF293" s="303"/>
      <c r="AG293">
        <v>67535.085227272735</v>
      </c>
      <c r="AH293" s="521">
        <f>(AK293*10000)/AM293</f>
        <v>67535.085227272735</v>
      </c>
      <c r="AI293" s="302"/>
      <c r="AJ293" s="303"/>
      <c r="AK293">
        <v>29.715437500000004</v>
      </c>
      <c r="AL293" s="521"/>
      <c r="AM293">
        <v>4.4000000000000004</v>
      </c>
      <c r="AN293" s="303">
        <v>42244</v>
      </c>
      <c r="AO293">
        <v>145</v>
      </c>
      <c r="AP293" s="303">
        <v>42170</v>
      </c>
      <c r="AQ293" s="302"/>
      <c r="AR293" s="303"/>
      <c r="AS293" s="302"/>
      <c r="AT293" s="303"/>
      <c r="AU293">
        <v>111</v>
      </c>
      <c r="AV293" s="303"/>
      <c r="AW293" s="302"/>
      <c r="AX293" s="302"/>
      <c r="AY293" s="302"/>
      <c r="AZ293" s="303"/>
      <c r="BA293" s="302"/>
      <c r="BB293" s="302"/>
      <c r="BC293" s="302"/>
      <c r="BD293" s="302"/>
      <c r="BE293" s="302"/>
      <c r="BF293" s="302"/>
      <c r="BG293" s="302"/>
      <c r="BH293" s="302"/>
      <c r="BI293" s="302"/>
      <c r="BJ293" s="302"/>
      <c r="BM293">
        <v>-6.8</v>
      </c>
      <c r="BS293">
        <v>66.8</v>
      </c>
      <c r="BY293">
        <v>52.4</v>
      </c>
      <c r="CA293">
        <v>15.9</v>
      </c>
      <c r="CC293">
        <v>12.2</v>
      </c>
      <c r="CI293">
        <v>6.1</v>
      </c>
      <c r="CO293" t="s">
        <v>8698</v>
      </c>
      <c r="CR293">
        <v>1</v>
      </c>
      <c r="CT293" s="304" t="s">
        <v>11678</v>
      </c>
    </row>
    <row r="294" spans="1:98" s="304" customFormat="1">
      <c r="A294" s="304" t="s">
        <v>8506</v>
      </c>
      <c r="B294" s="463">
        <v>73</v>
      </c>
      <c r="C294" s="296" t="s">
        <v>7691</v>
      </c>
      <c r="D294" s="296" t="s">
        <v>7520</v>
      </c>
      <c r="E294" s="296" t="s">
        <v>7691</v>
      </c>
      <c r="F294" s="296"/>
      <c r="G294" s="296" t="s">
        <v>8506</v>
      </c>
      <c r="H294" s="297" t="s">
        <v>8697</v>
      </c>
      <c r="I294" s="297">
        <v>1</v>
      </c>
      <c r="J294" s="297">
        <v>1278</v>
      </c>
      <c r="K294" s="299"/>
      <c r="L294" s="299"/>
      <c r="M294" s="299">
        <v>46</v>
      </c>
      <c r="N294" s="299">
        <v>5</v>
      </c>
      <c r="O294" s="300">
        <v>23</v>
      </c>
      <c r="P294" s="301">
        <v>42090</v>
      </c>
      <c r="Q294" s="302"/>
      <c r="R294" s="303"/>
      <c r="S294" s="289">
        <v>4.55</v>
      </c>
      <c r="T294" s="303">
        <v>42208</v>
      </c>
      <c r="U294" s="302"/>
      <c r="V294" s="303"/>
      <c r="W294" s="302"/>
      <c r="X294" s="303"/>
      <c r="Y294" s="302">
        <v>17.59</v>
      </c>
      <c r="Z294" s="303">
        <v>42208</v>
      </c>
      <c r="AA294">
        <v>14.4</v>
      </c>
      <c r="AB294" s="303"/>
      <c r="AC294" s="302"/>
      <c r="AD294" s="303"/>
      <c r="AE294" s="302"/>
      <c r="AF294" s="303"/>
      <c r="AG294">
        <v>70842.513550135496</v>
      </c>
      <c r="AH294" s="521">
        <f>(AK294*10000)/AM294</f>
        <v>70842.513550135496</v>
      </c>
      <c r="AI294" s="302"/>
      <c r="AJ294" s="303"/>
      <c r="AK294">
        <v>29.045430555555551</v>
      </c>
      <c r="AL294" s="521"/>
      <c r="AM294">
        <v>4.0999999999999996</v>
      </c>
      <c r="AN294" s="303">
        <v>42244</v>
      </c>
      <c r="AO294">
        <v>145</v>
      </c>
      <c r="AP294" s="303">
        <v>42170</v>
      </c>
      <c r="AQ294" s="302"/>
      <c r="AR294" s="303"/>
      <c r="AS294" s="302"/>
      <c r="AT294" s="303"/>
      <c r="AU294">
        <v>112</v>
      </c>
      <c r="AV294" s="303"/>
      <c r="AW294" s="302"/>
      <c r="AX294" s="302"/>
      <c r="AY294" s="302"/>
      <c r="AZ294" s="303"/>
      <c r="BA294" s="302"/>
      <c r="BB294" s="302"/>
      <c r="BC294" s="302"/>
      <c r="BD294" s="302"/>
      <c r="BE294" s="302"/>
      <c r="BF294" s="302"/>
      <c r="BG294" s="302"/>
      <c r="BH294" s="302"/>
      <c r="BI294" s="302"/>
      <c r="BJ294" s="302"/>
      <c r="BM294">
        <v>20</v>
      </c>
      <c r="BS294">
        <v>41.7</v>
      </c>
      <c r="BY294">
        <v>54</v>
      </c>
      <c r="CA294">
        <v>15.4</v>
      </c>
      <c r="CC294">
        <v>13.6</v>
      </c>
      <c r="CI294">
        <v>6.2</v>
      </c>
      <c r="CO294" t="s">
        <v>8698</v>
      </c>
      <c r="CR294">
        <v>2</v>
      </c>
      <c r="CT294" s="304" t="s">
        <v>11678</v>
      </c>
    </row>
    <row r="295" spans="1:98" s="304" customFormat="1">
      <c r="A295" s="304" t="s">
        <v>8506</v>
      </c>
      <c r="B295" s="463">
        <v>104</v>
      </c>
      <c r="C295" s="296" t="s">
        <v>7722</v>
      </c>
      <c r="D295" s="296" t="s">
        <v>7549</v>
      </c>
      <c r="E295" s="296" t="s">
        <v>7722</v>
      </c>
      <c r="F295" s="296"/>
      <c r="G295" s="296" t="s">
        <v>8506</v>
      </c>
      <c r="H295" s="297" t="s">
        <v>8696</v>
      </c>
      <c r="I295" s="297">
        <v>2</v>
      </c>
      <c r="J295" s="297">
        <v>298</v>
      </c>
      <c r="K295" s="299"/>
      <c r="L295" s="299"/>
      <c r="M295" s="299">
        <v>46</v>
      </c>
      <c r="N295" s="299">
        <v>8</v>
      </c>
      <c r="O295" s="300">
        <v>70</v>
      </c>
      <c r="P295" s="301">
        <v>42090</v>
      </c>
      <c r="Q295" s="302"/>
      <c r="R295" s="303"/>
      <c r="S295" s="289">
        <v>6.85</v>
      </c>
      <c r="T295" s="303">
        <v>42208</v>
      </c>
      <c r="U295" s="302"/>
      <c r="V295" s="303"/>
      <c r="W295" s="302"/>
      <c r="X295" s="303"/>
      <c r="Y295" s="302">
        <v>24.05</v>
      </c>
      <c r="Z295" s="303">
        <v>42208</v>
      </c>
      <c r="AA295">
        <v>14.4</v>
      </c>
      <c r="AB295" s="303"/>
      <c r="AC295" s="302"/>
      <c r="AD295" s="303"/>
      <c r="AE295" s="302"/>
      <c r="AF295" s="303"/>
      <c r="AG295">
        <v>95161.639492753631</v>
      </c>
      <c r="AH295" s="521">
        <f>(AK295*10000)/AM295</f>
        <v>95161.639492753631</v>
      </c>
      <c r="AI295" s="302"/>
      <c r="AJ295" s="303"/>
      <c r="AK295">
        <v>43.774354166666669</v>
      </c>
      <c r="AL295" s="521"/>
      <c r="AM295">
        <v>4.5999999999999996</v>
      </c>
      <c r="AN295" s="303">
        <v>42244</v>
      </c>
      <c r="AO295">
        <v>130</v>
      </c>
      <c r="AP295" s="303">
        <v>42170</v>
      </c>
      <c r="AQ295" s="302"/>
      <c r="AR295" s="303"/>
      <c r="AS295" s="302"/>
      <c r="AT295" s="303"/>
      <c r="AU295">
        <v>109</v>
      </c>
      <c r="AV295" s="303"/>
      <c r="AW295" s="302"/>
      <c r="AX295" s="302"/>
      <c r="AY295" s="302"/>
      <c r="AZ295" s="303"/>
      <c r="BA295" s="302"/>
      <c r="BB295" s="302"/>
      <c r="BC295" s="302"/>
      <c r="BD295" s="302"/>
      <c r="BE295" s="302"/>
      <c r="BF295" s="302"/>
      <c r="BG295" s="302"/>
      <c r="BH295" s="302"/>
      <c r="BI295" s="302"/>
      <c r="BJ295" s="302"/>
      <c r="BM295">
        <v>-3</v>
      </c>
      <c r="BS295">
        <v>61.1</v>
      </c>
      <c r="BY295">
        <v>49</v>
      </c>
      <c r="CA295">
        <v>19.899999999999999</v>
      </c>
      <c r="CC295">
        <v>21.5</v>
      </c>
      <c r="CI295">
        <v>6.1</v>
      </c>
      <c r="CO295" t="s">
        <v>8698</v>
      </c>
      <c r="CR295">
        <v>2</v>
      </c>
      <c r="CT295" s="304" t="s">
        <v>11678</v>
      </c>
    </row>
    <row r="296" spans="1:98" s="304" customFormat="1">
      <c r="A296" s="304" t="s">
        <v>8506</v>
      </c>
      <c r="B296" s="463">
        <v>149</v>
      </c>
      <c r="C296" s="296" t="s">
        <v>7777</v>
      </c>
      <c r="D296" s="296" t="s">
        <v>7578</v>
      </c>
      <c r="E296" s="296" t="s">
        <v>7777</v>
      </c>
      <c r="F296" s="296"/>
      <c r="G296" s="296" t="s">
        <v>8506</v>
      </c>
      <c r="H296" s="297" t="s">
        <v>8696</v>
      </c>
      <c r="I296" s="297">
        <v>2</v>
      </c>
      <c r="J296" s="297">
        <v>2278</v>
      </c>
      <c r="K296" s="299"/>
      <c r="L296" s="299"/>
      <c r="M296" s="299">
        <v>46</v>
      </c>
      <c r="N296" s="299">
        <v>11</v>
      </c>
      <c r="O296" s="300">
        <v>26</v>
      </c>
      <c r="P296" s="301">
        <v>42090</v>
      </c>
      <c r="Q296" s="302"/>
      <c r="R296" s="303"/>
      <c r="S296" s="289">
        <v>6.85</v>
      </c>
      <c r="T296" s="303">
        <v>42208</v>
      </c>
      <c r="U296" s="302"/>
      <c r="V296" s="303"/>
      <c r="W296" s="302"/>
      <c r="X296" s="303"/>
      <c r="Y296" s="302">
        <v>24.71</v>
      </c>
      <c r="Z296" s="303">
        <v>42208</v>
      </c>
      <c r="AA296">
        <v>14.4</v>
      </c>
      <c r="AB296" s="303"/>
      <c r="AC296" s="302"/>
      <c r="AD296" s="303"/>
      <c r="AE296" s="302"/>
      <c r="AF296" s="303"/>
      <c r="AG296">
        <v>85740.659041394334</v>
      </c>
      <c r="AH296" s="521">
        <f>(AK296*10000)/AM296</f>
        <v>85740.659041394334</v>
      </c>
      <c r="AI296" s="302"/>
      <c r="AJ296" s="303"/>
      <c r="AK296">
        <v>43.727736111111106</v>
      </c>
      <c r="AL296" s="521"/>
      <c r="AM296">
        <v>5.0999999999999996</v>
      </c>
      <c r="AN296" s="303">
        <v>42244</v>
      </c>
      <c r="AO296">
        <v>135</v>
      </c>
      <c r="AP296" s="303">
        <v>42170</v>
      </c>
      <c r="AQ296" s="302"/>
      <c r="AR296" s="303"/>
      <c r="AS296" s="302"/>
      <c r="AT296" s="303"/>
      <c r="AU296">
        <v>106</v>
      </c>
      <c r="AV296" s="303"/>
      <c r="AW296" s="302"/>
      <c r="AX296" s="302"/>
      <c r="AY296" s="302"/>
      <c r="AZ296" s="303"/>
      <c r="BA296" s="302"/>
      <c r="BB296" s="302"/>
      <c r="BC296" s="302"/>
      <c r="BD296" s="302"/>
      <c r="BE296" s="302"/>
      <c r="BF296" s="302"/>
      <c r="BG296" s="302"/>
      <c r="BH296" s="302"/>
      <c r="BI296" s="302"/>
      <c r="BJ296" s="302"/>
      <c r="BM296">
        <v>-0.8</v>
      </c>
      <c r="BS296">
        <v>64</v>
      </c>
      <c r="BY296">
        <v>50.4</v>
      </c>
      <c r="CA296">
        <v>18.5</v>
      </c>
      <c r="CC296">
        <v>17.2</v>
      </c>
      <c r="CI296">
        <v>6.2</v>
      </c>
      <c r="CO296" t="s">
        <v>8698</v>
      </c>
      <c r="CR296">
        <v>1</v>
      </c>
      <c r="CT296" s="304" t="s">
        <v>11678</v>
      </c>
    </row>
    <row r="297" spans="1:98" s="304" customFormat="1">
      <c r="A297" s="304" t="s">
        <v>8506</v>
      </c>
      <c r="B297" s="463">
        <v>155</v>
      </c>
      <c r="C297" s="296" t="s">
        <v>7783</v>
      </c>
      <c r="D297" s="296" t="s">
        <v>7584</v>
      </c>
      <c r="E297" s="296" t="s">
        <v>7783</v>
      </c>
      <c r="F297" s="296"/>
      <c r="G297" s="296" t="s">
        <v>8506</v>
      </c>
      <c r="H297" s="297" t="s">
        <v>8696</v>
      </c>
      <c r="I297" s="297">
        <v>2</v>
      </c>
      <c r="J297" s="297">
        <v>238</v>
      </c>
      <c r="K297" s="299"/>
      <c r="L297" s="299"/>
      <c r="M297" s="299">
        <v>46</v>
      </c>
      <c r="N297" s="299">
        <v>7</v>
      </c>
      <c r="O297" s="300">
        <v>60</v>
      </c>
      <c r="P297" s="301">
        <v>42090</v>
      </c>
      <c r="Q297" s="302"/>
      <c r="R297" s="303"/>
      <c r="S297" s="289">
        <v>7.25</v>
      </c>
      <c r="T297" s="303">
        <v>42208</v>
      </c>
      <c r="U297" s="302"/>
      <c r="V297" s="303"/>
      <c r="W297" s="302"/>
      <c r="X297" s="303"/>
      <c r="Y297" s="302">
        <v>26.48</v>
      </c>
      <c r="Z297" s="303">
        <v>42208</v>
      </c>
      <c r="AA297">
        <v>14.4</v>
      </c>
      <c r="AB297" s="303"/>
      <c r="AC297" s="302"/>
      <c r="AD297" s="303"/>
      <c r="AE297" s="302"/>
      <c r="AF297" s="303"/>
      <c r="AG297">
        <v>92068.958333333328</v>
      </c>
      <c r="AH297" s="521">
        <f>(AK297*10000)/AM297</f>
        <v>92068.958333333328</v>
      </c>
      <c r="AI297" s="302"/>
      <c r="AJ297" s="303"/>
      <c r="AK297">
        <v>46.034479166666664</v>
      </c>
      <c r="AL297" s="521"/>
      <c r="AM297">
        <v>5</v>
      </c>
      <c r="AN297" s="303">
        <v>42244</v>
      </c>
      <c r="AO297">
        <v>125</v>
      </c>
      <c r="AP297" s="303">
        <v>42170</v>
      </c>
      <c r="AQ297" s="302"/>
      <c r="AR297" s="303"/>
      <c r="AS297" s="302"/>
      <c r="AT297" s="303"/>
      <c r="AU297">
        <v>108</v>
      </c>
      <c r="AV297" s="303"/>
      <c r="AW297" s="302"/>
      <c r="AX297" s="302"/>
      <c r="AY297" s="302"/>
      <c r="AZ297" s="303"/>
      <c r="BA297" s="302"/>
      <c r="BB297" s="302"/>
      <c r="BC297" s="302"/>
      <c r="BD297" s="302"/>
      <c r="BE297" s="302"/>
      <c r="BF297" s="302"/>
      <c r="BG297" s="302"/>
      <c r="BH297" s="302"/>
      <c r="BI297" s="302"/>
      <c r="BJ297" s="302"/>
      <c r="BM297">
        <v>-5.9</v>
      </c>
      <c r="BS297">
        <v>64.099999999999994</v>
      </c>
      <c r="BY297">
        <v>51.3</v>
      </c>
      <c r="CA297">
        <v>17.5</v>
      </c>
      <c r="CC297">
        <v>15.4</v>
      </c>
      <c r="CI297">
        <v>6.7</v>
      </c>
      <c r="CO297" t="s">
        <v>8698</v>
      </c>
      <c r="CR297">
        <v>2</v>
      </c>
      <c r="CT297" s="304" t="s">
        <v>11678</v>
      </c>
    </row>
    <row r="298" spans="1:98" s="304" customFormat="1">
      <c r="A298" s="304" t="s">
        <v>8506</v>
      </c>
      <c r="B298" s="463">
        <v>160</v>
      </c>
      <c r="C298" s="296" t="s">
        <v>7788</v>
      </c>
      <c r="D298" s="296" t="s">
        <v>7589</v>
      </c>
      <c r="E298" s="296" t="s">
        <v>7788</v>
      </c>
      <c r="F298" s="296"/>
      <c r="G298" s="296" t="s">
        <v>8506</v>
      </c>
      <c r="H298" s="297" t="s">
        <v>8696</v>
      </c>
      <c r="I298" s="297">
        <v>2</v>
      </c>
      <c r="J298" s="297">
        <v>2218</v>
      </c>
      <c r="K298" s="299"/>
      <c r="L298" s="299"/>
      <c r="M298" s="299">
        <v>46</v>
      </c>
      <c r="N298" s="299">
        <v>10</v>
      </c>
      <c r="O298" s="300">
        <v>76</v>
      </c>
      <c r="P298" s="301">
        <v>42090</v>
      </c>
      <c r="Q298" s="302"/>
      <c r="R298" s="303"/>
      <c r="S298" s="289">
        <v>6.9</v>
      </c>
      <c r="T298" s="303">
        <v>42208</v>
      </c>
      <c r="U298" s="302"/>
      <c r="V298" s="303"/>
      <c r="W298" s="302"/>
      <c r="X298" s="303"/>
      <c r="Y298" s="302">
        <v>24.44</v>
      </c>
      <c r="Z298" s="303">
        <v>42208</v>
      </c>
      <c r="AA298">
        <v>14.4</v>
      </c>
      <c r="AB298" s="303"/>
      <c r="AC298" s="302"/>
      <c r="AD298" s="303"/>
      <c r="AE298" s="302"/>
      <c r="AF298" s="303"/>
      <c r="AG298">
        <v>82575.786163522032</v>
      </c>
      <c r="AH298" s="521">
        <f>(AK298*10000)/AM298</f>
        <v>82575.786163522032</v>
      </c>
      <c r="AI298" s="302"/>
      <c r="AJ298" s="303"/>
      <c r="AK298">
        <v>43.765166666666673</v>
      </c>
      <c r="AL298" s="521"/>
      <c r="AM298">
        <v>5.3</v>
      </c>
      <c r="AN298" s="303">
        <v>42244</v>
      </c>
      <c r="AO298">
        <v>125</v>
      </c>
      <c r="AP298" s="303">
        <v>42170</v>
      </c>
      <c r="AQ298" s="302"/>
      <c r="AR298" s="303"/>
      <c r="AS298" s="302"/>
      <c r="AT298" s="303"/>
      <c r="AU298">
        <v>107</v>
      </c>
      <c r="AV298" s="303"/>
      <c r="AW298" s="302"/>
      <c r="AX298" s="302"/>
      <c r="AY298" s="302"/>
      <c r="AZ298" s="303"/>
      <c r="BA298" s="302"/>
      <c r="BB298" s="302"/>
      <c r="BC298" s="302"/>
      <c r="BD298" s="302"/>
      <c r="BE298" s="302"/>
      <c r="BF298" s="302"/>
      <c r="BG298" s="302"/>
      <c r="BH298" s="302"/>
      <c r="BI298" s="302"/>
      <c r="BJ298" s="302"/>
      <c r="BM298">
        <v>-2.4</v>
      </c>
      <c r="BS298">
        <v>59.8</v>
      </c>
      <c r="BY298">
        <v>49.8</v>
      </c>
      <c r="CA298">
        <v>18</v>
      </c>
      <c r="CC298">
        <v>15.8</v>
      </c>
      <c r="CI298">
        <v>6.8</v>
      </c>
      <c r="CO298" t="s">
        <v>8698</v>
      </c>
      <c r="CR298">
        <v>1</v>
      </c>
      <c r="CT298" s="304" t="s">
        <v>11678</v>
      </c>
    </row>
    <row r="299" spans="1:98" s="304" customFormat="1">
      <c r="A299" s="304" t="s">
        <v>8506</v>
      </c>
      <c r="B299" s="523">
        <v>360</v>
      </c>
      <c r="C299" s="296" t="s">
        <v>8686</v>
      </c>
      <c r="D299" s="296" t="s">
        <v>8299</v>
      </c>
      <c r="E299" s="296" t="s">
        <v>8299</v>
      </c>
      <c r="F299" s="296"/>
      <c r="G299" s="296" t="s">
        <v>8506</v>
      </c>
      <c r="H299" s="297" t="s">
        <v>8697</v>
      </c>
      <c r="I299" s="297">
        <v>1</v>
      </c>
      <c r="J299" s="297">
        <v>1158</v>
      </c>
      <c r="K299" s="299"/>
      <c r="L299" s="299"/>
      <c r="M299" s="299">
        <v>46</v>
      </c>
      <c r="N299" s="299">
        <v>3</v>
      </c>
      <c r="O299" s="300">
        <v>19</v>
      </c>
      <c r="P299" s="301">
        <v>42090</v>
      </c>
      <c r="Q299" s="302"/>
      <c r="R299" s="303"/>
      <c r="S299" s="289">
        <v>4.5999999999999996</v>
      </c>
      <c r="T299" s="303">
        <v>42208</v>
      </c>
      <c r="U299" s="302"/>
      <c r="V299" s="303"/>
      <c r="W299" s="302"/>
      <c r="X299" s="303"/>
      <c r="Y299" s="302">
        <v>17.329999999999998</v>
      </c>
      <c r="Z299" s="303">
        <v>42208</v>
      </c>
      <c r="AA299">
        <v>14.4</v>
      </c>
      <c r="AB299" s="303"/>
      <c r="AC299" s="302"/>
      <c r="AD299" s="303"/>
      <c r="AE299" s="302"/>
      <c r="AF299" s="303"/>
      <c r="AG299">
        <v>57700.435729847493</v>
      </c>
      <c r="AH299" s="521">
        <f>(AK299*10000)/AM299</f>
        <v>57700.435729847493</v>
      </c>
      <c r="AI299" s="302"/>
      <c r="AJ299" s="303"/>
      <c r="AK299">
        <v>29.427222222222216</v>
      </c>
      <c r="AL299" s="521"/>
      <c r="AM299">
        <v>5.0999999999999996</v>
      </c>
      <c r="AN299" s="303">
        <v>42244</v>
      </c>
      <c r="AO299">
        <v>140</v>
      </c>
      <c r="AP299" s="303">
        <v>42170</v>
      </c>
      <c r="AQ299" s="302"/>
      <c r="AR299" s="303"/>
      <c r="AS299" s="302"/>
      <c r="AT299" s="303"/>
      <c r="AU299">
        <v>108</v>
      </c>
      <c r="AV299" s="302"/>
      <c r="AW299" s="302"/>
      <c r="AX299" s="302"/>
      <c r="AY299" s="302"/>
      <c r="AZ299" s="302"/>
      <c r="BA299" s="302"/>
      <c r="BB299" s="302"/>
      <c r="BC299" s="302"/>
      <c r="BD299" s="302"/>
      <c r="BE299" s="302"/>
      <c r="BF299" s="302"/>
      <c r="BG299" s="302"/>
      <c r="BH299" s="302"/>
      <c r="BI299" s="302"/>
      <c r="BJ299" s="302"/>
      <c r="BM299">
        <v>-2.1</v>
      </c>
      <c r="BS299">
        <v>58.7</v>
      </c>
      <c r="BY299">
        <v>52.5</v>
      </c>
      <c r="CA299">
        <v>16.399999999999999</v>
      </c>
      <c r="CC299">
        <v>17.7</v>
      </c>
      <c r="CI299">
        <v>6</v>
      </c>
      <c r="CO299" t="s">
        <v>8698</v>
      </c>
      <c r="CR299">
        <v>2</v>
      </c>
      <c r="CT299" s="304" t="s">
        <v>11678</v>
      </c>
    </row>
    <row r="300" spans="1:98" s="304" customFormat="1">
      <c r="A300" s="304" t="s">
        <v>8506</v>
      </c>
      <c r="B300" s="463">
        <v>28</v>
      </c>
      <c r="C300" s="296" t="s">
        <v>7640</v>
      </c>
      <c r="D300" s="296" t="s">
        <v>7475</v>
      </c>
      <c r="E300" s="296" t="s">
        <v>7640</v>
      </c>
      <c r="F300" s="296"/>
      <c r="G300" s="296" t="s">
        <v>8506</v>
      </c>
      <c r="H300" s="297" t="s">
        <v>8697</v>
      </c>
      <c r="I300" s="297">
        <v>1</v>
      </c>
      <c r="J300" s="297">
        <v>1159</v>
      </c>
      <c r="K300" s="299"/>
      <c r="L300" s="299"/>
      <c r="M300" s="299">
        <v>47</v>
      </c>
      <c r="N300" s="299">
        <v>3</v>
      </c>
      <c r="O300" s="300">
        <v>28</v>
      </c>
      <c r="P300" s="301">
        <v>42090</v>
      </c>
      <c r="Q300" s="302"/>
      <c r="R300" s="303"/>
      <c r="S300" s="289">
        <v>3.25</v>
      </c>
      <c r="T300" s="303">
        <v>42208</v>
      </c>
      <c r="U300" s="302"/>
      <c r="V300" s="303"/>
      <c r="W300" s="302"/>
      <c r="X300" s="303"/>
      <c r="Y300" s="302">
        <v>11.81</v>
      </c>
      <c r="Z300" s="303">
        <v>42208</v>
      </c>
      <c r="AA300">
        <v>14.4</v>
      </c>
      <c r="AB300" s="303"/>
      <c r="AC300" s="302"/>
      <c r="AD300" s="303"/>
      <c r="AE300" s="302"/>
      <c r="AF300" s="303"/>
      <c r="AG300">
        <v>41404.999999999993</v>
      </c>
      <c r="AH300" s="521">
        <f>(AK300*10000)/AM300</f>
        <v>41404.999999999993</v>
      </c>
      <c r="AI300" s="302"/>
      <c r="AJ300" s="303"/>
      <c r="AK300">
        <v>20.702499999999997</v>
      </c>
      <c r="AL300" s="521"/>
      <c r="AM300">
        <v>5</v>
      </c>
      <c r="AN300" s="303">
        <v>42244</v>
      </c>
      <c r="AO300">
        <v>125</v>
      </c>
      <c r="AP300" s="303">
        <v>42170</v>
      </c>
      <c r="AQ300" s="302"/>
      <c r="AR300" s="303"/>
      <c r="AS300" s="302"/>
      <c r="AT300" s="303"/>
      <c r="AU300">
        <v>104</v>
      </c>
      <c r="AV300" s="303"/>
      <c r="AW300" s="302"/>
      <c r="AX300" s="302"/>
      <c r="AY300" s="302"/>
      <c r="AZ300" s="303"/>
      <c r="BA300" s="302"/>
      <c r="BB300" s="302"/>
      <c r="BC300" s="302"/>
      <c r="BD300" s="302"/>
      <c r="BE300" s="302"/>
      <c r="BF300" s="302"/>
      <c r="BG300" s="302"/>
      <c r="BH300" s="302"/>
      <c r="BI300" s="302"/>
      <c r="BJ300" s="302"/>
      <c r="BM300">
        <v>1.4</v>
      </c>
      <c r="BS300">
        <v>53.6</v>
      </c>
      <c r="BY300">
        <v>50.9</v>
      </c>
      <c r="CA300">
        <v>16.399999999999999</v>
      </c>
      <c r="CC300">
        <v>72.3</v>
      </c>
      <c r="CI300">
        <v>6.4</v>
      </c>
      <c r="CO300" t="s">
        <v>8698</v>
      </c>
      <c r="CR300">
        <v>4</v>
      </c>
      <c r="CT300" s="304" t="s">
        <v>11678</v>
      </c>
    </row>
    <row r="301" spans="1:98" s="304" customFormat="1">
      <c r="A301" s="304" t="s">
        <v>8506</v>
      </c>
      <c r="B301" s="463">
        <v>45</v>
      </c>
      <c r="C301" s="296" t="s">
        <v>7662</v>
      </c>
      <c r="D301" s="296" t="s">
        <v>7495</v>
      </c>
      <c r="E301" s="296" t="s">
        <v>7662</v>
      </c>
      <c r="F301" s="296"/>
      <c r="G301" s="296" t="s">
        <v>8506</v>
      </c>
      <c r="H301" s="297" t="s">
        <v>8696</v>
      </c>
      <c r="I301" s="297">
        <v>2</v>
      </c>
      <c r="J301" s="308">
        <v>2279</v>
      </c>
      <c r="K301" s="299"/>
      <c r="L301" s="299"/>
      <c r="M301" s="299">
        <v>47</v>
      </c>
      <c r="N301" s="299">
        <v>11</v>
      </c>
      <c r="O301" s="300">
        <v>32</v>
      </c>
      <c r="P301" s="301">
        <v>42090</v>
      </c>
      <c r="Q301" s="306"/>
      <c r="R301" s="303"/>
      <c r="S301" s="289">
        <v>6.65</v>
      </c>
      <c r="T301" s="303">
        <v>42208</v>
      </c>
      <c r="U301" s="307"/>
      <c r="V301" s="303"/>
      <c r="W301" s="306"/>
      <c r="X301" s="303"/>
      <c r="Y301" s="306">
        <v>24.62</v>
      </c>
      <c r="Z301" s="303">
        <v>42208</v>
      </c>
      <c r="AA301">
        <v>14.4</v>
      </c>
      <c r="AB301" s="303"/>
      <c r="AC301" s="306"/>
      <c r="AD301" s="303"/>
      <c r="AE301" s="302"/>
      <c r="AF301" s="303"/>
      <c r="AG301">
        <v>90706.471631205684</v>
      </c>
      <c r="AH301" s="521">
        <f>(AK301*10000)/AM301</f>
        <v>90706.471631205684</v>
      </c>
      <c r="AI301" s="302"/>
      <c r="AJ301" s="303"/>
      <c r="AK301">
        <v>42.632041666666673</v>
      </c>
      <c r="AL301" s="521"/>
      <c r="AM301">
        <v>4.7</v>
      </c>
      <c r="AN301" s="303">
        <v>42244</v>
      </c>
      <c r="AO301">
        <v>145</v>
      </c>
      <c r="AP301" s="303">
        <v>42170</v>
      </c>
      <c r="AQ301" s="306"/>
      <c r="AR301" s="303"/>
      <c r="AS301" s="306"/>
      <c r="AT301" s="303"/>
      <c r="AU301">
        <v>106</v>
      </c>
      <c r="AV301" s="303"/>
      <c r="AW301" s="302"/>
      <c r="AX301" s="302"/>
      <c r="AY301" s="302"/>
      <c r="AZ301" s="303"/>
      <c r="BA301" s="302"/>
      <c r="BB301" s="302"/>
      <c r="BC301" s="302"/>
      <c r="BD301" s="302"/>
      <c r="BE301" s="302"/>
      <c r="BF301" s="302"/>
      <c r="BG301" s="302"/>
      <c r="BH301" s="302"/>
      <c r="BI301" s="302"/>
      <c r="BJ301" s="302"/>
      <c r="BM301">
        <v>-1.2</v>
      </c>
      <c r="BS301">
        <v>65.099999999999994</v>
      </c>
      <c r="BY301">
        <v>51.5</v>
      </c>
      <c r="CA301">
        <v>18.7</v>
      </c>
      <c r="CC301">
        <v>17.899999999999999</v>
      </c>
      <c r="CI301">
        <v>5.8</v>
      </c>
      <c r="CO301" t="s">
        <v>8698</v>
      </c>
      <c r="CR301">
        <v>2</v>
      </c>
      <c r="CT301" s="304" t="s">
        <v>11678</v>
      </c>
    </row>
    <row r="302" spans="1:98" s="304" customFormat="1">
      <c r="A302" s="304" t="s">
        <v>8506</v>
      </c>
      <c r="B302" s="463">
        <v>87</v>
      </c>
      <c r="C302" s="296" t="s">
        <v>7705</v>
      </c>
      <c r="D302" s="296" t="s">
        <v>7534</v>
      </c>
      <c r="E302" s="296" t="s">
        <v>7705</v>
      </c>
      <c r="F302" s="296"/>
      <c r="G302" s="296" t="s">
        <v>8506</v>
      </c>
      <c r="H302" s="297" t="s">
        <v>8697</v>
      </c>
      <c r="I302" s="297">
        <v>1</v>
      </c>
      <c r="J302" s="297">
        <v>139</v>
      </c>
      <c r="K302" s="299"/>
      <c r="L302" s="299"/>
      <c r="M302" s="299">
        <v>47</v>
      </c>
      <c r="N302" s="299">
        <v>1</v>
      </c>
      <c r="O302" s="300">
        <v>60</v>
      </c>
      <c r="P302" s="301">
        <v>42090</v>
      </c>
      <c r="Q302" s="302"/>
      <c r="R302" s="303"/>
      <c r="S302" s="289">
        <v>3.45</v>
      </c>
      <c r="T302" s="303">
        <v>42208</v>
      </c>
      <c r="U302" s="302"/>
      <c r="V302" s="303"/>
      <c r="W302" s="302"/>
      <c r="X302" s="303"/>
      <c r="Y302" s="302">
        <v>13.15</v>
      </c>
      <c r="Z302" s="303">
        <v>42208</v>
      </c>
      <c r="AA302">
        <v>14.4</v>
      </c>
      <c r="AB302" s="303"/>
      <c r="AC302" s="302"/>
      <c r="AD302" s="303"/>
      <c r="AE302" s="302"/>
      <c r="AF302" s="303"/>
      <c r="AG302">
        <v>45735.460069444445</v>
      </c>
      <c r="AH302" s="521">
        <f>(AK302*10000)/AM302</f>
        <v>45735.460069444445</v>
      </c>
      <c r="AI302" s="302"/>
      <c r="AJ302" s="303"/>
      <c r="AK302">
        <v>21.953020833333333</v>
      </c>
      <c r="AL302" s="521"/>
      <c r="AM302">
        <v>4.8</v>
      </c>
      <c r="AN302" s="303">
        <v>42244</v>
      </c>
      <c r="AO302">
        <v>130</v>
      </c>
      <c r="AP302" s="303">
        <v>42170</v>
      </c>
      <c r="AQ302" s="302"/>
      <c r="AR302" s="303"/>
      <c r="AS302" s="302"/>
      <c r="AT302" s="303"/>
      <c r="AU302">
        <v>111</v>
      </c>
      <c r="AV302" s="303"/>
      <c r="AW302" s="302"/>
      <c r="AX302" s="302"/>
      <c r="AY302" s="302"/>
      <c r="AZ302" s="303"/>
      <c r="BA302" s="302"/>
      <c r="BB302" s="302"/>
      <c r="BC302" s="302"/>
      <c r="BD302" s="302"/>
      <c r="BE302" s="302"/>
      <c r="BF302" s="302"/>
      <c r="BG302" s="302"/>
      <c r="BH302" s="302"/>
      <c r="BI302" s="302"/>
      <c r="BJ302" s="302"/>
      <c r="BM302">
        <v>-6.2</v>
      </c>
      <c r="BS302">
        <v>63.6</v>
      </c>
      <c r="BY302">
        <v>53.4</v>
      </c>
      <c r="CA302">
        <v>15.7</v>
      </c>
      <c r="CC302">
        <v>15.5</v>
      </c>
      <c r="CI302">
        <v>6.5</v>
      </c>
      <c r="CO302" t="s">
        <v>8698</v>
      </c>
      <c r="CR302">
        <v>1</v>
      </c>
      <c r="CT302" s="304" t="s">
        <v>11678</v>
      </c>
    </row>
    <row r="303" spans="1:98" s="304" customFormat="1">
      <c r="A303" s="304" t="s">
        <v>8506</v>
      </c>
      <c r="B303" s="463">
        <v>108</v>
      </c>
      <c r="C303" s="296" t="s">
        <v>7726</v>
      </c>
      <c r="D303" s="296" t="s">
        <v>7552</v>
      </c>
      <c r="E303" s="296" t="s">
        <v>7726</v>
      </c>
      <c r="F303" s="296"/>
      <c r="G303" s="296" t="s">
        <v>8506</v>
      </c>
      <c r="H303" s="297" t="s">
        <v>8696</v>
      </c>
      <c r="I303" s="297">
        <v>2</v>
      </c>
      <c r="J303" s="297">
        <v>299</v>
      </c>
      <c r="K303" s="299"/>
      <c r="L303" s="299"/>
      <c r="M303" s="299">
        <v>47</v>
      </c>
      <c r="N303" s="299">
        <v>8</v>
      </c>
      <c r="O303" s="300">
        <v>58</v>
      </c>
      <c r="P303" s="301">
        <v>42090</v>
      </c>
      <c r="Q303" s="302"/>
      <c r="R303" s="303"/>
      <c r="S303" s="289">
        <v>5.95</v>
      </c>
      <c r="T303" s="303">
        <v>42208</v>
      </c>
      <c r="U303" s="302"/>
      <c r="V303" s="303"/>
      <c r="W303" s="302"/>
      <c r="X303" s="303"/>
      <c r="Y303" s="302">
        <v>22.13</v>
      </c>
      <c r="Z303" s="303">
        <v>42208</v>
      </c>
      <c r="AA303">
        <v>14.4</v>
      </c>
      <c r="AB303" s="303"/>
      <c r="AC303" s="302"/>
      <c r="AD303" s="303"/>
      <c r="AE303" s="302"/>
      <c r="AF303" s="303"/>
      <c r="AG303">
        <v>73121.113782051267</v>
      </c>
      <c r="AH303" s="521">
        <f>(AK303*10000)/AM303</f>
        <v>73121.113782051267</v>
      </c>
      <c r="AI303" s="302"/>
      <c r="AJ303" s="303"/>
      <c r="AK303">
        <v>38.022979166666666</v>
      </c>
      <c r="AL303" s="521"/>
      <c r="AM303">
        <v>5.2</v>
      </c>
      <c r="AN303" s="303">
        <v>42244</v>
      </c>
      <c r="AO303">
        <v>135</v>
      </c>
      <c r="AP303" s="303">
        <v>42170</v>
      </c>
      <c r="AQ303" s="302"/>
      <c r="AR303" s="303"/>
      <c r="AS303" s="302"/>
      <c r="AT303" s="303"/>
      <c r="AU303">
        <v>106</v>
      </c>
      <c r="AV303" s="303"/>
      <c r="AW303" s="302"/>
      <c r="AX303" s="302"/>
      <c r="AY303" s="302"/>
      <c r="AZ303" s="303"/>
      <c r="BA303" s="302"/>
      <c r="BB303" s="302"/>
      <c r="BC303" s="302"/>
      <c r="BD303" s="302"/>
      <c r="BE303" s="302"/>
      <c r="BF303" s="302"/>
      <c r="BG303" s="302"/>
      <c r="BH303" s="302"/>
      <c r="BI303" s="302"/>
      <c r="BJ303" s="302"/>
      <c r="BM303">
        <v>-3.5</v>
      </c>
      <c r="BS303">
        <v>61.5</v>
      </c>
      <c r="BY303">
        <v>51.9</v>
      </c>
      <c r="CA303">
        <v>19.7</v>
      </c>
      <c r="CC303">
        <v>20.6</v>
      </c>
      <c r="CI303">
        <v>6.1</v>
      </c>
      <c r="CO303" t="s">
        <v>8698</v>
      </c>
      <c r="CR303">
        <v>3</v>
      </c>
      <c r="CT303" s="304" t="s">
        <v>11678</v>
      </c>
    </row>
    <row r="304" spans="1:98" s="304" customFormat="1">
      <c r="A304" s="304" t="s">
        <v>8506</v>
      </c>
      <c r="B304" s="463">
        <v>131</v>
      </c>
      <c r="C304" s="296" t="s">
        <v>7759</v>
      </c>
      <c r="D304" s="296" t="s">
        <v>7834</v>
      </c>
      <c r="E304" s="296" t="s">
        <v>7759</v>
      </c>
      <c r="F304" s="296"/>
      <c r="G304" s="296" t="s">
        <v>8506</v>
      </c>
      <c r="H304" s="297" t="s">
        <v>8697</v>
      </c>
      <c r="I304" s="297">
        <v>1</v>
      </c>
      <c r="J304" s="297">
        <v>1279</v>
      </c>
      <c r="K304" s="299"/>
      <c r="L304" s="299"/>
      <c r="M304" s="299">
        <v>47</v>
      </c>
      <c r="N304" s="299">
        <v>5</v>
      </c>
      <c r="O304" s="300">
        <v>38</v>
      </c>
      <c r="P304" s="301">
        <v>42090</v>
      </c>
      <c r="Q304" s="302"/>
      <c r="R304" s="303"/>
      <c r="S304" s="289">
        <v>4.95</v>
      </c>
      <c r="T304" s="303">
        <v>42208</v>
      </c>
      <c r="U304" s="302"/>
      <c r="V304" s="303"/>
      <c r="W304" s="302"/>
      <c r="X304" s="303"/>
      <c r="Y304" s="302">
        <v>18.71</v>
      </c>
      <c r="Z304" s="303">
        <v>42208</v>
      </c>
      <c r="AA304">
        <v>14.4</v>
      </c>
      <c r="AB304" s="303"/>
      <c r="AC304" s="302"/>
      <c r="AD304" s="303"/>
      <c r="AE304" s="302"/>
      <c r="AF304" s="303"/>
      <c r="AG304">
        <v>70219.722222222219</v>
      </c>
      <c r="AH304" s="521">
        <f>(AK304*10000)/AM304</f>
        <v>70219.722222222219</v>
      </c>
      <c r="AI304" s="302"/>
      <c r="AJ304" s="303"/>
      <c r="AK304">
        <v>31.598875</v>
      </c>
      <c r="AL304" s="521"/>
      <c r="AM304">
        <v>4.5</v>
      </c>
      <c r="AN304" s="303">
        <v>42244</v>
      </c>
      <c r="AO304">
        <v>130</v>
      </c>
      <c r="AP304" s="303">
        <v>42170</v>
      </c>
      <c r="AQ304" s="302"/>
      <c r="AR304" s="303"/>
      <c r="AS304" s="302"/>
      <c r="AT304" s="303"/>
      <c r="AU304">
        <v>107</v>
      </c>
      <c r="AV304" s="303"/>
      <c r="AW304" s="302"/>
      <c r="AX304" s="302"/>
      <c r="AY304" s="302"/>
      <c r="AZ304" s="303"/>
      <c r="BA304" s="302"/>
      <c r="BB304" s="302"/>
      <c r="BC304" s="302"/>
      <c r="BD304" s="302"/>
      <c r="BE304" s="302"/>
      <c r="BF304" s="302"/>
      <c r="BG304" s="302"/>
      <c r="BH304" s="302"/>
      <c r="BI304" s="302"/>
      <c r="BJ304" s="302"/>
      <c r="BM304">
        <v>-1.5</v>
      </c>
      <c r="BS304">
        <v>66.2</v>
      </c>
      <c r="BY304">
        <v>52.8</v>
      </c>
      <c r="CA304">
        <v>15.5</v>
      </c>
      <c r="CC304">
        <v>14.5</v>
      </c>
      <c r="CI304">
        <v>6.2</v>
      </c>
      <c r="CO304" t="s">
        <v>8698</v>
      </c>
      <c r="CR304">
        <v>2</v>
      </c>
      <c r="CT304" s="304" t="s">
        <v>11678</v>
      </c>
    </row>
    <row r="305" spans="1:98" s="304" customFormat="1">
      <c r="A305" s="304" t="s">
        <v>8506</v>
      </c>
      <c r="B305" s="463">
        <v>138</v>
      </c>
      <c r="C305" s="296" t="s">
        <v>7766</v>
      </c>
      <c r="D305" s="296" t="s">
        <v>7840</v>
      </c>
      <c r="E305" s="296" t="s">
        <v>7766</v>
      </c>
      <c r="F305" s="296"/>
      <c r="G305" s="296" t="s">
        <v>8506</v>
      </c>
      <c r="H305" s="297" t="s">
        <v>8697</v>
      </c>
      <c r="I305" s="297">
        <v>1</v>
      </c>
      <c r="J305" s="297">
        <v>199</v>
      </c>
      <c r="K305" s="299"/>
      <c r="L305" s="299"/>
      <c r="M305" s="299">
        <v>47</v>
      </c>
      <c r="N305" s="299">
        <v>2</v>
      </c>
      <c r="O305" s="300">
        <v>22</v>
      </c>
      <c r="P305" s="301">
        <v>42090</v>
      </c>
      <c r="Q305" s="302"/>
      <c r="R305" s="303"/>
      <c r="S305" s="289">
        <v>3.7</v>
      </c>
      <c r="T305" s="303">
        <v>42208</v>
      </c>
      <c r="U305" s="302"/>
      <c r="V305" s="303"/>
      <c r="W305" s="302"/>
      <c r="X305" s="303"/>
      <c r="Y305" s="302">
        <v>13.76</v>
      </c>
      <c r="Z305" s="303">
        <v>42208</v>
      </c>
      <c r="AA305">
        <v>14.4</v>
      </c>
      <c r="AB305" s="303"/>
      <c r="AC305" s="302"/>
      <c r="AD305" s="303"/>
      <c r="AE305" s="302"/>
      <c r="AF305" s="303"/>
      <c r="AG305">
        <v>60756.160968660974</v>
      </c>
      <c r="AH305" s="521">
        <f>(AK305*10000)/AM305</f>
        <v>60756.160968660974</v>
      </c>
      <c r="AI305" s="302"/>
      <c r="AJ305" s="303"/>
      <c r="AK305">
        <v>23.694902777777777</v>
      </c>
      <c r="AL305" s="521"/>
      <c r="AM305">
        <v>3.9</v>
      </c>
      <c r="AN305" s="303">
        <v>42244</v>
      </c>
      <c r="AO305">
        <v>130</v>
      </c>
      <c r="AP305" s="303">
        <v>42170</v>
      </c>
      <c r="AQ305" s="302"/>
      <c r="AR305" s="303"/>
      <c r="AS305" s="302"/>
      <c r="AT305" s="303"/>
      <c r="AU305">
        <v>104</v>
      </c>
      <c r="AV305" s="303"/>
      <c r="AW305" s="302"/>
      <c r="AX305" s="302"/>
      <c r="AY305" s="302"/>
      <c r="AZ305" s="303"/>
      <c r="BA305" s="302"/>
      <c r="BB305" s="302"/>
      <c r="BC305" s="302"/>
      <c r="BD305" s="302"/>
      <c r="BE305" s="302"/>
      <c r="BF305" s="302"/>
      <c r="BG305" s="302"/>
      <c r="BH305" s="302"/>
      <c r="BI305" s="302"/>
      <c r="BJ305" s="302"/>
      <c r="BM305">
        <v>-2.4</v>
      </c>
      <c r="BS305">
        <v>65.7</v>
      </c>
      <c r="BY305">
        <v>51.8</v>
      </c>
      <c r="CA305">
        <v>16.5</v>
      </c>
      <c r="CC305">
        <v>12.9</v>
      </c>
      <c r="CI305">
        <v>5.9</v>
      </c>
      <c r="CO305" t="s">
        <v>8698</v>
      </c>
      <c r="CR305">
        <v>1</v>
      </c>
      <c r="CT305" s="304" t="s">
        <v>11678</v>
      </c>
    </row>
    <row r="306" spans="1:98" s="304" customFormat="1">
      <c r="A306" s="304" t="s">
        <v>8506</v>
      </c>
      <c r="B306" s="523">
        <v>359</v>
      </c>
      <c r="C306" s="296" t="s">
        <v>8509</v>
      </c>
      <c r="D306" s="296" t="s">
        <v>8299</v>
      </c>
      <c r="E306" s="296" t="s">
        <v>8299</v>
      </c>
      <c r="F306" s="296"/>
      <c r="G306" s="296" t="s">
        <v>8506</v>
      </c>
      <c r="H306" s="297" t="s">
        <v>8696</v>
      </c>
      <c r="I306" s="297">
        <v>2</v>
      </c>
      <c r="J306" s="297">
        <v>2339</v>
      </c>
      <c r="K306" s="299"/>
      <c r="L306" s="299"/>
      <c r="M306" s="299">
        <v>47</v>
      </c>
      <c r="N306" s="299">
        <v>12</v>
      </c>
      <c r="O306" s="300">
        <v>43</v>
      </c>
      <c r="P306" s="301">
        <v>42090</v>
      </c>
      <c r="Q306" s="302"/>
      <c r="R306" s="303"/>
      <c r="S306" s="289">
        <v>4.7</v>
      </c>
      <c r="T306" s="303">
        <v>42208</v>
      </c>
      <c r="U306" s="302"/>
      <c r="V306" s="303"/>
      <c r="W306" s="302"/>
      <c r="X306" s="303"/>
      <c r="Y306" s="302">
        <v>16.57</v>
      </c>
      <c r="Z306" s="303">
        <v>42208</v>
      </c>
      <c r="AA306">
        <v>14.4</v>
      </c>
      <c r="AB306" s="303"/>
      <c r="AC306" s="302"/>
      <c r="AD306" s="303"/>
      <c r="AE306" s="302"/>
      <c r="AF306" s="303"/>
      <c r="AG306">
        <v>53736.666666666657</v>
      </c>
      <c r="AH306" s="521">
        <f>(AK306*10000)/AM306</f>
        <v>53736.666666666657</v>
      </c>
      <c r="AI306" s="302"/>
      <c r="AJ306" s="303"/>
      <c r="AK306">
        <v>29.555166666666665</v>
      </c>
      <c r="AL306" s="521"/>
      <c r="AM306">
        <v>5.5</v>
      </c>
      <c r="AN306" s="303">
        <v>42244</v>
      </c>
      <c r="AO306">
        <v>160</v>
      </c>
      <c r="AP306" s="303">
        <v>42170</v>
      </c>
      <c r="AQ306" s="302"/>
      <c r="AR306" s="303"/>
      <c r="AS306" s="302"/>
      <c r="AT306" s="303"/>
      <c r="AU306">
        <v>108</v>
      </c>
      <c r="AV306" s="302"/>
      <c r="AW306" s="302"/>
      <c r="AX306" s="302"/>
      <c r="AY306" s="302"/>
      <c r="AZ306" s="302"/>
      <c r="BA306" s="302"/>
      <c r="BB306" s="302"/>
      <c r="BC306" s="302"/>
      <c r="BD306" s="302"/>
      <c r="BE306" s="302"/>
      <c r="BF306" s="302"/>
      <c r="BG306" s="302"/>
      <c r="BH306" s="302"/>
      <c r="BI306" s="302"/>
      <c r="BJ306" s="302"/>
      <c r="BM306">
        <v>-0.8</v>
      </c>
      <c r="BS306">
        <v>59.8</v>
      </c>
      <c r="BY306">
        <v>50</v>
      </c>
      <c r="CA306">
        <v>19.899999999999999</v>
      </c>
      <c r="CC306">
        <v>15.4</v>
      </c>
      <c r="CI306">
        <v>7.6</v>
      </c>
      <c r="CO306" t="s">
        <v>8698</v>
      </c>
      <c r="CR306">
        <v>1</v>
      </c>
      <c r="CT306" s="304" t="s">
        <v>11678</v>
      </c>
    </row>
    <row r="307" spans="1:98" s="304" customFormat="1">
      <c r="A307" s="304" t="s">
        <v>8506</v>
      </c>
      <c r="B307" s="463">
        <v>6</v>
      </c>
      <c r="C307" s="296" t="s">
        <v>7615</v>
      </c>
      <c r="D307" s="296" t="s">
        <v>7455</v>
      </c>
      <c r="E307" s="296" t="s">
        <v>7615</v>
      </c>
      <c r="F307" s="296"/>
      <c r="G307" s="296" t="s">
        <v>8506</v>
      </c>
      <c r="H307" s="297" t="s">
        <v>8696</v>
      </c>
      <c r="I307" s="297">
        <v>2</v>
      </c>
      <c r="J307" s="297">
        <v>2340</v>
      </c>
      <c r="K307" s="299"/>
      <c r="L307" s="299"/>
      <c r="M307" s="299">
        <v>48</v>
      </c>
      <c r="N307" s="299">
        <v>12</v>
      </c>
      <c r="O307" s="300">
        <v>27</v>
      </c>
      <c r="P307" s="301">
        <v>42090</v>
      </c>
      <c r="Q307" s="302"/>
      <c r="R307" s="303"/>
      <c r="S307" s="289">
        <v>4.8</v>
      </c>
      <c r="T307" s="303">
        <v>42208</v>
      </c>
      <c r="U307" s="302"/>
      <c r="V307" s="303"/>
      <c r="W307" s="302"/>
      <c r="X307" s="303"/>
      <c r="Y307" s="302">
        <v>15.86</v>
      </c>
      <c r="Z307" s="303">
        <v>42208</v>
      </c>
      <c r="AA307">
        <v>14.4</v>
      </c>
      <c r="AB307" s="303"/>
      <c r="AC307" s="302"/>
      <c r="AD307" s="303"/>
      <c r="AE307" s="302"/>
      <c r="AF307" s="303"/>
      <c r="AG307">
        <v>58485.897435897437</v>
      </c>
      <c r="AH307" s="521">
        <f>(AK307*10000)/AM307</f>
        <v>58485.897435897437</v>
      </c>
      <c r="AI307" s="302"/>
      <c r="AJ307" s="303"/>
      <c r="AK307">
        <v>30.412666666666667</v>
      </c>
      <c r="AL307" s="521"/>
      <c r="AM307">
        <v>5.2</v>
      </c>
      <c r="AN307" s="303">
        <v>42244</v>
      </c>
      <c r="AO307">
        <v>155</v>
      </c>
      <c r="AP307" s="303">
        <v>42170</v>
      </c>
      <c r="AQ307" s="302"/>
      <c r="AR307" s="303"/>
      <c r="AS307" s="302"/>
      <c r="AT307" s="303"/>
      <c r="AU307">
        <v>112</v>
      </c>
      <c r="AV307" s="303"/>
      <c r="AW307" s="302"/>
      <c r="AX307" s="302"/>
      <c r="AY307" s="302"/>
      <c r="AZ307" s="303"/>
      <c r="BA307" s="302"/>
      <c r="BB307" s="302"/>
      <c r="BC307" s="302"/>
      <c r="BD307" s="302"/>
      <c r="BE307" s="302"/>
      <c r="BF307" s="302"/>
      <c r="BG307" s="302"/>
      <c r="BH307" s="302"/>
      <c r="BI307" s="302"/>
      <c r="BJ307" s="302"/>
      <c r="BM307">
        <v>36.5</v>
      </c>
      <c r="BS307">
        <v>18.5</v>
      </c>
      <c r="BY307">
        <v>46.5</v>
      </c>
      <c r="CA307">
        <v>22.8</v>
      </c>
      <c r="CC307">
        <v>70.3</v>
      </c>
      <c r="CI307">
        <v>6.9</v>
      </c>
      <c r="CO307" t="s">
        <v>8698</v>
      </c>
      <c r="CR307">
        <v>3</v>
      </c>
      <c r="CT307" s="304" t="s">
        <v>11678</v>
      </c>
    </row>
    <row r="308" spans="1:98" s="304" customFormat="1">
      <c r="A308" s="304" t="s">
        <v>8506</v>
      </c>
      <c r="B308" s="463">
        <v>20</v>
      </c>
      <c r="C308" s="296" t="s">
        <v>7630</v>
      </c>
      <c r="D308" s="296" t="s">
        <v>7467</v>
      </c>
      <c r="E308" s="296" t="s">
        <v>7630</v>
      </c>
      <c r="F308" s="296"/>
      <c r="G308" s="296" t="s">
        <v>8506</v>
      </c>
      <c r="H308" s="297" t="s">
        <v>8697</v>
      </c>
      <c r="I308" s="297">
        <v>1</v>
      </c>
      <c r="J308" s="297">
        <v>1100</v>
      </c>
      <c r="K308" s="299"/>
      <c r="L308" s="299"/>
      <c r="M308" s="299">
        <v>48</v>
      </c>
      <c r="N308" s="299">
        <v>2</v>
      </c>
      <c r="O308" s="300">
        <v>20</v>
      </c>
      <c r="P308" s="301">
        <v>42090</v>
      </c>
      <c r="Q308" s="302"/>
      <c r="R308" s="303"/>
      <c r="S308" s="289">
        <v>3.65</v>
      </c>
      <c r="T308" s="303">
        <v>42208</v>
      </c>
      <c r="U308" s="302"/>
      <c r="V308" s="303"/>
      <c r="W308" s="302"/>
      <c r="X308" s="303"/>
      <c r="Y308" s="302">
        <v>13.21</v>
      </c>
      <c r="Z308" s="303">
        <v>42208</v>
      </c>
      <c r="AA308">
        <v>14.4</v>
      </c>
      <c r="AB308" s="303"/>
      <c r="AC308" s="302"/>
      <c r="AD308" s="303"/>
      <c r="AE308" s="302"/>
      <c r="AF308" s="303"/>
      <c r="AG308">
        <v>48697.294560185182</v>
      </c>
      <c r="AH308" s="521">
        <f>(AK308*10000)/AM308</f>
        <v>48697.294560185182</v>
      </c>
      <c r="AI308" s="302"/>
      <c r="AJ308" s="303"/>
      <c r="AK308">
        <v>23.374701388888887</v>
      </c>
      <c r="AL308" s="521"/>
      <c r="AM308">
        <v>4.8</v>
      </c>
      <c r="AN308" s="303">
        <v>42244</v>
      </c>
      <c r="AO308">
        <v>135</v>
      </c>
      <c r="AP308" s="303">
        <v>42170</v>
      </c>
      <c r="AQ308" s="302"/>
      <c r="AR308" s="303"/>
      <c r="AS308" s="302"/>
      <c r="AT308" s="303"/>
      <c r="AU308">
        <v>109</v>
      </c>
      <c r="AV308" s="303"/>
      <c r="AW308" s="302"/>
      <c r="AX308" s="302"/>
      <c r="AY308" s="302"/>
      <c r="AZ308" s="303"/>
      <c r="BA308" s="302"/>
      <c r="BB308" s="302"/>
      <c r="BC308" s="302"/>
      <c r="BD308" s="302"/>
      <c r="BE308" s="302"/>
      <c r="BF308" s="302"/>
      <c r="BG308" s="302"/>
      <c r="BH308" s="302"/>
      <c r="BI308" s="302"/>
      <c r="BJ308" s="302"/>
      <c r="BM308">
        <v>15.2</v>
      </c>
      <c r="BS308">
        <v>42.8</v>
      </c>
      <c r="BY308">
        <v>50.4</v>
      </c>
      <c r="CA308">
        <v>17.7</v>
      </c>
      <c r="CC308">
        <v>49.9</v>
      </c>
      <c r="CI308">
        <v>5.9</v>
      </c>
      <c r="CO308" t="s">
        <v>8698</v>
      </c>
      <c r="CR308">
        <v>1</v>
      </c>
      <c r="CT308" s="304" t="s">
        <v>11678</v>
      </c>
    </row>
    <row r="309" spans="1:98" s="304" customFormat="1">
      <c r="A309" s="304" t="s">
        <v>8506</v>
      </c>
      <c r="B309" s="463">
        <v>21</v>
      </c>
      <c r="C309" s="296" t="s">
        <v>7631</v>
      </c>
      <c r="D309" s="296" t="s">
        <v>7468</v>
      </c>
      <c r="E309" s="296" t="s">
        <v>7631</v>
      </c>
      <c r="F309" s="296"/>
      <c r="G309" s="296" t="s">
        <v>8506</v>
      </c>
      <c r="H309" s="297" t="s">
        <v>8697</v>
      </c>
      <c r="I309" s="297">
        <v>1</v>
      </c>
      <c r="J309" s="297">
        <v>1280</v>
      </c>
      <c r="K309" s="299"/>
      <c r="L309" s="299"/>
      <c r="M309" s="299">
        <v>48</v>
      </c>
      <c r="N309" s="299">
        <v>5</v>
      </c>
      <c r="O309" s="300">
        <v>32</v>
      </c>
      <c r="P309" s="301">
        <v>42090</v>
      </c>
      <c r="Q309" s="302"/>
      <c r="R309" s="303"/>
      <c r="S309" s="289">
        <v>4.0999999999999996</v>
      </c>
      <c r="T309" s="303">
        <v>42208</v>
      </c>
      <c r="U309" s="302"/>
      <c r="V309" s="303"/>
      <c r="W309" s="302"/>
      <c r="X309" s="303"/>
      <c r="Y309" s="302">
        <v>14.97</v>
      </c>
      <c r="Z309" s="303">
        <v>42208</v>
      </c>
      <c r="AA309">
        <v>14.4</v>
      </c>
      <c r="AB309" s="303"/>
      <c r="AC309" s="302"/>
      <c r="AD309" s="303"/>
      <c r="AE309" s="302"/>
      <c r="AF309" s="303"/>
      <c r="AG309">
        <v>49487.945492662468</v>
      </c>
      <c r="AH309" s="521">
        <f>(AK309*10000)/AM309</f>
        <v>49487.945492662468</v>
      </c>
      <c r="AI309" s="302"/>
      <c r="AJ309" s="303"/>
      <c r="AK309">
        <v>26.228611111111107</v>
      </c>
      <c r="AL309" s="521"/>
      <c r="AM309">
        <v>5.3</v>
      </c>
      <c r="AN309" s="303">
        <v>42244</v>
      </c>
      <c r="AO309">
        <v>145</v>
      </c>
      <c r="AP309" s="303">
        <v>42170</v>
      </c>
      <c r="AQ309" s="302"/>
      <c r="AR309" s="303"/>
      <c r="AS309" s="302"/>
      <c r="AT309" s="303"/>
      <c r="AU309">
        <v>110</v>
      </c>
      <c r="AV309" s="303"/>
      <c r="AW309" s="302"/>
      <c r="AX309" s="302"/>
      <c r="AY309" s="302"/>
      <c r="AZ309" s="303"/>
      <c r="BA309" s="302"/>
      <c r="BB309" s="302"/>
      <c r="BC309" s="302"/>
      <c r="BD309" s="302"/>
      <c r="BE309" s="302"/>
      <c r="BF309" s="302"/>
      <c r="BG309" s="302"/>
      <c r="BH309" s="302"/>
      <c r="BI309" s="302"/>
      <c r="BJ309" s="302"/>
      <c r="BM309">
        <v>38.1</v>
      </c>
      <c r="BS309">
        <v>17.600000000000001</v>
      </c>
      <c r="BY309">
        <v>50.9</v>
      </c>
      <c r="CA309">
        <v>18.100000000000001</v>
      </c>
      <c r="CC309">
        <v>63.6</v>
      </c>
      <c r="CI309">
        <v>6</v>
      </c>
      <c r="CO309" t="s">
        <v>8698</v>
      </c>
      <c r="CR309">
        <v>5</v>
      </c>
      <c r="CT309" s="304" t="s">
        <v>11678</v>
      </c>
    </row>
    <row r="310" spans="1:98" s="304" customFormat="1">
      <c r="A310" s="304" t="s">
        <v>8506</v>
      </c>
      <c r="B310" s="463">
        <v>41</v>
      </c>
      <c r="C310" s="296" t="s">
        <v>7658</v>
      </c>
      <c r="D310" s="296" t="s">
        <v>7491</v>
      </c>
      <c r="E310" s="296" t="s">
        <v>7658</v>
      </c>
      <c r="F310" s="296"/>
      <c r="G310" s="296" t="s">
        <v>8506</v>
      </c>
      <c r="H310" s="297" t="s">
        <v>8696</v>
      </c>
      <c r="I310" s="297">
        <v>2</v>
      </c>
      <c r="J310" s="297">
        <v>2100</v>
      </c>
      <c r="K310" s="299"/>
      <c r="L310" s="299"/>
      <c r="M310" s="299">
        <v>48</v>
      </c>
      <c r="N310" s="299">
        <v>8</v>
      </c>
      <c r="O310" s="300">
        <v>56</v>
      </c>
      <c r="P310" s="301">
        <v>42090</v>
      </c>
      <c r="Q310" s="302"/>
      <c r="R310" s="303"/>
      <c r="S310" s="289">
        <v>6.35</v>
      </c>
      <c r="T310" s="303">
        <v>42208</v>
      </c>
      <c r="U310" s="302"/>
      <c r="V310" s="303"/>
      <c r="W310" s="302"/>
      <c r="X310" s="303"/>
      <c r="Y310" s="302">
        <v>21.93</v>
      </c>
      <c r="Z310" s="303">
        <v>42208</v>
      </c>
      <c r="AA310">
        <v>14.4</v>
      </c>
      <c r="AB310" s="303"/>
      <c r="AC310" s="302"/>
      <c r="AD310" s="303"/>
      <c r="AE310" s="302"/>
      <c r="AF310" s="303"/>
      <c r="AG310">
        <v>88403.426932367147</v>
      </c>
      <c r="AH310" s="521">
        <f>(AK310*10000)/AM310</f>
        <v>88403.426932367147</v>
      </c>
      <c r="AI310" s="302"/>
      <c r="AJ310" s="303"/>
      <c r="AK310">
        <v>40.665576388888887</v>
      </c>
      <c r="AL310" s="521"/>
      <c r="AM310">
        <v>4.5999999999999996</v>
      </c>
      <c r="AN310" s="303">
        <v>42244</v>
      </c>
      <c r="AO310">
        <v>125</v>
      </c>
      <c r="AP310" s="303">
        <v>42170</v>
      </c>
      <c r="AQ310" s="302"/>
      <c r="AR310" s="303"/>
      <c r="AS310" s="302"/>
      <c r="AT310" s="303"/>
      <c r="AU310">
        <v>109</v>
      </c>
      <c r="AV310" s="303"/>
      <c r="AW310" s="302"/>
      <c r="AX310" s="302"/>
      <c r="AY310" s="302"/>
      <c r="AZ310" s="303"/>
      <c r="BA310" s="302"/>
      <c r="BB310" s="302"/>
      <c r="BC310" s="302"/>
      <c r="BD310" s="302"/>
      <c r="BE310" s="302"/>
      <c r="BF310" s="302"/>
      <c r="BG310" s="302"/>
      <c r="BH310" s="302"/>
      <c r="BI310" s="302"/>
      <c r="BJ310" s="302"/>
      <c r="BM310">
        <v>-0.7</v>
      </c>
      <c r="BS310">
        <v>61.4</v>
      </c>
      <c r="BY310">
        <v>48.1</v>
      </c>
      <c r="CA310">
        <v>19.2</v>
      </c>
      <c r="CC310">
        <v>16.2</v>
      </c>
      <c r="CI310">
        <v>5.9</v>
      </c>
      <c r="CO310" t="s">
        <v>8698</v>
      </c>
      <c r="CR310">
        <v>3</v>
      </c>
      <c r="CT310" s="304" t="s">
        <v>11678</v>
      </c>
    </row>
    <row r="311" spans="1:98" s="304" customFormat="1">
      <c r="A311" s="304" t="s">
        <v>8506</v>
      </c>
      <c r="B311" s="463">
        <v>93</v>
      </c>
      <c r="C311" s="296" t="s">
        <v>7711</v>
      </c>
      <c r="D311" s="296" t="s">
        <v>7539</v>
      </c>
      <c r="E311" s="296" t="s">
        <v>7711</v>
      </c>
      <c r="F311" s="296"/>
      <c r="G311" s="296" t="s">
        <v>8506</v>
      </c>
      <c r="H311" s="297" t="s">
        <v>8696</v>
      </c>
      <c r="I311" s="297">
        <v>2</v>
      </c>
      <c r="J311" s="308">
        <v>2280</v>
      </c>
      <c r="K311" s="299"/>
      <c r="L311" s="299"/>
      <c r="M311" s="299">
        <v>48</v>
      </c>
      <c r="N311" s="299">
        <v>11</v>
      </c>
      <c r="O311" s="300">
        <v>15</v>
      </c>
      <c r="P311" s="301">
        <v>42090</v>
      </c>
      <c r="Q311" s="306"/>
      <c r="R311" s="303"/>
      <c r="S311" s="289">
        <v>5.35</v>
      </c>
      <c r="T311" s="303">
        <v>42208</v>
      </c>
      <c r="U311" s="307"/>
      <c r="V311" s="303"/>
      <c r="W311" s="306"/>
      <c r="X311" s="303"/>
      <c r="Y311" s="306">
        <v>18.399999999999999</v>
      </c>
      <c r="Z311" s="303">
        <v>42208</v>
      </c>
      <c r="AA311">
        <v>14.4</v>
      </c>
      <c r="AB311" s="303"/>
      <c r="AC311" s="306"/>
      <c r="AD311" s="303"/>
      <c r="AE311" s="302"/>
      <c r="AF311" s="303"/>
      <c r="AG311">
        <v>79508.672480620153</v>
      </c>
      <c r="AH311" s="521">
        <f>(AK311*10000)/AM311</f>
        <v>79508.672480620153</v>
      </c>
      <c r="AI311" s="302"/>
      <c r="AJ311" s="303"/>
      <c r="AK311">
        <v>34.188729166666661</v>
      </c>
      <c r="AL311" s="521"/>
      <c r="AM311">
        <v>4.3</v>
      </c>
      <c r="AN311" s="303">
        <v>42244</v>
      </c>
      <c r="AO311">
        <v>155</v>
      </c>
      <c r="AP311" s="303">
        <v>42170</v>
      </c>
      <c r="AQ311" s="306"/>
      <c r="AR311" s="303"/>
      <c r="AS311" s="306"/>
      <c r="AT311" s="303"/>
      <c r="AU311">
        <v>113</v>
      </c>
      <c r="AV311" s="303"/>
      <c r="AW311" s="302"/>
      <c r="AX311" s="302"/>
      <c r="AY311" s="302"/>
      <c r="AZ311" s="303"/>
      <c r="BA311" s="302"/>
      <c r="BB311" s="302"/>
      <c r="BC311" s="302"/>
      <c r="BD311" s="302"/>
      <c r="BE311" s="302"/>
      <c r="BF311" s="302"/>
      <c r="BG311" s="302"/>
      <c r="BH311" s="302"/>
      <c r="BI311" s="302"/>
      <c r="BJ311" s="302"/>
      <c r="BM311">
        <v>1</v>
      </c>
      <c r="BS311">
        <v>62.8</v>
      </c>
      <c r="BY311">
        <v>48</v>
      </c>
      <c r="CA311">
        <v>20.399999999999999</v>
      </c>
      <c r="CC311">
        <v>18</v>
      </c>
      <c r="CI311">
        <v>6.1</v>
      </c>
      <c r="CO311" t="s">
        <v>8707</v>
      </c>
      <c r="CR311">
        <v>2</v>
      </c>
      <c r="CT311" s="304" t="s">
        <v>11678</v>
      </c>
    </row>
    <row r="312" spans="1:98" s="304" customFormat="1">
      <c r="A312" s="304" t="s">
        <v>8506</v>
      </c>
      <c r="B312" s="463">
        <v>2</v>
      </c>
      <c r="C312" s="296" t="s">
        <v>7608</v>
      </c>
      <c r="D312" s="296" t="s">
        <v>7810</v>
      </c>
      <c r="E312" s="296" t="s">
        <v>7608</v>
      </c>
      <c r="F312" s="296"/>
      <c r="G312" s="296" t="s">
        <v>8506</v>
      </c>
      <c r="H312" s="297" t="s">
        <v>8696</v>
      </c>
      <c r="I312" s="297">
        <v>2</v>
      </c>
      <c r="J312" s="297">
        <v>2221</v>
      </c>
      <c r="K312" s="299"/>
      <c r="L312" s="299"/>
      <c r="M312" s="299">
        <v>49</v>
      </c>
      <c r="N312" s="299">
        <v>10</v>
      </c>
      <c r="O312" s="300">
        <v>49</v>
      </c>
      <c r="P312" s="301">
        <v>42090</v>
      </c>
      <c r="Q312" s="302"/>
      <c r="R312" s="303"/>
      <c r="S312" s="289">
        <v>2.85</v>
      </c>
      <c r="T312" s="303">
        <v>42208</v>
      </c>
      <c r="U312" s="302"/>
      <c r="V312" s="303"/>
      <c r="W312" s="302"/>
      <c r="X312" s="303"/>
      <c r="Y312" s="302">
        <v>9.64</v>
      </c>
      <c r="Z312" s="303">
        <v>42208</v>
      </c>
      <c r="AA312">
        <v>14.4</v>
      </c>
      <c r="AB312" s="303"/>
      <c r="AC312" s="302"/>
      <c r="AD312" s="303"/>
      <c r="AE312" s="302"/>
      <c r="AF312" s="303"/>
      <c r="AG312">
        <v>35330.841503267977</v>
      </c>
      <c r="AH312" s="521">
        <f>(AK312*10000)/AM312</f>
        <v>35330.841503267977</v>
      </c>
      <c r="AI312" s="302"/>
      <c r="AJ312" s="303"/>
      <c r="AK312">
        <v>18.018729166666667</v>
      </c>
      <c r="AL312" s="521"/>
      <c r="AM312">
        <v>5.0999999999999996</v>
      </c>
      <c r="AN312" s="303">
        <v>42244</v>
      </c>
      <c r="AO312">
        <v>140</v>
      </c>
      <c r="AP312" s="303">
        <v>42170</v>
      </c>
      <c r="AQ312" s="302"/>
      <c r="AR312" s="303"/>
      <c r="AS312" s="302"/>
      <c r="AT312" s="303"/>
      <c r="AU312">
        <v>111</v>
      </c>
      <c r="AV312" s="303"/>
      <c r="AW312" s="302"/>
      <c r="AX312" s="302"/>
      <c r="AY312" s="302"/>
      <c r="AZ312" s="303"/>
      <c r="BA312" s="302"/>
      <c r="BB312" s="302"/>
      <c r="BC312" s="302"/>
      <c r="BD312" s="302"/>
      <c r="BE312" s="302"/>
      <c r="BF312" s="302"/>
      <c r="BG312" s="302"/>
      <c r="BH312" s="302"/>
      <c r="BI312" s="302"/>
      <c r="BJ312" s="302"/>
      <c r="BM312">
        <v>41</v>
      </c>
      <c r="BS312">
        <v>12.7</v>
      </c>
      <c r="BY312">
        <v>47.7</v>
      </c>
      <c r="CA312">
        <v>21</v>
      </c>
      <c r="CC312">
        <v>66.2</v>
      </c>
      <c r="CI312">
        <v>7.1</v>
      </c>
      <c r="CO312" t="s">
        <v>8698</v>
      </c>
      <c r="CR312">
        <v>4</v>
      </c>
      <c r="CT312" s="304" t="s">
        <v>11678</v>
      </c>
    </row>
    <row r="313" spans="1:98" s="304" customFormat="1">
      <c r="A313" s="304" t="s">
        <v>8506</v>
      </c>
      <c r="B313" s="463">
        <v>8</v>
      </c>
      <c r="C313" s="296" t="s">
        <v>7617</v>
      </c>
      <c r="D313" s="296" t="s">
        <v>7457</v>
      </c>
      <c r="E313" s="296" t="s">
        <v>7617</v>
      </c>
      <c r="F313" s="296"/>
      <c r="G313" s="296" t="s">
        <v>8506</v>
      </c>
      <c r="H313" s="297" t="s">
        <v>8697</v>
      </c>
      <c r="I313" s="297">
        <v>1</v>
      </c>
      <c r="J313" s="297">
        <v>1341</v>
      </c>
      <c r="K313" s="299"/>
      <c r="L313" s="299"/>
      <c r="M313" s="299">
        <v>49</v>
      </c>
      <c r="N313" s="299">
        <v>6</v>
      </c>
      <c r="O313" s="300">
        <v>50</v>
      </c>
      <c r="P313" s="301">
        <v>42090</v>
      </c>
      <c r="Q313" s="302"/>
      <c r="R313" s="303"/>
      <c r="S313" s="289">
        <v>3.55</v>
      </c>
      <c r="T313" s="303">
        <v>42208</v>
      </c>
      <c r="U313" s="302"/>
      <c r="V313" s="303"/>
      <c r="W313" s="302"/>
      <c r="X313" s="303"/>
      <c r="Y313" s="302">
        <v>13.5</v>
      </c>
      <c r="Z313" s="303">
        <v>42208</v>
      </c>
      <c r="AA313">
        <v>14.4</v>
      </c>
      <c r="AB313" s="303"/>
      <c r="AC313" s="302"/>
      <c r="AD313" s="303"/>
      <c r="AE313" s="302"/>
      <c r="AF313" s="303"/>
      <c r="AG313">
        <v>44529.684095860561</v>
      </c>
      <c r="AH313" s="521">
        <f>(AK313*10000)/AM313</f>
        <v>44529.684095860561</v>
      </c>
      <c r="AI313" s="302"/>
      <c r="AJ313" s="303"/>
      <c r="AK313">
        <v>22.710138888888885</v>
      </c>
      <c r="AL313" s="521"/>
      <c r="AM313">
        <v>5.0999999999999996</v>
      </c>
      <c r="AN313" s="303">
        <v>42244</v>
      </c>
      <c r="AO313">
        <v>155</v>
      </c>
      <c r="AP313" s="303">
        <v>42170</v>
      </c>
      <c r="AQ313" s="302"/>
      <c r="AR313" s="303"/>
      <c r="AS313" s="302"/>
      <c r="AT313" s="303"/>
      <c r="AU313">
        <v>116</v>
      </c>
      <c r="AV313" s="303"/>
      <c r="AW313" s="302"/>
      <c r="AX313" s="302"/>
      <c r="AY313" s="302"/>
      <c r="AZ313" s="303"/>
      <c r="BA313" s="302"/>
      <c r="BB313" s="302"/>
      <c r="BC313" s="302"/>
      <c r="BD313" s="302"/>
      <c r="BE313" s="302"/>
      <c r="BF313" s="302"/>
      <c r="BG313" s="302"/>
      <c r="BH313" s="302"/>
      <c r="BI313" s="302"/>
      <c r="BJ313" s="302"/>
      <c r="BM313">
        <v>43.7</v>
      </c>
      <c r="BS313">
        <v>14</v>
      </c>
      <c r="BY313">
        <v>53</v>
      </c>
      <c r="CA313">
        <v>18.100000000000001</v>
      </c>
      <c r="CC313">
        <v>54.2</v>
      </c>
      <c r="CI313">
        <v>6</v>
      </c>
      <c r="CO313" t="s">
        <v>8698</v>
      </c>
      <c r="CR313">
        <v>2</v>
      </c>
      <c r="CT313" s="304" t="s">
        <v>11678</v>
      </c>
    </row>
    <row r="314" spans="1:98" s="304" customFormat="1">
      <c r="A314" s="304" t="s">
        <v>8506</v>
      </c>
      <c r="B314" s="463">
        <v>9</v>
      </c>
      <c r="C314" s="296" t="s">
        <v>7618</v>
      </c>
      <c r="D314" s="296" t="s">
        <v>7458</v>
      </c>
      <c r="E314" s="296" t="s">
        <v>7618</v>
      </c>
      <c r="F314" s="296"/>
      <c r="G314" s="296" t="s">
        <v>8506</v>
      </c>
      <c r="H314" s="297" t="s">
        <v>8697</v>
      </c>
      <c r="I314" s="297">
        <v>1</v>
      </c>
      <c r="J314" s="297">
        <v>141</v>
      </c>
      <c r="K314" s="299"/>
      <c r="L314" s="299"/>
      <c r="M314" s="299">
        <v>49</v>
      </c>
      <c r="N314" s="299">
        <v>1</v>
      </c>
      <c r="O314" s="300">
        <v>66</v>
      </c>
      <c r="P314" s="301">
        <v>42090</v>
      </c>
      <c r="Q314" s="302"/>
      <c r="R314" s="303"/>
      <c r="S314" s="289">
        <v>3.1</v>
      </c>
      <c r="T314" s="303">
        <v>42208</v>
      </c>
      <c r="U314" s="302"/>
      <c r="V314" s="303"/>
      <c r="W314" s="302"/>
      <c r="X314" s="303"/>
      <c r="Y314" s="302">
        <v>11.72</v>
      </c>
      <c r="Z314" s="303">
        <v>42208</v>
      </c>
      <c r="AA314">
        <v>14.4</v>
      </c>
      <c r="AB314" s="303"/>
      <c r="AC314" s="302"/>
      <c r="AD314" s="303"/>
      <c r="AE314" s="302"/>
      <c r="AF314" s="303"/>
      <c r="AG314">
        <v>41227.488425925927</v>
      </c>
      <c r="AH314" s="521">
        <f>(AK314*10000)/AM314</f>
        <v>41227.488425925927</v>
      </c>
      <c r="AI314" s="302"/>
      <c r="AJ314" s="303"/>
      <c r="AK314">
        <v>19.789194444444444</v>
      </c>
      <c r="AL314" s="521"/>
      <c r="AM314">
        <v>4.8</v>
      </c>
      <c r="AN314" s="303">
        <v>42244</v>
      </c>
      <c r="AO314">
        <v>120</v>
      </c>
      <c r="AP314" s="303">
        <v>42170</v>
      </c>
      <c r="AQ314" s="302"/>
      <c r="AR314" s="303"/>
      <c r="AS314" s="302"/>
      <c r="AT314" s="303"/>
      <c r="AU314">
        <v>108</v>
      </c>
      <c r="AV314" s="303"/>
      <c r="AW314" s="302"/>
      <c r="AX314" s="302"/>
      <c r="AY314" s="302"/>
      <c r="AZ314" s="303"/>
      <c r="BA314" s="302"/>
      <c r="BB314" s="302"/>
      <c r="BC314" s="302"/>
      <c r="BD314" s="302"/>
      <c r="BE314" s="302"/>
      <c r="BF314" s="302"/>
      <c r="BG314" s="302"/>
      <c r="BH314" s="302"/>
      <c r="BI314" s="302"/>
      <c r="BJ314" s="302"/>
      <c r="BM314">
        <v>43.2</v>
      </c>
      <c r="BS314">
        <v>10.6</v>
      </c>
      <c r="BY314">
        <v>52.8</v>
      </c>
      <c r="CA314">
        <v>17</v>
      </c>
      <c r="CC314">
        <v>64.8</v>
      </c>
      <c r="CI314">
        <v>6.2</v>
      </c>
      <c r="CO314" s="304" t="s">
        <v>11676</v>
      </c>
      <c r="CR314">
        <v>6</v>
      </c>
      <c r="CT314" s="304" t="s">
        <v>11678</v>
      </c>
    </row>
    <row r="315" spans="1:98" s="304" customFormat="1">
      <c r="A315" s="304" t="s">
        <v>8506</v>
      </c>
      <c r="B315" s="463">
        <v>126</v>
      </c>
      <c r="C315" s="296" t="s">
        <v>7753</v>
      </c>
      <c r="D315" s="296" t="s">
        <v>7564</v>
      </c>
      <c r="E315" s="296" t="s">
        <v>7753</v>
      </c>
      <c r="F315" s="296"/>
      <c r="G315" s="296" t="s">
        <v>8506</v>
      </c>
      <c r="H315" s="297" t="s">
        <v>8697</v>
      </c>
      <c r="I315" s="297">
        <v>1</v>
      </c>
      <c r="J315" s="297">
        <v>1161</v>
      </c>
      <c r="K315" s="299"/>
      <c r="L315" s="299"/>
      <c r="M315" s="299">
        <v>49</v>
      </c>
      <c r="N315" s="299">
        <v>3</v>
      </c>
      <c r="O315" s="300">
        <v>24</v>
      </c>
      <c r="P315" s="301">
        <v>42090</v>
      </c>
      <c r="Q315" s="302"/>
      <c r="R315" s="303"/>
      <c r="S315" s="289">
        <v>4.6500000000000004</v>
      </c>
      <c r="T315" s="303">
        <v>42208</v>
      </c>
      <c r="U315" s="302"/>
      <c r="V315" s="303"/>
      <c r="W315" s="302"/>
      <c r="X315" s="303"/>
      <c r="Y315" s="302">
        <v>17.420000000000002</v>
      </c>
      <c r="Z315" s="303">
        <v>42208</v>
      </c>
      <c r="AA315">
        <v>14.4</v>
      </c>
      <c r="AB315" s="303"/>
      <c r="AC315" s="302"/>
      <c r="AD315" s="303"/>
      <c r="AE315" s="302"/>
      <c r="AF315" s="303"/>
      <c r="AG315">
        <v>58451.715686274525</v>
      </c>
      <c r="AH315" s="521">
        <f>(AK315*10000)/AM315</f>
        <v>58451.715686274525</v>
      </c>
      <c r="AI315" s="302"/>
      <c r="AJ315" s="303"/>
      <c r="AK315">
        <v>29.810375000000004</v>
      </c>
      <c r="AL315" s="521"/>
      <c r="AM315">
        <v>5.0999999999999996</v>
      </c>
      <c r="AN315" s="303">
        <v>42244</v>
      </c>
      <c r="AO315">
        <v>135</v>
      </c>
      <c r="AP315" s="303">
        <v>42170</v>
      </c>
      <c r="AQ315" s="302"/>
      <c r="AR315" s="303"/>
      <c r="AS315" s="302"/>
      <c r="AT315" s="303"/>
      <c r="AU315">
        <v>107</v>
      </c>
      <c r="AV315" s="303"/>
      <c r="AW315" s="302"/>
      <c r="AX315" s="302"/>
      <c r="AY315" s="302"/>
      <c r="AZ315" s="303"/>
      <c r="BA315" s="302"/>
      <c r="BB315" s="302"/>
      <c r="BC315" s="302"/>
      <c r="BD315" s="302"/>
      <c r="BE315" s="302"/>
      <c r="BF315" s="302"/>
      <c r="BG315" s="302"/>
      <c r="BH315" s="302"/>
      <c r="BI315" s="302"/>
      <c r="BJ315" s="302"/>
      <c r="BM315">
        <v>-0.8</v>
      </c>
      <c r="BS315">
        <v>59.4</v>
      </c>
      <c r="BY315">
        <v>52.1</v>
      </c>
      <c r="CA315">
        <v>17</v>
      </c>
      <c r="CC315">
        <v>17</v>
      </c>
      <c r="CI315">
        <v>5.8</v>
      </c>
      <c r="CO315" t="s">
        <v>8698</v>
      </c>
      <c r="CR315">
        <v>2</v>
      </c>
      <c r="CT315" s="304" t="s">
        <v>11678</v>
      </c>
    </row>
    <row r="316" spans="1:98" s="304" customFormat="1">
      <c r="A316" s="304" t="s">
        <v>8506</v>
      </c>
      <c r="B316" s="463">
        <v>127</v>
      </c>
      <c r="C316" s="296" t="s">
        <v>7754</v>
      </c>
      <c r="D316" s="296" t="s">
        <v>7565</v>
      </c>
      <c r="E316" s="296" t="s">
        <v>7754</v>
      </c>
      <c r="F316" s="296"/>
      <c r="G316" s="296" t="s">
        <v>8506</v>
      </c>
      <c r="H316" s="297" t="s">
        <v>8697</v>
      </c>
      <c r="I316" s="297">
        <v>1</v>
      </c>
      <c r="J316" s="297">
        <v>1101</v>
      </c>
      <c r="K316" s="299"/>
      <c r="L316" s="299"/>
      <c r="M316" s="299">
        <v>49</v>
      </c>
      <c r="N316" s="299">
        <v>2</v>
      </c>
      <c r="O316" s="300">
        <v>24</v>
      </c>
      <c r="P316" s="301">
        <v>42090</v>
      </c>
      <c r="Q316" s="302"/>
      <c r="R316" s="303"/>
      <c r="S316" s="289">
        <v>3.2</v>
      </c>
      <c r="T316" s="303">
        <v>42208</v>
      </c>
      <c r="U316" s="302"/>
      <c r="V316" s="303"/>
      <c r="W316" s="302"/>
      <c r="X316" s="303"/>
      <c r="Y316" s="302">
        <v>12.2</v>
      </c>
      <c r="Z316" s="303">
        <v>42208</v>
      </c>
      <c r="AA316">
        <v>14.4</v>
      </c>
      <c r="AB316" s="303"/>
      <c r="AC316" s="302"/>
      <c r="AD316" s="303"/>
      <c r="AE316" s="302"/>
      <c r="AF316" s="303"/>
      <c r="AG316">
        <v>39241.880341880344</v>
      </c>
      <c r="AH316" s="521">
        <f>(AK316*10000)/AM316</f>
        <v>39241.880341880344</v>
      </c>
      <c r="AI316" s="302"/>
      <c r="AJ316" s="303"/>
      <c r="AK316">
        <v>20.405777777777782</v>
      </c>
      <c r="AL316" s="521"/>
      <c r="AM316">
        <v>5.2</v>
      </c>
      <c r="AN316" s="303">
        <v>42244</v>
      </c>
      <c r="AO316">
        <v>130</v>
      </c>
      <c r="AP316" s="303">
        <v>42170</v>
      </c>
      <c r="AQ316" s="302"/>
      <c r="AR316" s="303"/>
      <c r="AS316" s="302"/>
      <c r="AT316" s="303"/>
      <c r="AU316">
        <v>109</v>
      </c>
      <c r="AV316" s="303"/>
      <c r="AW316" s="302"/>
      <c r="AX316" s="302"/>
      <c r="AY316" s="302"/>
      <c r="AZ316" s="303"/>
      <c r="BA316" s="302"/>
      <c r="BB316" s="302"/>
      <c r="BC316" s="302"/>
      <c r="BD316" s="302"/>
      <c r="BE316" s="302"/>
      <c r="BF316" s="302"/>
      <c r="BG316" s="302"/>
      <c r="BH316" s="302"/>
      <c r="BI316" s="302"/>
      <c r="BJ316" s="302"/>
      <c r="BM316">
        <v>1.1000000000000001</v>
      </c>
      <c r="BS316">
        <v>53.5</v>
      </c>
      <c r="BY316">
        <v>53.3</v>
      </c>
      <c r="CA316">
        <v>14.8</v>
      </c>
      <c r="CC316">
        <v>69.400000000000006</v>
      </c>
      <c r="CI316">
        <v>6.3</v>
      </c>
      <c r="CO316" t="s">
        <v>8698</v>
      </c>
      <c r="CR316">
        <v>1</v>
      </c>
      <c r="CT316" s="304" t="s">
        <v>11678</v>
      </c>
    </row>
    <row r="317" spans="1:98" s="304" customFormat="1">
      <c r="A317" s="304" t="s">
        <v>8506</v>
      </c>
      <c r="B317" s="523">
        <v>357</v>
      </c>
      <c r="C317" s="296" t="s">
        <v>8509</v>
      </c>
      <c r="D317" s="296" t="s">
        <v>8086</v>
      </c>
      <c r="E317" s="296" t="s">
        <v>8086</v>
      </c>
      <c r="F317" s="296"/>
      <c r="G317" s="296" t="s">
        <v>8506</v>
      </c>
      <c r="H317" s="297" t="s">
        <v>8696</v>
      </c>
      <c r="I317" s="297">
        <v>2</v>
      </c>
      <c r="J317" s="297">
        <v>2281</v>
      </c>
      <c r="K317" s="299"/>
      <c r="L317" s="299"/>
      <c r="M317" s="299">
        <v>49</v>
      </c>
      <c r="N317" s="299">
        <v>11</v>
      </c>
      <c r="O317" s="300">
        <v>60</v>
      </c>
      <c r="P317" s="301">
        <v>42090</v>
      </c>
      <c r="Q317" s="302"/>
      <c r="R317" s="303"/>
      <c r="S317" s="289">
        <v>6.1</v>
      </c>
      <c r="T317" s="303">
        <v>42208</v>
      </c>
      <c r="U317" s="302"/>
      <c r="V317" s="303"/>
      <c r="W317" s="302"/>
      <c r="X317" s="303"/>
      <c r="Y317" s="302">
        <v>22.22</v>
      </c>
      <c r="Z317" s="303">
        <v>42208</v>
      </c>
      <c r="AA317">
        <v>14.4</v>
      </c>
      <c r="AB317" s="303"/>
      <c r="AC317" s="302"/>
      <c r="AD317" s="303"/>
      <c r="AE317" s="302"/>
      <c r="AF317" s="303"/>
      <c r="AG317">
        <v>86348.888888888876</v>
      </c>
      <c r="AH317" s="521">
        <f>(AK317*10000)/AM317</f>
        <v>86348.888888888876</v>
      </c>
      <c r="AI317" s="302"/>
      <c r="AJ317" s="303"/>
      <c r="AK317">
        <v>38.856999999999992</v>
      </c>
      <c r="AL317" s="521"/>
      <c r="AM317">
        <v>4.5</v>
      </c>
      <c r="AN317" s="303">
        <v>42244</v>
      </c>
      <c r="AO317">
        <v>150</v>
      </c>
      <c r="AP317" s="303">
        <v>42170</v>
      </c>
      <c r="AQ317" s="302"/>
      <c r="AR317" s="303"/>
      <c r="AS317" s="302"/>
      <c r="AT317" s="303"/>
      <c r="AU317">
        <v>107</v>
      </c>
      <c r="AV317" s="302"/>
      <c r="AW317" s="302"/>
      <c r="AX317" s="302"/>
      <c r="AY317" s="302"/>
      <c r="AZ317" s="302"/>
      <c r="BA317" s="302"/>
      <c r="BB317" s="302"/>
      <c r="BC317" s="302"/>
      <c r="BD317" s="302"/>
      <c r="BE317" s="302"/>
      <c r="BF317" s="302"/>
      <c r="BG317" s="302"/>
      <c r="BH317" s="302"/>
      <c r="BI317" s="302"/>
      <c r="BJ317" s="302"/>
      <c r="BM317">
        <v>-4.0999999999999996</v>
      </c>
      <c r="BS317">
        <v>61.9</v>
      </c>
      <c r="BY317">
        <v>51</v>
      </c>
      <c r="CA317">
        <v>17.600000000000001</v>
      </c>
      <c r="CC317">
        <v>17.7</v>
      </c>
      <c r="CI317">
        <v>6.4</v>
      </c>
      <c r="CO317" t="s">
        <v>8698</v>
      </c>
      <c r="CR317">
        <v>2</v>
      </c>
      <c r="CT317" s="304" t="s">
        <v>11678</v>
      </c>
    </row>
    <row r="318" spans="1:98" s="304" customFormat="1">
      <c r="A318" s="304" t="s">
        <v>8506</v>
      </c>
      <c r="B318" s="463">
        <v>22</v>
      </c>
      <c r="C318" s="296" t="s">
        <v>7634</v>
      </c>
      <c r="D318" s="296" t="s">
        <v>7470</v>
      </c>
      <c r="E318" s="296" t="s">
        <v>7634</v>
      </c>
      <c r="F318" s="296"/>
      <c r="G318" s="296" t="s">
        <v>8506</v>
      </c>
      <c r="H318" s="297" t="s">
        <v>8697</v>
      </c>
      <c r="I318" s="297">
        <v>1</v>
      </c>
      <c r="J318" s="297">
        <v>1102</v>
      </c>
      <c r="K318" s="299"/>
      <c r="L318" s="299"/>
      <c r="M318" s="299">
        <v>50</v>
      </c>
      <c r="N318" s="299">
        <v>2</v>
      </c>
      <c r="O318" s="300">
        <v>28</v>
      </c>
      <c r="P318" s="301">
        <v>42090</v>
      </c>
      <c r="Q318" s="302"/>
      <c r="R318" s="303"/>
      <c r="S318" s="289">
        <v>3.65</v>
      </c>
      <c r="T318" s="303">
        <v>42208</v>
      </c>
      <c r="U318" s="302"/>
      <c r="V318" s="303"/>
      <c r="W318" s="302"/>
      <c r="X318" s="303"/>
      <c r="Y318" s="302">
        <v>14.88</v>
      </c>
      <c r="Z318" s="303">
        <v>42208</v>
      </c>
      <c r="AA318">
        <v>14.4</v>
      </c>
      <c r="AB318" s="303"/>
      <c r="AC318" s="302"/>
      <c r="AD318" s="303"/>
      <c r="AE318" s="302"/>
      <c r="AF318" s="303"/>
      <c r="AG318">
        <v>50598.565821256045</v>
      </c>
      <c r="AH318" s="521">
        <f>(AK318*10000)/AM318</f>
        <v>50598.565821256045</v>
      </c>
      <c r="AI318" s="302"/>
      <c r="AJ318" s="303"/>
      <c r="AK318">
        <v>23.275340277777779</v>
      </c>
      <c r="AL318" s="521"/>
      <c r="AM318">
        <v>4.5999999999999996</v>
      </c>
      <c r="AN318" s="303">
        <v>42244</v>
      </c>
      <c r="AO318">
        <v>140</v>
      </c>
      <c r="AP318" s="303">
        <v>42170</v>
      </c>
      <c r="AQ318" s="302"/>
      <c r="AR318" s="303"/>
      <c r="AS318" s="302"/>
      <c r="AT318" s="303"/>
      <c r="AU318">
        <v>108</v>
      </c>
      <c r="AV318" s="303"/>
      <c r="AW318" s="302"/>
      <c r="AX318" s="302"/>
      <c r="AY318" s="302"/>
      <c r="AZ318" s="303"/>
      <c r="BA318" s="302"/>
      <c r="BB318" s="302"/>
      <c r="BC318" s="302"/>
      <c r="BD318" s="302"/>
      <c r="BE318" s="302"/>
      <c r="BF318" s="302"/>
      <c r="BG318" s="302"/>
      <c r="BH318" s="302"/>
      <c r="BI318" s="302"/>
      <c r="BJ318" s="302"/>
      <c r="BM318">
        <v>43.6</v>
      </c>
      <c r="BS318">
        <v>16.899999999999999</v>
      </c>
      <c r="BY318">
        <v>57</v>
      </c>
      <c r="CA318">
        <v>14.8</v>
      </c>
      <c r="CC318">
        <v>15.4</v>
      </c>
      <c r="CI318">
        <v>6.3</v>
      </c>
      <c r="CO318" t="s">
        <v>8698</v>
      </c>
      <c r="CR318">
        <v>3</v>
      </c>
      <c r="CT318" s="304" t="s">
        <v>11678</v>
      </c>
    </row>
    <row r="319" spans="1:98" s="304" customFormat="1">
      <c r="A319" s="304" t="s">
        <v>8506</v>
      </c>
      <c r="B319" s="463">
        <v>44</v>
      </c>
      <c r="C319" s="296" t="s">
        <v>7661</v>
      </c>
      <c r="D319" s="296" t="s">
        <v>7494</v>
      </c>
      <c r="E319" s="296" t="s">
        <v>7661</v>
      </c>
      <c r="F319" s="296"/>
      <c r="G319" s="296" t="s">
        <v>8506</v>
      </c>
      <c r="H319" s="297" t="s">
        <v>8696</v>
      </c>
      <c r="I319" s="297">
        <v>2</v>
      </c>
      <c r="J319" s="297">
        <v>2282</v>
      </c>
      <c r="K319" s="299"/>
      <c r="L319" s="299"/>
      <c r="M319" s="299">
        <v>50</v>
      </c>
      <c r="N319" s="299">
        <v>11</v>
      </c>
      <c r="O319" s="300">
        <v>23</v>
      </c>
      <c r="P319" s="301">
        <v>42090</v>
      </c>
      <c r="Q319" s="302"/>
      <c r="R319" s="303"/>
      <c r="S319" s="289">
        <v>6</v>
      </c>
      <c r="T319" s="303">
        <v>42208</v>
      </c>
      <c r="U319" s="302"/>
      <c r="V319" s="303"/>
      <c r="W319" s="302"/>
      <c r="X319" s="303"/>
      <c r="Y319" s="302">
        <v>20.38</v>
      </c>
      <c r="Z319" s="303">
        <v>42208</v>
      </c>
      <c r="AA319">
        <v>14.4</v>
      </c>
      <c r="AB319" s="303"/>
      <c r="AC319" s="302"/>
      <c r="AD319" s="303"/>
      <c r="AE319" s="302"/>
      <c r="AF319" s="303"/>
      <c r="AG319">
        <v>90902.777777777781</v>
      </c>
      <c r="AH319" s="521">
        <f>(AK319*10000)/AM319</f>
        <v>90902.777777777781</v>
      </c>
      <c r="AI319" s="302"/>
      <c r="AJ319" s="303"/>
      <c r="AK319">
        <v>38.179166666666667</v>
      </c>
      <c r="AL319" s="521"/>
      <c r="AM319">
        <v>4.2</v>
      </c>
      <c r="AN319" s="303">
        <v>42244</v>
      </c>
      <c r="AO319">
        <v>145</v>
      </c>
      <c r="AP319" s="303">
        <v>42170</v>
      </c>
      <c r="AQ319" s="302"/>
      <c r="AR319" s="303"/>
      <c r="AS319" s="302"/>
      <c r="AT319" s="303"/>
      <c r="AU319"/>
      <c r="AV319" s="303"/>
      <c r="AW319" s="302"/>
      <c r="AX319" s="302"/>
      <c r="AY319" s="302"/>
      <c r="AZ319" s="303"/>
      <c r="BA319" s="302"/>
      <c r="BB319" s="302"/>
      <c r="BC319" s="302"/>
      <c r="BD319" s="302"/>
      <c r="BE319" s="302"/>
      <c r="BF319" s="302"/>
      <c r="BG319" s="302"/>
      <c r="BH319" s="302"/>
      <c r="BI319" s="302"/>
      <c r="BJ319" s="302"/>
      <c r="BM319">
        <v>-3.6</v>
      </c>
      <c r="BS319">
        <v>61.4</v>
      </c>
      <c r="BY319">
        <v>47.6</v>
      </c>
      <c r="CA319">
        <v>19.899999999999999</v>
      </c>
      <c r="CC319">
        <v>19.600000000000001</v>
      </c>
      <c r="CI319">
        <v>6.5</v>
      </c>
      <c r="CO319" t="s">
        <v>8698</v>
      </c>
      <c r="CR319">
        <v>2</v>
      </c>
      <c r="CT319" s="304" t="s">
        <v>11678</v>
      </c>
    </row>
    <row r="320" spans="1:98" s="304" customFormat="1">
      <c r="A320" s="304" t="s">
        <v>8506</v>
      </c>
      <c r="B320" s="463">
        <v>95</v>
      </c>
      <c r="C320" s="296" t="s">
        <v>7713</v>
      </c>
      <c r="D320" s="296" t="s">
        <v>7540</v>
      </c>
      <c r="E320" s="296" t="s">
        <v>7713</v>
      </c>
      <c r="F320" s="296"/>
      <c r="G320" s="296" t="s">
        <v>8506</v>
      </c>
      <c r="H320" s="297" t="s">
        <v>8696</v>
      </c>
      <c r="I320" s="297">
        <v>2</v>
      </c>
      <c r="J320" s="297">
        <v>242</v>
      </c>
      <c r="K320" s="299"/>
      <c r="L320" s="299"/>
      <c r="M320" s="299">
        <v>50</v>
      </c>
      <c r="N320" s="299">
        <v>7</v>
      </c>
      <c r="O320" s="300">
        <v>42</v>
      </c>
      <c r="P320" s="301">
        <v>42090</v>
      </c>
      <c r="Q320" s="302"/>
      <c r="R320" s="303"/>
      <c r="S320" s="289">
        <v>4.75</v>
      </c>
      <c r="T320" s="303">
        <v>42208</v>
      </c>
      <c r="U320" s="302"/>
      <c r="V320" s="303"/>
      <c r="W320" s="302"/>
      <c r="X320" s="303"/>
      <c r="Y320" s="302">
        <v>16.93</v>
      </c>
      <c r="Z320" s="303">
        <v>42208</v>
      </c>
      <c r="AA320">
        <v>14.4</v>
      </c>
      <c r="AB320" s="303"/>
      <c r="AC320" s="302"/>
      <c r="AD320" s="303"/>
      <c r="AE320" s="302"/>
      <c r="AF320" s="303"/>
      <c r="AG320">
        <v>64652.777777777766</v>
      </c>
      <c r="AH320" s="521">
        <f>(AK320*10000)/AM320</f>
        <v>64652.777777777766</v>
      </c>
      <c r="AI320" s="302"/>
      <c r="AJ320" s="303"/>
      <c r="AK320">
        <v>30.386805555555551</v>
      </c>
      <c r="AL320" s="521"/>
      <c r="AM320">
        <v>4.7</v>
      </c>
      <c r="AN320" s="303">
        <v>42244</v>
      </c>
      <c r="AO320">
        <v>110</v>
      </c>
      <c r="AP320" s="303">
        <v>42170</v>
      </c>
      <c r="AQ320" s="302"/>
      <c r="AR320" s="303"/>
      <c r="AS320" s="302"/>
      <c r="AT320" s="303"/>
      <c r="AU320">
        <v>105</v>
      </c>
      <c r="AV320" s="303"/>
      <c r="AW320" s="302"/>
      <c r="AX320" s="302"/>
      <c r="AY320" s="302"/>
      <c r="AZ320" s="303"/>
      <c r="BA320" s="302"/>
      <c r="BB320" s="302"/>
      <c r="BC320" s="302"/>
      <c r="BD320" s="302"/>
      <c r="BE320" s="302"/>
      <c r="BF320" s="302"/>
      <c r="BG320" s="302"/>
      <c r="BH320" s="302"/>
      <c r="BI320" s="302"/>
      <c r="BJ320" s="302"/>
      <c r="BM320">
        <v>3.9</v>
      </c>
      <c r="BS320">
        <v>54.6</v>
      </c>
      <c r="BY320">
        <v>49.7</v>
      </c>
      <c r="CA320">
        <v>19.5</v>
      </c>
      <c r="CC320">
        <v>24.8</v>
      </c>
      <c r="CI320">
        <v>6</v>
      </c>
      <c r="CO320" t="s">
        <v>8698</v>
      </c>
      <c r="CR320">
        <v>3</v>
      </c>
      <c r="CT320" s="304" t="s">
        <v>11678</v>
      </c>
    </row>
    <row r="321" spans="1:98" s="304" customFormat="1">
      <c r="A321" s="304" t="s">
        <v>8506</v>
      </c>
      <c r="B321" s="463">
        <v>110</v>
      </c>
      <c r="C321" s="296" t="s">
        <v>7728</v>
      </c>
      <c r="D321" s="296" t="s">
        <v>7554</v>
      </c>
      <c r="E321" s="296" t="s">
        <v>7728</v>
      </c>
      <c r="F321" s="296"/>
      <c r="G321" s="296" t="s">
        <v>8506</v>
      </c>
      <c r="H321" s="297" t="s">
        <v>8696</v>
      </c>
      <c r="I321" s="297">
        <v>2</v>
      </c>
      <c r="J321" s="297">
        <v>2222</v>
      </c>
      <c r="K321" s="299"/>
      <c r="L321" s="299"/>
      <c r="M321" s="299">
        <v>50</v>
      </c>
      <c r="N321" s="299">
        <v>10</v>
      </c>
      <c r="O321" s="300">
        <v>56</v>
      </c>
      <c r="P321" s="301">
        <v>42090</v>
      </c>
      <c r="Q321" s="302"/>
      <c r="R321" s="303"/>
      <c r="S321" s="289">
        <v>6.5</v>
      </c>
      <c r="T321" s="303">
        <v>42208</v>
      </c>
      <c r="U321" s="302"/>
      <c r="V321" s="303"/>
      <c r="W321" s="302"/>
      <c r="X321" s="303"/>
      <c r="Y321" s="302">
        <v>22.91</v>
      </c>
      <c r="Z321" s="303">
        <v>42208</v>
      </c>
      <c r="AA321">
        <v>14.4</v>
      </c>
      <c r="AB321" s="303"/>
      <c r="AC321" s="302"/>
      <c r="AD321" s="303"/>
      <c r="AE321" s="302"/>
      <c r="AF321" s="303"/>
      <c r="AG321">
        <v>84409.722222222219</v>
      </c>
      <c r="AH321" s="521">
        <f>(AK321*10000)/AM321</f>
        <v>84409.722222222219</v>
      </c>
      <c r="AI321" s="302"/>
      <c r="AJ321" s="303"/>
      <c r="AK321">
        <v>41.36076388888889</v>
      </c>
      <c r="AL321" s="521"/>
      <c r="AM321">
        <v>4.9000000000000004</v>
      </c>
      <c r="AN321" s="303">
        <v>42244</v>
      </c>
      <c r="AO321">
        <v>130</v>
      </c>
      <c r="AP321" s="303">
        <v>42170</v>
      </c>
      <c r="AQ321" s="302"/>
      <c r="AR321" s="303"/>
      <c r="AS321" s="302"/>
      <c r="AT321" s="303"/>
      <c r="AU321">
        <v>105</v>
      </c>
      <c r="AV321" s="303"/>
      <c r="AW321" s="302"/>
      <c r="AX321" s="302"/>
      <c r="AY321" s="302"/>
      <c r="AZ321" s="303"/>
      <c r="BA321" s="302"/>
      <c r="BB321" s="302"/>
      <c r="BC321" s="302"/>
      <c r="BD321" s="302"/>
      <c r="BE321" s="302"/>
      <c r="BF321" s="302"/>
      <c r="BG321" s="302"/>
      <c r="BH321" s="302"/>
      <c r="BI321" s="302"/>
      <c r="BJ321" s="302"/>
      <c r="BM321">
        <v>1.5</v>
      </c>
      <c r="BS321">
        <v>55.4</v>
      </c>
      <c r="BY321">
        <v>49.4</v>
      </c>
      <c r="CA321">
        <v>18.899999999999999</v>
      </c>
      <c r="CC321">
        <v>21.6</v>
      </c>
      <c r="CI321">
        <v>6.5</v>
      </c>
      <c r="CO321" t="s">
        <v>8698</v>
      </c>
      <c r="CR321">
        <v>1</v>
      </c>
      <c r="CT321" s="304" t="s">
        <v>11678</v>
      </c>
    </row>
    <row r="322" spans="1:98" s="304" customFormat="1">
      <c r="A322" s="304" t="s">
        <v>8506</v>
      </c>
      <c r="B322" s="523">
        <v>356</v>
      </c>
      <c r="C322" s="296" t="s">
        <v>8510</v>
      </c>
      <c r="D322" s="296" t="s">
        <v>8086</v>
      </c>
      <c r="E322" s="296" t="s">
        <v>8086</v>
      </c>
      <c r="F322" s="296"/>
      <c r="G322" s="296" t="s">
        <v>8506</v>
      </c>
      <c r="H322" s="297" t="s">
        <v>8697</v>
      </c>
      <c r="I322" s="297">
        <v>1</v>
      </c>
      <c r="J322" s="297">
        <v>1282</v>
      </c>
      <c r="K322" s="299"/>
      <c r="L322" s="299"/>
      <c r="M322" s="299">
        <v>50</v>
      </c>
      <c r="N322" s="299">
        <v>5</v>
      </c>
      <c r="O322" s="300">
        <v>54</v>
      </c>
      <c r="P322" s="301">
        <v>42090</v>
      </c>
      <c r="Q322" s="302"/>
      <c r="R322" s="303"/>
      <c r="S322" s="289">
        <v>5.8</v>
      </c>
      <c r="T322" s="303">
        <v>42208</v>
      </c>
      <c r="U322" s="302"/>
      <c r="V322" s="303"/>
      <c r="W322" s="302"/>
      <c r="X322" s="303"/>
      <c r="Y322" s="302">
        <v>22.7</v>
      </c>
      <c r="Z322" s="303">
        <v>42208</v>
      </c>
      <c r="AA322">
        <v>14.4</v>
      </c>
      <c r="AB322" s="303"/>
      <c r="AC322" s="302"/>
      <c r="AD322" s="303"/>
      <c r="AE322" s="302"/>
      <c r="AF322" s="303"/>
      <c r="AG322">
        <v>86379.909560723478</v>
      </c>
      <c r="AH322" s="521">
        <f>(AK322*10000)/AM322</f>
        <v>86379.909560723478</v>
      </c>
      <c r="AI322" s="302"/>
      <c r="AJ322" s="303"/>
      <c r="AK322">
        <v>37.143361111111098</v>
      </c>
      <c r="AL322" s="521"/>
      <c r="AM322">
        <v>4.3</v>
      </c>
      <c r="AN322" s="303">
        <v>42244</v>
      </c>
      <c r="AO322">
        <v>150</v>
      </c>
      <c r="AP322" s="303">
        <v>42170</v>
      </c>
      <c r="AQ322" s="302"/>
      <c r="AR322" s="303"/>
      <c r="AS322" s="302"/>
      <c r="AT322" s="303"/>
      <c r="AU322">
        <v>104</v>
      </c>
      <c r="AV322" s="302"/>
      <c r="AW322" s="302"/>
      <c r="AX322" s="302"/>
      <c r="AY322" s="302"/>
      <c r="AZ322" s="302"/>
      <c r="BA322" s="302"/>
      <c r="BB322" s="302"/>
      <c r="BC322" s="302"/>
      <c r="BD322" s="302"/>
      <c r="BE322" s="302"/>
      <c r="BF322" s="302"/>
      <c r="BG322" s="302"/>
      <c r="BH322" s="302"/>
      <c r="BI322" s="302"/>
      <c r="BJ322" s="302"/>
      <c r="BM322">
        <v>-6.8</v>
      </c>
      <c r="BS322">
        <v>66.599999999999994</v>
      </c>
      <c r="BY322">
        <v>54.5</v>
      </c>
      <c r="CA322">
        <v>14.5</v>
      </c>
      <c r="CC322">
        <v>13.7</v>
      </c>
      <c r="CI322">
        <v>5.9</v>
      </c>
      <c r="CO322" t="s">
        <v>8698</v>
      </c>
      <c r="CR322">
        <v>2</v>
      </c>
      <c r="CT322" s="304" t="s">
        <v>11678</v>
      </c>
    </row>
    <row r="323" spans="1:98" s="304" customFormat="1">
      <c r="A323" s="304" t="s">
        <v>8506</v>
      </c>
      <c r="B323" s="463">
        <v>92</v>
      </c>
      <c r="C323" s="296" t="s">
        <v>7710</v>
      </c>
      <c r="D323" s="296" t="s">
        <v>7538</v>
      </c>
      <c r="E323" s="296" t="s">
        <v>7710</v>
      </c>
      <c r="F323" s="296"/>
      <c r="G323" s="296" t="s">
        <v>8506</v>
      </c>
      <c r="H323" s="466" t="s">
        <v>8696</v>
      </c>
      <c r="I323" s="297">
        <v>1</v>
      </c>
      <c r="J323" s="308">
        <v>1223</v>
      </c>
      <c r="K323" s="299"/>
      <c r="L323" s="299"/>
      <c r="M323" s="299">
        <v>51</v>
      </c>
      <c r="N323" s="299">
        <v>4</v>
      </c>
      <c r="O323" s="300">
        <v>25</v>
      </c>
      <c r="P323" s="301">
        <v>42090</v>
      </c>
      <c r="Q323" s="306"/>
      <c r="R323" s="303"/>
      <c r="S323" s="289">
        <v>5.0999999999999996</v>
      </c>
      <c r="T323" s="303">
        <v>42208</v>
      </c>
      <c r="U323" s="307"/>
      <c r="V323" s="303"/>
      <c r="W323" s="306"/>
      <c r="X323" s="303"/>
      <c r="Y323" s="306">
        <v>20.07</v>
      </c>
      <c r="Z323" s="303">
        <v>42208</v>
      </c>
      <c r="AA323">
        <v>14.4</v>
      </c>
      <c r="AB323" s="303"/>
      <c r="AC323" s="306"/>
      <c r="AD323" s="303"/>
      <c r="AE323" s="302"/>
      <c r="AF323" s="303"/>
      <c r="AG323">
        <v>68042.795138888891</v>
      </c>
      <c r="AH323" s="521">
        <f>(AK323*10000)/AM323</f>
        <v>68042.795138888891</v>
      </c>
      <c r="AI323" s="302"/>
      <c r="AJ323" s="303"/>
      <c r="AK323">
        <v>32.66054166666666</v>
      </c>
      <c r="AL323" s="521"/>
      <c r="AM323">
        <v>4.8</v>
      </c>
      <c r="AN323" s="303">
        <v>42244</v>
      </c>
      <c r="AO323">
        <v>140</v>
      </c>
      <c r="AP323" s="303">
        <v>42170</v>
      </c>
      <c r="AQ323" s="306"/>
      <c r="AR323" s="303"/>
      <c r="AS323" s="306"/>
      <c r="AT323" s="303"/>
      <c r="AU323">
        <v>105</v>
      </c>
      <c r="AV323" s="303"/>
      <c r="AW323" s="302"/>
      <c r="AX323" s="302"/>
      <c r="AY323" s="302"/>
      <c r="AZ323" s="303"/>
      <c r="BA323" s="302"/>
      <c r="BB323" s="302"/>
      <c r="BC323" s="302"/>
      <c r="BD323" s="302"/>
      <c r="BE323" s="302"/>
      <c r="BF323" s="302"/>
      <c r="BG323" s="302"/>
      <c r="BH323" s="302"/>
      <c r="BI323" s="302"/>
      <c r="BJ323" s="302"/>
      <c r="BM323">
        <v>-6.5</v>
      </c>
      <c r="BS323">
        <v>66.900000000000006</v>
      </c>
      <c r="BY323">
        <v>54.8</v>
      </c>
      <c r="CA323">
        <v>16.5</v>
      </c>
      <c r="CC323">
        <v>15.7</v>
      </c>
      <c r="CI323">
        <v>5.9</v>
      </c>
      <c r="CO323" t="s">
        <v>11679</v>
      </c>
      <c r="CR323">
        <v>1</v>
      </c>
      <c r="CT323" s="304" t="s">
        <v>11678</v>
      </c>
    </row>
    <row r="324" spans="1:98" s="304" customFormat="1">
      <c r="A324" s="304" t="s">
        <v>8506</v>
      </c>
      <c r="B324" s="463">
        <v>118</v>
      </c>
      <c r="C324" s="296" t="s">
        <v>7737</v>
      </c>
      <c r="D324" s="296" t="s">
        <v>7821</v>
      </c>
      <c r="E324" s="296" t="s">
        <v>7737</v>
      </c>
      <c r="F324" s="296"/>
      <c r="G324" s="296" t="s">
        <v>8506</v>
      </c>
      <c r="H324" s="297" t="s">
        <v>8696</v>
      </c>
      <c r="I324" s="297">
        <v>2</v>
      </c>
      <c r="J324" s="297">
        <v>2163</v>
      </c>
      <c r="K324" s="299"/>
      <c r="L324" s="299"/>
      <c r="M324" s="299">
        <v>51</v>
      </c>
      <c r="N324" s="299">
        <v>9</v>
      </c>
      <c r="O324" s="300">
        <v>62</v>
      </c>
      <c r="P324" s="301">
        <v>42090</v>
      </c>
      <c r="Q324" s="302"/>
      <c r="R324" s="303"/>
      <c r="S324" s="289">
        <v>4.45</v>
      </c>
      <c r="T324" s="303">
        <v>42208</v>
      </c>
      <c r="U324" s="302"/>
      <c r="V324" s="303"/>
      <c r="W324" s="302"/>
      <c r="X324" s="303"/>
      <c r="Y324" s="302">
        <v>14.89</v>
      </c>
      <c r="Z324" s="303">
        <v>42208</v>
      </c>
      <c r="AA324">
        <v>14.4</v>
      </c>
      <c r="AB324" s="303"/>
      <c r="AC324" s="302"/>
      <c r="AD324" s="303"/>
      <c r="AE324" s="302"/>
      <c r="AF324" s="303"/>
      <c r="AG324">
        <v>62083.680555555562</v>
      </c>
      <c r="AH324" s="521">
        <f>(AK324*10000)/AM324</f>
        <v>62083.680555555562</v>
      </c>
      <c r="AI324" s="302"/>
      <c r="AJ324" s="303"/>
      <c r="AK324">
        <v>28.558493055555555</v>
      </c>
      <c r="AL324" s="521"/>
      <c r="AM324">
        <v>4.5999999999999996</v>
      </c>
      <c r="AN324" s="303">
        <v>42244</v>
      </c>
      <c r="AO324">
        <v>140</v>
      </c>
      <c r="AP324" s="303">
        <v>42170</v>
      </c>
      <c r="AQ324" s="302"/>
      <c r="AR324" s="303"/>
      <c r="AS324" s="302"/>
      <c r="AT324" s="303"/>
      <c r="AU324">
        <v>108</v>
      </c>
      <c r="AV324" s="303"/>
      <c r="AW324" s="302"/>
      <c r="AX324" s="302"/>
      <c r="AY324" s="302"/>
      <c r="AZ324" s="303"/>
      <c r="BA324" s="302"/>
      <c r="BB324" s="302"/>
      <c r="BC324" s="302"/>
      <c r="BD324" s="302"/>
      <c r="BE324" s="302"/>
      <c r="BF324" s="302"/>
      <c r="BG324" s="302"/>
      <c r="BH324" s="302"/>
      <c r="BI324" s="302"/>
      <c r="BJ324" s="302"/>
      <c r="BM324">
        <v>32.6</v>
      </c>
      <c r="BS324">
        <v>25</v>
      </c>
      <c r="BY324">
        <v>46.5</v>
      </c>
      <c r="CA324">
        <v>22.4</v>
      </c>
      <c r="CC324">
        <v>71.400000000000006</v>
      </c>
      <c r="CI324">
        <v>5.7</v>
      </c>
      <c r="CO324" t="s">
        <v>8698</v>
      </c>
      <c r="CR324">
        <v>3</v>
      </c>
      <c r="CT324" s="304" t="s">
        <v>11678</v>
      </c>
    </row>
    <row r="325" spans="1:98" s="304" customFormat="1">
      <c r="A325" s="304" t="s">
        <v>8506</v>
      </c>
      <c r="B325" s="463">
        <v>151</v>
      </c>
      <c r="C325" s="296" t="s">
        <v>7779</v>
      </c>
      <c r="D325" s="296" t="s">
        <v>7580</v>
      </c>
      <c r="E325" s="296" t="s">
        <v>7779</v>
      </c>
      <c r="F325" s="296"/>
      <c r="G325" s="296" t="s">
        <v>8506</v>
      </c>
      <c r="H325" s="297" t="s">
        <v>8697</v>
      </c>
      <c r="I325" s="297">
        <v>1</v>
      </c>
      <c r="J325" s="297">
        <v>143</v>
      </c>
      <c r="K325" s="299"/>
      <c r="L325" s="299"/>
      <c r="M325" s="299">
        <v>51</v>
      </c>
      <c r="N325" s="299">
        <v>1</v>
      </c>
      <c r="O325" s="300">
        <v>26</v>
      </c>
      <c r="P325" s="301">
        <v>42090</v>
      </c>
      <c r="Q325" s="302"/>
      <c r="R325" s="303"/>
      <c r="S325" s="289">
        <v>4.75</v>
      </c>
      <c r="T325" s="303">
        <v>42208</v>
      </c>
      <c r="U325" s="302"/>
      <c r="V325" s="303"/>
      <c r="W325" s="302"/>
      <c r="X325" s="303"/>
      <c r="Y325" s="302">
        <v>18.32</v>
      </c>
      <c r="Z325" s="303">
        <v>42208</v>
      </c>
      <c r="AA325">
        <v>14.4</v>
      </c>
      <c r="AB325" s="303"/>
      <c r="AC325" s="302"/>
      <c r="AD325" s="303"/>
      <c r="AE325" s="302"/>
      <c r="AF325" s="303"/>
      <c r="AG325">
        <v>66269.097222222219</v>
      </c>
      <c r="AH325" s="521">
        <f>(AK325*10000)/AM325</f>
        <v>66269.097222222219</v>
      </c>
      <c r="AI325" s="302"/>
      <c r="AJ325" s="303"/>
      <c r="AK325">
        <v>30.483784722222218</v>
      </c>
      <c r="AL325" s="521"/>
      <c r="AM325">
        <v>4.5999999999999996</v>
      </c>
      <c r="AN325" s="303">
        <v>42244</v>
      </c>
      <c r="AO325">
        <v>125</v>
      </c>
      <c r="AP325" s="303">
        <v>42170</v>
      </c>
      <c r="AQ325" s="302"/>
      <c r="AR325" s="303"/>
      <c r="AS325" s="302"/>
      <c r="AT325" s="303"/>
      <c r="AU325">
        <v>105</v>
      </c>
      <c r="AV325" s="303"/>
      <c r="AW325" s="302"/>
      <c r="AX325" s="302"/>
      <c r="AY325" s="302"/>
      <c r="AZ325" s="303"/>
      <c r="BA325" s="302"/>
      <c r="BB325" s="302"/>
      <c r="BC325" s="302"/>
      <c r="BD325" s="302"/>
      <c r="BE325" s="302"/>
      <c r="BF325" s="302"/>
      <c r="BG325" s="302"/>
      <c r="BH325" s="302"/>
      <c r="BI325" s="302"/>
      <c r="BJ325" s="302"/>
      <c r="BM325">
        <v>-7.2</v>
      </c>
      <c r="BS325">
        <v>70.900000000000006</v>
      </c>
      <c r="BY325">
        <v>53.6</v>
      </c>
      <c r="CA325">
        <v>15.7</v>
      </c>
      <c r="CC325">
        <v>13.1</v>
      </c>
      <c r="CI325">
        <v>5.7</v>
      </c>
      <c r="CO325" t="s">
        <v>8698</v>
      </c>
      <c r="CR325">
        <v>1</v>
      </c>
      <c r="CT325" s="304" t="s">
        <v>11678</v>
      </c>
    </row>
    <row r="326" spans="1:98" s="304" customFormat="1">
      <c r="A326" s="304" t="s">
        <v>8506</v>
      </c>
      <c r="B326" s="463">
        <v>161</v>
      </c>
      <c r="C326" s="296" t="s">
        <v>7789</v>
      </c>
      <c r="D326" s="296" t="s">
        <v>7590</v>
      </c>
      <c r="E326" s="296" t="s">
        <v>7789</v>
      </c>
      <c r="F326" s="296"/>
      <c r="G326" s="296" t="s">
        <v>8506</v>
      </c>
      <c r="H326" s="297" t="s">
        <v>8696</v>
      </c>
      <c r="I326" s="297">
        <v>2</v>
      </c>
      <c r="J326" s="308">
        <v>2343</v>
      </c>
      <c r="K326" s="299"/>
      <c r="L326" s="299"/>
      <c r="M326" s="299">
        <v>51</v>
      </c>
      <c r="N326" s="299">
        <v>12</v>
      </c>
      <c r="O326" s="300">
        <v>56</v>
      </c>
      <c r="P326" s="301">
        <v>42090</v>
      </c>
      <c r="Q326" s="306"/>
      <c r="R326" s="303"/>
      <c r="S326" s="289">
        <v>5.75</v>
      </c>
      <c r="T326" s="303">
        <v>42208</v>
      </c>
      <c r="U326" s="307"/>
      <c r="V326" s="303"/>
      <c r="W326" s="306"/>
      <c r="X326" s="303"/>
      <c r="Y326" s="306">
        <v>19.86</v>
      </c>
      <c r="Z326" s="303">
        <v>42208</v>
      </c>
      <c r="AA326">
        <v>14.4</v>
      </c>
      <c r="AB326" s="303"/>
      <c r="AC326" s="306"/>
      <c r="AD326" s="303"/>
      <c r="AE326" s="302"/>
      <c r="AF326" s="303"/>
      <c r="AG326">
        <v>71741.898148148161</v>
      </c>
      <c r="AH326" s="521">
        <f>(AK326*10000)/AM326</f>
        <v>71741.898148148161</v>
      </c>
      <c r="AI326" s="302"/>
      <c r="AJ326" s="303"/>
      <c r="AK326">
        <v>36.588368055555556</v>
      </c>
      <c r="AL326" s="521"/>
      <c r="AM326">
        <v>5.0999999999999996</v>
      </c>
      <c r="AN326" s="303">
        <v>42244</v>
      </c>
      <c r="AO326">
        <v>135</v>
      </c>
      <c r="AP326" s="303">
        <v>42170</v>
      </c>
      <c r="AQ326" s="306"/>
      <c r="AR326" s="303"/>
      <c r="AS326" s="306"/>
      <c r="AT326" s="303"/>
      <c r="AU326">
        <v>108</v>
      </c>
      <c r="AV326" s="303"/>
      <c r="AW326" s="302"/>
      <c r="AX326" s="302"/>
      <c r="AY326" s="302"/>
      <c r="AZ326" s="303"/>
      <c r="BA326" s="302"/>
      <c r="BB326" s="302"/>
      <c r="BC326" s="302"/>
      <c r="BD326" s="302"/>
      <c r="BE326" s="302"/>
      <c r="BF326" s="302"/>
      <c r="BG326" s="302"/>
      <c r="BH326" s="302"/>
      <c r="BI326" s="302"/>
      <c r="BJ326" s="302"/>
      <c r="BM326">
        <v>1.2</v>
      </c>
      <c r="BS326">
        <v>59.5</v>
      </c>
      <c r="BY326">
        <v>48.4</v>
      </c>
      <c r="CA326">
        <v>21.1</v>
      </c>
      <c r="CC326">
        <v>16.399999999999999</v>
      </c>
      <c r="CI326">
        <v>6.5</v>
      </c>
      <c r="CO326" t="s">
        <v>8698</v>
      </c>
      <c r="CR326">
        <v>2</v>
      </c>
      <c r="CT326" s="304" t="s">
        <v>11678</v>
      </c>
    </row>
    <row r="327" spans="1:98" s="304" customFormat="1">
      <c r="A327" s="304" t="s">
        <v>8506</v>
      </c>
      <c r="B327" s="463">
        <v>168</v>
      </c>
      <c r="C327" s="296" t="s">
        <v>7796</v>
      </c>
      <c r="D327" s="296" t="s">
        <v>7597</v>
      </c>
      <c r="E327" s="296" t="s">
        <v>7796</v>
      </c>
      <c r="F327" s="296"/>
      <c r="G327" s="296" t="s">
        <v>8506</v>
      </c>
      <c r="H327" s="297" t="s">
        <v>8696</v>
      </c>
      <c r="I327" s="297">
        <v>2</v>
      </c>
      <c r="J327" s="297">
        <v>2283</v>
      </c>
      <c r="K327" s="299"/>
      <c r="L327" s="299"/>
      <c r="M327" s="299">
        <v>51</v>
      </c>
      <c r="N327" s="299">
        <v>11</v>
      </c>
      <c r="O327" s="300">
        <v>21</v>
      </c>
      <c r="P327" s="301">
        <v>42090</v>
      </c>
      <c r="Q327" s="302"/>
      <c r="R327" s="303"/>
      <c r="S327" s="289">
        <v>5.55</v>
      </c>
      <c r="T327" s="303">
        <v>42208</v>
      </c>
      <c r="U327" s="302"/>
      <c r="V327" s="303"/>
      <c r="W327" s="302"/>
      <c r="X327" s="303"/>
      <c r="Y327" s="302">
        <v>20.88</v>
      </c>
      <c r="Z327" s="303">
        <v>42208</v>
      </c>
      <c r="AA327">
        <v>14.4</v>
      </c>
      <c r="AB327" s="303"/>
      <c r="AC327" s="302"/>
      <c r="AD327" s="303"/>
      <c r="AE327" s="302"/>
      <c r="AF327" s="303"/>
      <c r="AG327">
        <v>73731.814236111109</v>
      </c>
      <c r="AH327" s="521">
        <f>(AK327*10000)/AM327</f>
        <v>73731.814236111109</v>
      </c>
      <c r="AI327" s="302"/>
      <c r="AJ327" s="303"/>
      <c r="AK327">
        <v>35.39127083333333</v>
      </c>
      <c r="AL327" s="521"/>
      <c r="AM327">
        <v>4.8</v>
      </c>
      <c r="AN327" s="303">
        <v>42244</v>
      </c>
      <c r="AO327">
        <v>130</v>
      </c>
      <c r="AP327" s="303">
        <v>42170</v>
      </c>
      <c r="AQ327" s="302"/>
      <c r="AR327" s="303"/>
      <c r="AS327" s="302"/>
      <c r="AT327" s="303"/>
      <c r="AU327">
        <v>106</v>
      </c>
      <c r="AV327" s="303"/>
      <c r="AW327" s="302"/>
      <c r="AX327" s="302"/>
      <c r="AY327" s="302"/>
      <c r="AZ327" s="303"/>
      <c r="BA327" s="302"/>
      <c r="BB327" s="302"/>
      <c r="BC327" s="302"/>
      <c r="BD327" s="302"/>
      <c r="BE327" s="302"/>
      <c r="BF327" s="302"/>
      <c r="BG327" s="302"/>
      <c r="BH327" s="302"/>
      <c r="BI327" s="302"/>
      <c r="BJ327" s="302"/>
      <c r="BM327">
        <v>-5.2</v>
      </c>
      <c r="BS327">
        <v>64.099999999999994</v>
      </c>
      <c r="BY327">
        <v>52.6</v>
      </c>
      <c r="CA327">
        <v>16.2</v>
      </c>
      <c r="CC327">
        <v>14</v>
      </c>
      <c r="CI327">
        <v>6.3</v>
      </c>
      <c r="CO327" t="s">
        <v>8698</v>
      </c>
      <c r="CR327">
        <v>2</v>
      </c>
      <c r="CT327" s="304" t="s">
        <v>11678</v>
      </c>
    </row>
    <row r="328" spans="1:98" s="304" customFormat="1">
      <c r="A328" s="304" t="s">
        <v>8506</v>
      </c>
      <c r="B328" s="463">
        <v>4</v>
      </c>
      <c r="C328" s="296" t="s">
        <v>7611</v>
      </c>
      <c r="D328" s="296" t="s">
        <v>7453</v>
      </c>
      <c r="E328" s="296" t="s">
        <v>7611</v>
      </c>
      <c r="F328" s="296"/>
      <c r="G328" s="296" t="s">
        <v>8506</v>
      </c>
      <c r="H328" s="297" t="s">
        <v>8696</v>
      </c>
      <c r="I328" s="297">
        <v>2</v>
      </c>
      <c r="J328" s="297">
        <v>2104</v>
      </c>
      <c r="K328" s="299"/>
      <c r="L328" s="299"/>
      <c r="M328" s="299">
        <v>52</v>
      </c>
      <c r="N328" s="299">
        <v>8</v>
      </c>
      <c r="O328" s="300">
        <v>46</v>
      </c>
      <c r="P328" s="301">
        <v>42090</v>
      </c>
      <c r="Q328" s="302"/>
      <c r="R328" s="303"/>
      <c r="S328" s="289">
        <v>3.15</v>
      </c>
      <c r="T328" s="303">
        <v>42208</v>
      </c>
      <c r="U328" s="302"/>
      <c r="V328" s="303"/>
      <c r="W328" s="302"/>
      <c r="X328" s="303"/>
      <c r="Y328" s="302">
        <v>10.210000000000001</v>
      </c>
      <c r="Z328" s="303">
        <v>42208</v>
      </c>
      <c r="AA328">
        <v>14.4</v>
      </c>
      <c r="AB328" s="303"/>
      <c r="AC328" s="302"/>
      <c r="AD328" s="303"/>
      <c r="AE328" s="302"/>
      <c r="AF328" s="303"/>
      <c r="AG328">
        <v>37778.537735849051</v>
      </c>
      <c r="AH328" s="521">
        <f>(AK328*10000)/AM328</f>
        <v>37778.537735849051</v>
      </c>
      <c r="AI328" s="302"/>
      <c r="AJ328" s="303"/>
      <c r="AK328">
        <v>20.022624999999998</v>
      </c>
      <c r="AL328" s="521"/>
      <c r="AM328">
        <v>5.3</v>
      </c>
      <c r="AN328" s="303">
        <v>42244</v>
      </c>
      <c r="AO328">
        <v>145</v>
      </c>
      <c r="AP328" s="303">
        <v>42170</v>
      </c>
      <c r="AQ328" s="302"/>
      <c r="AR328" s="303"/>
      <c r="AS328" s="302"/>
      <c r="AT328" s="303"/>
      <c r="AU328">
        <v>108</v>
      </c>
      <c r="AV328" s="303"/>
      <c r="AW328" s="302"/>
      <c r="AX328" s="302"/>
      <c r="AY328" s="302"/>
      <c r="AZ328" s="303"/>
      <c r="BA328" s="302"/>
      <c r="BB328" s="302"/>
      <c r="BC328" s="302"/>
      <c r="BD328" s="302"/>
      <c r="BE328" s="302"/>
      <c r="BF328" s="302"/>
      <c r="BG328" s="302"/>
      <c r="BH328" s="302"/>
      <c r="BI328" s="302"/>
      <c r="BJ328" s="302"/>
      <c r="BM328">
        <v>41.7</v>
      </c>
      <c r="BS328">
        <v>11</v>
      </c>
      <c r="BY328">
        <v>45.5</v>
      </c>
      <c r="CA328">
        <v>24.3</v>
      </c>
      <c r="CC328">
        <v>87.5</v>
      </c>
      <c r="CI328">
        <v>6.6</v>
      </c>
      <c r="CO328" t="s">
        <v>8698</v>
      </c>
      <c r="CR328">
        <v>2</v>
      </c>
      <c r="CT328" s="304" t="s">
        <v>11678</v>
      </c>
    </row>
    <row r="329" spans="1:98" s="304" customFormat="1">
      <c r="A329" s="304" t="s">
        <v>8506</v>
      </c>
      <c r="B329" s="463">
        <v>10</v>
      </c>
      <c r="C329" s="296" t="s">
        <v>7619</v>
      </c>
      <c r="D329" s="296" t="s">
        <v>7459</v>
      </c>
      <c r="E329" s="296" t="s">
        <v>7619</v>
      </c>
      <c r="F329" s="296"/>
      <c r="G329" s="296" t="s">
        <v>8506</v>
      </c>
      <c r="H329" s="297" t="s">
        <v>8696</v>
      </c>
      <c r="I329" s="297">
        <v>2</v>
      </c>
      <c r="J329" s="297">
        <v>2284</v>
      </c>
      <c r="K329" s="299"/>
      <c r="L329" s="299"/>
      <c r="M329" s="299">
        <v>52</v>
      </c>
      <c r="N329" s="299">
        <v>11</v>
      </c>
      <c r="O329" s="300">
        <v>58</v>
      </c>
      <c r="P329" s="301">
        <v>42090</v>
      </c>
      <c r="Q329" s="302"/>
      <c r="R329" s="303"/>
      <c r="S329" s="289">
        <v>5.7</v>
      </c>
      <c r="T329" s="303">
        <v>42208</v>
      </c>
      <c r="U329" s="302"/>
      <c r="V329" s="303"/>
      <c r="W329" s="302"/>
      <c r="X329" s="303"/>
      <c r="Y329" s="302">
        <v>20.34</v>
      </c>
      <c r="Z329" s="303">
        <v>42208</v>
      </c>
      <c r="AA329">
        <v>14.4</v>
      </c>
      <c r="AB329" s="303"/>
      <c r="AC329" s="302"/>
      <c r="AD329" s="303"/>
      <c r="AE329" s="302"/>
      <c r="AF329" s="303"/>
      <c r="AG329">
        <v>82961.268939393922</v>
      </c>
      <c r="AH329" s="521">
        <f>(AK329*10000)/AM329</f>
        <v>82961.268939393922</v>
      </c>
      <c r="AI329" s="302"/>
      <c r="AJ329" s="303"/>
      <c r="AK329">
        <v>36.502958333333332</v>
      </c>
      <c r="AL329" s="521"/>
      <c r="AM329">
        <v>4.4000000000000004</v>
      </c>
      <c r="AN329" s="303">
        <v>42244</v>
      </c>
      <c r="AO329">
        <v>105</v>
      </c>
      <c r="AP329" s="303">
        <v>42170</v>
      </c>
      <c r="AQ329" s="302"/>
      <c r="AR329" s="303"/>
      <c r="AS329" s="302"/>
      <c r="AT329" s="303"/>
      <c r="AU329">
        <v>104</v>
      </c>
      <c r="AV329" s="303"/>
      <c r="AW329" s="302"/>
      <c r="AX329" s="302"/>
      <c r="AY329" s="302"/>
      <c r="AZ329" s="303"/>
      <c r="BA329" s="302"/>
      <c r="BB329" s="302"/>
      <c r="BC329" s="302"/>
      <c r="BD329" s="302"/>
      <c r="BE329" s="302"/>
      <c r="BF329" s="302"/>
      <c r="BG329" s="302"/>
      <c r="BH329" s="302"/>
      <c r="BI329" s="302"/>
      <c r="BJ329" s="302"/>
      <c r="BM329">
        <v>49.9</v>
      </c>
      <c r="BS329">
        <v>3.6</v>
      </c>
      <c r="BY329">
        <v>49.7</v>
      </c>
      <c r="CA329">
        <v>20.8</v>
      </c>
      <c r="CC329">
        <v>63.3</v>
      </c>
      <c r="CI329">
        <v>5.9</v>
      </c>
      <c r="CO329" t="s">
        <v>8698</v>
      </c>
      <c r="CR329">
        <v>3</v>
      </c>
      <c r="CT329" s="304" t="s">
        <v>11678</v>
      </c>
    </row>
    <row r="330" spans="1:98" s="304" customFormat="1">
      <c r="A330" s="304" t="s">
        <v>8506</v>
      </c>
      <c r="B330" s="463">
        <v>23</v>
      </c>
      <c r="C330" s="296" t="s">
        <v>7635</v>
      </c>
      <c r="D330" s="296" t="s">
        <v>7471</v>
      </c>
      <c r="E330" s="296" t="s">
        <v>7635</v>
      </c>
      <c r="F330" s="296"/>
      <c r="G330" s="296" t="s">
        <v>8506</v>
      </c>
      <c r="H330" s="466" t="s">
        <v>8696</v>
      </c>
      <c r="I330" s="297">
        <v>1</v>
      </c>
      <c r="J330" s="297">
        <v>1224</v>
      </c>
      <c r="K330" s="299"/>
      <c r="L330" s="299"/>
      <c r="M330" s="299">
        <v>52</v>
      </c>
      <c r="N330" s="299">
        <v>4</v>
      </c>
      <c r="O330" s="300">
        <v>39</v>
      </c>
      <c r="P330" s="301">
        <v>42090</v>
      </c>
      <c r="Q330" s="302"/>
      <c r="R330" s="303"/>
      <c r="S330" s="289">
        <v>4.8</v>
      </c>
      <c r="T330" s="303">
        <v>42208</v>
      </c>
      <c r="U330" s="302"/>
      <c r="V330" s="303"/>
      <c r="W330" s="302"/>
      <c r="X330" s="303"/>
      <c r="Y330" s="302">
        <v>17.48</v>
      </c>
      <c r="Z330" s="303">
        <v>42208</v>
      </c>
      <c r="AA330">
        <v>14.4</v>
      </c>
      <c r="AB330" s="303"/>
      <c r="AC330" s="302"/>
      <c r="AD330" s="303"/>
      <c r="AE330" s="302"/>
      <c r="AF330" s="303"/>
      <c r="AG330">
        <v>61348</v>
      </c>
      <c r="AH330" s="521">
        <f>(AK330*10000)/AM330</f>
        <v>61348</v>
      </c>
      <c r="AI330" s="302"/>
      <c r="AJ330" s="303"/>
      <c r="AK330">
        <v>30.673999999999999</v>
      </c>
      <c r="AL330" s="521"/>
      <c r="AM330">
        <v>5</v>
      </c>
      <c r="AN330" s="303">
        <v>42244</v>
      </c>
      <c r="AO330">
        <v>135</v>
      </c>
      <c r="AP330" s="303">
        <v>42170</v>
      </c>
      <c r="AQ330" s="302"/>
      <c r="AR330" s="303"/>
      <c r="AS330" s="302"/>
      <c r="AT330" s="303"/>
      <c r="AU330">
        <v>111</v>
      </c>
      <c r="AV330" s="303"/>
      <c r="AW330" s="302"/>
      <c r="AX330" s="302"/>
      <c r="AY330" s="302"/>
      <c r="AZ330" s="303"/>
      <c r="BA330" s="302"/>
      <c r="BB330" s="302"/>
      <c r="BC330" s="302"/>
      <c r="BD330" s="302"/>
      <c r="BE330" s="302"/>
      <c r="BF330" s="302"/>
      <c r="BG330" s="302"/>
      <c r="BH330" s="302"/>
      <c r="BI330" s="302"/>
      <c r="BJ330" s="302"/>
      <c r="BM330"/>
      <c r="BS330"/>
      <c r="BY330"/>
      <c r="CA330"/>
      <c r="CC330"/>
      <c r="CI330">
        <v>6.1</v>
      </c>
      <c r="CO330" s="304" t="s">
        <v>11680</v>
      </c>
      <c r="CR330">
        <v>6</v>
      </c>
      <c r="CT330" s="304" t="s">
        <v>11678</v>
      </c>
    </row>
    <row r="331" spans="1:98" s="304" customFormat="1">
      <c r="A331" s="304" t="s">
        <v>8506</v>
      </c>
      <c r="B331" s="463">
        <v>24</v>
      </c>
      <c r="C331" s="296" t="s">
        <v>7636</v>
      </c>
      <c r="D331" s="296" t="s">
        <v>7472</v>
      </c>
      <c r="E331" s="296" t="s">
        <v>7636</v>
      </c>
      <c r="F331" s="296"/>
      <c r="G331" s="296" t="s">
        <v>8506</v>
      </c>
      <c r="H331" s="297" t="s">
        <v>8696</v>
      </c>
      <c r="I331" s="297">
        <v>2</v>
      </c>
      <c r="J331" s="297">
        <v>244</v>
      </c>
      <c r="K331" s="299"/>
      <c r="L331" s="299"/>
      <c r="M331" s="299">
        <v>52</v>
      </c>
      <c r="N331" s="299">
        <v>7</v>
      </c>
      <c r="O331" s="300">
        <v>53</v>
      </c>
      <c r="P331" s="301">
        <v>42090</v>
      </c>
      <c r="Q331" s="302"/>
      <c r="R331" s="303"/>
      <c r="S331" s="289">
        <v>5.05</v>
      </c>
      <c r="T331" s="303">
        <v>42208</v>
      </c>
      <c r="U331" s="302"/>
      <c r="V331" s="303"/>
      <c r="W331" s="302"/>
      <c r="X331" s="303"/>
      <c r="Y331" s="302">
        <v>16.68</v>
      </c>
      <c r="Z331" s="303">
        <v>42208</v>
      </c>
      <c r="AA331">
        <v>14.4</v>
      </c>
      <c r="AB331" s="303"/>
      <c r="AC331" s="302"/>
      <c r="AD331" s="303"/>
      <c r="AE331" s="302"/>
      <c r="AF331" s="303"/>
      <c r="AG331">
        <v>63142.878540305013</v>
      </c>
      <c r="AH331" s="521">
        <f>(AK331*10000)/AM331</f>
        <v>63142.878540305013</v>
      </c>
      <c r="AI331" s="302"/>
      <c r="AJ331" s="303"/>
      <c r="AK331">
        <v>32.202868055555555</v>
      </c>
      <c r="AL331" s="521"/>
      <c r="AM331">
        <v>5.0999999999999996</v>
      </c>
      <c r="AN331" s="303">
        <v>42244</v>
      </c>
      <c r="AO331">
        <v>130</v>
      </c>
      <c r="AP331" s="303">
        <v>42170</v>
      </c>
      <c r="AQ331" s="302"/>
      <c r="AR331" s="303"/>
      <c r="AS331" s="302"/>
      <c r="AT331" s="303"/>
      <c r="AU331">
        <v>108</v>
      </c>
      <c r="AV331" s="303"/>
      <c r="AW331" s="302"/>
      <c r="AX331" s="302"/>
      <c r="AY331" s="302"/>
      <c r="AZ331" s="303"/>
      <c r="BA331" s="302"/>
      <c r="BB331" s="302"/>
      <c r="BC331" s="302"/>
      <c r="BD331" s="302"/>
      <c r="BE331" s="302"/>
      <c r="BF331" s="302"/>
      <c r="BG331" s="302"/>
      <c r="BH331" s="302"/>
      <c r="BI331" s="302"/>
      <c r="BJ331" s="302"/>
      <c r="BM331">
        <v>7.7</v>
      </c>
      <c r="BS331">
        <v>51.4</v>
      </c>
      <c r="BY331">
        <v>46.2</v>
      </c>
      <c r="CA331">
        <v>23.1</v>
      </c>
      <c r="CC331">
        <v>70.7</v>
      </c>
      <c r="CI331">
        <v>6.3</v>
      </c>
      <c r="CO331" t="s">
        <v>8698</v>
      </c>
      <c r="CR331">
        <v>4</v>
      </c>
      <c r="CT331" s="304" t="s">
        <v>11678</v>
      </c>
    </row>
    <row r="332" spans="1:98" s="304" customFormat="1">
      <c r="A332" s="304" t="s">
        <v>8506</v>
      </c>
      <c r="B332" s="463">
        <v>72</v>
      </c>
      <c r="C332" s="296" t="s">
        <v>7690</v>
      </c>
      <c r="D332" s="296" t="s">
        <v>7519</v>
      </c>
      <c r="E332" s="296" t="s">
        <v>7690</v>
      </c>
      <c r="F332" s="296"/>
      <c r="G332" s="296" t="s">
        <v>8506</v>
      </c>
      <c r="H332" s="297" t="s">
        <v>8696</v>
      </c>
      <c r="I332" s="297">
        <v>2</v>
      </c>
      <c r="J332" s="297">
        <v>2344</v>
      </c>
      <c r="K332" s="299"/>
      <c r="L332" s="299"/>
      <c r="M332" s="299">
        <v>52</v>
      </c>
      <c r="N332" s="299">
        <v>12</v>
      </c>
      <c r="O332" s="300">
        <v>25</v>
      </c>
      <c r="P332" s="301">
        <v>42090</v>
      </c>
      <c r="Q332" s="302"/>
      <c r="R332" s="303"/>
      <c r="S332" s="289">
        <v>6.2</v>
      </c>
      <c r="T332" s="303">
        <v>42208</v>
      </c>
      <c r="U332" s="302"/>
      <c r="V332" s="303"/>
      <c r="W332" s="302"/>
      <c r="X332" s="303"/>
      <c r="Y332" s="302">
        <v>22.16</v>
      </c>
      <c r="Z332" s="303">
        <v>42208</v>
      </c>
      <c r="AA332">
        <v>14.4</v>
      </c>
      <c r="AB332" s="303"/>
      <c r="AC332" s="302"/>
      <c r="AD332" s="303"/>
      <c r="AE332" s="302"/>
      <c r="AF332" s="303"/>
      <c r="AG332">
        <v>93731.944444444438</v>
      </c>
      <c r="AH332" s="521">
        <f>(AK332*10000)/AM332</f>
        <v>93731.944444444438</v>
      </c>
      <c r="AI332" s="302"/>
      <c r="AJ332" s="303"/>
      <c r="AK332">
        <v>39.367416666666664</v>
      </c>
      <c r="AL332" s="521"/>
      <c r="AM332">
        <v>4.2</v>
      </c>
      <c r="AN332" s="303">
        <v>42244</v>
      </c>
      <c r="AO332">
        <v>125</v>
      </c>
      <c r="AP332" s="303">
        <v>42170</v>
      </c>
      <c r="AQ332" s="302"/>
      <c r="AR332" s="303"/>
      <c r="AS332" s="302"/>
      <c r="AT332" s="303"/>
      <c r="AU332">
        <v>108</v>
      </c>
      <c r="AV332" s="303"/>
      <c r="AW332" s="302"/>
      <c r="AX332" s="302"/>
      <c r="AY332" s="302"/>
      <c r="AZ332" s="303"/>
      <c r="BA332" s="302"/>
      <c r="BB332" s="302"/>
      <c r="BC332" s="302"/>
      <c r="BD332" s="302"/>
      <c r="BE332" s="302"/>
      <c r="BF332" s="302"/>
      <c r="BG332" s="302"/>
      <c r="BH332" s="302"/>
      <c r="BI332" s="302"/>
      <c r="BJ332" s="302"/>
      <c r="BM332">
        <v>-1.9</v>
      </c>
      <c r="BS332">
        <v>59.8</v>
      </c>
      <c r="BY332">
        <v>50.2</v>
      </c>
      <c r="CA332">
        <v>20</v>
      </c>
      <c r="CC332">
        <v>13.9</v>
      </c>
      <c r="CI332">
        <v>6.7</v>
      </c>
      <c r="CO332" t="s">
        <v>8698</v>
      </c>
      <c r="CR332">
        <v>1</v>
      </c>
      <c r="CT332" s="304" t="s">
        <v>11678</v>
      </c>
    </row>
    <row r="333" spans="1:98" s="304" customFormat="1">
      <c r="A333" s="304" t="s">
        <v>8506</v>
      </c>
      <c r="B333" s="463">
        <v>75</v>
      </c>
      <c r="C333" s="296" t="s">
        <v>7693</v>
      </c>
      <c r="D333" s="296" t="s">
        <v>7522</v>
      </c>
      <c r="E333" s="296" t="s">
        <v>7693</v>
      </c>
      <c r="F333" s="296"/>
      <c r="G333" s="296" t="s">
        <v>8506</v>
      </c>
      <c r="H333" s="297" t="s">
        <v>8697</v>
      </c>
      <c r="I333" s="297">
        <v>1</v>
      </c>
      <c r="J333" s="297">
        <v>1104</v>
      </c>
      <c r="K333" s="299"/>
      <c r="L333" s="299"/>
      <c r="M333" s="299">
        <v>52</v>
      </c>
      <c r="N333" s="299">
        <v>2</v>
      </c>
      <c r="O333" s="300">
        <v>18</v>
      </c>
      <c r="P333" s="301">
        <v>42090</v>
      </c>
      <c r="Q333" s="302"/>
      <c r="R333" s="303"/>
      <c r="S333" s="289">
        <v>3.75</v>
      </c>
      <c r="T333" s="303">
        <v>42208</v>
      </c>
      <c r="U333" s="302"/>
      <c r="V333" s="303"/>
      <c r="W333" s="302"/>
      <c r="X333" s="303"/>
      <c r="Y333" s="302">
        <v>14.03</v>
      </c>
      <c r="Z333" s="303">
        <v>42208</v>
      </c>
      <c r="AA333">
        <v>14.4</v>
      </c>
      <c r="AB333" s="303"/>
      <c r="AC333" s="302"/>
      <c r="AD333" s="303"/>
      <c r="AE333" s="302"/>
      <c r="AF333" s="303"/>
      <c r="AG333">
        <v>49552.951388888898</v>
      </c>
      <c r="AH333" s="521">
        <f>(AK333*10000)/AM333</f>
        <v>49552.951388888898</v>
      </c>
      <c r="AI333" s="302"/>
      <c r="AJ333" s="303"/>
      <c r="AK333">
        <v>23.78541666666667</v>
      </c>
      <c r="AL333" s="521"/>
      <c r="AM333">
        <v>4.8</v>
      </c>
      <c r="AN333" s="303">
        <v>42244</v>
      </c>
      <c r="AO333">
        <v>120</v>
      </c>
      <c r="AP333" s="303">
        <v>42170</v>
      </c>
      <c r="AQ333" s="302"/>
      <c r="AR333" s="303"/>
      <c r="AS333" s="302"/>
      <c r="AT333" s="303"/>
      <c r="AU333">
        <v>109</v>
      </c>
      <c r="AV333" s="303"/>
      <c r="AW333" s="302"/>
      <c r="AX333" s="302"/>
      <c r="AY333" s="302"/>
      <c r="AZ333" s="303"/>
      <c r="BA333" s="302"/>
      <c r="BB333" s="302"/>
      <c r="BC333" s="302"/>
      <c r="BD333" s="302"/>
      <c r="BE333" s="302"/>
      <c r="BF333" s="302"/>
      <c r="BG333" s="302"/>
      <c r="BH333" s="302"/>
      <c r="BI333" s="302"/>
      <c r="BJ333" s="302"/>
      <c r="BM333">
        <v>-2.7</v>
      </c>
      <c r="BS333">
        <v>63.3</v>
      </c>
      <c r="BY333">
        <v>52.6</v>
      </c>
      <c r="CA333">
        <v>16.3</v>
      </c>
      <c r="CC333">
        <v>14.7</v>
      </c>
      <c r="CI333">
        <v>6.8</v>
      </c>
      <c r="CO333" t="s">
        <v>8698</v>
      </c>
      <c r="CR333">
        <v>1</v>
      </c>
      <c r="CT333" s="304" t="s">
        <v>11678</v>
      </c>
    </row>
    <row r="334" spans="1:98" s="304" customFormat="1">
      <c r="A334" s="304" t="s">
        <v>8506</v>
      </c>
      <c r="B334" s="463">
        <v>105</v>
      </c>
      <c r="C334" s="296" t="s">
        <v>7723</v>
      </c>
      <c r="D334" s="296" t="s">
        <v>7550</v>
      </c>
      <c r="E334" s="296" t="s">
        <v>7723</v>
      </c>
      <c r="F334" s="296"/>
      <c r="G334" s="296" t="s">
        <v>8506</v>
      </c>
      <c r="H334" s="297" t="s">
        <v>8697</v>
      </c>
      <c r="I334" s="297">
        <v>1</v>
      </c>
      <c r="J334" s="297">
        <v>144</v>
      </c>
      <c r="K334" s="299"/>
      <c r="L334" s="299"/>
      <c r="M334" s="299">
        <v>52</v>
      </c>
      <c r="N334" s="299">
        <v>1</v>
      </c>
      <c r="O334" s="300">
        <v>56</v>
      </c>
      <c r="P334" s="301">
        <v>42090</v>
      </c>
      <c r="Q334" s="302"/>
      <c r="R334" s="303"/>
      <c r="S334" s="289">
        <v>4.5</v>
      </c>
      <c r="T334" s="303">
        <v>42208</v>
      </c>
      <c r="U334" s="302"/>
      <c r="V334" s="303"/>
      <c r="W334" s="302"/>
      <c r="X334" s="303"/>
      <c r="Y334" s="302">
        <v>16.87</v>
      </c>
      <c r="Z334" s="303">
        <v>42208</v>
      </c>
      <c r="AA334">
        <v>14.4</v>
      </c>
      <c r="AB334" s="303"/>
      <c r="AC334" s="302"/>
      <c r="AD334" s="303"/>
      <c r="AE334" s="302"/>
      <c r="AF334" s="303"/>
      <c r="AG334">
        <v>59910.156250000015</v>
      </c>
      <c r="AH334" s="521">
        <f>(AK334*10000)/AM334</f>
        <v>59910.156250000015</v>
      </c>
      <c r="AI334" s="302"/>
      <c r="AJ334" s="303"/>
      <c r="AK334">
        <v>28.756875000000004</v>
      </c>
      <c r="AL334" s="521"/>
      <c r="AM334">
        <v>4.8</v>
      </c>
      <c r="AN334" s="303">
        <v>42244</v>
      </c>
      <c r="AO334">
        <v>140</v>
      </c>
      <c r="AP334" s="303">
        <v>42170</v>
      </c>
      <c r="AQ334" s="302"/>
      <c r="AR334" s="303"/>
      <c r="AS334" s="302"/>
      <c r="AT334" s="303"/>
      <c r="AU334">
        <v>109</v>
      </c>
      <c r="AV334" s="303"/>
      <c r="AW334" s="302"/>
      <c r="AX334" s="302"/>
      <c r="AY334" s="302"/>
      <c r="AZ334" s="303"/>
      <c r="BA334" s="302"/>
      <c r="BB334" s="302"/>
      <c r="BC334" s="302"/>
      <c r="BD334" s="302"/>
      <c r="BE334" s="302"/>
      <c r="BF334" s="302"/>
      <c r="BG334" s="302"/>
      <c r="BH334" s="302"/>
      <c r="BI334" s="302"/>
      <c r="BJ334" s="302"/>
      <c r="BM334">
        <v>-4.9000000000000004</v>
      </c>
      <c r="BS334">
        <v>63.1</v>
      </c>
      <c r="BY334">
        <v>52.3</v>
      </c>
      <c r="CA334">
        <v>15.7</v>
      </c>
      <c r="CC334">
        <v>14.5</v>
      </c>
      <c r="CI334">
        <v>6.1</v>
      </c>
      <c r="CO334" t="s">
        <v>8698</v>
      </c>
      <c r="CR334">
        <v>2</v>
      </c>
      <c r="CT334" s="304" t="s">
        <v>11678</v>
      </c>
    </row>
    <row r="335" spans="1:98" s="304" customFormat="1">
      <c r="A335" s="304" t="s">
        <v>8506</v>
      </c>
      <c r="B335" s="463">
        <v>177</v>
      </c>
      <c r="C335" s="296" t="s">
        <v>7805</v>
      </c>
      <c r="D335" s="296" t="s">
        <v>7602</v>
      </c>
      <c r="E335" s="296" t="s">
        <v>7805</v>
      </c>
      <c r="F335" s="296"/>
      <c r="G335" s="296" t="s">
        <v>8506</v>
      </c>
      <c r="H335" s="297" t="s">
        <v>8696</v>
      </c>
      <c r="I335" s="297">
        <v>2</v>
      </c>
      <c r="J335" s="297">
        <v>2164</v>
      </c>
      <c r="K335" s="299"/>
      <c r="L335" s="299"/>
      <c r="M335" s="299">
        <v>52</v>
      </c>
      <c r="N335" s="299">
        <v>9</v>
      </c>
      <c r="O335" s="300">
        <v>44</v>
      </c>
      <c r="P335" s="301">
        <v>42090</v>
      </c>
      <c r="Q335" s="302"/>
      <c r="R335" s="303"/>
      <c r="S335" s="289">
        <v>6.7</v>
      </c>
      <c r="T335" s="303">
        <v>42208</v>
      </c>
      <c r="U335" s="302"/>
      <c r="V335" s="303"/>
      <c r="W335" s="302"/>
      <c r="X335" s="303"/>
      <c r="Y335" s="302">
        <v>24.27</v>
      </c>
      <c r="Z335" s="303">
        <v>42208</v>
      </c>
      <c r="AA335">
        <v>14.4</v>
      </c>
      <c r="AB335" s="303"/>
      <c r="AC335" s="302"/>
      <c r="AD335" s="303"/>
      <c r="AE335" s="302"/>
      <c r="AF335" s="303"/>
      <c r="AG335">
        <v>77017.853535353541</v>
      </c>
      <c r="AH335" s="521">
        <f>(AK335*10000)/AM335</f>
        <v>77017.853535353541</v>
      </c>
      <c r="AI335" s="302"/>
      <c r="AJ335" s="303"/>
      <c r="AK335">
        <v>42.359819444444447</v>
      </c>
      <c r="AL335" s="521"/>
      <c r="AM335">
        <v>5.5</v>
      </c>
      <c r="AN335" s="303">
        <v>42244</v>
      </c>
      <c r="AO335">
        <v>145</v>
      </c>
      <c r="AP335" s="303">
        <v>42170</v>
      </c>
      <c r="AQ335" s="302"/>
      <c r="AR335" s="303"/>
      <c r="AS335" s="302"/>
      <c r="AT335" s="303"/>
      <c r="AU335">
        <v>103</v>
      </c>
      <c r="AV335" s="303"/>
      <c r="AW335" s="302"/>
      <c r="AX335" s="302"/>
      <c r="AY335" s="302"/>
      <c r="AZ335" s="303"/>
      <c r="BA335" s="302"/>
      <c r="BB335" s="302"/>
      <c r="BC335" s="302"/>
      <c r="BD335" s="302"/>
      <c r="BE335" s="302"/>
      <c r="BF335" s="302"/>
      <c r="BG335" s="302"/>
      <c r="BH335" s="302"/>
      <c r="BI335" s="302"/>
      <c r="BJ335" s="302"/>
      <c r="BM335">
        <v>-1.5</v>
      </c>
      <c r="BS335">
        <v>61.1</v>
      </c>
      <c r="BY335">
        <v>51.1</v>
      </c>
      <c r="CA335">
        <v>18.399999999999999</v>
      </c>
      <c r="CC335">
        <v>22.4</v>
      </c>
      <c r="CI335">
        <v>7.1</v>
      </c>
      <c r="CO335" t="s">
        <v>8698</v>
      </c>
      <c r="CR335">
        <v>2</v>
      </c>
      <c r="CT335" s="304" t="s">
        <v>11678</v>
      </c>
    </row>
    <row r="336" spans="1:98" s="304" customFormat="1">
      <c r="A336" s="304" t="s">
        <v>8506</v>
      </c>
      <c r="B336" s="463">
        <v>29</v>
      </c>
      <c r="C336" s="296" t="s">
        <v>7641</v>
      </c>
      <c r="D336" s="296" t="s">
        <v>7476</v>
      </c>
      <c r="E336" s="296" t="s">
        <v>7641</v>
      </c>
      <c r="F336" s="296"/>
      <c r="G336" s="296" t="s">
        <v>8506</v>
      </c>
      <c r="H336" s="297" t="s">
        <v>8697</v>
      </c>
      <c r="I336" s="297">
        <v>1</v>
      </c>
      <c r="J336" s="297">
        <v>1285</v>
      </c>
      <c r="K336" s="299"/>
      <c r="L336" s="299"/>
      <c r="M336" s="299">
        <v>53</v>
      </c>
      <c r="N336" s="299">
        <v>5</v>
      </c>
      <c r="O336" s="300">
        <v>28</v>
      </c>
      <c r="P336" s="301">
        <v>42090</v>
      </c>
      <c r="Q336" s="302"/>
      <c r="R336" s="303"/>
      <c r="S336" s="289">
        <v>4.3</v>
      </c>
      <c r="T336" s="303">
        <v>42208</v>
      </c>
      <c r="U336" s="302"/>
      <c r="V336" s="303"/>
      <c r="W336" s="302"/>
      <c r="X336" s="303"/>
      <c r="Y336" s="302">
        <v>15.08</v>
      </c>
      <c r="Z336" s="303">
        <v>42208</v>
      </c>
      <c r="AA336">
        <v>14.4</v>
      </c>
      <c r="AB336" s="303"/>
      <c r="AC336" s="302"/>
      <c r="AD336" s="303"/>
      <c r="AE336" s="302"/>
      <c r="AF336" s="303"/>
      <c r="AG336">
        <v>43072.786458333328</v>
      </c>
      <c r="AH336" s="521">
        <f>(AK336*10000)/AM336</f>
        <v>43072.786458333328</v>
      </c>
      <c r="AI336" s="302"/>
      <c r="AJ336" s="303"/>
      <c r="AK336">
        <v>27.566583333333334</v>
      </c>
      <c r="AL336" s="521"/>
      <c r="AM336">
        <v>6.4</v>
      </c>
      <c r="AN336" s="303">
        <v>42244</v>
      </c>
      <c r="AO336">
        <v>145</v>
      </c>
      <c r="AP336" s="303">
        <v>42170</v>
      </c>
      <c r="AQ336" s="302"/>
      <c r="AR336" s="303"/>
      <c r="AS336" s="302"/>
      <c r="AT336" s="303"/>
      <c r="AU336">
        <v>107</v>
      </c>
      <c r="AV336" s="303"/>
      <c r="AW336" s="302"/>
      <c r="AX336" s="302"/>
      <c r="AY336" s="302"/>
      <c r="AZ336" s="303"/>
      <c r="BA336" s="302"/>
      <c r="BB336" s="302"/>
      <c r="BC336" s="302"/>
      <c r="BD336" s="302"/>
      <c r="BE336" s="302"/>
      <c r="BF336" s="302"/>
      <c r="BG336" s="302"/>
      <c r="BH336" s="302"/>
      <c r="BI336" s="302"/>
      <c r="BJ336" s="302"/>
      <c r="BM336">
        <v>0.9</v>
      </c>
      <c r="BS336">
        <v>52</v>
      </c>
      <c r="BY336">
        <v>48.8</v>
      </c>
      <c r="CA336">
        <v>20.3</v>
      </c>
      <c r="CC336">
        <v>76</v>
      </c>
      <c r="CI336">
        <v>5.8</v>
      </c>
      <c r="CO336" t="s">
        <v>8698</v>
      </c>
      <c r="CR336">
        <v>2</v>
      </c>
      <c r="CT336" s="304" t="s">
        <v>11678</v>
      </c>
    </row>
    <row r="337" spans="1:98" s="304" customFormat="1">
      <c r="A337" s="304" t="s">
        <v>8506</v>
      </c>
      <c r="B337" s="463">
        <v>31</v>
      </c>
      <c r="C337" s="296" t="s">
        <v>7643</v>
      </c>
      <c r="D337" s="296" t="s">
        <v>7478</v>
      </c>
      <c r="E337" s="296" t="s">
        <v>7643</v>
      </c>
      <c r="F337" s="296"/>
      <c r="G337" s="296" t="s">
        <v>8506</v>
      </c>
      <c r="H337" s="297" t="s">
        <v>8696</v>
      </c>
      <c r="I337" s="297">
        <v>2</v>
      </c>
      <c r="J337" s="297">
        <v>2105</v>
      </c>
      <c r="K337" s="299"/>
      <c r="L337" s="299"/>
      <c r="M337" s="299">
        <v>53</v>
      </c>
      <c r="N337" s="299">
        <v>8</v>
      </c>
      <c r="O337" s="300">
        <v>47</v>
      </c>
      <c r="P337" s="301">
        <v>42090</v>
      </c>
      <c r="Q337" s="302"/>
      <c r="R337" s="303"/>
      <c r="S337" s="289">
        <v>4.45</v>
      </c>
      <c r="T337" s="303">
        <v>42208</v>
      </c>
      <c r="U337" s="302"/>
      <c r="V337" s="303"/>
      <c r="W337" s="302"/>
      <c r="X337" s="303"/>
      <c r="Y337" s="302">
        <v>14.88</v>
      </c>
      <c r="Z337" s="303">
        <v>42208</v>
      </c>
      <c r="AA337">
        <v>14.4</v>
      </c>
      <c r="AB337" s="303"/>
      <c r="AC337" s="302"/>
      <c r="AD337" s="303"/>
      <c r="AE337" s="302"/>
      <c r="AF337" s="303"/>
      <c r="AG337">
        <v>50618.749999999993</v>
      </c>
      <c r="AH337" s="521">
        <f>(AK337*10000)/AM337</f>
        <v>50618.749999999993</v>
      </c>
      <c r="AI337" s="302"/>
      <c r="AJ337" s="303"/>
      <c r="AK337">
        <v>28.346499999999995</v>
      </c>
      <c r="AL337" s="521"/>
      <c r="AM337">
        <v>5.6</v>
      </c>
      <c r="AN337" s="303">
        <v>42244</v>
      </c>
      <c r="AO337">
        <v>110</v>
      </c>
      <c r="AP337" s="303">
        <v>42170</v>
      </c>
      <c r="AQ337" s="302"/>
      <c r="AR337" s="303"/>
      <c r="AS337" s="302"/>
      <c r="AT337" s="303"/>
      <c r="AU337">
        <v>106</v>
      </c>
      <c r="AV337" s="303"/>
      <c r="AW337" s="302"/>
      <c r="AX337" s="302"/>
      <c r="AY337" s="302"/>
      <c r="AZ337" s="303"/>
      <c r="BA337" s="302"/>
      <c r="BB337" s="302"/>
      <c r="BC337" s="302"/>
      <c r="BD337" s="302"/>
      <c r="BE337" s="302"/>
      <c r="BF337" s="302"/>
      <c r="BG337" s="302"/>
      <c r="BH337" s="302"/>
      <c r="BI337" s="302"/>
      <c r="BJ337" s="302"/>
      <c r="BM337">
        <v>4.0999999999999996</v>
      </c>
      <c r="BS337">
        <v>53.7</v>
      </c>
      <c r="BY337">
        <v>46.8</v>
      </c>
      <c r="CA337">
        <v>21.4</v>
      </c>
      <c r="CC337">
        <v>58</v>
      </c>
      <c r="CI337">
        <v>6.4</v>
      </c>
      <c r="CO337" t="s">
        <v>8698</v>
      </c>
      <c r="CR337">
        <v>2</v>
      </c>
      <c r="CT337" s="304" t="s">
        <v>11678</v>
      </c>
    </row>
    <row r="338" spans="1:98" s="304" customFormat="1">
      <c r="A338" s="304" t="s">
        <v>8506</v>
      </c>
      <c r="B338" s="463">
        <v>67</v>
      </c>
      <c r="C338" s="296" t="s">
        <v>7685</v>
      </c>
      <c r="D338" s="296" t="s">
        <v>7515</v>
      </c>
      <c r="E338" s="296" t="s">
        <v>7685</v>
      </c>
      <c r="F338" s="296"/>
      <c r="G338" s="296" t="s">
        <v>8506</v>
      </c>
      <c r="H338" s="297" t="s">
        <v>8697</v>
      </c>
      <c r="I338" s="297">
        <v>1</v>
      </c>
      <c r="J338" s="297">
        <v>145</v>
      </c>
      <c r="K338" s="299"/>
      <c r="L338" s="299"/>
      <c r="M338" s="299">
        <v>53</v>
      </c>
      <c r="N338" s="299">
        <v>1</v>
      </c>
      <c r="O338" s="300">
        <v>70</v>
      </c>
      <c r="P338" s="301">
        <v>42090</v>
      </c>
      <c r="Q338" s="302"/>
      <c r="R338" s="303"/>
      <c r="S338" s="289">
        <v>4.55</v>
      </c>
      <c r="T338" s="303">
        <v>42208</v>
      </c>
      <c r="U338" s="302"/>
      <c r="V338" s="303"/>
      <c r="W338" s="302"/>
      <c r="X338" s="303"/>
      <c r="Y338" s="302">
        <v>16.670000000000002</v>
      </c>
      <c r="Z338" s="303">
        <v>42208</v>
      </c>
      <c r="AA338">
        <v>14.4</v>
      </c>
      <c r="AB338" s="303"/>
      <c r="AC338" s="302"/>
      <c r="AD338" s="303"/>
      <c r="AE338" s="302"/>
      <c r="AF338" s="303"/>
      <c r="AG338">
        <v>60124.247685185182</v>
      </c>
      <c r="AH338" s="521">
        <f>(AK338*10000)/AM338</f>
        <v>60124.247685185182</v>
      </c>
      <c r="AI338" s="302"/>
      <c r="AJ338" s="303"/>
      <c r="AK338">
        <v>28.859638888888888</v>
      </c>
      <c r="AL338" s="521"/>
      <c r="AM338">
        <v>4.8</v>
      </c>
      <c r="AN338" s="303">
        <v>42244</v>
      </c>
      <c r="AO338">
        <v>135</v>
      </c>
      <c r="AP338" s="303">
        <v>42170</v>
      </c>
      <c r="AQ338" s="302"/>
      <c r="AR338" s="303"/>
      <c r="AS338" s="302"/>
      <c r="AT338" s="303"/>
      <c r="AU338">
        <v>104</v>
      </c>
      <c r="AV338" s="303"/>
      <c r="AW338" s="302"/>
      <c r="AX338" s="302"/>
      <c r="AY338" s="302"/>
      <c r="AZ338" s="303"/>
      <c r="BA338" s="302"/>
      <c r="BB338" s="302"/>
      <c r="BC338" s="302"/>
      <c r="BD338" s="302"/>
      <c r="BE338" s="302"/>
      <c r="BF338" s="302"/>
      <c r="BG338" s="302"/>
      <c r="BH338" s="302"/>
      <c r="BI338" s="302"/>
      <c r="BJ338" s="302"/>
      <c r="BM338">
        <v>-2.9</v>
      </c>
      <c r="BS338">
        <v>60.6</v>
      </c>
      <c r="BY338">
        <v>51.5</v>
      </c>
      <c r="CA338">
        <v>16.3</v>
      </c>
      <c r="CC338">
        <v>19.100000000000001</v>
      </c>
      <c r="CI338">
        <v>6.8</v>
      </c>
      <c r="CO338" t="s">
        <v>8698</v>
      </c>
      <c r="CR338">
        <v>1</v>
      </c>
      <c r="CT338" s="304" t="s">
        <v>11678</v>
      </c>
    </row>
    <row r="339" spans="1:98" s="304" customFormat="1">
      <c r="A339" s="304" t="s">
        <v>8506</v>
      </c>
      <c r="B339" s="463">
        <v>89</v>
      </c>
      <c r="C339" s="296" t="s">
        <v>7707</v>
      </c>
      <c r="D339" s="296" t="s">
        <v>7536</v>
      </c>
      <c r="E339" s="296" t="s">
        <v>7707</v>
      </c>
      <c r="F339" s="296"/>
      <c r="G339" s="296" t="s">
        <v>8506</v>
      </c>
      <c r="H339" s="297" t="s">
        <v>8696</v>
      </c>
      <c r="I339" s="297">
        <v>2</v>
      </c>
      <c r="J339" s="297">
        <v>2225</v>
      </c>
      <c r="K339" s="299"/>
      <c r="L339" s="299"/>
      <c r="M339" s="299">
        <v>53</v>
      </c>
      <c r="N339" s="299">
        <v>10</v>
      </c>
      <c r="O339" s="300">
        <v>64</v>
      </c>
      <c r="P339" s="301">
        <v>42090</v>
      </c>
      <c r="Q339" s="302"/>
      <c r="R339" s="303"/>
      <c r="S339" s="289">
        <v>5.8</v>
      </c>
      <c r="T339" s="303">
        <v>42208</v>
      </c>
      <c r="U339" s="302"/>
      <c r="V339" s="303"/>
      <c r="W339" s="302"/>
      <c r="X339" s="303"/>
      <c r="Y339" s="302">
        <v>20.67</v>
      </c>
      <c r="Z339" s="303">
        <v>42208</v>
      </c>
      <c r="AA339">
        <v>14.4</v>
      </c>
      <c r="AB339" s="303"/>
      <c r="AC339" s="302"/>
      <c r="AD339" s="303"/>
      <c r="AE339" s="302"/>
      <c r="AF339" s="303"/>
      <c r="AG339">
        <v>79974.154589371974</v>
      </c>
      <c r="AH339" s="521">
        <f>(AK339*10000)/AM339</f>
        <v>79974.154589371974</v>
      </c>
      <c r="AI339" s="302"/>
      <c r="AJ339" s="303"/>
      <c r="AK339">
        <v>36.788111111111107</v>
      </c>
      <c r="AL339" s="521"/>
      <c r="AM339">
        <v>4.5999999999999996</v>
      </c>
      <c r="AN339" s="303">
        <v>42244</v>
      </c>
      <c r="AO339">
        <v>120</v>
      </c>
      <c r="AP339" s="303">
        <v>42170</v>
      </c>
      <c r="AQ339" s="302"/>
      <c r="AR339" s="303"/>
      <c r="AS339" s="302"/>
      <c r="AT339" s="303"/>
      <c r="AU339">
        <v>104</v>
      </c>
      <c r="AV339" s="303"/>
      <c r="AW339" s="302"/>
      <c r="AX339" s="302"/>
      <c r="AY339" s="302"/>
      <c r="AZ339" s="303"/>
      <c r="BA339" s="302"/>
      <c r="BB339" s="302"/>
      <c r="BC339" s="302"/>
      <c r="BD339" s="302"/>
      <c r="BE339" s="302"/>
      <c r="BF339" s="302"/>
      <c r="BG339" s="302"/>
      <c r="BH339" s="302"/>
      <c r="BI339" s="302"/>
      <c r="BJ339" s="302"/>
      <c r="BM339">
        <v>-5.8</v>
      </c>
      <c r="BS339">
        <v>64.2</v>
      </c>
      <c r="BY339">
        <v>50.1</v>
      </c>
      <c r="CA339">
        <v>19.100000000000001</v>
      </c>
      <c r="CC339">
        <v>13.6</v>
      </c>
      <c r="CI339">
        <v>6.8</v>
      </c>
      <c r="CO339" t="s">
        <v>8698</v>
      </c>
      <c r="CR339">
        <v>1</v>
      </c>
      <c r="CT339" s="304" t="s">
        <v>11678</v>
      </c>
    </row>
    <row r="340" spans="1:98" s="304" customFormat="1">
      <c r="A340" s="304" t="s">
        <v>8506</v>
      </c>
      <c r="B340" s="463">
        <v>103</v>
      </c>
      <c r="C340" s="296" t="s">
        <v>7721</v>
      </c>
      <c r="D340" s="296" t="s">
        <v>7548</v>
      </c>
      <c r="E340" s="296" t="s">
        <v>7721</v>
      </c>
      <c r="F340" s="296"/>
      <c r="G340" s="296" t="s">
        <v>8506</v>
      </c>
      <c r="H340" s="297" t="s">
        <v>8696</v>
      </c>
      <c r="I340" s="297">
        <v>2</v>
      </c>
      <c r="J340" s="297">
        <v>2345</v>
      </c>
      <c r="K340" s="299"/>
      <c r="L340" s="299"/>
      <c r="M340" s="299">
        <v>53</v>
      </c>
      <c r="N340" s="299">
        <v>12</v>
      </c>
      <c r="O340" s="300">
        <v>49</v>
      </c>
      <c r="P340" s="301">
        <v>42090</v>
      </c>
      <c r="Q340" s="302"/>
      <c r="R340" s="303"/>
      <c r="S340" s="289">
        <v>5.6</v>
      </c>
      <c r="T340" s="303">
        <v>42208</v>
      </c>
      <c r="U340" s="302"/>
      <c r="V340" s="303"/>
      <c r="W340" s="302"/>
      <c r="X340" s="303"/>
      <c r="Y340" s="302">
        <v>19.96</v>
      </c>
      <c r="Z340" s="303">
        <v>42208</v>
      </c>
      <c r="AA340">
        <v>14.4</v>
      </c>
      <c r="AB340" s="303"/>
      <c r="AC340" s="302"/>
      <c r="AD340" s="303"/>
      <c r="AE340" s="302"/>
      <c r="AF340" s="303"/>
      <c r="AG340">
        <v>66341.563786008221</v>
      </c>
      <c r="AH340" s="521">
        <f>(AK340*10000)/AM340</f>
        <v>66341.563786008221</v>
      </c>
      <c r="AI340" s="302"/>
      <c r="AJ340" s="303"/>
      <c r="AK340">
        <v>35.824444444444438</v>
      </c>
      <c r="AL340" s="521"/>
      <c r="AM340">
        <v>5.4</v>
      </c>
      <c r="AN340" s="303">
        <v>42244</v>
      </c>
      <c r="AO340">
        <v>145</v>
      </c>
      <c r="AP340" s="303">
        <v>42170</v>
      </c>
      <c r="AQ340" s="302"/>
      <c r="AR340" s="303"/>
      <c r="AS340" s="302"/>
      <c r="AT340" s="303"/>
      <c r="AU340">
        <v>109</v>
      </c>
      <c r="AV340" s="303"/>
      <c r="AW340" s="302"/>
      <c r="AX340" s="302"/>
      <c r="AY340" s="302"/>
      <c r="AZ340" s="303"/>
      <c r="BA340" s="302"/>
      <c r="BB340" s="302"/>
      <c r="BC340" s="302"/>
      <c r="BD340" s="302"/>
      <c r="BE340" s="302"/>
      <c r="BF340" s="302"/>
      <c r="BG340" s="302"/>
      <c r="BH340" s="302"/>
      <c r="BI340" s="302"/>
      <c r="BJ340" s="302"/>
      <c r="BM340">
        <v>-2.7</v>
      </c>
      <c r="BS340">
        <v>61.4</v>
      </c>
      <c r="BY340">
        <v>49.7</v>
      </c>
      <c r="CA340">
        <v>19.2</v>
      </c>
      <c r="CC340">
        <v>11.7</v>
      </c>
      <c r="CI340">
        <v>6</v>
      </c>
      <c r="CO340" t="s">
        <v>8698</v>
      </c>
      <c r="CR340">
        <v>1</v>
      </c>
      <c r="CT340" s="304" t="s">
        <v>11678</v>
      </c>
    </row>
    <row r="341" spans="1:98" s="304" customFormat="1">
      <c r="A341" s="304" t="s">
        <v>8506</v>
      </c>
      <c r="B341" s="463">
        <v>125</v>
      </c>
      <c r="C341" s="296" t="s">
        <v>7752</v>
      </c>
      <c r="D341" s="296" t="s">
        <v>7563</v>
      </c>
      <c r="E341" s="296" t="s">
        <v>7752</v>
      </c>
      <c r="F341" s="296"/>
      <c r="G341" s="296" t="s">
        <v>8506</v>
      </c>
      <c r="H341" s="466" t="s">
        <v>8696</v>
      </c>
      <c r="I341" s="297">
        <v>1</v>
      </c>
      <c r="J341" s="297">
        <v>1225</v>
      </c>
      <c r="K341" s="299"/>
      <c r="L341" s="299"/>
      <c r="M341" s="299">
        <v>53</v>
      </c>
      <c r="N341" s="299">
        <v>4</v>
      </c>
      <c r="O341" s="300">
        <v>25</v>
      </c>
      <c r="P341" s="301">
        <v>42090</v>
      </c>
      <c r="Q341" s="302"/>
      <c r="R341" s="303"/>
      <c r="S341" s="289">
        <v>3.95</v>
      </c>
      <c r="T341" s="303">
        <v>42208</v>
      </c>
      <c r="U341" s="302"/>
      <c r="V341" s="303"/>
      <c r="W341" s="302"/>
      <c r="X341" s="303"/>
      <c r="Y341" s="302">
        <v>13.59</v>
      </c>
      <c r="Z341" s="303">
        <v>42208</v>
      </c>
      <c r="AA341">
        <v>14.4</v>
      </c>
      <c r="AB341" s="303"/>
      <c r="AC341" s="302"/>
      <c r="AD341" s="303"/>
      <c r="AE341" s="302"/>
      <c r="AF341" s="303"/>
      <c r="AG341">
        <v>52699.811921296292</v>
      </c>
      <c r="AH341" s="521">
        <f>(AK341*10000)/AM341</f>
        <v>52699.811921296292</v>
      </c>
      <c r="AI341" s="302"/>
      <c r="AJ341" s="303"/>
      <c r="AK341">
        <v>25.29590972222222</v>
      </c>
      <c r="AL341" s="521"/>
      <c r="AM341">
        <v>4.8</v>
      </c>
      <c r="AN341" s="303">
        <v>42244</v>
      </c>
      <c r="AO341">
        <v>135</v>
      </c>
      <c r="AP341" s="303">
        <v>42170</v>
      </c>
      <c r="AQ341" s="302"/>
      <c r="AR341" s="303"/>
      <c r="AS341" s="302"/>
      <c r="AT341" s="303"/>
      <c r="AU341">
        <v>112</v>
      </c>
      <c r="AV341" s="303"/>
      <c r="AW341" s="302"/>
      <c r="AX341" s="302"/>
      <c r="AY341" s="302"/>
      <c r="AZ341" s="303"/>
      <c r="BA341" s="302"/>
      <c r="BB341" s="302"/>
      <c r="BC341" s="302"/>
      <c r="BD341" s="302"/>
      <c r="BE341" s="302"/>
      <c r="BF341" s="302"/>
      <c r="BG341" s="302"/>
      <c r="BH341" s="302"/>
      <c r="BI341" s="302"/>
      <c r="BJ341" s="302"/>
      <c r="BM341">
        <v>-3.1</v>
      </c>
      <c r="BS341">
        <v>59.6</v>
      </c>
      <c r="BY341">
        <v>47.9</v>
      </c>
      <c r="CA341">
        <v>19.5</v>
      </c>
      <c r="CC341">
        <v>12.6</v>
      </c>
      <c r="CI341">
        <v>5.9</v>
      </c>
      <c r="CO341" t="s">
        <v>11679</v>
      </c>
      <c r="CR341">
        <v>2</v>
      </c>
      <c r="CT341" s="304" t="s">
        <v>11678</v>
      </c>
    </row>
    <row r="342" spans="1:98" s="304" customFormat="1">
      <c r="A342" s="304" t="s">
        <v>8506</v>
      </c>
      <c r="B342" s="463">
        <v>19</v>
      </c>
      <c r="C342" s="296" t="s">
        <v>7628</v>
      </c>
      <c r="D342" s="296" t="s">
        <v>7465</v>
      </c>
      <c r="E342" s="296" t="s">
        <v>7628</v>
      </c>
      <c r="F342" s="296"/>
      <c r="G342" s="296" t="s">
        <v>8506</v>
      </c>
      <c r="H342" s="297" t="s">
        <v>8697</v>
      </c>
      <c r="I342" s="297">
        <v>1</v>
      </c>
      <c r="J342" s="297">
        <v>1346</v>
      </c>
      <c r="K342" s="299"/>
      <c r="L342" s="299"/>
      <c r="M342" s="299">
        <v>54</v>
      </c>
      <c r="N342" s="299">
        <v>6</v>
      </c>
      <c r="O342" s="300">
        <v>28</v>
      </c>
      <c r="P342" s="301">
        <v>42090</v>
      </c>
      <c r="Q342" s="302"/>
      <c r="R342" s="303"/>
      <c r="S342" s="289">
        <v>3.3</v>
      </c>
      <c r="T342" s="303">
        <v>42208</v>
      </c>
      <c r="U342" s="302"/>
      <c r="V342" s="303"/>
      <c r="W342" s="302"/>
      <c r="X342" s="303"/>
      <c r="Y342" s="302">
        <v>11.3</v>
      </c>
      <c r="Z342" s="303">
        <v>42208</v>
      </c>
      <c r="AA342">
        <v>14.4</v>
      </c>
      <c r="AB342" s="303"/>
      <c r="AC342" s="302"/>
      <c r="AD342" s="303"/>
      <c r="AE342" s="302"/>
      <c r="AF342" s="303"/>
      <c r="AG342">
        <v>42670.833333333321</v>
      </c>
      <c r="AH342" s="521">
        <f>(AK342*10000)/AM342</f>
        <v>42670.833333333321</v>
      </c>
      <c r="AI342" s="302"/>
      <c r="AJ342" s="303"/>
      <c r="AK342">
        <v>20.90870833333333</v>
      </c>
      <c r="AL342" s="521"/>
      <c r="AM342">
        <v>4.9000000000000004</v>
      </c>
      <c r="AN342" s="303">
        <v>42244</v>
      </c>
      <c r="AO342">
        <v>165</v>
      </c>
      <c r="AP342" s="303">
        <v>42170</v>
      </c>
      <c r="AQ342" s="302"/>
      <c r="AR342" s="303"/>
      <c r="AS342" s="302"/>
      <c r="AT342" s="303"/>
      <c r="AU342">
        <v>111</v>
      </c>
      <c r="AV342" s="303"/>
      <c r="AW342" s="302"/>
      <c r="AX342" s="302"/>
      <c r="AY342" s="302"/>
      <c r="AZ342" s="303"/>
      <c r="BA342" s="302"/>
      <c r="BB342" s="302"/>
      <c r="BC342" s="302"/>
      <c r="BD342" s="302"/>
      <c r="BE342" s="302"/>
      <c r="BF342" s="302"/>
      <c r="BG342" s="302"/>
      <c r="BH342" s="302"/>
      <c r="BI342" s="302"/>
      <c r="BJ342" s="302"/>
      <c r="BM342">
        <v>37.9</v>
      </c>
      <c r="BS342">
        <v>15.8</v>
      </c>
      <c r="BY342">
        <v>48.2</v>
      </c>
      <c r="CA342">
        <v>19.899999999999999</v>
      </c>
      <c r="CC342">
        <v>62.7</v>
      </c>
      <c r="CI342">
        <v>6.9</v>
      </c>
      <c r="CO342" t="s">
        <v>8698</v>
      </c>
      <c r="CR342">
        <v>3</v>
      </c>
      <c r="CT342" s="304" t="s">
        <v>11678</v>
      </c>
    </row>
    <row r="343" spans="1:98" s="304" customFormat="1">
      <c r="A343" s="304" t="s">
        <v>8506</v>
      </c>
      <c r="B343" s="463">
        <v>30</v>
      </c>
      <c r="C343" s="296" t="s">
        <v>7642</v>
      </c>
      <c r="D343" s="296" t="s">
        <v>7477</v>
      </c>
      <c r="E343" s="296" t="s">
        <v>7642</v>
      </c>
      <c r="F343" s="296"/>
      <c r="G343" s="296" t="s">
        <v>8506</v>
      </c>
      <c r="H343" s="297" t="s">
        <v>8696</v>
      </c>
      <c r="I343" s="297">
        <v>2</v>
      </c>
      <c r="J343" s="297">
        <v>246</v>
      </c>
      <c r="K343" s="299"/>
      <c r="L343" s="299"/>
      <c r="M343" s="299">
        <v>54</v>
      </c>
      <c r="N343" s="299">
        <v>7</v>
      </c>
      <c r="O343" s="300">
        <v>32</v>
      </c>
      <c r="P343" s="301">
        <v>42090</v>
      </c>
      <c r="Q343" s="302"/>
      <c r="R343" s="303"/>
      <c r="S343" s="289">
        <v>4.7</v>
      </c>
      <c r="T343" s="303">
        <v>42208</v>
      </c>
      <c r="U343" s="302"/>
      <c r="V343" s="303"/>
      <c r="W343" s="302"/>
      <c r="X343" s="303"/>
      <c r="Y343" s="302">
        <v>15.1</v>
      </c>
      <c r="Z343" s="303">
        <v>42208</v>
      </c>
      <c r="AA343">
        <v>14.4</v>
      </c>
      <c r="AB343" s="303"/>
      <c r="AC343" s="302"/>
      <c r="AD343" s="303"/>
      <c r="AE343" s="302"/>
      <c r="AF343" s="303"/>
      <c r="AG343">
        <v>56609.381551362676</v>
      </c>
      <c r="AH343" s="521">
        <f>(AK343*10000)/AM343</f>
        <v>56609.381551362676</v>
      </c>
      <c r="AI343" s="302"/>
      <c r="AJ343" s="303"/>
      <c r="AK343">
        <v>30.002972222222219</v>
      </c>
      <c r="AL343" s="521"/>
      <c r="AM343">
        <v>5.3</v>
      </c>
      <c r="AN343" s="303">
        <v>42244</v>
      </c>
      <c r="AO343">
        <v>150</v>
      </c>
      <c r="AP343" s="303">
        <v>42170</v>
      </c>
      <c r="AQ343" s="302"/>
      <c r="AR343" s="303"/>
      <c r="AS343" s="302"/>
      <c r="AT343" s="303"/>
      <c r="AU343">
        <v>108</v>
      </c>
      <c r="AV343" s="303"/>
      <c r="AW343" s="302"/>
      <c r="AX343" s="302"/>
      <c r="AY343" s="302"/>
      <c r="AZ343" s="303"/>
      <c r="BA343" s="302"/>
      <c r="BB343" s="302"/>
      <c r="BC343" s="302"/>
      <c r="BD343" s="302"/>
      <c r="BE343" s="302"/>
      <c r="BF343" s="302"/>
      <c r="BG343" s="302"/>
      <c r="BH343" s="302"/>
      <c r="BI343" s="302"/>
      <c r="BJ343" s="302"/>
      <c r="BM343">
        <v>4.8</v>
      </c>
      <c r="BS343">
        <v>47.3</v>
      </c>
      <c r="BY343">
        <v>44.9</v>
      </c>
      <c r="CA343">
        <v>22.1</v>
      </c>
      <c r="CC343">
        <v>68.900000000000006</v>
      </c>
      <c r="CI343">
        <v>6.2</v>
      </c>
      <c r="CO343" t="s">
        <v>8698</v>
      </c>
      <c r="CR343">
        <v>2</v>
      </c>
      <c r="CT343" s="304" t="s">
        <v>11678</v>
      </c>
    </row>
    <row r="344" spans="1:98" s="304" customFormat="1">
      <c r="A344" s="304" t="s">
        <v>8506</v>
      </c>
      <c r="B344" s="463">
        <v>50</v>
      </c>
      <c r="C344" s="296" t="s">
        <v>7668</v>
      </c>
      <c r="D344" s="296" t="s">
        <v>7500</v>
      </c>
      <c r="E344" s="296" t="s">
        <v>7668</v>
      </c>
      <c r="F344" s="296"/>
      <c r="G344" s="296" t="s">
        <v>8506</v>
      </c>
      <c r="H344" s="297" t="s">
        <v>8696</v>
      </c>
      <c r="I344" s="297">
        <v>2</v>
      </c>
      <c r="J344" s="297">
        <v>2226</v>
      </c>
      <c r="K344" s="299"/>
      <c r="L344" s="299"/>
      <c r="M344" s="299">
        <v>54</v>
      </c>
      <c r="N344" s="299">
        <v>10</v>
      </c>
      <c r="O344" s="300">
        <v>31</v>
      </c>
      <c r="P344" s="301">
        <v>42090</v>
      </c>
      <c r="Q344" s="302"/>
      <c r="R344" s="303"/>
      <c r="S344" s="289">
        <v>6.3</v>
      </c>
      <c r="T344" s="303">
        <v>42208</v>
      </c>
      <c r="U344" s="302"/>
      <c r="V344" s="303"/>
      <c r="W344" s="302"/>
      <c r="X344" s="303"/>
      <c r="Y344" s="302">
        <v>22.64</v>
      </c>
      <c r="Z344" s="303">
        <v>42208</v>
      </c>
      <c r="AA344">
        <v>14.4</v>
      </c>
      <c r="AB344" s="303"/>
      <c r="AC344" s="302"/>
      <c r="AD344" s="303"/>
      <c r="AE344" s="302"/>
      <c r="AF344" s="303"/>
      <c r="AG344">
        <v>77174.999999999985</v>
      </c>
      <c r="AH344" s="521">
        <f>(AK344*10000)/AM344</f>
        <v>77174.999999999985</v>
      </c>
      <c r="AI344" s="302"/>
      <c r="AJ344" s="303"/>
      <c r="AK344">
        <v>40.130999999999993</v>
      </c>
      <c r="AL344" s="521"/>
      <c r="AM344">
        <v>5.2</v>
      </c>
      <c r="AN344" s="303">
        <v>42244</v>
      </c>
      <c r="AO344">
        <v>125</v>
      </c>
      <c r="AP344" s="303">
        <v>42170</v>
      </c>
      <c r="AQ344" s="302"/>
      <c r="AR344" s="303"/>
      <c r="AS344" s="302"/>
      <c r="AT344" s="303"/>
      <c r="AU344">
        <v>110</v>
      </c>
      <c r="AV344" s="303"/>
      <c r="AW344" s="302"/>
      <c r="AX344" s="302"/>
      <c r="AY344" s="302"/>
      <c r="AZ344" s="303"/>
      <c r="BA344" s="302"/>
      <c r="BB344" s="302"/>
      <c r="BC344" s="302"/>
      <c r="BD344" s="302"/>
      <c r="BE344" s="302"/>
      <c r="BF344" s="302"/>
      <c r="BG344" s="302"/>
      <c r="BH344" s="302"/>
      <c r="BI344" s="302"/>
      <c r="BJ344" s="302"/>
      <c r="BM344">
        <v>-3.4</v>
      </c>
      <c r="BS344">
        <v>60.5</v>
      </c>
      <c r="BY344">
        <v>50.3</v>
      </c>
      <c r="CA344">
        <v>18.5</v>
      </c>
      <c r="CC344">
        <v>16.7</v>
      </c>
      <c r="CI344">
        <v>6.4</v>
      </c>
      <c r="CO344" t="s">
        <v>8698</v>
      </c>
      <c r="CR344">
        <v>1</v>
      </c>
      <c r="CT344" s="304" t="s">
        <v>11678</v>
      </c>
    </row>
    <row r="345" spans="1:98" s="304" customFormat="1">
      <c r="A345" s="304" t="s">
        <v>8506</v>
      </c>
      <c r="B345" s="463">
        <v>84</v>
      </c>
      <c r="C345" s="296" t="s">
        <v>7702</v>
      </c>
      <c r="D345" s="296" t="s">
        <v>7531</v>
      </c>
      <c r="E345" s="296" t="s">
        <v>7702</v>
      </c>
      <c r="F345" s="296"/>
      <c r="G345" s="296" t="s">
        <v>8506</v>
      </c>
      <c r="H345" s="466" t="s">
        <v>8696</v>
      </c>
      <c r="I345" s="297">
        <v>1</v>
      </c>
      <c r="J345" s="297">
        <v>1226</v>
      </c>
      <c r="K345" s="299"/>
      <c r="L345" s="299"/>
      <c r="M345" s="299">
        <v>54</v>
      </c>
      <c r="N345" s="299">
        <v>4</v>
      </c>
      <c r="O345" s="300">
        <v>31</v>
      </c>
      <c r="P345" s="301">
        <v>42090</v>
      </c>
      <c r="Q345" s="302"/>
      <c r="R345" s="303"/>
      <c r="S345" s="289">
        <v>5.6</v>
      </c>
      <c r="T345" s="303">
        <v>42208</v>
      </c>
      <c r="U345" s="302"/>
      <c r="V345" s="303"/>
      <c r="W345" s="302"/>
      <c r="X345" s="303"/>
      <c r="Y345" s="302">
        <v>18.98</v>
      </c>
      <c r="Z345" s="303">
        <v>42208</v>
      </c>
      <c r="AA345">
        <v>14.4</v>
      </c>
      <c r="AB345" s="303"/>
      <c r="AC345" s="302"/>
      <c r="AD345" s="303"/>
      <c r="AE345" s="302"/>
      <c r="AF345" s="303"/>
      <c r="AG345">
        <v>76141.134751773046</v>
      </c>
      <c r="AH345" s="521">
        <f>(AK345*10000)/AM345</f>
        <v>76141.134751773046</v>
      </c>
      <c r="AI345" s="302"/>
      <c r="AJ345" s="303"/>
      <c r="AK345">
        <v>35.786333333333332</v>
      </c>
      <c r="AL345" s="521"/>
      <c r="AM345">
        <v>4.7</v>
      </c>
      <c r="AN345" s="303">
        <v>42244</v>
      </c>
      <c r="AO345">
        <v>140</v>
      </c>
      <c r="AP345" s="303">
        <v>42170</v>
      </c>
      <c r="AQ345" s="302"/>
      <c r="AR345" s="303"/>
      <c r="AS345" s="302"/>
      <c r="AT345" s="303"/>
      <c r="AU345">
        <v>111</v>
      </c>
      <c r="AV345" s="303"/>
      <c r="AW345" s="302"/>
      <c r="AX345" s="302"/>
      <c r="AY345" s="302"/>
      <c r="AZ345" s="303"/>
      <c r="BA345" s="302"/>
      <c r="BB345" s="302"/>
      <c r="BC345" s="302"/>
      <c r="BD345" s="302"/>
      <c r="BE345" s="302"/>
      <c r="BF345" s="302"/>
      <c r="BG345" s="302"/>
      <c r="BH345" s="302"/>
      <c r="BI345" s="302"/>
      <c r="BJ345" s="302"/>
      <c r="BM345">
        <v>-4.0999999999999996</v>
      </c>
      <c r="BS345">
        <v>61.7</v>
      </c>
      <c r="BY345">
        <v>47.3</v>
      </c>
      <c r="CA345">
        <v>18.399999999999999</v>
      </c>
      <c r="CC345">
        <v>18</v>
      </c>
      <c r="CI345">
        <v>6.1</v>
      </c>
      <c r="CO345" t="s">
        <v>11679</v>
      </c>
      <c r="CR345">
        <v>3</v>
      </c>
      <c r="CT345" s="304" t="s">
        <v>11678</v>
      </c>
    </row>
    <row r="346" spans="1:98" s="304" customFormat="1">
      <c r="A346" s="304" t="s">
        <v>8506</v>
      </c>
      <c r="B346" s="463">
        <v>117</v>
      </c>
      <c r="C346" s="296" t="s">
        <v>7736</v>
      </c>
      <c r="D346" s="296" t="s">
        <v>7820</v>
      </c>
      <c r="E346" s="296" t="s">
        <v>7736</v>
      </c>
      <c r="F346" s="296"/>
      <c r="G346" s="296" t="s">
        <v>8506</v>
      </c>
      <c r="H346" s="297" t="s">
        <v>8697</v>
      </c>
      <c r="I346" s="297">
        <v>1</v>
      </c>
      <c r="J346" s="297">
        <v>146</v>
      </c>
      <c r="K346" s="299"/>
      <c r="L346" s="299"/>
      <c r="M346" s="299">
        <v>54</v>
      </c>
      <c r="N346" s="299">
        <v>1</v>
      </c>
      <c r="O346" s="300">
        <v>60</v>
      </c>
      <c r="P346" s="301">
        <v>42090</v>
      </c>
      <c r="Q346" s="302"/>
      <c r="R346" s="303"/>
      <c r="S346" s="289">
        <v>1.5</v>
      </c>
      <c r="T346" s="303">
        <v>42208</v>
      </c>
      <c r="U346" s="302"/>
      <c r="V346" s="303"/>
      <c r="W346" s="302"/>
      <c r="X346" s="303"/>
      <c r="Y346" s="302">
        <v>5.72</v>
      </c>
      <c r="Z346" s="303">
        <v>42208</v>
      </c>
      <c r="AA346">
        <v>14.4</v>
      </c>
      <c r="AB346" s="303"/>
      <c r="AC346" s="302"/>
      <c r="AD346" s="303"/>
      <c r="AE346" s="302"/>
      <c r="AF346" s="303"/>
      <c r="AG346">
        <v>20882.699275362316</v>
      </c>
      <c r="AH346" s="521">
        <f>(AK346*10000)/AM346</f>
        <v>20882.699275362316</v>
      </c>
      <c r="AI346" s="302"/>
      <c r="AJ346" s="303"/>
      <c r="AK346">
        <v>9.6060416666666644</v>
      </c>
      <c r="AL346" s="521"/>
      <c r="AM346">
        <v>4.5999999999999996</v>
      </c>
      <c r="AN346" s="303">
        <v>42244</v>
      </c>
      <c r="AO346">
        <v>150</v>
      </c>
      <c r="AP346" s="303">
        <v>42170</v>
      </c>
      <c r="AQ346" s="302"/>
      <c r="AR346" s="303"/>
      <c r="AS346" s="302"/>
      <c r="AT346" s="303"/>
      <c r="AU346">
        <v>115</v>
      </c>
      <c r="AV346" s="303"/>
      <c r="AW346" s="302"/>
      <c r="AX346" s="302"/>
      <c r="AY346" s="302"/>
      <c r="AZ346" s="303"/>
      <c r="BA346" s="302"/>
      <c r="BB346" s="302"/>
      <c r="BC346" s="302"/>
      <c r="BD346" s="302"/>
      <c r="BE346" s="302"/>
      <c r="BF346" s="302"/>
      <c r="BG346" s="302"/>
      <c r="BH346" s="302"/>
      <c r="BI346" s="302"/>
      <c r="BJ346" s="302"/>
      <c r="BM346">
        <v>32.9</v>
      </c>
      <c r="BS346">
        <v>22.2</v>
      </c>
      <c r="BY346">
        <v>53.1</v>
      </c>
      <c r="CA346">
        <v>18.2</v>
      </c>
      <c r="CC346">
        <v>52.7</v>
      </c>
      <c r="CI346">
        <v>5.9</v>
      </c>
      <c r="CO346" t="s">
        <v>8698</v>
      </c>
      <c r="CR346">
        <v>2</v>
      </c>
      <c r="CT346" s="304" t="s">
        <v>11678</v>
      </c>
    </row>
    <row r="347" spans="1:98" s="304" customFormat="1">
      <c r="A347" s="304" t="s">
        <v>8506</v>
      </c>
      <c r="B347" s="463">
        <v>159</v>
      </c>
      <c r="C347" s="296" t="s">
        <v>7787</v>
      </c>
      <c r="D347" s="296" t="s">
        <v>7588</v>
      </c>
      <c r="E347" s="296" t="s">
        <v>7787</v>
      </c>
      <c r="F347" s="296"/>
      <c r="G347" s="296" t="s">
        <v>8506</v>
      </c>
      <c r="H347" s="297" t="s">
        <v>8696</v>
      </c>
      <c r="I347" s="297">
        <v>2</v>
      </c>
      <c r="J347" s="297">
        <v>2166</v>
      </c>
      <c r="K347" s="299"/>
      <c r="L347" s="299"/>
      <c r="M347" s="299">
        <v>54</v>
      </c>
      <c r="N347" s="299">
        <v>9</v>
      </c>
      <c r="O347" s="300">
        <v>8</v>
      </c>
      <c r="P347" s="301">
        <v>42090</v>
      </c>
      <c r="Q347" s="302"/>
      <c r="R347" s="303"/>
      <c r="S347" s="289"/>
      <c r="T347" s="303"/>
      <c r="U347" s="302"/>
      <c r="V347" s="303"/>
      <c r="W347" s="302"/>
      <c r="X347" s="303"/>
      <c r="Y347" s="302"/>
      <c r="Z347" s="303"/>
      <c r="AA347"/>
      <c r="AB347" s="303"/>
      <c r="AC347" s="302"/>
      <c r="AD347" s="303"/>
      <c r="AE347" s="302"/>
      <c r="AF347" s="303"/>
      <c r="AG347" t="e">
        <v>#DIV/0!</v>
      </c>
      <c r="AH347" s="521" t="e">
        <f>(AK347*10000)/AM347</f>
        <v>#DIV/0!</v>
      </c>
      <c r="AI347" s="302"/>
      <c r="AJ347" s="303"/>
      <c r="AK347" t="e">
        <v>#DIV/0!</v>
      </c>
      <c r="AL347" s="521"/>
      <c r="AM347"/>
      <c r="AN347" s="303"/>
      <c r="AO347"/>
      <c r="AP347" s="303"/>
      <c r="AQ347" s="302"/>
      <c r="AR347" s="303"/>
      <c r="AS347" s="302"/>
      <c r="AT347" s="303"/>
      <c r="AU347"/>
      <c r="AV347" s="303"/>
      <c r="AW347" s="302"/>
      <c r="AX347" s="302"/>
      <c r="AY347" s="302"/>
      <c r="AZ347" s="303"/>
      <c r="BA347" s="302"/>
      <c r="BB347" s="302"/>
      <c r="BC347" s="302"/>
      <c r="BD347" s="302"/>
      <c r="BE347" s="302"/>
      <c r="BF347" s="302"/>
      <c r="BG347" s="302"/>
      <c r="BH347" s="302"/>
      <c r="BI347" s="302"/>
      <c r="BJ347" s="302"/>
      <c r="BM347"/>
      <c r="BS347"/>
      <c r="BY347"/>
      <c r="CA347"/>
      <c r="CC347"/>
      <c r="CI347"/>
      <c r="CO347" t="s">
        <v>8701</v>
      </c>
      <c r="CR347"/>
      <c r="CT347" s="304" t="s">
        <v>11677</v>
      </c>
    </row>
    <row r="348" spans="1:98" s="304" customFormat="1">
      <c r="A348" s="304" t="s">
        <v>8506</v>
      </c>
      <c r="B348" s="463">
        <v>3</v>
      </c>
      <c r="C348" s="296" t="s">
        <v>7610</v>
      </c>
      <c r="D348" s="296" t="s">
        <v>7452</v>
      </c>
      <c r="E348" s="296" t="s">
        <v>7610</v>
      </c>
      <c r="F348" s="296"/>
      <c r="G348" s="296" t="s">
        <v>8506</v>
      </c>
      <c r="H348" s="297" t="s">
        <v>8696</v>
      </c>
      <c r="I348" s="297">
        <v>2</v>
      </c>
      <c r="J348" s="297">
        <v>2107</v>
      </c>
      <c r="K348" s="299"/>
      <c r="L348" s="299"/>
      <c r="M348" s="299">
        <v>55</v>
      </c>
      <c r="N348" s="299">
        <v>8</v>
      </c>
      <c r="O348" s="300">
        <v>78</v>
      </c>
      <c r="P348" s="301">
        <v>42090</v>
      </c>
      <c r="Q348" s="302"/>
      <c r="R348" s="303"/>
      <c r="S348" s="289">
        <v>4.6500000000000004</v>
      </c>
      <c r="T348" s="303">
        <v>42208</v>
      </c>
      <c r="U348" s="302"/>
      <c r="V348" s="303"/>
      <c r="W348" s="302"/>
      <c r="X348" s="303"/>
      <c r="Y348" s="302">
        <v>15.71</v>
      </c>
      <c r="Z348" s="303">
        <v>42208</v>
      </c>
      <c r="AA348">
        <v>14.4</v>
      </c>
      <c r="AB348" s="303"/>
      <c r="AC348" s="302"/>
      <c r="AD348" s="303"/>
      <c r="AE348" s="302"/>
      <c r="AF348" s="303"/>
      <c r="AG348">
        <v>49578.472222222219</v>
      </c>
      <c r="AH348" s="521">
        <f>(AK348*10000)/AM348</f>
        <v>49578.472222222219</v>
      </c>
      <c r="AI348" s="302"/>
      <c r="AJ348" s="303"/>
      <c r="AK348">
        <v>29.747083333333329</v>
      </c>
      <c r="AL348" s="521"/>
      <c r="AM348">
        <v>6</v>
      </c>
      <c r="AN348" s="303">
        <v>42244</v>
      </c>
      <c r="AO348">
        <v>130</v>
      </c>
      <c r="AP348" s="303">
        <v>42170</v>
      </c>
      <c r="AQ348" s="302"/>
      <c r="AR348" s="303"/>
      <c r="AS348" s="302"/>
      <c r="AT348" s="303"/>
      <c r="AU348">
        <v>110</v>
      </c>
      <c r="AV348" s="303"/>
      <c r="AW348" s="302"/>
      <c r="AX348" s="302"/>
      <c r="AY348" s="302"/>
      <c r="AZ348" s="303"/>
      <c r="BA348" s="302"/>
      <c r="BB348" s="302"/>
      <c r="BC348" s="302"/>
      <c r="BD348" s="302"/>
      <c r="BE348" s="302"/>
      <c r="BF348" s="302"/>
      <c r="BG348" s="302"/>
      <c r="BH348" s="302"/>
      <c r="BI348" s="302"/>
      <c r="BJ348" s="302"/>
      <c r="BM348">
        <v>47.3</v>
      </c>
      <c r="BS348">
        <v>4.5</v>
      </c>
      <c r="BY348">
        <v>47.1</v>
      </c>
      <c r="CA348">
        <v>22.1</v>
      </c>
      <c r="CC348">
        <v>84.9</v>
      </c>
      <c r="CI348">
        <v>6</v>
      </c>
      <c r="CO348" t="s">
        <v>8698</v>
      </c>
      <c r="CR348">
        <v>3</v>
      </c>
      <c r="CT348" s="304" t="s">
        <v>11678</v>
      </c>
    </row>
    <row r="349" spans="1:98" s="304" customFormat="1">
      <c r="A349" s="304" t="s">
        <v>8506</v>
      </c>
      <c r="B349" s="463">
        <v>47</v>
      </c>
      <c r="C349" s="296" t="s">
        <v>7664</v>
      </c>
      <c r="D349" s="296" t="s">
        <v>7497</v>
      </c>
      <c r="E349" s="296" t="s">
        <v>7664</v>
      </c>
      <c r="F349" s="296"/>
      <c r="G349" s="296" t="s">
        <v>8506</v>
      </c>
      <c r="H349" s="466" t="s">
        <v>8696</v>
      </c>
      <c r="I349" s="297">
        <v>1</v>
      </c>
      <c r="J349" s="297">
        <v>1167</v>
      </c>
      <c r="K349" s="299"/>
      <c r="L349" s="299"/>
      <c r="M349" s="299">
        <v>55</v>
      </c>
      <c r="N349" s="299">
        <v>3</v>
      </c>
      <c r="O349" s="300">
        <v>16</v>
      </c>
      <c r="P349" s="301">
        <v>42090</v>
      </c>
      <c r="Q349" s="302"/>
      <c r="R349" s="303"/>
      <c r="S349" s="289">
        <v>5.45</v>
      </c>
      <c r="T349" s="303">
        <v>42208</v>
      </c>
      <c r="U349" s="302"/>
      <c r="V349" s="303"/>
      <c r="W349" s="302"/>
      <c r="X349" s="303"/>
      <c r="Y349" s="302">
        <v>20.36</v>
      </c>
      <c r="Z349" s="303">
        <v>42208</v>
      </c>
      <c r="AA349">
        <v>14.4</v>
      </c>
      <c r="AB349" s="303"/>
      <c r="AC349" s="302"/>
      <c r="AD349" s="303"/>
      <c r="AE349" s="302"/>
      <c r="AF349" s="303"/>
      <c r="AG349">
        <v>70849.999999999985</v>
      </c>
      <c r="AH349" s="521">
        <f>(AK349*10000)/AM349</f>
        <v>70849.999999999985</v>
      </c>
      <c r="AI349" s="302"/>
      <c r="AJ349" s="303"/>
      <c r="AK349">
        <v>34.716499999999996</v>
      </c>
      <c r="AL349" s="521"/>
      <c r="AM349">
        <v>4.9000000000000004</v>
      </c>
      <c r="AN349" s="303">
        <v>42244</v>
      </c>
      <c r="AO349">
        <v>130</v>
      </c>
      <c r="AP349" s="303">
        <v>42170</v>
      </c>
      <c r="AQ349" s="302"/>
      <c r="AR349" s="303"/>
      <c r="AS349" s="302"/>
      <c r="AT349" s="303"/>
      <c r="AU349">
        <v>105</v>
      </c>
      <c r="AV349" s="303"/>
      <c r="AW349" s="302"/>
      <c r="AX349" s="302"/>
      <c r="AY349" s="302"/>
      <c r="AZ349" s="303"/>
      <c r="BA349" s="302"/>
      <c r="BB349" s="302"/>
      <c r="BC349" s="302"/>
      <c r="BD349" s="302"/>
      <c r="BE349" s="302"/>
      <c r="BF349" s="302"/>
      <c r="BG349" s="302"/>
      <c r="BH349" s="302"/>
      <c r="BI349" s="302"/>
      <c r="BJ349" s="302"/>
      <c r="BM349">
        <v>-1.6</v>
      </c>
      <c r="BS349">
        <v>59</v>
      </c>
      <c r="BY349">
        <v>52.3</v>
      </c>
      <c r="CA349">
        <v>17.399999999999999</v>
      </c>
      <c r="CC349">
        <v>24</v>
      </c>
      <c r="CI349">
        <v>6.4</v>
      </c>
      <c r="CO349" t="s">
        <v>11679</v>
      </c>
      <c r="CR349">
        <v>2</v>
      </c>
      <c r="CT349" s="304" t="s">
        <v>11678</v>
      </c>
    </row>
    <row r="350" spans="1:98" s="304" customFormat="1">
      <c r="A350" s="304" t="s">
        <v>8506</v>
      </c>
      <c r="B350" s="463">
        <v>55</v>
      </c>
      <c r="C350" s="296" t="s">
        <v>7673</v>
      </c>
      <c r="D350" s="296" t="s">
        <v>7505</v>
      </c>
      <c r="E350" s="296" t="s">
        <v>7673</v>
      </c>
      <c r="F350" s="296"/>
      <c r="G350" s="296" t="s">
        <v>8506</v>
      </c>
      <c r="H350" s="297" t="s">
        <v>8697</v>
      </c>
      <c r="I350" s="297">
        <v>1</v>
      </c>
      <c r="J350" s="308">
        <v>1107</v>
      </c>
      <c r="K350" s="299"/>
      <c r="L350" s="299"/>
      <c r="M350" s="299">
        <v>55</v>
      </c>
      <c r="N350" s="299">
        <v>2</v>
      </c>
      <c r="O350" s="300">
        <v>28</v>
      </c>
      <c r="P350" s="301">
        <v>42090</v>
      </c>
      <c r="Q350" s="306"/>
      <c r="R350" s="303"/>
      <c r="S350" s="289">
        <v>4.6500000000000004</v>
      </c>
      <c r="T350" s="303">
        <v>42208</v>
      </c>
      <c r="U350" s="307"/>
      <c r="V350" s="303"/>
      <c r="W350" s="306"/>
      <c r="X350" s="303"/>
      <c r="Y350" s="306">
        <v>18.190000000000001</v>
      </c>
      <c r="Z350" s="303">
        <v>42208</v>
      </c>
      <c r="AA350">
        <v>14.4</v>
      </c>
      <c r="AB350" s="303"/>
      <c r="AC350" s="306"/>
      <c r="AD350" s="303"/>
      <c r="AE350" s="302"/>
      <c r="AF350" s="303"/>
      <c r="AG350">
        <v>58451.715686274525</v>
      </c>
      <c r="AH350" s="521">
        <f>(AK350*10000)/AM350</f>
        <v>58451.715686274525</v>
      </c>
      <c r="AI350" s="302"/>
      <c r="AJ350" s="303"/>
      <c r="AK350">
        <v>29.810375000000004</v>
      </c>
      <c r="AL350" s="521"/>
      <c r="AM350">
        <v>5.0999999999999996</v>
      </c>
      <c r="AN350" s="303">
        <v>42244</v>
      </c>
      <c r="AO350">
        <v>125</v>
      </c>
      <c r="AP350" s="303">
        <v>42170</v>
      </c>
      <c r="AQ350" s="306"/>
      <c r="AR350" s="303"/>
      <c r="AS350" s="306"/>
      <c r="AT350" s="303"/>
      <c r="AU350">
        <v>110</v>
      </c>
      <c r="AV350" s="303"/>
      <c r="AW350" s="302"/>
      <c r="AX350" s="302"/>
      <c r="AY350" s="302"/>
      <c r="AZ350" s="303"/>
      <c r="BA350" s="302"/>
      <c r="BB350" s="302"/>
      <c r="BC350" s="302"/>
      <c r="BD350" s="302"/>
      <c r="BE350" s="302"/>
      <c r="BF350" s="302"/>
      <c r="BG350" s="302"/>
      <c r="BH350" s="302"/>
      <c r="BI350" s="302"/>
      <c r="BJ350" s="302"/>
      <c r="BM350">
        <v>-7.7</v>
      </c>
      <c r="BS350">
        <v>65.3</v>
      </c>
      <c r="BY350">
        <v>54.4</v>
      </c>
      <c r="CA350">
        <v>14.5</v>
      </c>
      <c r="CC350">
        <v>16.5</v>
      </c>
      <c r="CI350">
        <v>5.8</v>
      </c>
      <c r="CO350" t="s">
        <v>8698</v>
      </c>
      <c r="CR350">
        <v>1</v>
      </c>
      <c r="CT350" s="304" t="s">
        <v>11678</v>
      </c>
    </row>
    <row r="351" spans="1:98" s="304" customFormat="1">
      <c r="A351" s="304" t="s">
        <v>8506</v>
      </c>
      <c r="B351" s="463">
        <v>59</v>
      </c>
      <c r="C351" s="296" t="s">
        <v>7677</v>
      </c>
      <c r="D351" s="296" t="s">
        <v>258</v>
      </c>
      <c r="E351" s="296" t="s">
        <v>7677</v>
      </c>
      <c r="F351" s="296"/>
      <c r="G351" s="296" t="s">
        <v>8506</v>
      </c>
      <c r="H351" s="466" t="s">
        <v>8696</v>
      </c>
      <c r="I351" s="297">
        <v>1</v>
      </c>
      <c r="J351" s="297">
        <v>1227</v>
      </c>
      <c r="K351" s="299"/>
      <c r="L351" s="299"/>
      <c r="M351" s="299">
        <v>55</v>
      </c>
      <c r="N351" s="299">
        <v>4</v>
      </c>
      <c r="O351" s="300">
        <v>34</v>
      </c>
      <c r="P351" s="301">
        <v>42090</v>
      </c>
      <c r="Q351" s="302"/>
      <c r="R351" s="303"/>
      <c r="S351" s="289">
        <v>5.2</v>
      </c>
      <c r="T351" s="303">
        <v>42208</v>
      </c>
      <c r="U351" s="302"/>
      <c r="V351" s="303"/>
      <c r="W351" s="302"/>
      <c r="X351" s="303"/>
      <c r="Y351" s="302">
        <v>18.18</v>
      </c>
      <c r="Z351" s="303">
        <v>42208</v>
      </c>
      <c r="AA351">
        <v>14.4</v>
      </c>
      <c r="AB351" s="303"/>
      <c r="AC351" s="302"/>
      <c r="AD351" s="303"/>
      <c r="AE351" s="302"/>
      <c r="AF351" s="303"/>
      <c r="AG351">
        <v>61537.345679012345</v>
      </c>
      <c r="AH351" s="521">
        <f>(AK351*10000)/AM351</f>
        <v>61537.345679012345</v>
      </c>
      <c r="AI351" s="302"/>
      <c r="AJ351" s="303"/>
      <c r="AK351">
        <v>33.230166666666669</v>
      </c>
      <c r="AL351" s="521"/>
      <c r="AM351">
        <v>5.4</v>
      </c>
      <c r="AN351" s="303">
        <v>42244</v>
      </c>
      <c r="AO351">
        <v>145</v>
      </c>
      <c r="AP351" s="303">
        <v>42170</v>
      </c>
      <c r="AQ351" s="302"/>
      <c r="AR351" s="303"/>
      <c r="AS351" s="302"/>
      <c r="AT351" s="303"/>
      <c r="AU351">
        <v>106</v>
      </c>
      <c r="AV351" s="303"/>
      <c r="AW351" s="302"/>
      <c r="AX351" s="302"/>
      <c r="AY351" s="302"/>
      <c r="AZ351" s="303"/>
      <c r="BA351" s="302"/>
      <c r="BB351" s="302"/>
      <c r="BC351" s="302"/>
      <c r="BD351" s="302"/>
      <c r="BE351" s="302"/>
      <c r="BF351" s="302"/>
      <c r="BG351" s="302"/>
      <c r="BH351" s="302"/>
      <c r="BI351" s="302"/>
      <c r="BJ351" s="302"/>
      <c r="BM351">
        <v>-2.9</v>
      </c>
      <c r="BS351">
        <v>62.9</v>
      </c>
      <c r="BY351">
        <v>48.8</v>
      </c>
      <c r="CA351">
        <v>20</v>
      </c>
      <c r="CC351">
        <v>19.8</v>
      </c>
      <c r="CI351">
        <v>6.1</v>
      </c>
      <c r="CO351" t="s">
        <v>11679</v>
      </c>
      <c r="CR351">
        <v>2</v>
      </c>
      <c r="CT351" s="304" t="s">
        <v>11678</v>
      </c>
    </row>
    <row r="352" spans="1:98" s="304" customFormat="1">
      <c r="A352" s="304" t="s">
        <v>8506</v>
      </c>
      <c r="B352" s="463">
        <v>91</v>
      </c>
      <c r="C352" s="296" t="s">
        <v>7709</v>
      </c>
      <c r="D352" s="296" t="s">
        <v>7817</v>
      </c>
      <c r="E352" s="296" t="s">
        <v>7709</v>
      </c>
      <c r="F352" s="296"/>
      <c r="G352" s="296" t="s">
        <v>8506</v>
      </c>
      <c r="H352" s="297" t="s">
        <v>8697</v>
      </c>
      <c r="I352" s="297">
        <v>1</v>
      </c>
      <c r="J352" s="297">
        <v>1347</v>
      </c>
      <c r="K352" s="299"/>
      <c r="L352" s="299"/>
      <c r="M352" s="299">
        <v>55</v>
      </c>
      <c r="N352" s="299">
        <v>6</v>
      </c>
      <c r="O352" s="300">
        <v>28</v>
      </c>
      <c r="P352" s="301">
        <v>42090</v>
      </c>
      <c r="Q352" s="302"/>
      <c r="R352" s="303"/>
      <c r="S352" s="289">
        <v>5.0999999999999996</v>
      </c>
      <c r="T352" s="303">
        <v>42208</v>
      </c>
      <c r="U352" s="302"/>
      <c r="V352" s="303"/>
      <c r="W352" s="302"/>
      <c r="X352" s="303"/>
      <c r="Y352" s="302">
        <v>17.34</v>
      </c>
      <c r="Z352" s="303">
        <v>42208</v>
      </c>
      <c r="AA352">
        <v>14.4</v>
      </c>
      <c r="AB352" s="303"/>
      <c r="AC352" s="302"/>
      <c r="AD352" s="303"/>
      <c r="AE352" s="302"/>
      <c r="AF352" s="303"/>
      <c r="AG352">
        <v>75551.162790697665</v>
      </c>
      <c r="AH352" s="521">
        <f>(AK352*10000)/AM352</f>
        <v>75551.162790697665</v>
      </c>
      <c r="AI352" s="302"/>
      <c r="AJ352" s="303"/>
      <c r="AK352">
        <v>32.486999999999995</v>
      </c>
      <c r="AL352" s="521"/>
      <c r="AM352">
        <v>4.3</v>
      </c>
      <c r="AN352" s="303">
        <v>42244</v>
      </c>
      <c r="AO352">
        <v>140</v>
      </c>
      <c r="AP352" s="303">
        <v>42170</v>
      </c>
      <c r="AQ352" s="302"/>
      <c r="AR352" s="303"/>
      <c r="AS352" s="302"/>
      <c r="AT352" s="303"/>
      <c r="AU352">
        <v>107</v>
      </c>
      <c r="AV352" s="303"/>
      <c r="AW352" s="302"/>
      <c r="AX352" s="302"/>
      <c r="AY352" s="302"/>
      <c r="AZ352" s="303"/>
      <c r="BA352" s="302"/>
      <c r="BB352" s="302"/>
      <c r="BC352" s="302"/>
      <c r="BD352" s="302"/>
      <c r="BE352" s="302"/>
      <c r="BF352" s="302"/>
      <c r="BG352" s="302"/>
      <c r="BH352" s="302"/>
      <c r="BI352" s="302"/>
      <c r="BJ352" s="302"/>
      <c r="BM352">
        <v>-7.7</v>
      </c>
      <c r="BS352">
        <v>60.6</v>
      </c>
      <c r="BY352">
        <v>47.6</v>
      </c>
      <c r="CA352">
        <v>18.2</v>
      </c>
      <c r="CC352">
        <v>20.3</v>
      </c>
      <c r="CI352">
        <v>6.4</v>
      </c>
      <c r="CO352" t="s">
        <v>8698</v>
      </c>
      <c r="CR352">
        <v>1</v>
      </c>
      <c r="CT352" s="304" t="s">
        <v>11678</v>
      </c>
    </row>
    <row r="353" spans="1:98" s="304" customFormat="1">
      <c r="A353" s="304" t="s">
        <v>8506</v>
      </c>
      <c r="B353" s="463">
        <v>137</v>
      </c>
      <c r="C353" s="296" t="s">
        <v>7765</v>
      </c>
      <c r="D353" s="296" t="s">
        <v>7839</v>
      </c>
      <c r="E353" s="296" t="s">
        <v>7765</v>
      </c>
      <c r="F353" s="296"/>
      <c r="G353" s="296" t="s">
        <v>8506</v>
      </c>
      <c r="H353" s="297" t="s">
        <v>8697</v>
      </c>
      <c r="I353" s="297">
        <v>1</v>
      </c>
      <c r="J353" s="297">
        <v>147</v>
      </c>
      <c r="K353" s="299"/>
      <c r="L353" s="299"/>
      <c r="M353" s="299">
        <v>55</v>
      </c>
      <c r="N353" s="299">
        <v>1</v>
      </c>
      <c r="O353" s="300">
        <v>28</v>
      </c>
      <c r="P353" s="301">
        <v>42090</v>
      </c>
      <c r="Q353" s="302"/>
      <c r="R353" s="303"/>
      <c r="S353" s="289">
        <v>4.5</v>
      </c>
      <c r="T353" s="303">
        <v>42208</v>
      </c>
      <c r="U353" s="302"/>
      <c r="V353" s="303"/>
      <c r="W353" s="302"/>
      <c r="X353" s="303"/>
      <c r="Y353" s="302">
        <v>17.63</v>
      </c>
      <c r="Z353" s="303">
        <v>42208</v>
      </c>
      <c r="AA353">
        <v>14.4</v>
      </c>
      <c r="AB353" s="303"/>
      <c r="AC353" s="302"/>
      <c r="AD353" s="303"/>
      <c r="AE353" s="302"/>
      <c r="AF353" s="303"/>
      <c r="AG353">
        <v>59654.947916666672</v>
      </c>
      <c r="AH353" s="521">
        <f>(AK353*10000)/AM353</f>
        <v>59654.947916666672</v>
      </c>
      <c r="AI353" s="302"/>
      <c r="AJ353" s="303"/>
      <c r="AK353">
        <v>28.634375000000002</v>
      </c>
      <c r="AL353" s="521"/>
      <c r="AM353">
        <v>4.8</v>
      </c>
      <c r="AN353" s="303">
        <v>42244</v>
      </c>
      <c r="AO353">
        <v>135</v>
      </c>
      <c r="AP353" s="303">
        <v>42170</v>
      </c>
      <c r="AQ353" s="302"/>
      <c r="AR353" s="303"/>
      <c r="AS353" s="302"/>
      <c r="AT353" s="303"/>
      <c r="AU353">
        <v>104</v>
      </c>
      <c r="AV353" s="303"/>
      <c r="AW353" s="302"/>
      <c r="AX353" s="302"/>
      <c r="AY353" s="302"/>
      <c r="AZ353" s="303"/>
      <c r="BA353" s="302"/>
      <c r="BB353" s="302"/>
      <c r="BC353" s="302"/>
      <c r="BD353" s="302"/>
      <c r="BE353" s="302"/>
      <c r="BF353" s="302"/>
      <c r="BG353" s="302"/>
      <c r="BH353" s="302"/>
      <c r="BI353" s="302"/>
      <c r="BJ353" s="302"/>
      <c r="BM353">
        <v>-5.7</v>
      </c>
      <c r="BS353">
        <v>64.7</v>
      </c>
      <c r="BY353">
        <v>54.9</v>
      </c>
      <c r="CA353">
        <v>14.6</v>
      </c>
      <c r="CC353">
        <v>11.3</v>
      </c>
      <c r="CI353">
        <v>6.5</v>
      </c>
      <c r="CO353" t="s">
        <v>8698</v>
      </c>
      <c r="CR353">
        <v>2</v>
      </c>
      <c r="CT353" s="304" t="s">
        <v>11678</v>
      </c>
    </row>
    <row r="354" spans="1:98" s="304" customFormat="1">
      <c r="A354" s="304" t="s">
        <v>8506</v>
      </c>
      <c r="B354" s="463">
        <v>169</v>
      </c>
      <c r="C354" s="296" t="s">
        <v>7797</v>
      </c>
      <c r="D354" s="296" t="s">
        <v>7598</v>
      </c>
      <c r="E354" s="296" t="s">
        <v>7797</v>
      </c>
      <c r="F354" s="296"/>
      <c r="G354" s="296" t="s">
        <v>8506</v>
      </c>
      <c r="H354" s="297" t="s">
        <v>8697</v>
      </c>
      <c r="I354" s="297">
        <v>1</v>
      </c>
      <c r="J354" s="297">
        <v>1287</v>
      </c>
      <c r="K354" s="299"/>
      <c r="L354" s="299"/>
      <c r="M354" s="299">
        <v>55</v>
      </c>
      <c r="N354" s="299">
        <v>5</v>
      </c>
      <c r="O354" s="300">
        <v>62</v>
      </c>
      <c r="P354" s="301">
        <v>42090</v>
      </c>
      <c r="Q354" s="302"/>
      <c r="R354" s="303"/>
      <c r="S354" s="289">
        <v>5.9</v>
      </c>
      <c r="T354" s="303">
        <v>42208</v>
      </c>
      <c r="U354" s="302"/>
      <c r="V354" s="303"/>
      <c r="W354" s="302"/>
      <c r="X354" s="303"/>
      <c r="Y354" s="302">
        <v>22.12</v>
      </c>
      <c r="Z354" s="303">
        <v>42208</v>
      </c>
      <c r="AA354">
        <v>14.4</v>
      </c>
      <c r="AB354" s="303"/>
      <c r="AC354" s="302"/>
      <c r="AD354" s="303"/>
      <c r="AE354" s="302"/>
      <c r="AF354" s="303"/>
      <c r="AG354">
        <v>75165.999999999985</v>
      </c>
      <c r="AH354" s="521">
        <f>(AK354*10000)/AM354</f>
        <v>75165.999999999985</v>
      </c>
      <c r="AI354" s="302"/>
      <c r="AJ354" s="303"/>
      <c r="AK354">
        <v>37.582999999999991</v>
      </c>
      <c r="AL354" s="521"/>
      <c r="AM354">
        <v>5</v>
      </c>
      <c r="AN354" s="303">
        <v>42244</v>
      </c>
      <c r="AO354">
        <v>130</v>
      </c>
      <c r="AP354" s="303">
        <v>42170</v>
      </c>
      <c r="AQ354" s="302"/>
      <c r="AR354" s="303"/>
      <c r="AS354" s="302"/>
      <c r="AT354" s="303"/>
      <c r="AU354">
        <v>108</v>
      </c>
      <c r="AV354" s="303"/>
      <c r="AW354" s="302"/>
      <c r="AX354" s="302"/>
      <c r="AY354" s="302"/>
      <c r="AZ354" s="303"/>
      <c r="BA354" s="302"/>
      <c r="BB354" s="302"/>
      <c r="BC354" s="302"/>
      <c r="BD354" s="302"/>
      <c r="BE354" s="302"/>
      <c r="BF354" s="302"/>
      <c r="BG354" s="302"/>
      <c r="BH354" s="302"/>
      <c r="BI354" s="302"/>
      <c r="BJ354" s="302"/>
      <c r="BM354">
        <v>-4.7</v>
      </c>
      <c r="BS354">
        <v>62.5</v>
      </c>
      <c r="BY354">
        <v>52.5</v>
      </c>
      <c r="CA354">
        <v>14.9</v>
      </c>
      <c r="CC354">
        <v>16.100000000000001</v>
      </c>
      <c r="CI354">
        <v>6.4</v>
      </c>
      <c r="CO354" t="s">
        <v>8698</v>
      </c>
      <c r="CR354">
        <v>2</v>
      </c>
      <c r="CT354" s="304" t="s">
        <v>11678</v>
      </c>
    </row>
    <row r="355" spans="1:98" s="304" customFormat="1">
      <c r="A355" s="304" t="s">
        <v>8506</v>
      </c>
      <c r="B355" s="463">
        <v>46</v>
      </c>
      <c r="C355" s="296" t="s">
        <v>7663</v>
      </c>
      <c r="D355" s="296" t="s">
        <v>7496</v>
      </c>
      <c r="E355" s="296" t="s">
        <v>7663</v>
      </c>
      <c r="F355" s="296"/>
      <c r="G355" s="296" t="s">
        <v>8506</v>
      </c>
      <c r="H355" s="297" t="s">
        <v>8697</v>
      </c>
      <c r="I355" s="297">
        <v>1</v>
      </c>
      <c r="J355" s="297">
        <v>148</v>
      </c>
      <c r="K355" s="299"/>
      <c r="L355" s="299"/>
      <c r="M355" s="299">
        <v>56</v>
      </c>
      <c r="N355" s="299">
        <v>1</v>
      </c>
      <c r="O355" s="300">
        <v>60</v>
      </c>
      <c r="P355" s="301">
        <v>42090</v>
      </c>
      <c r="Q355" s="302"/>
      <c r="R355" s="303"/>
      <c r="S355" s="289">
        <v>4.55</v>
      </c>
      <c r="T355" s="303">
        <v>42208</v>
      </c>
      <c r="U355" s="302"/>
      <c r="V355" s="303"/>
      <c r="W355" s="302"/>
      <c r="X355" s="303"/>
      <c r="Y355" s="302">
        <v>17.7</v>
      </c>
      <c r="Z355" s="303">
        <v>42208</v>
      </c>
      <c r="AA355">
        <v>14.4</v>
      </c>
      <c r="AB355" s="303"/>
      <c r="AC355" s="302"/>
      <c r="AD355" s="303"/>
      <c r="AE355" s="302"/>
      <c r="AF355" s="303"/>
      <c r="AG355">
        <v>64820.648148148153</v>
      </c>
      <c r="AH355" s="521">
        <f>(AK355*10000)/AM355</f>
        <v>64820.648148148153</v>
      </c>
      <c r="AI355" s="302"/>
      <c r="AJ355" s="303"/>
      <c r="AK355">
        <v>29.16929166666667</v>
      </c>
      <c r="AL355" s="521"/>
      <c r="AM355">
        <v>4.5</v>
      </c>
      <c r="AN355" s="303">
        <v>42244</v>
      </c>
      <c r="AO355">
        <v>125</v>
      </c>
      <c r="AP355" s="303">
        <v>42170</v>
      </c>
      <c r="AQ355" s="302"/>
      <c r="AR355" s="303"/>
      <c r="AS355" s="302"/>
      <c r="AT355" s="303"/>
      <c r="AU355">
        <v>105</v>
      </c>
      <c r="AV355" s="303"/>
      <c r="AW355" s="302"/>
      <c r="AX355" s="302"/>
      <c r="AY355" s="302"/>
      <c r="AZ355" s="303"/>
      <c r="BA355" s="302"/>
      <c r="BB355" s="302"/>
      <c r="BC355" s="302"/>
      <c r="BD355" s="302"/>
      <c r="BE355" s="302"/>
      <c r="BF355" s="302"/>
      <c r="BG355" s="302"/>
      <c r="BH355" s="302"/>
      <c r="BI355" s="302"/>
      <c r="BJ355" s="302"/>
      <c r="BM355">
        <v>-8.1</v>
      </c>
      <c r="BS355">
        <v>66.3</v>
      </c>
      <c r="BY355">
        <v>54.1</v>
      </c>
      <c r="CA355">
        <v>14.3</v>
      </c>
      <c r="CC355">
        <v>13.5</v>
      </c>
      <c r="CI355">
        <v>5.8</v>
      </c>
      <c r="CO355" t="s">
        <v>8698</v>
      </c>
      <c r="CR355">
        <v>2</v>
      </c>
      <c r="CT355" s="304" t="s">
        <v>11678</v>
      </c>
    </row>
    <row r="356" spans="1:98" s="304" customFormat="1">
      <c r="A356" s="304" t="s">
        <v>8506</v>
      </c>
      <c r="B356" s="463">
        <v>58</v>
      </c>
      <c r="C356" s="296" t="s">
        <v>7676</v>
      </c>
      <c r="D356" s="296" t="s">
        <v>7508</v>
      </c>
      <c r="E356" s="296" t="s">
        <v>7676</v>
      </c>
      <c r="F356" s="296"/>
      <c r="G356" s="296" t="s">
        <v>8506</v>
      </c>
      <c r="H356" s="297" t="s">
        <v>8696</v>
      </c>
      <c r="I356" s="297">
        <v>2</v>
      </c>
      <c r="J356" s="297">
        <v>2168</v>
      </c>
      <c r="K356" s="299"/>
      <c r="L356" s="299"/>
      <c r="M356" s="299">
        <v>56</v>
      </c>
      <c r="N356" s="299">
        <v>9</v>
      </c>
      <c r="O356" s="300">
        <v>96</v>
      </c>
      <c r="P356" s="301">
        <v>42090</v>
      </c>
      <c r="Q356" s="302"/>
      <c r="R356" s="303"/>
      <c r="S356" s="289">
        <v>5.65</v>
      </c>
      <c r="T356" s="303">
        <v>42208</v>
      </c>
      <c r="U356" s="302"/>
      <c r="V356" s="303"/>
      <c r="W356" s="302"/>
      <c r="X356" s="303"/>
      <c r="Y356" s="302">
        <v>19.350000000000001</v>
      </c>
      <c r="Z356" s="303">
        <v>42208</v>
      </c>
      <c r="AA356">
        <v>14.4</v>
      </c>
      <c r="AB356" s="303"/>
      <c r="AC356" s="302"/>
      <c r="AD356" s="303"/>
      <c r="AE356" s="302"/>
      <c r="AF356" s="303"/>
      <c r="AG356">
        <v>68269.352725366858</v>
      </c>
      <c r="AH356" s="521">
        <f>(AK356*10000)/AM356</f>
        <v>68269.352725366858</v>
      </c>
      <c r="AI356" s="302"/>
      <c r="AJ356" s="303"/>
      <c r="AK356">
        <v>36.182756944444435</v>
      </c>
      <c r="AL356" s="521"/>
      <c r="AM356">
        <v>5.3</v>
      </c>
      <c r="AN356" s="303">
        <v>42244</v>
      </c>
      <c r="AO356">
        <v>130</v>
      </c>
      <c r="AP356" s="303">
        <v>42170</v>
      </c>
      <c r="AQ356" s="302"/>
      <c r="AR356" s="303"/>
      <c r="AS356" s="302"/>
      <c r="AT356" s="303"/>
      <c r="AU356">
        <v>106</v>
      </c>
      <c r="AV356" s="303"/>
      <c r="AW356" s="302"/>
      <c r="AX356" s="302"/>
      <c r="AY356" s="302"/>
      <c r="AZ356" s="303"/>
      <c r="BA356" s="302"/>
      <c r="BB356" s="302"/>
      <c r="BC356" s="302"/>
      <c r="BD356" s="302"/>
      <c r="BE356" s="302"/>
      <c r="BF356" s="302"/>
      <c r="BG356" s="302"/>
      <c r="BH356" s="302"/>
      <c r="BI356" s="302"/>
      <c r="BJ356" s="302"/>
      <c r="BM356">
        <v>-0.3</v>
      </c>
      <c r="BS356">
        <v>58.2</v>
      </c>
      <c r="BY356">
        <v>47.7</v>
      </c>
      <c r="CA356">
        <v>21</v>
      </c>
      <c r="CC356">
        <v>24.9</v>
      </c>
      <c r="CI356">
        <v>5.9</v>
      </c>
      <c r="CO356" t="s">
        <v>8698</v>
      </c>
      <c r="CR356">
        <v>1</v>
      </c>
      <c r="CT356" s="304" t="s">
        <v>11678</v>
      </c>
    </row>
    <row r="357" spans="1:98" s="304" customFormat="1">
      <c r="A357" s="304" t="s">
        <v>8506</v>
      </c>
      <c r="B357" s="463">
        <v>61</v>
      </c>
      <c r="C357" s="296" t="s">
        <v>7679</v>
      </c>
      <c r="D357" s="296" t="s">
        <v>7509</v>
      </c>
      <c r="E357" s="296" t="s">
        <v>7679</v>
      </c>
      <c r="F357" s="296"/>
      <c r="G357" s="296" t="s">
        <v>8506</v>
      </c>
      <c r="H357" s="297" t="s">
        <v>8696</v>
      </c>
      <c r="I357" s="297">
        <v>2</v>
      </c>
      <c r="J357" s="308">
        <v>2108</v>
      </c>
      <c r="K357" s="299"/>
      <c r="L357" s="299"/>
      <c r="M357" s="299">
        <v>56</v>
      </c>
      <c r="N357" s="299">
        <v>8</v>
      </c>
      <c r="O357" s="300">
        <v>33</v>
      </c>
      <c r="P357" s="301">
        <v>42090</v>
      </c>
      <c r="Q357" s="306"/>
      <c r="R357" s="303"/>
      <c r="S357" s="289">
        <v>6.45</v>
      </c>
      <c r="T357" s="303">
        <v>42208</v>
      </c>
      <c r="U357" s="307"/>
      <c r="V357" s="303"/>
      <c r="W357" s="306"/>
      <c r="X357" s="303"/>
      <c r="Y357" s="306">
        <v>23.33</v>
      </c>
      <c r="Z357" s="303">
        <v>42208</v>
      </c>
      <c r="AA357">
        <v>14.4</v>
      </c>
      <c r="AB357" s="303"/>
      <c r="AC357" s="306"/>
      <c r="AD357" s="303"/>
      <c r="AE357" s="302"/>
      <c r="AF357" s="303"/>
      <c r="AG357">
        <v>89032.201086956513</v>
      </c>
      <c r="AH357" s="521">
        <f>(AK357*10000)/AM357</f>
        <v>89032.201086956513</v>
      </c>
      <c r="AI357" s="302"/>
      <c r="AJ357" s="303"/>
      <c r="AK357">
        <v>40.954812499999996</v>
      </c>
      <c r="AL357" s="521"/>
      <c r="AM357">
        <v>4.5999999999999996</v>
      </c>
      <c r="AN357" s="303">
        <v>42244</v>
      </c>
      <c r="AO357">
        <v>135</v>
      </c>
      <c r="AP357" s="303">
        <v>42170</v>
      </c>
      <c r="AQ357" s="306"/>
      <c r="AR357" s="303"/>
      <c r="AS357" s="306"/>
      <c r="AT357" s="303"/>
      <c r="AU357">
        <v>107</v>
      </c>
      <c r="AV357" s="303"/>
      <c r="AW357" s="302"/>
      <c r="AX357" s="302"/>
      <c r="AY357" s="302"/>
      <c r="AZ357" s="303"/>
      <c r="BA357" s="302"/>
      <c r="BB357" s="302"/>
      <c r="BC357" s="302"/>
      <c r="BD357" s="302"/>
      <c r="BE357" s="302"/>
      <c r="BF357" s="302"/>
      <c r="BG357" s="302"/>
      <c r="BH357" s="302"/>
      <c r="BI357" s="302"/>
      <c r="BJ357" s="302"/>
      <c r="BM357">
        <v>-2.7</v>
      </c>
      <c r="BS357">
        <v>61.3</v>
      </c>
      <c r="BY357">
        <v>50.8</v>
      </c>
      <c r="CA357">
        <v>18.600000000000001</v>
      </c>
      <c r="CC357">
        <v>16.399999999999999</v>
      </c>
      <c r="CI357">
        <v>6.7</v>
      </c>
      <c r="CO357" t="s">
        <v>8698</v>
      </c>
      <c r="CR357">
        <v>2</v>
      </c>
      <c r="CT357" s="304" t="s">
        <v>11678</v>
      </c>
    </row>
    <row r="358" spans="1:98" s="304" customFormat="1">
      <c r="A358" s="304" t="s">
        <v>8506</v>
      </c>
      <c r="B358" s="463">
        <v>77</v>
      </c>
      <c r="C358" s="296" t="s">
        <v>7695</v>
      </c>
      <c r="D358" s="296" t="s">
        <v>7524</v>
      </c>
      <c r="E358" s="296" t="s">
        <v>7695</v>
      </c>
      <c r="F358" s="296"/>
      <c r="G358" s="296" t="s">
        <v>8506</v>
      </c>
      <c r="H358" s="297" t="s">
        <v>8697</v>
      </c>
      <c r="I358" s="297">
        <v>1</v>
      </c>
      <c r="J358" s="297">
        <v>1348</v>
      </c>
      <c r="K358" s="299"/>
      <c r="L358" s="299"/>
      <c r="M358" s="299">
        <v>56</v>
      </c>
      <c r="N358" s="299">
        <v>6</v>
      </c>
      <c r="O358" s="300">
        <v>52</v>
      </c>
      <c r="P358" s="301">
        <v>42090</v>
      </c>
      <c r="Q358" s="302"/>
      <c r="R358" s="303"/>
      <c r="S358" s="289">
        <v>5.0999999999999996</v>
      </c>
      <c r="T358" s="303">
        <v>42208</v>
      </c>
      <c r="U358" s="302"/>
      <c r="V358" s="303"/>
      <c r="W358" s="302"/>
      <c r="X358" s="303"/>
      <c r="Y358" s="302">
        <v>19.21</v>
      </c>
      <c r="Z358" s="303">
        <v>42208</v>
      </c>
      <c r="AA358">
        <v>14.4</v>
      </c>
      <c r="AB358" s="303"/>
      <c r="AC358" s="302"/>
      <c r="AD358" s="303"/>
      <c r="AE358" s="302"/>
      <c r="AF358" s="303"/>
      <c r="AG358">
        <v>66725</v>
      </c>
      <c r="AH358" s="521">
        <f>(AK358*10000)/AM358</f>
        <v>66725</v>
      </c>
      <c r="AI358" s="302"/>
      <c r="AJ358" s="303"/>
      <c r="AK358">
        <v>32.695250000000001</v>
      </c>
      <c r="AL358" s="521"/>
      <c r="AM358">
        <v>4.9000000000000004</v>
      </c>
      <c r="AN358" s="303">
        <v>42244</v>
      </c>
      <c r="AO358">
        <v>145</v>
      </c>
      <c r="AP358" s="303">
        <v>42170</v>
      </c>
      <c r="AQ358" s="302"/>
      <c r="AR358" s="303"/>
      <c r="AS358" s="302"/>
      <c r="AT358" s="303"/>
      <c r="AU358">
        <v>110</v>
      </c>
      <c r="AV358" s="303"/>
      <c r="AW358" s="302"/>
      <c r="AX358" s="302"/>
      <c r="AY358" s="302"/>
      <c r="AZ358" s="303"/>
      <c r="BA358" s="302"/>
      <c r="BB358" s="302"/>
      <c r="BC358" s="302"/>
      <c r="BD358" s="302"/>
      <c r="BE358" s="302"/>
      <c r="BF358" s="302"/>
      <c r="BG358" s="302"/>
      <c r="BH358" s="302"/>
      <c r="BI358" s="302"/>
      <c r="BJ358" s="302"/>
      <c r="BM358">
        <v>-4.3</v>
      </c>
      <c r="BS358">
        <v>63.1</v>
      </c>
      <c r="BY358">
        <v>52.4</v>
      </c>
      <c r="CA358">
        <v>16.3</v>
      </c>
      <c r="CC358">
        <v>13.2</v>
      </c>
      <c r="CI358">
        <v>5.8</v>
      </c>
      <c r="CO358" t="s">
        <v>8698</v>
      </c>
      <c r="CR358">
        <v>2</v>
      </c>
      <c r="CT358" s="304" t="s">
        <v>11678</v>
      </c>
    </row>
    <row r="359" spans="1:98" s="304" customFormat="1">
      <c r="A359" s="304" t="s">
        <v>8506</v>
      </c>
      <c r="B359" s="463">
        <v>152</v>
      </c>
      <c r="C359" s="296" t="s">
        <v>7780</v>
      </c>
      <c r="D359" s="296" t="s">
        <v>7581</v>
      </c>
      <c r="E359" s="296" t="s">
        <v>7780</v>
      </c>
      <c r="F359" s="296"/>
      <c r="G359" s="296" t="s">
        <v>8506</v>
      </c>
      <c r="H359" s="297" t="s">
        <v>8696</v>
      </c>
      <c r="I359" s="297">
        <v>2</v>
      </c>
      <c r="J359" s="297">
        <v>2228</v>
      </c>
      <c r="K359" s="299"/>
      <c r="L359" s="299"/>
      <c r="M359" s="299">
        <v>56</v>
      </c>
      <c r="N359" s="299">
        <v>10</v>
      </c>
      <c r="O359" s="300">
        <v>26</v>
      </c>
      <c r="P359" s="301">
        <v>42090</v>
      </c>
      <c r="Q359" s="302"/>
      <c r="R359" s="303"/>
      <c r="S359" s="289">
        <v>7.1</v>
      </c>
      <c r="T359" s="303">
        <v>42208</v>
      </c>
      <c r="U359" s="302"/>
      <c r="V359" s="303"/>
      <c r="W359" s="302"/>
      <c r="X359" s="303"/>
      <c r="Y359" s="302">
        <v>25.71</v>
      </c>
      <c r="Z359" s="303">
        <v>42208</v>
      </c>
      <c r="AA359">
        <v>14.4</v>
      </c>
      <c r="AB359" s="303"/>
      <c r="AC359" s="302"/>
      <c r="AD359" s="303"/>
      <c r="AE359" s="302"/>
      <c r="AF359" s="303"/>
      <c r="AG359">
        <v>85516.299790356396</v>
      </c>
      <c r="AH359" s="521">
        <f>(AK359*10000)/AM359</f>
        <v>85516.299790356396</v>
      </c>
      <c r="AI359" s="302"/>
      <c r="AJ359" s="303"/>
      <c r="AK359">
        <v>45.323638888888887</v>
      </c>
      <c r="AL359" s="521"/>
      <c r="AM359">
        <v>5.3</v>
      </c>
      <c r="AN359" s="303">
        <v>42244</v>
      </c>
      <c r="AO359">
        <v>135</v>
      </c>
      <c r="AP359" s="303">
        <v>42170</v>
      </c>
      <c r="AQ359" s="302"/>
      <c r="AR359" s="303"/>
      <c r="AS359" s="302"/>
      <c r="AT359" s="303"/>
      <c r="AU359">
        <v>108</v>
      </c>
      <c r="AV359" s="303"/>
      <c r="AW359" s="302"/>
      <c r="AX359" s="302"/>
      <c r="AY359" s="302"/>
      <c r="AZ359" s="303"/>
      <c r="BA359" s="302"/>
      <c r="BB359" s="302"/>
      <c r="BC359" s="302"/>
      <c r="BD359" s="302"/>
      <c r="BE359" s="302"/>
      <c r="BF359" s="302"/>
      <c r="BG359" s="302"/>
      <c r="BH359" s="302"/>
      <c r="BI359" s="302"/>
      <c r="BJ359" s="302"/>
      <c r="BM359">
        <v>-4.2</v>
      </c>
      <c r="BS359">
        <v>59.9</v>
      </c>
      <c r="BY359">
        <v>50.6</v>
      </c>
      <c r="CA359">
        <v>18.399999999999999</v>
      </c>
      <c r="CC359">
        <v>13.5</v>
      </c>
      <c r="CI359">
        <v>6.2</v>
      </c>
      <c r="CO359" t="s">
        <v>8698</v>
      </c>
      <c r="CR359">
        <v>1</v>
      </c>
      <c r="CT359" s="304" t="s">
        <v>11678</v>
      </c>
    </row>
    <row r="360" spans="1:98" s="304" customFormat="1">
      <c r="A360" s="304" t="s">
        <v>8506</v>
      </c>
      <c r="B360" s="463">
        <v>163</v>
      </c>
      <c r="C360" s="296" t="s">
        <v>7791</v>
      </c>
      <c r="D360" s="296" t="s">
        <v>7592</v>
      </c>
      <c r="E360" s="296" t="s">
        <v>7791</v>
      </c>
      <c r="F360" s="296"/>
      <c r="G360" s="296" t="s">
        <v>8506</v>
      </c>
      <c r="H360" s="297" t="s">
        <v>8696</v>
      </c>
      <c r="I360" s="297">
        <v>2</v>
      </c>
      <c r="J360" s="297">
        <v>2288</v>
      </c>
      <c r="K360" s="299"/>
      <c r="L360" s="299"/>
      <c r="M360" s="299">
        <v>56</v>
      </c>
      <c r="N360" s="299">
        <v>11</v>
      </c>
      <c r="O360" s="300">
        <v>54</v>
      </c>
      <c r="P360" s="301">
        <v>42090</v>
      </c>
      <c r="Q360" s="302"/>
      <c r="R360" s="303"/>
      <c r="S360" s="289">
        <v>6.3</v>
      </c>
      <c r="T360" s="303">
        <v>42208</v>
      </c>
      <c r="U360" s="302"/>
      <c r="V360" s="303"/>
      <c r="W360" s="302"/>
      <c r="X360" s="303"/>
      <c r="Y360" s="302">
        <v>22.53</v>
      </c>
      <c r="Z360" s="303">
        <v>42208</v>
      </c>
      <c r="AA360">
        <v>14.4</v>
      </c>
      <c r="AB360" s="303"/>
      <c r="AC360" s="302"/>
      <c r="AD360" s="303"/>
      <c r="AE360" s="302"/>
      <c r="AF360" s="303"/>
      <c r="AG360">
        <v>84231.510416666672</v>
      </c>
      <c r="AH360" s="521">
        <f>(AK360*10000)/AM360</f>
        <v>84231.510416666672</v>
      </c>
      <c r="AI360" s="302"/>
      <c r="AJ360" s="303"/>
      <c r="AK360">
        <v>40.431125000000002</v>
      </c>
      <c r="AL360" s="521"/>
      <c r="AM360">
        <v>4.8</v>
      </c>
      <c r="AN360" s="303">
        <v>42244</v>
      </c>
      <c r="AO360">
        <v>115</v>
      </c>
      <c r="AP360" s="303">
        <v>42170</v>
      </c>
      <c r="AQ360" s="302"/>
      <c r="AR360" s="303"/>
      <c r="AS360" s="302"/>
      <c r="AT360" s="303"/>
      <c r="AU360">
        <v>108</v>
      </c>
      <c r="AV360" s="303"/>
      <c r="AW360" s="302"/>
      <c r="AX360" s="302"/>
      <c r="AY360" s="302"/>
      <c r="AZ360" s="303"/>
      <c r="BA360" s="302"/>
      <c r="BB360" s="302"/>
      <c r="BC360" s="302"/>
      <c r="BD360" s="302"/>
      <c r="BE360" s="302"/>
      <c r="BF360" s="302"/>
      <c r="BG360" s="302"/>
      <c r="BH360" s="302"/>
      <c r="BI360" s="302"/>
      <c r="BJ360" s="302"/>
      <c r="BM360">
        <v>-4</v>
      </c>
      <c r="BS360">
        <v>61.5</v>
      </c>
      <c r="BY360">
        <v>49.7</v>
      </c>
      <c r="CA360">
        <v>18.600000000000001</v>
      </c>
      <c r="CC360">
        <v>18.899999999999999</v>
      </c>
      <c r="CI360">
        <v>5.7</v>
      </c>
      <c r="CO360" t="s">
        <v>8698</v>
      </c>
      <c r="CR360">
        <v>2</v>
      </c>
      <c r="CT360" s="304" t="s">
        <v>11678</v>
      </c>
    </row>
    <row r="361" spans="1:98" s="304" customFormat="1">
      <c r="A361" s="304" t="s">
        <v>8506</v>
      </c>
      <c r="B361" s="463">
        <v>172</v>
      </c>
      <c r="C361" s="296" t="s">
        <v>7800</v>
      </c>
      <c r="D361" s="296" t="s">
        <v>8688</v>
      </c>
      <c r="E361" s="296" t="s">
        <v>7800</v>
      </c>
      <c r="F361" s="296"/>
      <c r="G361" s="296" t="s">
        <v>8506</v>
      </c>
      <c r="H361" s="297" t="s">
        <v>8697</v>
      </c>
      <c r="I361" s="297">
        <v>1</v>
      </c>
      <c r="J361" s="297">
        <v>1288</v>
      </c>
      <c r="K361" s="299"/>
      <c r="L361" s="299"/>
      <c r="M361" s="299">
        <v>56</v>
      </c>
      <c r="N361" s="299">
        <v>5</v>
      </c>
      <c r="O361" s="300">
        <v>23</v>
      </c>
      <c r="P361" s="301">
        <v>42090</v>
      </c>
      <c r="Q361" s="302"/>
      <c r="R361" s="303"/>
      <c r="S361" s="289">
        <v>5.05</v>
      </c>
      <c r="T361" s="303">
        <v>42208</v>
      </c>
      <c r="U361" s="302"/>
      <c r="V361" s="303"/>
      <c r="W361" s="302"/>
      <c r="X361" s="303"/>
      <c r="Y361" s="302">
        <v>18.920000000000002</v>
      </c>
      <c r="Z361" s="303">
        <v>42208</v>
      </c>
      <c r="AA361">
        <v>14.4</v>
      </c>
      <c r="AB361" s="303"/>
      <c r="AC361" s="302"/>
      <c r="AD361" s="303"/>
      <c r="AE361" s="302"/>
      <c r="AF361" s="303"/>
      <c r="AG361">
        <v>57505.121527777781</v>
      </c>
      <c r="AH361" s="521">
        <f>(AK361*10000)/AM361</f>
        <v>57505.121527777781</v>
      </c>
      <c r="AI361" s="302"/>
      <c r="AJ361" s="303"/>
      <c r="AK361">
        <v>32.202868055555555</v>
      </c>
      <c r="AL361" s="521"/>
      <c r="AM361">
        <v>5.6</v>
      </c>
      <c r="AN361" s="303">
        <v>42244</v>
      </c>
      <c r="AO361">
        <v>130</v>
      </c>
      <c r="AP361" s="303">
        <v>42170</v>
      </c>
      <c r="AQ361" s="302"/>
      <c r="AR361" s="303"/>
      <c r="AS361" s="302"/>
      <c r="AT361" s="303"/>
      <c r="AU361">
        <v>109</v>
      </c>
      <c r="AV361" s="303"/>
      <c r="AW361" s="302"/>
      <c r="AX361" s="302"/>
      <c r="AY361" s="302"/>
      <c r="AZ361" s="303"/>
      <c r="BA361" s="302"/>
      <c r="BB361" s="302"/>
      <c r="BC361" s="302"/>
      <c r="BD361" s="302"/>
      <c r="BE361" s="302"/>
      <c r="BF361" s="302"/>
      <c r="BG361" s="302"/>
      <c r="BH361" s="302"/>
      <c r="BI361" s="302"/>
      <c r="BJ361" s="302"/>
      <c r="BM361">
        <v>-5.7</v>
      </c>
      <c r="BS361">
        <v>63.6</v>
      </c>
      <c r="BY361">
        <v>52.4</v>
      </c>
      <c r="CA361">
        <v>16.5</v>
      </c>
      <c r="CC361">
        <v>15.8</v>
      </c>
      <c r="CI361">
        <v>6.3</v>
      </c>
      <c r="CO361" t="s">
        <v>8698</v>
      </c>
      <c r="CR361">
        <v>3</v>
      </c>
      <c r="CT361" s="304" t="s">
        <v>11678</v>
      </c>
    </row>
    <row r="362" spans="1:98" s="304" customFormat="1">
      <c r="A362" s="304" t="s">
        <v>8506</v>
      </c>
      <c r="B362" s="463">
        <v>40</v>
      </c>
      <c r="C362" s="296" t="s">
        <v>7657</v>
      </c>
      <c r="D362" s="296" t="s">
        <v>7490</v>
      </c>
      <c r="E362" s="296" t="s">
        <v>7657</v>
      </c>
      <c r="F362" s="296"/>
      <c r="G362" s="296" t="s">
        <v>8506</v>
      </c>
      <c r="H362" s="297" t="s">
        <v>8697</v>
      </c>
      <c r="I362" s="297">
        <v>1</v>
      </c>
      <c r="J362" s="297">
        <v>149</v>
      </c>
      <c r="K362" s="299"/>
      <c r="L362" s="299"/>
      <c r="M362" s="299">
        <v>57</v>
      </c>
      <c r="N362" s="299">
        <v>1</v>
      </c>
      <c r="O362" s="300">
        <v>74</v>
      </c>
      <c r="P362" s="301">
        <v>42090</v>
      </c>
      <c r="Q362" s="302"/>
      <c r="R362" s="303"/>
      <c r="S362" s="289">
        <v>4.05</v>
      </c>
      <c r="T362" s="303">
        <v>42208</v>
      </c>
      <c r="U362" s="302"/>
      <c r="V362" s="303"/>
      <c r="W362" s="302"/>
      <c r="X362" s="303"/>
      <c r="Y362" s="302">
        <v>15.43</v>
      </c>
      <c r="Z362" s="303">
        <v>42208</v>
      </c>
      <c r="AA362">
        <v>14.4</v>
      </c>
      <c r="AB362" s="303"/>
      <c r="AC362" s="302"/>
      <c r="AD362" s="303"/>
      <c r="AE362" s="302"/>
      <c r="AF362" s="303"/>
      <c r="AG362">
        <v>57574.999999999993</v>
      </c>
      <c r="AH362" s="521">
        <f>(AK362*10000)/AM362</f>
        <v>57574.999999999993</v>
      </c>
      <c r="AI362" s="302"/>
      <c r="AJ362" s="303"/>
      <c r="AK362">
        <v>25.908749999999998</v>
      </c>
      <c r="AL362" s="521"/>
      <c r="AM362">
        <v>4.5</v>
      </c>
      <c r="AN362" s="303">
        <v>42244</v>
      </c>
      <c r="AO362">
        <v>120</v>
      </c>
      <c r="AP362" s="303">
        <v>42170</v>
      </c>
      <c r="AQ362" s="302"/>
      <c r="AR362" s="303"/>
      <c r="AS362" s="302"/>
      <c r="AT362" s="303"/>
      <c r="AU362">
        <v>107</v>
      </c>
      <c r="AV362" s="303"/>
      <c r="AW362" s="302"/>
      <c r="AX362" s="302"/>
      <c r="AY362" s="302"/>
      <c r="AZ362" s="303"/>
      <c r="BA362" s="302"/>
      <c r="BB362" s="302"/>
      <c r="BC362" s="302"/>
      <c r="BD362" s="302"/>
      <c r="BE362" s="302"/>
      <c r="BF362" s="302"/>
      <c r="BG362" s="302"/>
      <c r="BH362" s="302"/>
      <c r="BI362" s="302"/>
      <c r="BJ362" s="302"/>
      <c r="BM362">
        <v>-7.1</v>
      </c>
      <c r="BS362">
        <v>62.3</v>
      </c>
      <c r="BY362">
        <v>53.1</v>
      </c>
      <c r="CA362">
        <v>14.2</v>
      </c>
      <c r="CC362">
        <v>16.3</v>
      </c>
      <c r="CI362">
        <v>6</v>
      </c>
      <c r="CO362" t="s">
        <v>8698</v>
      </c>
      <c r="CR362">
        <v>1</v>
      </c>
      <c r="CT362" s="304" t="s">
        <v>11678</v>
      </c>
    </row>
    <row r="363" spans="1:98" s="304" customFormat="1">
      <c r="A363" s="304" t="s">
        <v>8506</v>
      </c>
      <c r="B363" s="463">
        <v>66</v>
      </c>
      <c r="C363" s="296" t="s">
        <v>7684</v>
      </c>
      <c r="D363" s="296" t="s">
        <v>7514</v>
      </c>
      <c r="E363" s="296" t="s">
        <v>7684</v>
      </c>
      <c r="F363" s="296"/>
      <c r="G363" s="296" t="s">
        <v>8506</v>
      </c>
      <c r="H363" s="297" t="s">
        <v>8696</v>
      </c>
      <c r="I363" s="297">
        <v>2</v>
      </c>
      <c r="J363" s="297">
        <v>2109</v>
      </c>
      <c r="K363" s="299"/>
      <c r="L363" s="299"/>
      <c r="M363" s="299">
        <v>57</v>
      </c>
      <c r="N363" s="299">
        <v>9</v>
      </c>
      <c r="O363" s="300">
        <v>38</v>
      </c>
      <c r="P363" s="301">
        <v>42090</v>
      </c>
      <c r="Q363" s="302"/>
      <c r="R363" s="303"/>
      <c r="S363" s="289">
        <v>5.85</v>
      </c>
      <c r="T363" s="303">
        <v>42208</v>
      </c>
      <c r="U363" s="302"/>
      <c r="V363" s="303"/>
      <c r="W363" s="302"/>
      <c r="X363" s="303"/>
      <c r="Y363" s="302">
        <v>20.440000000000001</v>
      </c>
      <c r="Z363" s="303">
        <v>42208</v>
      </c>
      <c r="AA363">
        <v>14.4</v>
      </c>
      <c r="AB363" s="303"/>
      <c r="AC363" s="302"/>
      <c r="AD363" s="303"/>
      <c r="AE363" s="302"/>
      <c r="AF363" s="303"/>
      <c r="AG363">
        <v>65516.008771929803</v>
      </c>
      <c r="AH363" s="521">
        <f>(AK363*10000)/AM363</f>
        <v>65516.008771929803</v>
      </c>
      <c r="AI363" s="302"/>
      <c r="AJ363" s="303"/>
      <c r="AK363">
        <v>37.344124999999991</v>
      </c>
      <c r="AL363" s="521"/>
      <c r="AM363">
        <v>5.7</v>
      </c>
      <c r="AN363" s="303">
        <v>42244</v>
      </c>
      <c r="AO363">
        <v>140</v>
      </c>
      <c r="AP363" s="303">
        <v>42170</v>
      </c>
      <c r="AQ363" s="302"/>
      <c r="AR363" s="303"/>
      <c r="AS363" s="302"/>
      <c r="AT363" s="303"/>
      <c r="AU363">
        <v>108</v>
      </c>
      <c r="AV363" s="303"/>
      <c r="AW363" s="302"/>
      <c r="AX363" s="302"/>
      <c r="AY363" s="302"/>
      <c r="AZ363" s="303"/>
      <c r="BA363" s="302"/>
      <c r="BB363" s="302"/>
      <c r="BC363" s="302"/>
      <c r="BD363" s="302"/>
      <c r="BE363" s="302"/>
      <c r="BF363" s="302"/>
      <c r="BG363" s="302"/>
      <c r="BH363" s="302"/>
      <c r="BI363" s="302"/>
      <c r="BJ363" s="302"/>
      <c r="BM363">
        <v>-1.7</v>
      </c>
      <c r="BS363">
        <v>60.4</v>
      </c>
      <c r="BY363">
        <v>48.8</v>
      </c>
      <c r="CA363">
        <v>19.8</v>
      </c>
      <c r="CC363">
        <v>18.3</v>
      </c>
      <c r="CI363">
        <v>6.2</v>
      </c>
      <c r="CO363" t="s">
        <v>8698</v>
      </c>
      <c r="CR363">
        <v>3</v>
      </c>
      <c r="CT363" s="304" t="s">
        <v>11678</v>
      </c>
    </row>
    <row r="364" spans="1:98" s="304" customFormat="1">
      <c r="A364" s="304" t="s">
        <v>8506</v>
      </c>
      <c r="B364" s="463">
        <v>113</v>
      </c>
      <c r="C364" s="296" t="s">
        <v>7732</v>
      </c>
      <c r="D364" s="296" t="s">
        <v>7558</v>
      </c>
      <c r="E364" s="296" t="s">
        <v>7732</v>
      </c>
      <c r="F364" s="296"/>
      <c r="G364" s="296" t="s">
        <v>8506</v>
      </c>
      <c r="H364" s="297" t="s">
        <v>8696</v>
      </c>
      <c r="I364" s="297">
        <v>2</v>
      </c>
      <c r="J364" s="297">
        <v>2349</v>
      </c>
      <c r="K364" s="299"/>
      <c r="L364" s="299"/>
      <c r="M364" s="299">
        <v>57</v>
      </c>
      <c r="N364" s="299">
        <v>6</v>
      </c>
      <c r="O364" s="300">
        <v>18</v>
      </c>
      <c r="P364" s="301">
        <v>42090</v>
      </c>
      <c r="Q364" s="302"/>
      <c r="R364" s="303"/>
      <c r="S364" s="289">
        <v>5.8</v>
      </c>
      <c r="T364" s="303">
        <v>42208</v>
      </c>
      <c r="U364" s="302"/>
      <c r="V364" s="303"/>
      <c r="W364" s="302"/>
      <c r="X364" s="303"/>
      <c r="Y364" s="302">
        <v>21.89</v>
      </c>
      <c r="Z364" s="303">
        <v>42208</v>
      </c>
      <c r="AA364">
        <v>14.4</v>
      </c>
      <c r="AB364" s="303"/>
      <c r="AC364" s="302"/>
      <c r="AD364" s="303"/>
      <c r="AE364" s="302"/>
      <c r="AF364" s="303"/>
      <c r="AG364">
        <v>72752.723311546826</v>
      </c>
      <c r="AH364" s="521">
        <f>(AK364*10000)/AM364</f>
        <v>72752.723311546826</v>
      </c>
      <c r="AI364" s="302"/>
      <c r="AJ364" s="303"/>
      <c r="AK364">
        <v>37.103888888888882</v>
      </c>
      <c r="AL364" s="521"/>
      <c r="AM364">
        <v>5.0999999999999996</v>
      </c>
      <c r="AN364" s="303">
        <v>42244</v>
      </c>
      <c r="AO364">
        <v>155</v>
      </c>
      <c r="AP364" s="303">
        <v>42170</v>
      </c>
      <c r="AQ364" s="302"/>
      <c r="AR364" s="303"/>
      <c r="AS364" s="302"/>
      <c r="AT364" s="303"/>
      <c r="AU364">
        <v>109</v>
      </c>
      <c r="AV364" s="303"/>
      <c r="AW364" s="302"/>
      <c r="AX364" s="302"/>
      <c r="AY364" s="302"/>
      <c r="AZ364" s="303"/>
      <c r="BA364" s="302"/>
      <c r="BB364" s="302"/>
      <c r="BC364" s="302"/>
      <c r="BD364" s="302"/>
      <c r="BE364" s="302"/>
      <c r="BF364" s="302"/>
      <c r="BG364" s="302"/>
      <c r="BH364" s="302"/>
      <c r="BI364" s="302"/>
      <c r="BJ364" s="302"/>
      <c r="BM364">
        <v>-2.5</v>
      </c>
      <c r="BS364">
        <v>64.2</v>
      </c>
      <c r="BY364">
        <v>52.6</v>
      </c>
      <c r="CA364">
        <v>16.7</v>
      </c>
      <c r="CC364">
        <v>14.7</v>
      </c>
      <c r="CI364">
        <v>6</v>
      </c>
      <c r="CO364" t="s">
        <v>8698</v>
      </c>
      <c r="CR364">
        <v>2</v>
      </c>
      <c r="CT364" s="304" t="s">
        <v>11678</v>
      </c>
    </row>
    <row r="365" spans="1:98" s="304" customFormat="1">
      <c r="A365" s="304" t="s">
        <v>8506</v>
      </c>
      <c r="B365" s="463">
        <v>150</v>
      </c>
      <c r="C365" s="296" t="s">
        <v>7778</v>
      </c>
      <c r="D365" s="296" t="s">
        <v>7579</v>
      </c>
      <c r="E365" s="296" t="s">
        <v>7778</v>
      </c>
      <c r="F365" s="296"/>
      <c r="G365" s="296" t="s">
        <v>8506</v>
      </c>
      <c r="H365" s="297" t="s">
        <v>8697</v>
      </c>
      <c r="I365" s="297">
        <v>1</v>
      </c>
      <c r="J365" s="308">
        <v>1109</v>
      </c>
      <c r="K365" s="299"/>
      <c r="L365" s="299"/>
      <c r="M365" s="299">
        <v>57</v>
      </c>
      <c r="N365" s="299">
        <v>2</v>
      </c>
      <c r="O365" s="300">
        <v>16</v>
      </c>
      <c r="P365" s="301">
        <v>42090</v>
      </c>
      <c r="Q365" s="306"/>
      <c r="R365" s="303"/>
      <c r="S365" s="289">
        <v>3.3</v>
      </c>
      <c r="T365" s="303">
        <v>42208</v>
      </c>
      <c r="U365" s="307"/>
      <c r="V365" s="303"/>
      <c r="W365" s="306"/>
      <c r="X365" s="303"/>
      <c r="Y365" s="306">
        <v>12.95</v>
      </c>
      <c r="Z365" s="303">
        <v>42208</v>
      </c>
      <c r="AA365">
        <v>14.4</v>
      </c>
      <c r="AB365" s="303"/>
      <c r="AC365" s="306"/>
      <c r="AD365" s="303"/>
      <c r="AE365" s="302"/>
      <c r="AF365" s="303"/>
      <c r="AG365">
        <v>45649.003623188408</v>
      </c>
      <c r="AH365" s="521">
        <f>(AK365*10000)/AM365</f>
        <v>45649.003623188408</v>
      </c>
      <c r="AI365" s="302"/>
      <c r="AJ365" s="303"/>
      <c r="AK365">
        <v>20.998541666666664</v>
      </c>
      <c r="AL365" s="521"/>
      <c r="AM365">
        <v>4.5999999999999996</v>
      </c>
      <c r="AN365" s="303">
        <v>42244</v>
      </c>
      <c r="AO365">
        <v>120</v>
      </c>
      <c r="AP365" s="303">
        <v>42170</v>
      </c>
      <c r="AQ365" s="306"/>
      <c r="AR365" s="303"/>
      <c r="AS365" s="306"/>
      <c r="AT365" s="303"/>
      <c r="AU365">
        <v>106</v>
      </c>
      <c r="AV365" s="303"/>
      <c r="AW365" s="302"/>
      <c r="AX365" s="302"/>
      <c r="AY365" s="302"/>
      <c r="AZ365" s="303"/>
      <c r="BA365" s="302"/>
      <c r="BB365" s="302"/>
      <c r="BC365" s="302"/>
      <c r="BD365" s="302"/>
      <c r="BE365" s="302"/>
      <c r="BF365" s="302"/>
      <c r="BG365" s="302"/>
      <c r="BH365" s="302"/>
      <c r="BI365" s="302"/>
      <c r="BJ365" s="302"/>
      <c r="BM365">
        <v>-4.3</v>
      </c>
      <c r="BS365">
        <v>66.400000000000006</v>
      </c>
      <c r="BY365">
        <v>55</v>
      </c>
      <c r="CA365">
        <v>13.7</v>
      </c>
      <c r="CC365">
        <v>10</v>
      </c>
      <c r="CI365">
        <v>6.5</v>
      </c>
      <c r="CO365" t="s">
        <v>8698</v>
      </c>
      <c r="CR365">
        <v>3</v>
      </c>
      <c r="CT365" s="304" t="s">
        <v>11678</v>
      </c>
    </row>
    <row r="366" spans="1:98" s="304" customFormat="1">
      <c r="A366" s="304" t="s">
        <v>8506</v>
      </c>
      <c r="B366" s="463">
        <v>156</v>
      </c>
      <c r="C366" s="296" t="s">
        <v>7784</v>
      </c>
      <c r="D366" s="296" t="s">
        <v>7585</v>
      </c>
      <c r="E366" s="296" t="s">
        <v>7784</v>
      </c>
      <c r="F366" s="296"/>
      <c r="G366" s="296" t="s">
        <v>8506</v>
      </c>
      <c r="H366" s="297" t="s">
        <v>8696</v>
      </c>
      <c r="I366" s="297">
        <v>2</v>
      </c>
      <c r="J366" s="297">
        <v>2169</v>
      </c>
      <c r="K366" s="299"/>
      <c r="L366" s="299"/>
      <c r="M366" s="299">
        <v>57</v>
      </c>
      <c r="N366" s="299">
        <v>10</v>
      </c>
      <c r="O366" s="300">
        <v>42</v>
      </c>
      <c r="P366" s="301">
        <v>42090</v>
      </c>
      <c r="Q366" s="302"/>
      <c r="R366" s="303"/>
      <c r="S366" s="289">
        <v>5.8</v>
      </c>
      <c r="T366" s="303">
        <v>42208</v>
      </c>
      <c r="U366" s="302"/>
      <c r="V366" s="303"/>
      <c r="W366" s="302"/>
      <c r="X366" s="303"/>
      <c r="Y366" s="302">
        <v>20.78</v>
      </c>
      <c r="Z366" s="303">
        <v>42208</v>
      </c>
      <c r="AA366">
        <v>14.4</v>
      </c>
      <c r="AB366" s="303"/>
      <c r="AC366" s="302"/>
      <c r="AD366" s="303"/>
      <c r="AE366" s="302"/>
      <c r="AF366" s="303"/>
      <c r="AG366">
        <v>60049.544626593794</v>
      </c>
      <c r="AH366" s="521">
        <f>(AK366*10000)/AM366</f>
        <v>60049.544626593794</v>
      </c>
      <c r="AI366" s="302"/>
      <c r="AJ366" s="303"/>
      <c r="AK366">
        <v>36.630222222222216</v>
      </c>
      <c r="AL366" s="521"/>
      <c r="AM366">
        <v>6.1</v>
      </c>
      <c r="AN366" s="303">
        <v>42244</v>
      </c>
      <c r="AO366">
        <v>130</v>
      </c>
      <c r="AP366" s="303">
        <v>42170</v>
      </c>
      <c r="AQ366" s="302"/>
      <c r="AR366" s="303"/>
      <c r="AS366" s="302"/>
      <c r="AT366" s="303"/>
      <c r="AU366">
        <v>104</v>
      </c>
      <c r="AV366" s="303"/>
      <c r="AW366" s="302"/>
      <c r="AX366" s="302"/>
      <c r="AY366" s="302"/>
      <c r="AZ366" s="303"/>
      <c r="BA366" s="302"/>
      <c r="BB366" s="302"/>
      <c r="BC366" s="302"/>
      <c r="BD366" s="302"/>
      <c r="BE366" s="302"/>
      <c r="BF366" s="302"/>
      <c r="BG366" s="302"/>
      <c r="BH366" s="302"/>
      <c r="BI366" s="302"/>
      <c r="BJ366" s="302"/>
      <c r="BM366">
        <v>-0.7</v>
      </c>
      <c r="BS366">
        <v>58.3</v>
      </c>
      <c r="BY366">
        <v>50.6</v>
      </c>
      <c r="CA366">
        <v>19.899999999999999</v>
      </c>
      <c r="CC366">
        <v>16.5</v>
      </c>
      <c r="CI366">
        <v>7.2</v>
      </c>
      <c r="CO366" t="s">
        <v>8698</v>
      </c>
      <c r="CR366">
        <v>1</v>
      </c>
      <c r="CT366" s="304" t="s">
        <v>11678</v>
      </c>
    </row>
    <row r="367" spans="1:98" s="304" customFormat="1">
      <c r="A367" s="304" t="s">
        <v>8506</v>
      </c>
      <c r="B367" s="463">
        <v>36</v>
      </c>
      <c r="C367" s="296" t="s">
        <v>7652</v>
      </c>
      <c r="D367" s="296" t="s">
        <v>7486</v>
      </c>
      <c r="E367" s="296" t="s">
        <v>7652</v>
      </c>
      <c r="F367" s="296"/>
      <c r="G367" s="296" t="s">
        <v>8506</v>
      </c>
      <c r="H367" s="297" t="s">
        <v>8696</v>
      </c>
      <c r="I367" s="297">
        <v>2</v>
      </c>
      <c r="J367" s="297">
        <v>2230</v>
      </c>
      <c r="K367" s="299"/>
      <c r="L367" s="299"/>
      <c r="M367" s="299">
        <v>58</v>
      </c>
      <c r="N367" s="299">
        <v>10</v>
      </c>
      <c r="O367" s="300">
        <v>47</v>
      </c>
      <c r="P367" s="301">
        <v>42090</v>
      </c>
      <c r="Q367" s="302"/>
      <c r="R367" s="303"/>
      <c r="S367" s="289">
        <v>5.35</v>
      </c>
      <c r="T367" s="303">
        <v>42208</v>
      </c>
      <c r="U367" s="302"/>
      <c r="V367" s="303"/>
      <c r="W367" s="302"/>
      <c r="X367" s="303"/>
      <c r="Y367" s="302">
        <v>18.38</v>
      </c>
      <c r="Z367" s="303">
        <v>42208</v>
      </c>
      <c r="AA367">
        <v>14.4</v>
      </c>
      <c r="AB367" s="303"/>
      <c r="AC367" s="302"/>
      <c r="AD367" s="303"/>
      <c r="AE367" s="302"/>
      <c r="AF367" s="303"/>
      <c r="AG367">
        <v>63784.439300411512</v>
      </c>
      <c r="AH367" s="521">
        <f>(AK367*10000)/AM367</f>
        <v>63784.439300411512</v>
      </c>
      <c r="AI367" s="302"/>
      <c r="AJ367" s="303"/>
      <c r="AK367">
        <v>34.443597222222216</v>
      </c>
      <c r="AL367" s="521"/>
      <c r="AM367">
        <v>5.4</v>
      </c>
      <c r="AN367" s="303">
        <v>42244</v>
      </c>
      <c r="AO367">
        <v>135</v>
      </c>
      <c r="AP367" s="303">
        <v>42170</v>
      </c>
      <c r="AQ367" s="302"/>
      <c r="AR367" s="303"/>
      <c r="AS367" s="302"/>
      <c r="AT367" s="303"/>
      <c r="AU367">
        <v>108</v>
      </c>
      <c r="AV367" s="303"/>
      <c r="AW367" s="302"/>
      <c r="AX367" s="302"/>
      <c r="AY367" s="302"/>
      <c r="AZ367" s="303"/>
      <c r="BA367" s="302"/>
      <c r="BB367" s="302"/>
      <c r="BC367" s="302"/>
      <c r="BD367" s="302"/>
      <c r="BE367" s="302"/>
      <c r="BF367" s="302"/>
      <c r="BG367" s="302"/>
      <c r="BH367" s="302"/>
      <c r="BI367" s="302"/>
      <c r="BJ367" s="302"/>
      <c r="BM367">
        <v>0</v>
      </c>
      <c r="BS367">
        <v>55.3</v>
      </c>
      <c r="BY367">
        <v>47.6</v>
      </c>
      <c r="CA367">
        <v>21</v>
      </c>
      <c r="CC367">
        <v>57.6</v>
      </c>
      <c r="CI367">
        <v>5.4</v>
      </c>
      <c r="CO367" t="s">
        <v>8698</v>
      </c>
      <c r="CR367">
        <v>1</v>
      </c>
      <c r="CT367" s="304" t="s">
        <v>11678</v>
      </c>
    </row>
    <row r="368" spans="1:98" s="304" customFormat="1">
      <c r="A368" s="304" t="s">
        <v>8506</v>
      </c>
      <c r="B368" s="463">
        <v>53</v>
      </c>
      <c r="C368" s="296" t="s">
        <v>7671</v>
      </c>
      <c r="D368" s="296" t="s">
        <v>7503</v>
      </c>
      <c r="E368" s="296" t="s">
        <v>7671</v>
      </c>
      <c r="F368" s="296"/>
      <c r="G368" s="296" t="s">
        <v>8506</v>
      </c>
      <c r="H368" s="297" t="s">
        <v>8697</v>
      </c>
      <c r="I368" s="297">
        <v>1</v>
      </c>
      <c r="J368" s="297">
        <v>150</v>
      </c>
      <c r="K368" s="299"/>
      <c r="L368" s="299"/>
      <c r="M368" s="299">
        <v>58</v>
      </c>
      <c r="N368" s="299">
        <v>1</v>
      </c>
      <c r="O368" s="300">
        <v>56</v>
      </c>
      <c r="P368" s="301">
        <v>42090</v>
      </c>
      <c r="Q368" s="302"/>
      <c r="R368" s="303"/>
      <c r="S368" s="289">
        <v>5</v>
      </c>
      <c r="T368" s="303">
        <v>42208</v>
      </c>
      <c r="U368" s="302"/>
      <c r="V368" s="303"/>
      <c r="W368" s="302"/>
      <c r="X368" s="303"/>
      <c r="Y368" s="302">
        <v>19.34</v>
      </c>
      <c r="Z368" s="303">
        <v>42208</v>
      </c>
      <c r="AA368">
        <v>14.4</v>
      </c>
      <c r="AB368" s="303"/>
      <c r="AC368" s="302"/>
      <c r="AD368" s="303"/>
      <c r="AE368" s="302"/>
      <c r="AF368" s="303"/>
      <c r="AG368">
        <v>64244.444444444453</v>
      </c>
      <c r="AH368" s="521">
        <f>(AK368*10000)/AM368</f>
        <v>64244.444444444453</v>
      </c>
      <c r="AI368" s="302"/>
      <c r="AJ368" s="303"/>
      <c r="AK368">
        <v>32.122222222222227</v>
      </c>
      <c r="AL368" s="521"/>
      <c r="AM368">
        <v>5</v>
      </c>
      <c r="AN368" s="303">
        <v>42244</v>
      </c>
      <c r="AO368">
        <v>120</v>
      </c>
      <c r="AP368" s="303">
        <v>42170</v>
      </c>
      <c r="AQ368" s="302"/>
      <c r="AR368" s="303"/>
      <c r="AS368" s="302"/>
      <c r="AT368" s="303"/>
      <c r="AU368">
        <v>111</v>
      </c>
      <c r="AV368" s="303"/>
      <c r="AW368" s="302"/>
      <c r="AX368" s="302"/>
      <c r="AY368" s="302"/>
      <c r="AZ368" s="303"/>
      <c r="BA368" s="302"/>
      <c r="BB368" s="302"/>
      <c r="BC368" s="302"/>
      <c r="BD368" s="302"/>
      <c r="BE368" s="302"/>
      <c r="BF368" s="302"/>
      <c r="BG368" s="302"/>
      <c r="BH368" s="302"/>
      <c r="BI368" s="302"/>
      <c r="BJ368" s="302"/>
      <c r="BM368">
        <v>-4.5999999999999996</v>
      </c>
      <c r="BS368">
        <v>68</v>
      </c>
      <c r="BY368">
        <v>53.7</v>
      </c>
      <c r="CA368">
        <v>14.7</v>
      </c>
      <c r="CC368">
        <v>9.6999999999999993</v>
      </c>
      <c r="CI368">
        <v>5.6</v>
      </c>
      <c r="CO368" t="s">
        <v>8698</v>
      </c>
      <c r="CR368">
        <v>1</v>
      </c>
      <c r="CT368" s="304" t="s">
        <v>11678</v>
      </c>
    </row>
    <row r="369" spans="1:98" s="304" customFormat="1">
      <c r="A369" s="304" t="s">
        <v>8506</v>
      </c>
      <c r="B369" s="463">
        <v>57</v>
      </c>
      <c r="C369" s="296" t="s">
        <v>7675</v>
      </c>
      <c r="D369" s="296" t="s">
        <v>7507</v>
      </c>
      <c r="E369" s="296" t="s">
        <v>7675</v>
      </c>
      <c r="F369" s="296"/>
      <c r="G369" s="296" t="s">
        <v>8506</v>
      </c>
      <c r="H369" s="297" t="s">
        <v>8696</v>
      </c>
      <c r="I369" s="297">
        <v>2</v>
      </c>
      <c r="J369" s="297">
        <v>2350</v>
      </c>
      <c r="K369" s="299"/>
      <c r="L369" s="299"/>
      <c r="M369" s="299">
        <v>58</v>
      </c>
      <c r="N369" s="299">
        <v>12</v>
      </c>
      <c r="O369" s="300">
        <v>24</v>
      </c>
      <c r="P369" s="301">
        <v>42090</v>
      </c>
      <c r="Q369" s="302"/>
      <c r="R369" s="303"/>
      <c r="S369" s="289">
        <v>6.45</v>
      </c>
      <c r="T369" s="303">
        <v>42208</v>
      </c>
      <c r="U369" s="302"/>
      <c r="V369" s="303"/>
      <c r="W369" s="302"/>
      <c r="X369" s="303"/>
      <c r="Y369" s="302">
        <v>22.65</v>
      </c>
      <c r="Z369" s="303">
        <v>42208</v>
      </c>
      <c r="AA369">
        <v>14.4</v>
      </c>
      <c r="AB369" s="303"/>
      <c r="AC369" s="302"/>
      <c r="AD369" s="303"/>
      <c r="AE369" s="302"/>
      <c r="AF369" s="303"/>
      <c r="AG369">
        <v>82436.375000000015</v>
      </c>
      <c r="AH369" s="521">
        <f>(AK369*10000)/AM369</f>
        <v>82436.375000000015</v>
      </c>
      <c r="AI369" s="302"/>
      <c r="AJ369" s="303"/>
      <c r="AK369">
        <v>41.218187500000006</v>
      </c>
      <c r="AL369" s="521"/>
      <c r="AM369">
        <v>5</v>
      </c>
      <c r="AN369" s="303">
        <v>42244</v>
      </c>
      <c r="AO369">
        <v>145</v>
      </c>
      <c r="AP369" s="303">
        <v>42170</v>
      </c>
      <c r="AQ369" s="302"/>
      <c r="AR369" s="303"/>
      <c r="AS369" s="302"/>
      <c r="AT369" s="303"/>
      <c r="AU369">
        <v>115</v>
      </c>
      <c r="AV369" s="303"/>
      <c r="AW369" s="302"/>
      <c r="AX369" s="302"/>
      <c r="AY369" s="302"/>
      <c r="AZ369" s="303"/>
      <c r="BA369" s="302"/>
      <c r="BB369" s="302"/>
      <c r="BC369" s="302"/>
      <c r="BD369" s="302"/>
      <c r="BE369" s="302"/>
      <c r="BF369" s="302"/>
      <c r="BG369" s="302"/>
      <c r="BH369" s="302"/>
      <c r="BI369" s="302"/>
      <c r="BJ369" s="302"/>
      <c r="BM369">
        <v>3.4</v>
      </c>
      <c r="BS369">
        <v>54.8</v>
      </c>
      <c r="BY369">
        <v>49</v>
      </c>
      <c r="CA369">
        <v>20.2</v>
      </c>
      <c r="CC369">
        <v>19.100000000000001</v>
      </c>
      <c r="CI369">
        <v>6.1</v>
      </c>
      <c r="CO369" t="s">
        <v>8698</v>
      </c>
      <c r="CR369">
        <v>2</v>
      </c>
      <c r="CT369" s="304" t="s">
        <v>11678</v>
      </c>
    </row>
    <row r="370" spans="1:98" s="304" customFormat="1">
      <c r="A370" s="304" t="s">
        <v>8506</v>
      </c>
      <c r="B370" s="463">
        <v>114</v>
      </c>
      <c r="C370" s="296" t="s">
        <v>7733</v>
      </c>
      <c r="D370" s="296" t="s">
        <v>7559</v>
      </c>
      <c r="E370" s="296" t="s">
        <v>7733</v>
      </c>
      <c r="F370" s="296"/>
      <c r="G370" s="296" t="s">
        <v>8506</v>
      </c>
      <c r="H370" s="466" t="s">
        <v>8696</v>
      </c>
      <c r="I370" s="297">
        <v>1</v>
      </c>
      <c r="J370" s="297">
        <v>1170</v>
      </c>
      <c r="K370" s="299"/>
      <c r="L370" s="299"/>
      <c r="M370" s="299">
        <v>58</v>
      </c>
      <c r="N370" s="299">
        <v>3</v>
      </c>
      <c r="O370" s="300">
        <v>48</v>
      </c>
      <c r="P370" s="301">
        <v>42090</v>
      </c>
      <c r="Q370" s="302"/>
      <c r="R370" s="303"/>
      <c r="S370" s="289">
        <v>5.85</v>
      </c>
      <c r="T370" s="303">
        <v>42208</v>
      </c>
      <c r="U370" s="302"/>
      <c r="V370" s="303"/>
      <c r="W370" s="302"/>
      <c r="X370" s="303"/>
      <c r="Y370" s="302">
        <v>20.420000000000002</v>
      </c>
      <c r="Z370" s="303">
        <v>42208</v>
      </c>
      <c r="AA370">
        <v>14.4</v>
      </c>
      <c r="AB370" s="303"/>
      <c r="AC370" s="302"/>
      <c r="AD370" s="303"/>
      <c r="AE370" s="302"/>
      <c r="AF370" s="303"/>
      <c r="AG370">
        <v>76781.249999999985</v>
      </c>
      <c r="AH370" s="521">
        <f>(AK370*10000)/AM370</f>
        <v>76781.249999999985</v>
      </c>
      <c r="AI370" s="302"/>
      <c r="AJ370" s="303"/>
      <c r="AK370">
        <v>37.622812499999995</v>
      </c>
      <c r="AL370" s="521"/>
      <c r="AM370">
        <v>4.9000000000000004</v>
      </c>
      <c r="AN370" s="303">
        <v>42244</v>
      </c>
      <c r="AO370">
        <v>135</v>
      </c>
      <c r="AP370" s="303">
        <v>42170</v>
      </c>
      <c r="AQ370" s="302"/>
      <c r="AR370" s="303"/>
      <c r="AS370" s="302"/>
      <c r="AT370" s="303"/>
      <c r="AU370">
        <v>107</v>
      </c>
      <c r="AV370" s="303"/>
      <c r="AW370" s="302"/>
      <c r="AX370" s="302"/>
      <c r="AY370" s="302"/>
      <c r="AZ370" s="303"/>
      <c r="BA370" s="302"/>
      <c r="BB370" s="302"/>
      <c r="BC370" s="302"/>
      <c r="BD370" s="302"/>
      <c r="BE370" s="302"/>
      <c r="BF370" s="302"/>
      <c r="BG370" s="302"/>
      <c r="BH370" s="302"/>
      <c r="BI370" s="302"/>
      <c r="BJ370" s="302"/>
      <c r="BM370">
        <v>-0.5</v>
      </c>
      <c r="BS370">
        <v>58.4</v>
      </c>
      <c r="BY370">
        <v>48.4</v>
      </c>
      <c r="CA370">
        <v>19.399999999999999</v>
      </c>
      <c r="CC370">
        <v>18.2</v>
      </c>
      <c r="CI370">
        <v>5.5</v>
      </c>
      <c r="CO370" t="s">
        <v>11679</v>
      </c>
      <c r="CR370">
        <v>5</v>
      </c>
      <c r="CT370" s="304" t="s">
        <v>11678</v>
      </c>
    </row>
    <row r="371" spans="1:98" s="304" customFormat="1">
      <c r="A371" s="304" t="s">
        <v>8506</v>
      </c>
      <c r="B371" s="463">
        <v>128</v>
      </c>
      <c r="C371" s="296" t="s">
        <v>7756</v>
      </c>
      <c r="D371" s="296" t="s">
        <v>7455</v>
      </c>
      <c r="E371" s="296" t="s">
        <v>7756</v>
      </c>
      <c r="F371" s="296"/>
      <c r="G371" s="296" t="s">
        <v>8506</v>
      </c>
      <c r="H371" s="297" t="s">
        <v>8697</v>
      </c>
      <c r="I371" s="297">
        <v>1</v>
      </c>
      <c r="J371" s="297">
        <v>1110</v>
      </c>
      <c r="K371" s="299"/>
      <c r="L371" s="299"/>
      <c r="M371" s="299">
        <v>58</v>
      </c>
      <c r="N371" s="299">
        <v>2</v>
      </c>
      <c r="O371" s="300">
        <v>25</v>
      </c>
      <c r="P371" s="301">
        <v>42090</v>
      </c>
      <c r="Q371" s="302"/>
      <c r="R371" s="303"/>
      <c r="S371" s="289">
        <v>2.2000000000000002</v>
      </c>
      <c r="T371" s="303">
        <v>42208</v>
      </c>
      <c r="U371" s="302"/>
      <c r="V371" s="303"/>
      <c r="W371" s="302"/>
      <c r="X371" s="303"/>
      <c r="Y371" s="302">
        <v>8.48</v>
      </c>
      <c r="Z371" s="303">
        <v>42208</v>
      </c>
      <c r="AA371">
        <v>14.4</v>
      </c>
      <c r="AB371" s="303"/>
      <c r="AC371" s="302"/>
      <c r="AD371" s="303"/>
      <c r="AE371" s="302"/>
      <c r="AF371" s="303"/>
      <c r="AG371">
        <v>29912.588652482271</v>
      </c>
      <c r="AH371" s="521">
        <f>(AK371*10000)/AM371</f>
        <v>29912.588652482271</v>
      </c>
      <c r="AI371" s="302"/>
      <c r="AJ371" s="303"/>
      <c r="AK371">
        <v>14.058916666666669</v>
      </c>
      <c r="AL371" s="521"/>
      <c r="AM371">
        <v>4.7</v>
      </c>
      <c r="AN371" s="303">
        <v>42244</v>
      </c>
      <c r="AO371">
        <v>140</v>
      </c>
      <c r="AP371" s="303">
        <v>42170</v>
      </c>
      <c r="AQ371" s="302"/>
      <c r="AR371" s="303"/>
      <c r="AS371" s="302"/>
      <c r="AT371" s="303"/>
      <c r="AU371">
        <v>115</v>
      </c>
      <c r="AV371" s="303"/>
      <c r="AW371" s="302"/>
      <c r="AX371" s="302"/>
      <c r="AY371" s="302"/>
      <c r="AZ371" s="303"/>
      <c r="BA371" s="302"/>
      <c r="BB371" s="302"/>
      <c r="BC371" s="302"/>
      <c r="BD371" s="302"/>
      <c r="BE371" s="302"/>
      <c r="BF371" s="302"/>
      <c r="BG371" s="302"/>
      <c r="BH371" s="302"/>
      <c r="BI371" s="302"/>
      <c r="BJ371" s="302"/>
      <c r="BM371">
        <v>40.4</v>
      </c>
      <c r="BS371">
        <v>17.2</v>
      </c>
      <c r="BY371">
        <v>53.8</v>
      </c>
      <c r="CA371">
        <v>17.3</v>
      </c>
      <c r="CC371">
        <v>57.2</v>
      </c>
      <c r="CI371">
        <v>6.1</v>
      </c>
      <c r="CO371" t="s">
        <v>8698</v>
      </c>
      <c r="CR371">
        <v>3</v>
      </c>
      <c r="CT371" s="304" t="s">
        <v>11678</v>
      </c>
    </row>
    <row r="372" spans="1:98" s="304" customFormat="1">
      <c r="A372" s="304" t="s">
        <v>8506</v>
      </c>
      <c r="B372" s="463">
        <v>1</v>
      </c>
      <c r="C372" s="296" t="s">
        <v>7606</v>
      </c>
      <c r="D372" s="296" t="s">
        <v>7809</v>
      </c>
      <c r="E372" s="296" t="s">
        <v>7606</v>
      </c>
      <c r="F372" s="296"/>
      <c r="G372" s="296" t="s">
        <v>8506</v>
      </c>
      <c r="H372" s="297" t="s">
        <v>8697</v>
      </c>
      <c r="I372" s="297">
        <v>1</v>
      </c>
      <c r="J372" s="297">
        <v>151</v>
      </c>
      <c r="K372" s="299"/>
      <c r="L372" s="299"/>
      <c r="M372" s="299">
        <v>59</v>
      </c>
      <c r="N372" s="299">
        <v>1</v>
      </c>
      <c r="O372" s="300">
        <v>50</v>
      </c>
      <c r="P372" s="301">
        <v>42090</v>
      </c>
      <c r="Q372" s="302"/>
      <c r="R372" s="303"/>
      <c r="S372" s="289">
        <v>3.6</v>
      </c>
      <c r="T372" s="303">
        <v>42208</v>
      </c>
      <c r="U372" s="302"/>
      <c r="V372" s="303"/>
      <c r="W372" s="302"/>
      <c r="X372" s="303"/>
      <c r="Y372" s="302">
        <v>13.45</v>
      </c>
      <c r="Z372" s="303">
        <v>42208</v>
      </c>
      <c r="AA372">
        <v>14.4</v>
      </c>
      <c r="AB372" s="303"/>
      <c r="AC372" s="302"/>
      <c r="AD372" s="303"/>
      <c r="AE372" s="302"/>
      <c r="AF372" s="303"/>
      <c r="AG372">
        <v>53558.139534883718</v>
      </c>
      <c r="AH372" s="521">
        <f>(AK372*10000)/AM372</f>
        <v>53558.139534883718</v>
      </c>
      <c r="AI372" s="302"/>
      <c r="AJ372" s="303"/>
      <c r="AK372">
        <v>23.029999999999998</v>
      </c>
      <c r="AL372" s="521"/>
      <c r="AM372">
        <v>4.3</v>
      </c>
      <c r="AN372" s="303">
        <v>42244</v>
      </c>
      <c r="AO372">
        <v>130</v>
      </c>
      <c r="AP372" s="303">
        <v>42170</v>
      </c>
      <c r="AQ372" s="302"/>
      <c r="AR372" s="303"/>
      <c r="AS372" s="302"/>
      <c r="AT372" s="303"/>
      <c r="AU372">
        <v>112</v>
      </c>
      <c r="AV372" s="303"/>
      <c r="AW372" s="302"/>
      <c r="AX372" s="302"/>
      <c r="AY372" s="302"/>
      <c r="AZ372" s="303"/>
      <c r="BA372" s="302"/>
      <c r="BB372" s="302"/>
      <c r="BC372" s="302"/>
      <c r="BD372" s="302"/>
      <c r="BE372" s="302"/>
      <c r="BF372" s="302"/>
      <c r="BG372" s="302"/>
      <c r="BH372" s="302"/>
      <c r="BI372" s="302"/>
      <c r="BJ372" s="302"/>
      <c r="BM372">
        <v>48.4</v>
      </c>
      <c r="BS372">
        <v>7.6</v>
      </c>
      <c r="BY372">
        <v>52.1</v>
      </c>
      <c r="CA372">
        <v>16.899999999999999</v>
      </c>
      <c r="CC372">
        <v>55</v>
      </c>
      <c r="CI372">
        <v>6</v>
      </c>
      <c r="CO372" t="s">
        <v>8698</v>
      </c>
      <c r="CR372">
        <v>2</v>
      </c>
      <c r="CT372" s="304" t="s">
        <v>11678</v>
      </c>
    </row>
    <row r="373" spans="1:98" s="304" customFormat="1">
      <c r="A373" s="304" t="s">
        <v>8506</v>
      </c>
      <c r="B373" s="463">
        <v>74</v>
      </c>
      <c r="C373" s="296" t="s">
        <v>7692</v>
      </c>
      <c r="D373" s="296" t="s">
        <v>7521</v>
      </c>
      <c r="E373" s="296" t="s">
        <v>7692</v>
      </c>
      <c r="F373" s="296"/>
      <c r="G373" s="296" t="s">
        <v>8506</v>
      </c>
      <c r="H373" s="297" t="s">
        <v>8696</v>
      </c>
      <c r="I373" s="297">
        <v>2</v>
      </c>
      <c r="J373" s="308">
        <v>251</v>
      </c>
      <c r="K373" s="299"/>
      <c r="L373" s="299"/>
      <c r="M373" s="299">
        <v>59</v>
      </c>
      <c r="N373" s="299">
        <v>7</v>
      </c>
      <c r="O373" s="300">
        <v>74</v>
      </c>
      <c r="P373" s="301">
        <v>42090</v>
      </c>
      <c r="Q373" s="306"/>
      <c r="R373" s="303"/>
      <c r="S373" s="289">
        <v>4.8499999999999996</v>
      </c>
      <c r="T373" s="303">
        <v>42208</v>
      </c>
      <c r="U373" s="307"/>
      <c r="V373" s="303"/>
      <c r="W373" s="306"/>
      <c r="X373" s="303"/>
      <c r="Y373" s="306">
        <v>17.13</v>
      </c>
      <c r="Z373" s="303">
        <v>42208</v>
      </c>
      <c r="AA373">
        <v>14.4</v>
      </c>
      <c r="AB373" s="303"/>
      <c r="AC373" s="306"/>
      <c r="AD373" s="303"/>
      <c r="AE373" s="302"/>
      <c r="AF373" s="303"/>
      <c r="AG373">
        <v>54374.597953216369</v>
      </c>
      <c r="AH373" s="521">
        <f>(AK373*10000)/AM373</f>
        <v>54374.597953216369</v>
      </c>
      <c r="AI373" s="302"/>
      <c r="AJ373" s="303"/>
      <c r="AK373">
        <v>30.993520833333331</v>
      </c>
      <c r="AL373" s="521"/>
      <c r="AM373">
        <v>5.7</v>
      </c>
      <c r="AN373" s="303">
        <v>42244</v>
      </c>
      <c r="AO373">
        <v>120</v>
      </c>
      <c r="AP373" s="303">
        <v>42170</v>
      </c>
      <c r="AQ373" s="306"/>
      <c r="AR373" s="303"/>
      <c r="AS373" s="306"/>
      <c r="AT373" s="303"/>
      <c r="AU373">
        <v>108</v>
      </c>
      <c r="AV373" s="303"/>
      <c r="AW373" s="302"/>
      <c r="AX373" s="302"/>
      <c r="AY373" s="302"/>
      <c r="AZ373" s="303"/>
      <c r="BA373" s="302"/>
      <c r="BB373" s="302"/>
      <c r="BC373" s="302"/>
      <c r="BD373" s="302"/>
      <c r="BE373" s="302"/>
      <c r="BF373" s="302"/>
      <c r="BG373" s="302"/>
      <c r="BH373" s="302"/>
      <c r="BI373" s="302"/>
      <c r="BJ373" s="302"/>
      <c r="BM373">
        <v>-5.8</v>
      </c>
      <c r="BS373">
        <v>61.7</v>
      </c>
      <c r="BY373">
        <v>49.3</v>
      </c>
      <c r="CA373">
        <v>18.3</v>
      </c>
      <c r="CC373">
        <v>16.899999999999999</v>
      </c>
      <c r="CI373">
        <v>6.1</v>
      </c>
      <c r="CO373" t="s">
        <v>8698</v>
      </c>
      <c r="CR373">
        <v>2</v>
      </c>
      <c r="CT373" s="304" t="s">
        <v>11678</v>
      </c>
    </row>
    <row r="374" spans="1:98" s="304" customFormat="1">
      <c r="A374" s="304" t="s">
        <v>8506</v>
      </c>
      <c r="B374" s="523">
        <v>358</v>
      </c>
      <c r="C374" s="296" t="s">
        <v>8510</v>
      </c>
      <c r="D374" s="296" t="s">
        <v>8299</v>
      </c>
      <c r="E374" s="296" t="s">
        <v>8299</v>
      </c>
      <c r="F374" s="296"/>
      <c r="G374" s="296" t="s">
        <v>8506</v>
      </c>
      <c r="H374" s="297" t="s">
        <v>8696</v>
      </c>
      <c r="I374" s="297">
        <v>2</v>
      </c>
      <c r="J374" s="297">
        <v>2291</v>
      </c>
      <c r="K374" s="299"/>
      <c r="L374" s="299"/>
      <c r="M374" s="299">
        <v>59</v>
      </c>
      <c r="N374" s="299">
        <v>11</v>
      </c>
      <c r="O374" s="300">
        <v>44</v>
      </c>
      <c r="P374" s="301">
        <v>42090</v>
      </c>
      <c r="Q374" s="302"/>
      <c r="R374" s="303"/>
      <c r="S374" s="289">
        <v>5.6</v>
      </c>
      <c r="T374" s="303">
        <v>42208</v>
      </c>
      <c r="U374" s="302"/>
      <c r="V374" s="303"/>
      <c r="W374" s="302"/>
      <c r="X374" s="303"/>
      <c r="Y374" s="302">
        <v>20.47</v>
      </c>
      <c r="Z374" s="303">
        <v>42208</v>
      </c>
      <c r="AA374">
        <v>14.4</v>
      </c>
      <c r="AB374" s="303"/>
      <c r="AC374" s="302"/>
      <c r="AD374" s="303"/>
      <c r="AE374" s="302"/>
      <c r="AF374" s="303"/>
      <c r="AG374">
        <v>67665.199161425553</v>
      </c>
      <c r="AH374" s="521">
        <f>(AK374*10000)/AM374</f>
        <v>67665.199161425553</v>
      </c>
      <c r="AI374" s="302"/>
      <c r="AJ374" s="303"/>
      <c r="AK374">
        <v>35.862555555555545</v>
      </c>
      <c r="AL374" s="521"/>
      <c r="AM374">
        <v>5.3</v>
      </c>
      <c r="AN374" s="303">
        <v>42244</v>
      </c>
      <c r="AO374">
        <v>130</v>
      </c>
      <c r="AP374" s="303">
        <v>42170</v>
      </c>
      <c r="AQ374" s="302"/>
      <c r="AR374" s="303"/>
      <c r="AS374" s="302"/>
      <c r="AT374" s="303"/>
      <c r="AU374">
        <v>109</v>
      </c>
      <c r="AV374" s="302"/>
      <c r="AW374" s="302"/>
      <c r="AX374" s="302"/>
      <c r="AY374" s="302"/>
      <c r="AZ374" s="302"/>
      <c r="BA374" s="302"/>
      <c r="BB374" s="302"/>
      <c r="BC374" s="302"/>
      <c r="BD374" s="302"/>
      <c r="BE374" s="302"/>
      <c r="BF374" s="302"/>
      <c r="BG374" s="302"/>
      <c r="BH374" s="302"/>
      <c r="BI374" s="302"/>
      <c r="BJ374" s="302"/>
      <c r="BM374">
        <v>-5</v>
      </c>
      <c r="BS374">
        <v>61.2</v>
      </c>
      <c r="BY374">
        <v>50.9</v>
      </c>
      <c r="CA374">
        <v>18.399999999999999</v>
      </c>
      <c r="CC374">
        <v>14.5</v>
      </c>
      <c r="CI374">
        <v>5.9</v>
      </c>
      <c r="CO374" t="s">
        <v>8698</v>
      </c>
      <c r="CR374">
        <v>1</v>
      </c>
      <c r="CT374" s="304" t="s">
        <v>11678</v>
      </c>
    </row>
    <row r="375" spans="1:98" s="304" customFormat="1">
      <c r="A375" s="304" t="s">
        <v>8506</v>
      </c>
      <c r="B375" s="463">
        <v>35</v>
      </c>
      <c r="C375" s="296" t="s">
        <v>7650</v>
      </c>
      <c r="D375" s="296" t="s">
        <v>260</v>
      </c>
      <c r="E375" s="296" t="s">
        <v>7650</v>
      </c>
      <c r="F375" s="296"/>
      <c r="G375" s="296" t="s">
        <v>8506</v>
      </c>
      <c r="H375" s="297" t="s">
        <v>8696</v>
      </c>
      <c r="I375" s="297">
        <v>2</v>
      </c>
      <c r="J375" s="297">
        <v>252</v>
      </c>
      <c r="K375" s="299"/>
      <c r="L375" s="299"/>
      <c r="M375" s="299">
        <v>60</v>
      </c>
      <c r="N375" s="299">
        <v>7</v>
      </c>
      <c r="O375" s="300">
        <v>88</v>
      </c>
      <c r="P375" s="301">
        <v>42090</v>
      </c>
      <c r="Q375" s="302"/>
      <c r="R375" s="303"/>
      <c r="S375" s="289">
        <v>6.2</v>
      </c>
      <c r="T375" s="303">
        <v>42208</v>
      </c>
      <c r="U375" s="302"/>
      <c r="V375" s="303"/>
      <c r="W375" s="302"/>
      <c r="X375" s="303"/>
      <c r="Y375" s="302">
        <v>22.5</v>
      </c>
      <c r="Z375" s="303">
        <v>42208</v>
      </c>
      <c r="AA375">
        <v>14.4</v>
      </c>
      <c r="AB375" s="303"/>
      <c r="AC375" s="302"/>
      <c r="AD375" s="303"/>
      <c r="AE375" s="302"/>
      <c r="AF375" s="303"/>
      <c r="AG375">
        <v>94234.259259259255</v>
      </c>
      <c r="AH375" s="521">
        <f>(AK375*10000)/AM375</f>
        <v>94234.259259259255</v>
      </c>
      <c r="AI375" s="302"/>
      <c r="AJ375" s="303"/>
      <c r="AK375">
        <v>39.578388888888888</v>
      </c>
      <c r="AL375" s="521"/>
      <c r="AM375">
        <v>4.2</v>
      </c>
      <c r="AN375" s="303">
        <v>42244</v>
      </c>
      <c r="AO375">
        <v>105</v>
      </c>
      <c r="AP375" s="303">
        <v>42170</v>
      </c>
      <c r="AQ375" s="302"/>
      <c r="AR375" s="303"/>
      <c r="AS375" s="302"/>
      <c r="AT375" s="303"/>
      <c r="AU375">
        <v>105</v>
      </c>
      <c r="AV375" s="303"/>
      <c r="AW375" s="302"/>
      <c r="AX375" s="302"/>
      <c r="AY375" s="302"/>
      <c r="AZ375" s="303"/>
      <c r="BA375" s="302"/>
      <c r="BB375" s="302"/>
      <c r="BC375" s="302"/>
      <c r="BD375" s="302"/>
      <c r="BE375" s="302"/>
      <c r="BF375" s="302"/>
      <c r="BG375" s="302"/>
      <c r="BH375" s="302"/>
      <c r="BI375" s="302"/>
      <c r="BJ375" s="302"/>
      <c r="BM375">
        <v>-1.8</v>
      </c>
      <c r="BS375">
        <v>55.9</v>
      </c>
      <c r="BY375">
        <v>50.7</v>
      </c>
      <c r="CA375">
        <v>19.399999999999999</v>
      </c>
      <c r="CC375">
        <v>51.1</v>
      </c>
      <c r="CI375">
        <v>6.2</v>
      </c>
      <c r="CO375" t="s">
        <v>8698</v>
      </c>
      <c r="CR375">
        <v>1</v>
      </c>
      <c r="CT375" s="304" t="s">
        <v>11678</v>
      </c>
    </row>
    <row r="376" spans="1:98" s="304" customFormat="1">
      <c r="A376" s="304" t="s">
        <v>8506</v>
      </c>
      <c r="B376" s="463">
        <v>39</v>
      </c>
      <c r="C376" s="296" t="s">
        <v>7656</v>
      </c>
      <c r="D376" s="296" t="s">
        <v>7489</v>
      </c>
      <c r="E376" s="296" t="s">
        <v>7656</v>
      </c>
      <c r="F376" s="296"/>
      <c r="G376" s="296" t="s">
        <v>8506</v>
      </c>
      <c r="H376" s="297" t="s">
        <v>8697</v>
      </c>
      <c r="I376" s="297">
        <v>1</v>
      </c>
      <c r="J376" s="297">
        <v>1292</v>
      </c>
      <c r="K376" s="299"/>
      <c r="L376" s="299"/>
      <c r="M376" s="299">
        <v>60</v>
      </c>
      <c r="N376" s="299">
        <v>5</v>
      </c>
      <c r="O376" s="300">
        <v>30</v>
      </c>
      <c r="P376" s="301">
        <v>42090</v>
      </c>
      <c r="Q376" s="302"/>
      <c r="R376" s="303"/>
      <c r="S376" s="289">
        <v>5.55</v>
      </c>
      <c r="T376" s="303">
        <v>42208</v>
      </c>
      <c r="U376" s="302"/>
      <c r="V376" s="303"/>
      <c r="W376" s="302"/>
      <c r="X376" s="303"/>
      <c r="Y376" s="302">
        <v>21.79</v>
      </c>
      <c r="Z376" s="303">
        <v>42208</v>
      </c>
      <c r="AA376">
        <v>14.4</v>
      </c>
      <c r="AB376" s="303"/>
      <c r="AC376" s="302"/>
      <c r="AD376" s="303"/>
      <c r="AE376" s="302"/>
      <c r="AF376" s="303"/>
      <c r="AG376">
        <v>65889.120370370365</v>
      </c>
      <c r="AH376" s="521">
        <f>(AK376*10000)/AM376</f>
        <v>65889.120370370365</v>
      </c>
      <c r="AI376" s="302"/>
      <c r="AJ376" s="303"/>
      <c r="AK376">
        <v>35.580125000000002</v>
      </c>
      <c r="AL376" s="521"/>
      <c r="AM376">
        <v>5.4</v>
      </c>
      <c r="AN376" s="303">
        <v>42244</v>
      </c>
      <c r="AO376">
        <v>140</v>
      </c>
      <c r="AP376" s="303">
        <v>42170</v>
      </c>
      <c r="AQ376" s="302"/>
      <c r="AR376" s="303"/>
      <c r="AS376" s="302"/>
      <c r="AT376" s="303"/>
      <c r="AU376">
        <v>108</v>
      </c>
      <c r="AV376" s="303"/>
      <c r="AW376" s="302"/>
      <c r="AX376" s="302"/>
      <c r="AY376" s="302"/>
      <c r="AZ376" s="303"/>
      <c r="BA376" s="302"/>
      <c r="BB376" s="302"/>
      <c r="BC376" s="302"/>
      <c r="BD376" s="302"/>
      <c r="BE376" s="302"/>
      <c r="BF376" s="302"/>
      <c r="BG376" s="302"/>
      <c r="BH376" s="302"/>
      <c r="BI376" s="302"/>
      <c r="BJ376" s="302"/>
      <c r="BM376">
        <v>-7.6</v>
      </c>
      <c r="BS376">
        <v>67.900000000000006</v>
      </c>
      <c r="BY376">
        <v>54.6</v>
      </c>
      <c r="CA376">
        <v>14.2</v>
      </c>
      <c r="CC376">
        <v>13.6</v>
      </c>
      <c r="CI376">
        <v>5.8</v>
      </c>
      <c r="CO376" t="s">
        <v>8698</v>
      </c>
      <c r="CR376">
        <v>2</v>
      </c>
      <c r="CT376" s="304" t="s">
        <v>11678</v>
      </c>
    </row>
    <row r="377" spans="1:98" s="304" customFormat="1">
      <c r="A377" s="304" t="s">
        <v>8506</v>
      </c>
      <c r="B377" s="463">
        <v>64</v>
      </c>
      <c r="C377" s="296" t="s">
        <v>7682</v>
      </c>
      <c r="D377" s="296" t="s">
        <v>7512</v>
      </c>
      <c r="E377" s="296" t="s">
        <v>7682</v>
      </c>
      <c r="F377" s="296"/>
      <c r="G377" s="296" t="s">
        <v>8506</v>
      </c>
      <c r="H377" s="466" t="s">
        <v>8696</v>
      </c>
      <c r="I377" s="297">
        <v>1</v>
      </c>
      <c r="J377" s="297">
        <v>1232</v>
      </c>
      <c r="K377" s="299"/>
      <c r="L377" s="299"/>
      <c r="M377" s="299">
        <v>60</v>
      </c>
      <c r="N377" s="299">
        <v>4</v>
      </c>
      <c r="O377" s="300">
        <v>40</v>
      </c>
      <c r="P377" s="301">
        <v>42090</v>
      </c>
      <c r="Q377" s="302"/>
      <c r="R377" s="303"/>
      <c r="S377" s="289">
        <v>6.15</v>
      </c>
      <c r="T377" s="303">
        <v>42208</v>
      </c>
      <c r="U377" s="302"/>
      <c r="V377" s="303"/>
      <c r="W377" s="302"/>
      <c r="X377" s="303"/>
      <c r="Y377" s="302">
        <v>22.61</v>
      </c>
      <c r="Z377" s="303">
        <v>42208</v>
      </c>
      <c r="AA377">
        <v>14.4</v>
      </c>
      <c r="AB377" s="303"/>
      <c r="AC377" s="302"/>
      <c r="AD377" s="303"/>
      <c r="AE377" s="302"/>
      <c r="AF377" s="303"/>
      <c r="AG377">
        <v>83441.179078014204</v>
      </c>
      <c r="AH377" s="521">
        <f>(AK377*10000)/AM377</f>
        <v>83441.179078014204</v>
      </c>
      <c r="AI377" s="302"/>
      <c r="AJ377" s="303"/>
      <c r="AK377">
        <v>39.217354166666674</v>
      </c>
      <c r="AL377" s="521"/>
      <c r="AM377">
        <v>4.7</v>
      </c>
      <c r="AN377" s="303">
        <v>42244</v>
      </c>
      <c r="AO377">
        <v>140</v>
      </c>
      <c r="AP377" s="303">
        <v>42170</v>
      </c>
      <c r="AQ377" s="302"/>
      <c r="AR377" s="303"/>
      <c r="AS377" s="302"/>
      <c r="AT377" s="303"/>
      <c r="AU377">
        <v>103</v>
      </c>
      <c r="AV377" s="303"/>
      <c r="AW377" s="302"/>
      <c r="AX377" s="302"/>
      <c r="AY377" s="302"/>
      <c r="AZ377" s="303"/>
      <c r="BA377" s="302"/>
      <c r="BB377" s="302"/>
      <c r="BC377" s="302"/>
      <c r="BD377" s="302"/>
      <c r="BE377" s="302"/>
      <c r="BF377" s="302"/>
      <c r="BG377" s="302"/>
      <c r="BH377" s="302"/>
      <c r="BI377" s="302"/>
      <c r="BJ377" s="302"/>
      <c r="BM377">
        <v>-6.5</v>
      </c>
      <c r="BS377">
        <v>63.3</v>
      </c>
      <c r="BY377">
        <v>51.4</v>
      </c>
      <c r="CA377">
        <v>17.7</v>
      </c>
      <c r="CC377">
        <v>16.899999999999999</v>
      </c>
      <c r="CI377">
        <v>6.3</v>
      </c>
      <c r="CO377" t="s">
        <v>11679</v>
      </c>
      <c r="CR377">
        <v>1</v>
      </c>
      <c r="CT377" s="304" t="s">
        <v>11678</v>
      </c>
    </row>
    <row r="378" spans="1:98" s="304" customFormat="1">
      <c r="A378" s="304" t="s">
        <v>8506</v>
      </c>
      <c r="B378" s="463">
        <v>96</v>
      </c>
      <c r="C378" s="296" t="s">
        <v>7714</v>
      </c>
      <c r="D378" s="296" t="s">
        <v>7541</v>
      </c>
      <c r="E378" s="296" t="s">
        <v>7714</v>
      </c>
      <c r="F378" s="296"/>
      <c r="G378" s="296" t="s">
        <v>8506</v>
      </c>
      <c r="H378" s="297" t="s">
        <v>8697</v>
      </c>
      <c r="I378" s="297">
        <v>1</v>
      </c>
      <c r="J378" s="297">
        <v>1112</v>
      </c>
      <c r="K378" s="299"/>
      <c r="L378" s="299"/>
      <c r="M378" s="299">
        <v>60</v>
      </c>
      <c r="N378" s="299">
        <v>2</v>
      </c>
      <c r="O378" s="300">
        <v>28</v>
      </c>
      <c r="P378" s="301">
        <v>42090</v>
      </c>
      <c r="Q378" s="302"/>
      <c r="R378" s="303"/>
      <c r="S378" s="289">
        <v>4.55</v>
      </c>
      <c r="T378" s="303">
        <v>42208</v>
      </c>
      <c r="U378" s="302"/>
      <c r="V378" s="303"/>
      <c r="W378" s="302"/>
      <c r="X378" s="303"/>
      <c r="Y378" s="302">
        <v>17.45</v>
      </c>
      <c r="Z378" s="303">
        <v>42208</v>
      </c>
      <c r="AA378">
        <v>14.4</v>
      </c>
      <c r="AB378" s="303"/>
      <c r="AC378" s="302"/>
      <c r="AD378" s="303"/>
      <c r="AE378" s="302"/>
      <c r="AF378" s="303"/>
      <c r="AG378">
        <v>59465.972222222212</v>
      </c>
      <c r="AH378" s="521">
        <f>(AK378*10000)/AM378</f>
        <v>59465.972222222212</v>
      </c>
      <c r="AI378" s="302"/>
      <c r="AJ378" s="303"/>
      <c r="AK378">
        <v>29.138326388888885</v>
      </c>
      <c r="AL378" s="521"/>
      <c r="AM378">
        <v>4.9000000000000004</v>
      </c>
      <c r="AN378" s="303">
        <v>42244</v>
      </c>
      <c r="AO378">
        <v>130</v>
      </c>
      <c r="AP378" s="303">
        <v>42170</v>
      </c>
      <c r="AQ378" s="302"/>
      <c r="AR378" s="303"/>
      <c r="AS378" s="302"/>
      <c r="AT378" s="303"/>
      <c r="AU378">
        <v>107</v>
      </c>
      <c r="AV378" s="303"/>
      <c r="AW378" s="302"/>
      <c r="AX378" s="302"/>
      <c r="AY378" s="302"/>
      <c r="AZ378" s="303"/>
      <c r="BA378" s="302"/>
      <c r="BB378" s="302"/>
      <c r="BC378" s="302"/>
      <c r="BD378" s="302"/>
      <c r="BE378" s="302"/>
      <c r="BF378" s="302"/>
      <c r="BG378" s="302"/>
      <c r="BH378" s="302"/>
      <c r="BI378" s="302"/>
      <c r="BJ378" s="302"/>
      <c r="BM378">
        <v>-5</v>
      </c>
      <c r="BS378">
        <v>67</v>
      </c>
      <c r="BY378">
        <v>53.4</v>
      </c>
      <c r="CA378">
        <v>15</v>
      </c>
      <c r="CC378">
        <v>17</v>
      </c>
      <c r="CI378">
        <v>5.9</v>
      </c>
      <c r="CO378" t="s">
        <v>8698</v>
      </c>
      <c r="CR378">
        <v>2</v>
      </c>
      <c r="CT378" s="304" t="s">
        <v>11678</v>
      </c>
    </row>
    <row r="379" spans="1:98" s="304" customFormat="1">
      <c r="A379" s="304" t="s">
        <v>8506</v>
      </c>
      <c r="B379" s="463">
        <v>133</v>
      </c>
      <c r="C379" s="296" t="s">
        <v>7761</v>
      </c>
      <c r="D379" s="296" t="s">
        <v>7836</v>
      </c>
      <c r="E379" s="296" t="s">
        <v>7761</v>
      </c>
      <c r="F379" s="296"/>
      <c r="G379" s="296" t="s">
        <v>8506</v>
      </c>
      <c r="H379" s="297" t="s">
        <v>8697</v>
      </c>
      <c r="I379" s="297">
        <v>1</v>
      </c>
      <c r="J379" s="297">
        <v>152</v>
      </c>
      <c r="K379" s="299"/>
      <c r="L379" s="299"/>
      <c r="M379" s="299">
        <v>60</v>
      </c>
      <c r="N379" s="299">
        <v>1</v>
      </c>
      <c r="O379" s="300">
        <v>50</v>
      </c>
      <c r="P379" s="301">
        <v>42090</v>
      </c>
      <c r="Q379" s="302"/>
      <c r="R379" s="303"/>
      <c r="S379" s="289">
        <v>4.8499999999999996</v>
      </c>
      <c r="T379" s="303">
        <v>42208</v>
      </c>
      <c r="U379" s="302"/>
      <c r="V379" s="303"/>
      <c r="W379" s="302"/>
      <c r="X379" s="303"/>
      <c r="Y379" s="302">
        <v>18.21</v>
      </c>
      <c r="Z379" s="303">
        <v>42208</v>
      </c>
      <c r="AA379">
        <v>14.4</v>
      </c>
      <c r="AB379" s="303"/>
      <c r="AC379" s="302"/>
      <c r="AD379" s="303"/>
      <c r="AE379" s="302"/>
      <c r="AF379" s="303"/>
      <c r="AG379">
        <v>59475.974893162391</v>
      </c>
      <c r="AH379" s="521">
        <f>(AK379*10000)/AM379</f>
        <v>59475.974893162391</v>
      </c>
      <c r="AI379" s="302"/>
      <c r="AJ379" s="303"/>
      <c r="AK379">
        <v>30.927506944444445</v>
      </c>
      <c r="AL379" s="521"/>
      <c r="AM379">
        <v>5.2</v>
      </c>
      <c r="AN379" s="303">
        <v>42244</v>
      </c>
      <c r="AO379">
        <v>125</v>
      </c>
      <c r="AP379" s="303">
        <v>42170</v>
      </c>
      <c r="AQ379" s="302"/>
      <c r="AR379" s="303"/>
      <c r="AS379" s="302"/>
      <c r="AT379" s="303"/>
      <c r="AU379">
        <v>102</v>
      </c>
      <c r="AV379" s="303"/>
      <c r="AW379" s="302"/>
      <c r="AX379" s="302"/>
      <c r="AY379" s="302"/>
      <c r="AZ379" s="303"/>
      <c r="BA379" s="302"/>
      <c r="BB379" s="302"/>
      <c r="BC379" s="302"/>
      <c r="BD379" s="302"/>
      <c r="BE379" s="302"/>
      <c r="BF379" s="302"/>
      <c r="BG379" s="302"/>
      <c r="BH379" s="302"/>
      <c r="BI379" s="302"/>
      <c r="BJ379" s="302"/>
      <c r="BM379">
        <v>-7.2</v>
      </c>
      <c r="BS379">
        <v>65</v>
      </c>
      <c r="BY379">
        <v>52.5</v>
      </c>
      <c r="CA379">
        <v>15.1</v>
      </c>
      <c r="CC379">
        <v>14.1</v>
      </c>
      <c r="CI379">
        <v>6.3</v>
      </c>
      <c r="CO379" t="s">
        <v>8698</v>
      </c>
      <c r="CR379">
        <v>1</v>
      </c>
      <c r="CT379" s="304" t="s">
        <v>11678</v>
      </c>
    </row>
    <row r="380" spans="1:98" s="304" customFormat="1">
      <c r="A380" s="304" t="s">
        <v>8506</v>
      </c>
      <c r="B380" s="463">
        <v>153</v>
      </c>
      <c r="C380" s="296" t="s">
        <v>7781</v>
      </c>
      <c r="D380" s="296" t="s">
        <v>7582</v>
      </c>
      <c r="E380" s="296" t="s">
        <v>7781</v>
      </c>
      <c r="F380" s="296"/>
      <c r="G380" s="296" t="s">
        <v>8506</v>
      </c>
      <c r="H380" s="466" t="s">
        <v>8696</v>
      </c>
      <c r="I380" s="297">
        <v>1</v>
      </c>
      <c r="J380" s="308">
        <v>1172</v>
      </c>
      <c r="K380" s="299"/>
      <c r="L380" s="299"/>
      <c r="M380" s="299">
        <v>60</v>
      </c>
      <c r="N380" s="299">
        <v>3</v>
      </c>
      <c r="O380" s="300">
        <v>38</v>
      </c>
      <c r="P380" s="301">
        <v>42090</v>
      </c>
      <c r="Q380" s="306"/>
      <c r="R380" s="303"/>
      <c r="S380" s="289">
        <v>6.6</v>
      </c>
      <c r="T380" s="303">
        <v>42208</v>
      </c>
      <c r="U380" s="307"/>
      <c r="V380" s="303"/>
      <c r="W380" s="306"/>
      <c r="X380" s="303"/>
      <c r="Y380" s="306">
        <v>23.88</v>
      </c>
      <c r="Z380" s="303">
        <v>42208</v>
      </c>
      <c r="AA380">
        <v>14.4</v>
      </c>
      <c r="AB380" s="303"/>
      <c r="AC380" s="306"/>
      <c r="AD380" s="303"/>
      <c r="AE380" s="302"/>
      <c r="AF380" s="303"/>
      <c r="AG380">
        <v>88055.381944444423</v>
      </c>
      <c r="AH380" s="521">
        <f>(AK380*10000)/AM380</f>
        <v>88055.381944444423</v>
      </c>
      <c r="AI380" s="302"/>
      <c r="AJ380" s="303"/>
      <c r="AK380">
        <v>42.266583333333323</v>
      </c>
      <c r="AL380" s="521"/>
      <c r="AM380">
        <v>4.8</v>
      </c>
      <c r="AN380" s="303">
        <v>42244</v>
      </c>
      <c r="AO380">
        <v>155</v>
      </c>
      <c r="AP380" s="303">
        <v>42170</v>
      </c>
      <c r="AQ380" s="306"/>
      <c r="AR380" s="303"/>
      <c r="AS380" s="306"/>
      <c r="AT380" s="303"/>
      <c r="AU380">
        <v>103</v>
      </c>
      <c r="AV380" s="303"/>
      <c r="AW380" s="302"/>
      <c r="AX380" s="302"/>
      <c r="AY380" s="302"/>
      <c r="AZ380" s="303"/>
      <c r="BA380" s="302"/>
      <c r="BB380" s="302"/>
      <c r="BC380" s="302"/>
      <c r="BD380" s="302"/>
      <c r="BE380" s="302"/>
      <c r="BF380" s="302"/>
      <c r="BG380" s="302"/>
      <c r="BH380" s="302"/>
      <c r="BI380" s="302"/>
      <c r="BJ380" s="302"/>
      <c r="BM380">
        <v>-0.5</v>
      </c>
      <c r="BS380">
        <v>60.6</v>
      </c>
      <c r="BY380">
        <v>50.4</v>
      </c>
      <c r="CA380">
        <v>18.399999999999999</v>
      </c>
      <c r="CC380">
        <v>19.7</v>
      </c>
      <c r="CI380">
        <v>5.9</v>
      </c>
      <c r="CO380" t="s">
        <v>11679</v>
      </c>
      <c r="CR380">
        <v>2</v>
      </c>
      <c r="CT380" s="304" t="s">
        <v>11678</v>
      </c>
    </row>
    <row r="381" spans="1:98" s="304" customFormat="1">
      <c r="A381" s="304" t="s">
        <v>8506</v>
      </c>
      <c r="B381" s="463">
        <v>173</v>
      </c>
      <c r="C381" s="296" t="s">
        <v>7801</v>
      </c>
      <c r="D381" s="296" t="s">
        <v>8689</v>
      </c>
      <c r="E381" s="296" t="s">
        <v>7801</v>
      </c>
      <c r="F381" s="296"/>
      <c r="G381" s="296" t="s">
        <v>8506</v>
      </c>
      <c r="H381" s="297" t="s">
        <v>8696</v>
      </c>
      <c r="I381" s="297">
        <v>2</v>
      </c>
      <c r="J381" s="297">
        <v>2292</v>
      </c>
      <c r="K381" s="299"/>
      <c r="L381" s="299"/>
      <c r="M381" s="299">
        <v>60</v>
      </c>
      <c r="N381" s="299">
        <v>11</v>
      </c>
      <c r="O381" s="300">
        <v>28</v>
      </c>
      <c r="P381" s="301">
        <v>42090</v>
      </c>
      <c r="Q381" s="302"/>
      <c r="R381" s="303"/>
      <c r="S381" s="289">
        <v>6.3</v>
      </c>
      <c r="T381" s="303">
        <v>42208</v>
      </c>
      <c r="U381" s="302"/>
      <c r="V381" s="303"/>
      <c r="W381" s="302"/>
      <c r="X381" s="303"/>
      <c r="Y381" s="302">
        <v>22.6</v>
      </c>
      <c r="Z381" s="303">
        <v>42208</v>
      </c>
      <c r="AA381">
        <v>14.4</v>
      </c>
      <c r="AB381" s="303"/>
      <c r="AC381" s="302"/>
      <c r="AD381" s="303"/>
      <c r="AE381" s="302"/>
      <c r="AF381" s="303"/>
      <c r="AG381">
        <v>79192.647058823553</v>
      </c>
      <c r="AH381" s="521">
        <f>(AK381*10000)/AM381</f>
        <v>79192.647058823553</v>
      </c>
      <c r="AI381" s="302"/>
      <c r="AJ381" s="303"/>
      <c r="AK381">
        <v>40.388250000000006</v>
      </c>
      <c r="AL381" s="521"/>
      <c r="AM381">
        <v>5.0999999999999996</v>
      </c>
      <c r="AN381" s="303">
        <v>42244</v>
      </c>
      <c r="AO381">
        <v>135</v>
      </c>
      <c r="AP381" s="303">
        <v>42170</v>
      </c>
      <c r="AQ381" s="302"/>
      <c r="AR381" s="303"/>
      <c r="AS381" s="302"/>
      <c r="AT381" s="303"/>
      <c r="AU381">
        <v>110</v>
      </c>
      <c r="AV381" s="303"/>
      <c r="AW381" s="302"/>
      <c r="AX381" s="302"/>
      <c r="AY381" s="302"/>
      <c r="AZ381" s="303"/>
      <c r="BA381" s="302"/>
      <c r="BB381" s="302"/>
      <c r="BC381" s="302"/>
      <c r="BD381" s="302"/>
      <c r="BE381" s="302"/>
      <c r="BF381" s="302"/>
      <c r="BG381" s="302"/>
      <c r="BH381" s="302"/>
      <c r="BI381" s="302"/>
      <c r="BJ381" s="302"/>
      <c r="BM381">
        <v>-1.8</v>
      </c>
      <c r="BS381">
        <v>61.9</v>
      </c>
      <c r="BY381">
        <v>49.9</v>
      </c>
      <c r="CA381">
        <v>18.2</v>
      </c>
      <c r="CC381">
        <v>15.9</v>
      </c>
      <c r="CI381">
        <v>5.8</v>
      </c>
      <c r="CO381" t="s">
        <v>8698</v>
      </c>
      <c r="CR381">
        <v>2</v>
      </c>
      <c r="CT381" s="304" t="s">
        <v>11678</v>
      </c>
    </row>
    <row r="382" spans="1:98" s="304" customFormat="1">
      <c r="A382" s="304" t="s">
        <v>8506</v>
      </c>
      <c r="B382" s="463">
        <v>49</v>
      </c>
      <c r="C382" s="296" t="s">
        <v>7666</v>
      </c>
      <c r="D382" s="296" t="s">
        <v>7498</v>
      </c>
      <c r="E382" s="296" t="s">
        <v>7666</v>
      </c>
      <c r="F382" s="296"/>
      <c r="G382" s="296" t="s">
        <v>8506</v>
      </c>
      <c r="H382" s="297" t="s">
        <v>8696</v>
      </c>
      <c r="I382" s="297">
        <v>2</v>
      </c>
      <c r="J382" s="297">
        <v>253</v>
      </c>
      <c r="K382" s="299"/>
      <c r="L382" s="299"/>
      <c r="M382" s="299">
        <v>61</v>
      </c>
      <c r="N382" s="299">
        <v>7</v>
      </c>
      <c r="O382" s="300">
        <v>72</v>
      </c>
      <c r="P382" s="301">
        <v>42090</v>
      </c>
      <c r="Q382" s="302"/>
      <c r="R382" s="303"/>
      <c r="S382" s="289">
        <v>5.7</v>
      </c>
      <c r="T382" s="303">
        <v>42208</v>
      </c>
      <c r="U382" s="302"/>
      <c r="V382" s="303"/>
      <c r="W382" s="302"/>
      <c r="X382" s="303"/>
      <c r="Y382" s="302">
        <v>20.58</v>
      </c>
      <c r="Z382" s="303">
        <v>42208</v>
      </c>
      <c r="AA382">
        <v>14.4</v>
      </c>
      <c r="AB382" s="303"/>
      <c r="AC382" s="302"/>
      <c r="AD382" s="303"/>
      <c r="AE382" s="302"/>
      <c r="AF382" s="303"/>
      <c r="AG382">
        <v>68580.738993710693</v>
      </c>
      <c r="AH382" s="521">
        <f>(AK382*10000)/AM382</f>
        <v>68580.738993710693</v>
      </c>
      <c r="AI382" s="302"/>
      <c r="AJ382" s="303"/>
      <c r="AK382">
        <v>36.347791666666666</v>
      </c>
      <c r="AL382" s="521"/>
      <c r="AM382">
        <v>5.3</v>
      </c>
      <c r="AN382" s="303">
        <v>42244</v>
      </c>
      <c r="AO382">
        <v>125</v>
      </c>
      <c r="AP382" s="303">
        <v>42170</v>
      </c>
      <c r="AQ382" s="302"/>
      <c r="AR382" s="303"/>
      <c r="AS382" s="302"/>
      <c r="AT382" s="303"/>
      <c r="AU382">
        <v>108</v>
      </c>
      <c r="AV382" s="303"/>
      <c r="AW382" s="302"/>
      <c r="AX382" s="302"/>
      <c r="AY382" s="302"/>
      <c r="AZ382" s="303"/>
      <c r="BA382" s="302"/>
      <c r="BB382" s="302"/>
      <c r="BC382" s="302"/>
      <c r="BD382" s="302"/>
      <c r="BE382" s="302"/>
      <c r="BF382" s="302"/>
      <c r="BG382" s="302"/>
      <c r="BH382" s="302"/>
      <c r="BI382" s="302"/>
      <c r="BJ382" s="302"/>
      <c r="BM382">
        <v>-0.1</v>
      </c>
      <c r="BS382">
        <v>59.4</v>
      </c>
      <c r="BY382">
        <v>50.5</v>
      </c>
      <c r="CA382">
        <v>18.7</v>
      </c>
      <c r="CC382">
        <v>17.899999999999999</v>
      </c>
      <c r="CI382">
        <v>6.3</v>
      </c>
      <c r="CO382" t="s">
        <v>8698</v>
      </c>
      <c r="CR382">
        <v>3</v>
      </c>
      <c r="CT382" s="304" t="s">
        <v>11678</v>
      </c>
    </row>
    <row r="383" spans="1:98" s="304" customFormat="1">
      <c r="A383" s="304" t="s">
        <v>8506</v>
      </c>
      <c r="B383" s="463">
        <v>76</v>
      </c>
      <c r="C383" s="296" t="s">
        <v>7694</v>
      </c>
      <c r="D383" s="296" t="s">
        <v>7523</v>
      </c>
      <c r="E383" s="296" t="s">
        <v>7694</v>
      </c>
      <c r="F383" s="296"/>
      <c r="G383" s="296" t="s">
        <v>8506</v>
      </c>
      <c r="H383" s="297" t="s">
        <v>8696</v>
      </c>
      <c r="I383" s="297">
        <v>2</v>
      </c>
      <c r="J383" s="297">
        <v>2113</v>
      </c>
      <c r="K383" s="299"/>
      <c r="L383" s="299"/>
      <c r="M383" s="299">
        <v>61</v>
      </c>
      <c r="N383" s="299">
        <v>8</v>
      </c>
      <c r="O383" s="300">
        <v>68</v>
      </c>
      <c r="P383" s="301">
        <v>42090</v>
      </c>
      <c r="Q383" s="302"/>
      <c r="R383" s="303"/>
      <c r="S383" s="289">
        <v>5.75</v>
      </c>
      <c r="T383" s="303">
        <v>42208</v>
      </c>
      <c r="U383" s="302"/>
      <c r="V383" s="303"/>
      <c r="W383" s="302"/>
      <c r="X383" s="303"/>
      <c r="Y383" s="302">
        <v>19.920000000000002</v>
      </c>
      <c r="Z383" s="303">
        <v>42208</v>
      </c>
      <c r="AA383">
        <v>14.4</v>
      </c>
      <c r="AB383" s="303"/>
      <c r="AC383" s="302"/>
      <c r="AD383" s="303"/>
      <c r="AE383" s="302"/>
      <c r="AF383" s="303"/>
      <c r="AG383">
        <v>67973.636831275697</v>
      </c>
      <c r="AH383" s="521">
        <f>(AK383*10000)/AM383</f>
        <v>67973.636831275697</v>
      </c>
      <c r="AI383" s="302"/>
      <c r="AJ383" s="303"/>
      <c r="AK383">
        <v>36.705763888888882</v>
      </c>
      <c r="AL383" s="521"/>
      <c r="AM383">
        <v>5.4</v>
      </c>
      <c r="AN383" s="303">
        <v>42244</v>
      </c>
      <c r="AO383">
        <v>125</v>
      </c>
      <c r="AP383" s="303">
        <v>42170</v>
      </c>
      <c r="AQ383" s="302"/>
      <c r="AR383" s="303"/>
      <c r="AS383" s="302"/>
      <c r="AT383" s="303"/>
      <c r="AU383">
        <v>109</v>
      </c>
      <c r="AV383" s="303"/>
      <c r="AW383" s="302"/>
      <c r="AX383" s="302"/>
      <c r="AY383" s="302"/>
      <c r="AZ383" s="303"/>
      <c r="BA383" s="302"/>
      <c r="BB383" s="302"/>
      <c r="BC383" s="302"/>
      <c r="BD383" s="302"/>
      <c r="BE383" s="302"/>
      <c r="BF383" s="302"/>
      <c r="BG383" s="302"/>
      <c r="BH383" s="302"/>
      <c r="BI383" s="302"/>
      <c r="BJ383" s="302"/>
      <c r="BM383">
        <v>-1.4</v>
      </c>
      <c r="BS383">
        <v>62.3</v>
      </c>
      <c r="BY383">
        <v>48.4</v>
      </c>
      <c r="CA383">
        <v>19.2</v>
      </c>
      <c r="CC383">
        <v>15.2</v>
      </c>
      <c r="CI383">
        <v>6.2</v>
      </c>
      <c r="CO383" t="s">
        <v>8698</v>
      </c>
      <c r="CR383">
        <v>2</v>
      </c>
      <c r="CT383" s="304" t="s">
        <v>11678</v>
      </c>
    </row>
    <row r="384" spans="1:98" s="304" customFormat="1">
      <c r="A384" s="304" t="s">
        <v>8506</v>
      </c>
      <c r="B384" s="463">
        <v>79</v>
      </c>
      <c r="C384" s="296" t="s">
        <v>7697</v>
      </c>
      <c r="D384" s="296" t="s">
        <v>7526</v>
      </c>
      <c r="E384" s="296" t="s">
        <v>7697</v>
      </c>
      <c r="F384" s="296"/>
      <c r="G384" s="296" t="s">
        <v>8506</v>
      </c>
      <c r="H384" s="466" t="s">
        <v>8696</v>
      </c>
      <c r="I384" s="297">
        <v>1</v>
      </c>
      <c r="J384" s="297">
        <v>1233</v>
      </c>
      <c r="K384" s="299"/>
      <c r="L384" s="299"/>
      <c r="M384" s="299">
        <v>61</v>
      </c>
      <c r="N384" s="299">
        <v>4</v>
      </c>
      <c r="O384" s="300">
        <v>52</v>
      </c>
      <c r="P384" s="301">
        <v>42090</v>
      </c>
      <c r="Q384" s="302"/>
      <c r="R384" s="303"/>
      <c r="S384" s="289">
        <v>4.8</v>
      </c>
      <c r="T384" s="303">
        <v>42208</v>
      </c>
      <c r="U384" s="302"/>
      <c r="V384" s="303"/>
      <c r="W384" s="302"/>
      <c r="X384" s="303"/>
      <c r="Y384" s="302">
        <v>17.260000000000002</v>
      </c>
      <c r="Z384" s="303">
        <v>42208</v>
      </c>
      <c r="AA384">
        <v>14.4</v>
      </c>
      <c r="AB384" s="303"/>
      <c r="AC384" s="302"/>
      <c r="AD384" s="303"/>
      <c r="AE384" s="302"/>
      <c r="AF384" s="303"/>
      <c r="AG384">
        <v>65472.340425531911</v>
      </c>
      <c r="AH384" s="521">
        <f>(AK384*10000)/AM384</f>
        <v>65472.340425531911</v>
      </c>
      <c r="AI384" s="302"/>
      <c r="AJ384" s="303"/>
      <c r="AK384">
        <v>30.771999999999998</v>
      </c>
      <c r="AL384" s="521"/>
      <c r="AM384">
        <v>4.7</v>
      </c>
      <c r="AN384" s="303">
        <v>42244</v>
      </c>
      <c r="AO384">
        <v>130</v>
      </c>
      <c r="AP384" s="303">
        <v>42170</v>
      </c>
      <c r="AQ384" s="302"/>
      <c r="AR384" s="303"/>
      <c r="AS384" s="302"/>
      <c r="AT384" s="303"/>
      <c r="AU384">
        <v>110</v>
      </c>
      <c r="AV384" s="303"/>
      <c r="AW384" s="302"/>
      <c r="AX384" s="302"/>
      <c r="AY384" s="302"/>
      <c r="AZ384" s="303"/>
      <c r="BA384" s="302"/>
      <c r="BB384" s="302"/>
      <c r="BC384" s="302"/>
      <c r="BD384" s="302"/>
      <c r="BE384" s="302"/>
      <c r="BF384" s="302"/>
      <c r="BG384" s="302"/>
      <c r="BH384" s="302"/>
      <c r="BI384" s="302"/>
      <c r="BJ384" s="302"/>
      <c r="BM384">
        <v>-3.5</v>
      </c>
      <c r="BS384">
        <v>60.3</v>
      </c>
      <c r="BY384">
        <v>50</v>
      </c>
      <c r="CA384">
        <v>18.899999999999999</v>
      </c>
      <c r="CC384">
        <v>16.7</v>
      </c>
      <c r="CI384">
        <v>5.8</v>
      </c>
      <c r="CO384" t="s">
        <v>11679</v>
      </c>
      <c r="CR384">
        <v>3</v>
      </c>
      <c r="CT384" s="304" t="s">
        <v>11678</v>
      </c>
    </row>
    <row r="385" spans="1:98" s="304" customFormat="1">
      <c r="A385" s="304" t="s">
        <v>8506</v>
      </c>
      <c r="B385" s="463">
        <v>97</v>
      </c>
      <c r="C385" s="296" t="s">
        <v>7715</v>
      </c>
      <c r="D385" s="296" t="s">
        <v>7542</v>
      </c>
      <c r="E385" s="296" t="s">
        <v>7715</v>
      </c>
      <c r="F385" s="296"/>
      <c r="G385" s="296" t="s">
        <v>8506</v>
      </c>
      <c r="H385" s="297" t="s">
        <v>8697</v>
      </c>
      <c r="I385" s="297">
        <v>1</v>
      </c>
      <c r="J385" s="297">
        <v>1113</v>
      </c>
      <c r="K385" s="299"/>
      <c r="L385" s="299"/>
      <c r="M385" s="299">
        <v>61</v>
      </c>
      <c r="N385" s="299">
        <v>2</v>
      </c>
      <c r="O385" s="300">
        <v>20</v>
      </c>
      <c r="P385" s="301">
        <v>42090</v>
      </c>
      <c r="Q385" s="302"/>
      <c r="R385" s="303"/>
      <c r="S385" s="289">
        <v>4.25</v>
      </c>
      <c r="T385" s="303">
        <v>42208</v>
      </c>
      <c r="U385" s="302"/>
      <c r="V385" s="303"/>
      <c r="W385" s="302"/>
      <c r="X385" s="303"/>
      <c r="Y385" s="302">
        <v>15.99</v>
      </c>
      <c r="Z385" s="303">
        <v>42208</v>
      </c>
      <c r="AA385">
        <v>14.4</v>
      </c>
      <c r="AB385" s="303"/>
      <c r="AC385" s="302"/>
      <c r="AD385" s="303"/>
      <c r="AE385" s="302"/>
      <c r="AF385" s="303"/>
      <c r="AG385">
        <v>52229.366987179492</v>
      </c>
      <c r="AH385" s="521">
        <f>(AK385*10000)/AM385</f>
        <v>52229.366987179492</v>
      </c>
      <c r="AI385" s="302"/>
      <c r="AJ385" s="303"/>
      <c r="AK385">
        <v>27.159270833333338</v>
      </c>
      <c r="AL385" s="521"/>
      <c r="AM385">
        <v>5.2</v>
      </c>
      <c r="AN385" s="303">
        <v>42244</v>
      </c>
      <c r="AO385">
        <v>135</v>
      </c>
      <c r="AP385" s="303">
        <v>42170</v>
      </c>
      <c r="AQ385" s="302"/>
      <c r="AR385" s="303"/>
      <c r="AS385" s="302"/>
      <c r="AT385" s="303"/>
      <c r="AU385">
        <v>105</v>
      </c>
      <c r="AV385" s="303"/>
      <c r="AW385" s="302"/>
      <c r="AX385" s="302"/>
      <c r="AY385" s="302"/>
      <c r="AZ385" s="303"/>
      <c r="BA385" s="302"/>
      <c r="BB385" s="302"/>
      <c r="BC385" s="302"/>
      <c r="BD385" s="302"/>
      <c r="BE385" s="302"/>
      <c r="BF385" s="302"/>
      <c r="BG385" s="302"/>
      <c r="BH385" s="302"/>
      <c r="BI385" s="302"/>
      <c r="BJ385" s="302"/>
      <c r="BM385">
        <v>-7.1</v>
      </c>
      <c r="BS385">
        <v>61.3</v>
      </c>
      <c r="BY385">
        <v>52.5</v>
      </c>
      <c r="CA385">
        <v>14.4</v>
      </c>
      <c r="CC385">
        <v>11.3</v>
      </c>
      <c r="CI385">
        <v>6.1</v>
      </c>
      <c r="CO385" t="s">
        <v>8698</v>
      </c>
      <c r="CR385">
        <v>2</v>
      </c>
      <c r="CT385" s="304" t="s">
        <v>11678</v>
      </c>
    </row>
    <row r="386" spans="1:98" s="304" customFormat="1">
      <c r="A386" s="304" t="s">
        <v>8506</v>
      </c>
      <c r="B386" s="463">
        <v>102</v>
      </c>
      <c r="C386" s="296" t="s">
        <v>7720</v>
      </c>
      <c r="D386" s="296" t="s">
        <v>7547</v>
      </c>
      <c r="E386" s="296" t="s">
        <v>7720</v>
      </c>
      <c r="F386" s="296"/>
      <c r="G386" s="296" t="s">
        <v>8506</v>
      </c>
      <c r="H386" s="297" t="s">
        <v>8696</v>
      </c>
      <c r="I386" s="297">
        <v>2</v>
      </c>
      <c r="J386" s="297">
        <v>2173</v>
      </c>
      <c r="K386" s="299"/>
      <c r="L386" s="299"/>
      <c r="M386" s="299">
        <v>61</v>
      </c>
      <c r="N386" s="299">
        <v>9</v>
      </c>
      <c r="O386" s="300">
        <v>40</v>
      </c>
      <c r="P386" s="301">
        <v>42090</v>
      </c>
      <c r="Q386" s="302"/>
      <c r="R386" s="303"/>
      <c r="S386" s="289">
        <v>5.7</v>
      </c>
      <c r="T386" s="303">
        <v>42208</v>
      </c>
      <c r="U386" s="302"/>
      <c r="V386" s="303"/>
      <c r="W386" s="302"/>
      <c r="X386" s="303"/>
      <c r="Y386" s="302">
        <v>20.84</v>
      </c>
      <c r="Z386" s="303">
        <v>42208</v>
      </c>
      <c r="AA386">
        <v>14.4</v>
      </c>
      <c r="AB386" s="303"/>
      <c r="AC386" s="302"/>
      <c r="AD386" s="303"/>
      <c r="AE386" s="302"/>
      <c r="AF386" s="303"/>
      <c r="AG386">
        <v>63069.89942528736</v>
      </c>
      <c r="AH386" s="521">
        <f>(AK386*10000)/AM386</f>
        <v>63069.89942528736</v>
      </c>
      <c r="AI386" s="302"/>
      <c r="AJ386" s="303"/>
      <c r="AK386">
        <v>36.580541666666669</v>
      </c>
      <c r="AL386" s="521"/>
      <c r="AM386">
        <v>5.8</v>
      </c>
      <c r="AN386" s="303">
        <v>42244</v>
      </c>
      <c r="AO386">
        <v>145</v>
      </c>
      <c r="AP386" s="303">
        <v>42170</v>
      </c>
      <c r="AQ386" s="302"/>
      <c r="AR386" s="303"/>
      <c r="AS386" s="302"/>
      <c r="AT386" s="303"/>
      <c r="AU386">
        <v>107</v>
      </c>
      <c r="AV386" s="303"/>
      <c r="AW386" s="302"/>
      <c r="AX386" s="302"/>
      <c r="AY386" s="302"/>
      <c r="AZ386" s="303"/>
      <c r="BA386" s="302"/>
      <c r="BB386" s="302"/>
      <c r="BC386" s="302"/>
      <c r="BD386" s="302"/>
      <c r="BE386" s="302"/>
      <c r="BF386" s="302"/>
      <c r="BG386" s="302"/>
      <c r="BH386" s="302"/>
      <c r="BI386" s="302"/>
      <c r="BJ386" s="302"/>
      <c r="BM386">
        <v>-1.2</v>
      </c>
      <c r="BS386">
        <v>58.9</v>
      </c>
      <c r="BY386">
        <v>50.8</v>
      </c>
      <c r="CA386">
        <v>17.8</v>
      </c>
      <c r="CC386">
        <v>20.7</v>
      </c>
      <c r="CI386">
        <v>5.7</v>
      </c>
      <c r="CO386" t="s">
        <v>8698</v>
      </c>
      <c r="CR386">
        <v>2</v>
      </c>
      <c r="CT386" s="304" t="s">
        <v>11678</v>
      </c>
    </row>
    <row r="387" spans="1:98" s="304" customFormat="1">
      <c r="A387" s="304" t="s">
        <v>8506</v>
      </c>
      <c r="B387" s="463">
        <v>107</v>
      </c>
      <c r="C387" s="296" t="s">
        <v>7725</v>
      </c>
      <c r="D387" s="296" t="s">
        <v>7551</v>
      </c>
      <c r="E387" s="296" t="s">
        <v>7725</v>
      </c>
      <c r="F387" s="296"/>
      <c r="G387" s="296" t="s">
        <v>8506</v>
      </c>
      <c r="H387" s="297" t="s">
        <v>8697</v>
      </c>
      <c r="I387" s="297">
        <v>1</v>
      </c>
      <c r="J387" s="297">
        <v>1293</v>
      </c>
      <c r="K387" s="299"/>
      <c r="L387" s="299"/>
      <c r="M387" s="299">
        <v>61</v>
      </c>
      <c r="N387" s="299">
        <v>5</v>
      </c>
      <c r="O387" s="300">
        <v>57</v>
      </c>
      <c r="P387" s="301">
        <v>42090</v>
      </c>
      <c r="Q387" s="302"/>
      <c r="R387" s="303"/>
      <c r="S387" s="289">
        <v>5.05</v>
      </c>
      <c r="T387" s="303">
        <v>42208</v>
      </c>
      <c r="U387" s="302"/>
      <c r="V387" s="303"/>
      <c r="W387" s="302"/>
      <c r="X387" s="303"/>
      <c r="Y387" s="302">
        <v>18.579999999999998</v>
      </c>
      <c r="Z387" s="303">
        <v>42208</v>
      </c>
      <c r="AA387">
        <v>14.4</v>
      </c>
      <c r="AB387" s="303"/>
      <c r="AC387" s="302"/>
      <c r="AD387" s="303"/>
      <c r="AE387" s="302"/>
      <c r="AF387" s="303"/>
      <c r="AG387">
        <v>61994.684829059821</v>
      </c>
      <c r="AH387" s="521">
        <f>(AK387*10000)/AM387</f>
        <v>61994.684829059821</v>
      </c>
      <c r="AI387" s="302"/>
      <c r="AJ387" s="303"/>
      <c r="AK387">
        <v>32.237236111111109</v>
      </c>
      <c r="AL387" s="521"/>
      <c r="AM387">
        <v>5.2</v>
      </c>
      <c r="AN387" s="303">
        <v>42244</v>
      </c>
      <c r="AO387">
        <v>130</v>
      </c>
      <c r="AP387" s="303">
        <v>42170</v>
      </c>
      <c r="AQ387" s="302"/>
      <c r="AR387" s="303"/>
      <c r="AS387" s="302"/>
      <c r="AT387" s="303"/>
      <c r="AU387">
        <v>110</v>
      </c>
      <c r="AV387" s="303"/>
      <c r="AW387" s="302"/>
      <c r="AX387" s="302"/>
      <c r="AY387" s="302"/>
      <c r="AZ387" s="303"/>
      <c r="BA387" s="302"/>
      <c r="BB387" s="302"/>
      <c r="BC387" s="302"/>
      <c r="BD387" s="302"/>
      <c r="BE387" s="302"/>
      <c r="BF387" s="302"/>
      <c r="BG387" s="302"/>
      <c r="BH387" s="302"/>
      <c r="BI387" s="302"/>
      <c r="BJ387" s="302"/>
      <c r="BM387">
        <v>0.9</v>
      </c>
      <c r="BS387">
        <v>56.5</v>
      </c>
      <c r="BY387">
        <v>51.4</v>
      </c>
      <c r="CA387">
        <v>16.5</v>
      </c>
      <c r="CC387">
        <v>14.3</v>
      </c>
      <c r="CI387">
        <v>6.2</v>
      </c>
      <c r="CO387" t="s">
        <v>8698</v>
      </c>
      <c r="CR387">
        <v>3</v>
      </c>
      <c r="CT387" s="304" t="s">
        <v>11678</v>
      </c>
    </row>
    <row r="388" spans="1:98" s="304" customFormat="1">
      <c r="A388" s="304" t="s">
        <v>8506</v>
      </c>
      <c r="B388" s="463">
        <v>143</v>
      </c>
      <c r="C388" s="296" t="s">
        <v>7771</v>
      </c>
      <c r="D388" s="296" t="s">
        <v>7572</v>
      </c>
      <c r="E388" s="296" t="s">
        <v>7771</v>
      </c>
      <c r="F388" s="296"/>
      <c r="G388" s="296" t="s">
        <v>8506</v>
      </c>
      <c r="H388" s="466" t="s">
        <v>8696</v>
      </c>
      <c r="I388" s="297">
        <v>1</v>
      </c>
      <c r="J388" s="297">
        <v>1173</v>
      </c>
      <c r="K388" s="299"/>
      <c r="L388" s="299"/>
      <c r="M388" s="299">
        <v>61</v>
      </c>
      <c r="N388" s="299">
        <v>3</v>
      </c>
      <c r="O388" s="300">
        <v>50</v>
      </c>
      <c r="P388" s="301">
        <v>42090</v>
      </c>
      <c r="Q388" s="302"/>
      <c r="R388" s="303"/>
      <c r="S388" s="289">
        <v>6.45</v>
      </c>
      <c r="T388" s="303">
        <v>42208</v>
      </c>
      <c r="U388" s="302"/>
      <c r="V388" s="303"/>
      <c r="W388" s="302"/>
      <c r="X388" s="303"/>
      <c r="Y388" s="302">
        <v>23.56</v>
      </c>
      <c r="Z388" s="303">
        <v>42208</v>
      </c>
      <c r="AA388">
        <v>14.4</v>
      </c>
      <c r="AB388" s="303"/>
      <c r="AC388" s="302"/>
      <c r="AD388" s="303"/>
      <c r="AE388" s="302"/>
      <c r="AF388" s="303"/>
      <c r="AG388">
        <v>84566.666666666672</v>
      </c>
      <c r="AH388" s="521">
        <f>(AK388*10000)/AM388</f>
        <v>84566.666666666672</v>
      </c>
      <c r="AI388" s="302"/>
      <c r="AJ388" s="303"/>
      <c r="AK388">
        <v>41.437666666666672</v>
      </c>
      <c r="AL388" s="521"/>
      <c r="AM388">
        <v>4.9000000000000004</v>
      </c>
      <c r="AN388" s="303">
        <v>42244</v>
      </c>
      <c r="AO388">
        <v>160</v>
      </c>
      <c r="AP388" s="303">
        <v>42170</v>
      </c>
      <c r="AQ388" s="302"/>
      <c r="AR388" s="303"/>
      <c r="AS388" s="302"/>
      <c r="AT388" s="303"/>
      <c r="AU388">
        <v>108</v>
      </c>
      <c r="AV388" s="303"/>
      <c r="AW388" s="302"/>
      <c r="AX388" s="302"/>
      <c r="AY388" s="302"/>
      <c r="AZ388" s="303"/>
      <c r="BA388" s="302"/>
      <c r="BB388" s="302"/>
      <c r="BC388" s="302"/>
      <c r="BD388" s="302"/>
      <c r="BE388" s="302"/>
      <c r="BF388" s="302"/>
      <c r="BG388" s="302"/>
      <c r="BH388" s="302"/>
      <c r="BI388" s="302"/>
      <c r="BJ388" s="302"/>
      <c r="BM388">
        <v>-0.1</v>
      </c>
      <c r="BS388">
        <v>59.9</v>
      </c>
      <c r="BY388">
        <v>50.7</v>
      </c>
      <c r="CA388">
        <v>18.100000000000001</v>
      </c>
      <c r="CC388">
        <v>16.600000000000001</v>
      </c>
      <c r="CI388">
        <v>5.6</v>
      </c>
      <c r="CO388" t="s">
        <v>11679</v>
      </c>
      <c r="CR388">
        <v>2</v>
      </c>
      <c r="CT388" s="304" t="s">
        <v>11678</v>
      </c>
    </row>
    <row r="389" spans="1:98" s="304" customFormat="1">
      <c r="A389" s="304" t="s">
        <v>8506</v>
      </c>
      <c r="B389" s="463">
        <v>175</v>
      </c>
      <c r="C389" s="296" t="s">
        <v>7803</v>
      </c>
      <c r="D389" s="296" t="s">
        <v>7844</v>
      </c>
      <c r="E389" s="296" t="s">
        <v>7803</v>
      </c>
      <c r="F389" s="296"/>
      <c r="G389" s="296" t="s">
        <v>8506</v>
      </c>
      <c r="H389" s="297" t="s">
        <v>8697</v>
      </c>
      <c r="I389" s="297">
        <v>1</v>
      </c>
      <c r="J389" s="297">
        <v>1353</v>
      </c>
      <c r="K389" s="299"/>
      <c r="L389" s="299"/>
      <c r="M389" s="299">
        <v>61</v>
      </c>
      <c r="N389" s="299">
        <v>6</v>
      </c>
      <c r="O389" s="300">
        <v>36</v>
      </c>
      <c r="P389" s="301">
        <v>42090</v>
      </c>
      <c r="Q389" s="302"/>
      <c r="R389" s="303"/>
      <c r="S389" s="289">
        <v>6.85</v>
      </c>
      <c r="T389" s="303">
        <v>42208</v>
      </c>
      <c r="U389" s="302"/>
      <c r="V389" s="303"/>
      <c r="W389" s="302"/>
      <c r="X389" s="303"/>
      <c r="Y389" s="302">
        <v>25.38</v>
      </c>
      <c r="Z389" s="303">
        <v>42208</v>
      </c>
      <c r="AA389">
        <v>14.4</v>
      </c>
      <c r="AB389" s="303"/>
      <c r="AC389" s="302"/>
      <c r="AD389" s="303"/>
      <c r="AE389" s="302"/>
      <c r="AF389" s="303"/>
      <c r="AG389">
        <v>85832.066993464061</v>
      </c>
      <c r="AH389" s="521">
        <f>(AK389*10000)/AM389</f>
        <v>85832.066993464061</v>
      </c>
      <c r="AI389" s="302"/>
      <c r="AJ389" s="303"/>
      <c r="AK389">
        <v>43.774354166666669</v>
      </c>
      <c r="AL389" s="521"/>
      <c r="AM389">
        <v>5.0999999999999996</v>
      </c>
      <c r="AN389" s="303">
        <v>42244</v>
      </c>
      <c r="AO389">
        <v>140</v>
      </c>
      <c r="AP389" s="303">
        <v>42170</v>
      </c>
      <c r="AQ389" s="302"/>
      <c r="AR389" s="303"/>
      <c r="AS389" s="302"/>
      <c r="AT389" s="303"/>
      <c r="AU389">
        <v>107</v>
      </c>
      <c r="AV389" s="303"/>
      <c r="AW389" s="302"/>
      <c r="AX389" s="302"/>
      <c r="AY389" s="302"/>
      <c r="AZ389" s="303"/>
      <c r="BA389" s="302"/>
      <c r="BB389" s="302"/>
      <c r="BC389" s="302"/>
      <c r="BD389" s="302"/>
      <c r="BE389" s="302"/>
      <c r="BF389" s="302"/>
      <c r="BG389" s="302"/>
      <c r="BH389" s="302"/>
      <c r="BI389" s="302"/>
      <c r="BJ389" s="302"/>
      <c r="BM389">
        <v>-0.2</v>
      </c>
      <c r="BS389">
        <v>55.2</v>
      </c>
      <c r="BY389">
        <v>51.7</v>
      </c>
      <c r="CA389">
        <v>16.8</v>
      </c>
      <c r="CC389">
        <v>16.5</v>
      </c>
      <c r="CI389">
        <v>6.1</v>
      </c>
      <c r="CO389" t="s">
        <v>8698</v>
      </c>
      <c r="CR389">
        <v>1</v>
      </c>
      <c r="CT389" s="304" t="s">
        <v>11678</v>
      </c>
    </row>
    <row r="390" spans="1:98" s="304" customFormat="1">
      <c r="A390" s="304" t="s">
        <v>8506</v>
      </c>
      <c r="B390" s="463">
        <v>179</v>
      </c>
      <c r="C390" s="296" t="s">
        <v>7807</v>
      </c>
      <c r="D390" s="296" t="s">
        <v>7604</v>
      </c>
      <c r="E390" s="296" t="s">
        <v>7807</v>
      </c>
      <c r="F390" s="296"/>
      <c r="G390" s="296" t="s">
        <v>8506</v>
      </c>
      <c r="H390" s="297" t="s">
        <v>8697</v>
      </c>
      <c r="I390" s="297">
        <v>1</v>
      </c>
      <c r="J390" s="308">
        <v>153</v>
      </c>
      <c r="K390" s="299"/>
      <c r="L390" s="299"/>
      <c r="M390" s="299">
        <v>61</v>
      </c>
      <c r="N390" s="299">
        <v>1</v>
      </c>
      <c r="O390" s="300">
        <v>31</v>
      </c>
      <c r="P390" s="301">
        <v>42090</v>
      </c>
      <c r="Q390" s="306"/>
      <c r="R390" s="303"/>
      <c r="S390" s="289">
        <v>5.55</v>
      </c>
      <c r="T390" s="303">
        <v>42208</v>
      </c>
      <c r="U390" s="307"/>
      <c r="V390" s="303"/>
      <c r="W390" s="306"/>
      <c r="X390" s="303"/>
      <c r="Y390" s="306">
        <v>21.52</v>
      </c>
      <c r="Z390" s="303">
        <v>42208</v>
      </c>
      <c r="AA390">
        <v>14.4</v>
      </c>
      <c r="AB390" s="303"/>
      <c r="AC390" s="306"/>
      <c r="AD390" s="303"/>
      <c r="AE390" s="302"/>
      <c r="AF390" s="303"/>
      <c r="AG390">
        <v>77265.987318840562</v>
      </c>
      <c r="AH390" s="521">
        <f>(AK390*10000)/AM390</f>
        <v>77265.987318840562</v>
      </c>
      <c r="AI390" s="302"/>
      <c r="AJ390" s="303"/>
      <c r="AK390">
        <v>35.542354166666655</v>
      </c>
      <c r="AL390" s="521"/>
      <c r="AM390">
        <v>4.5999999999999996</v>
      </c>
      <c r="AN390" s="303">
        <v>42244</v>
      </c>
      <c r="AO390">
        <v>140</v>
      </c>
      <c r="AP390" s="303">
        <v>42170</v>
      </c>
      <c r="AQ390" s="306"/>
      <c r="AR390" s="303"/>
      <c r="AS390" s="306"/>
      <c r="AT390" s="303"/>
      <c r="AU390">
        <v>108</v>
      </c>
      <c r="AV390" s="303"/>
      <c r="AW390" s="302"/>
      <c r="AX390" s="302"/>
      <c r="AY390" s="302"/>
      <c r="AZ390" s="303"/>
      <c r="BA390" s="302"/>
      <c r="BB390" s="302"/>
      <c r="BC390" s="302"/>
      <c r="BD390" s="302"/>
      <c r="BE390" s="302"/>
      <c r="BF390" s="302"/>
      <c r="BG390" s="302"/>
      <c r="BH390" s="302"/>
      <c r="BI390" s="302"/>
      <c r="BJ390" s="302"/>
      <c r="BM390">
        <v>-7.3</v>
      </c>
      <c r="BS390">
        <v>66.8</v>
      </c>
      <c r="BY390">
        <v>54</v>
      </c>
      <c r="CA390">
        <v>13.7</v>
      </c>
      <c r="CC390">
        <v>15.8</v>
      </c>
      <c r="CI390">
        <v>5.9</v>
      </c>
      <c r="CO390" t="s">
        <v>8698</v>
      </c>
      <c r="CR390">
        <v>1</v>
      </c>
      <c r="CT390" s="304" t="s">
        <v>11678</v>
      </c>
    </row>
    <row r="391" spans="1:98" s="304" customFormat="1">
      <c r="A391" s="304" t="s">
        <v>8506</v>
      </c>
      <c r="B391" s="463">
        <v>7</v>
      </c>
      <c r="C391" s="296" t="s">
        <v>7616</v>
      </c>
      <c r="D391" s="296" t="s">
        <v>7456</v>
      </c>
      <c r="E391" s="296" t="s">
        <v>7616</v>
      </c>
      <c r="F391" s="296"/>
      <c r="G391" s="296" t="s">
        <v>8506</v>
      </c>
      <c r="H391" s="297" t="s">
        <v>8696</v>
      </c>
      <c r="I391" s="297">
        <v>2</v>
      </c>
      <c r="J391" s="297">
        <v>2234</v>
      </c>
      <c r="K391" s="299"/>
      <c r="L391" s="299"/>
      <c r="M391" s="299">
        <v>62</v>
      </c>
      <c r="N391" s="299">
        <v>10</v>
      </c>
      <c r="O391" s="300">
        <v>66</v>
      </c>
      <c r="P391" s="301">
        <v>42090</v>
      </c>
      <c r="Q391" s="302"/>
      <c r="R391" s="303"/>
      <c r="S391" s="289">
        <v>4.8499999999999996</v>
      </c>
      <c r="T391" s="303">
        <v>42208</v>
      </c>
      <c r="U391" s="302"/>
      <c r="V391" s="303"/>
      <c r="W391" s="302"/>
      <c r="X391" s="303"/>
      <c r="Y391" s="302">
        <v>16.97</v>
      </c>
      <c r="Z391" s="303">
        <v>42208</v>
      </c>
      <c r="AA391">
        <v>14.4</v>
      </c>
      <c r="AB391" s="303"/>
      <c r="AC391" s="302"/>
      <c r="AD391" s="303"/>
      <c r="AE391" s="302"/>
      <c r="AF391" s="303"/>
      <c r="AG391">
        <v>62383.124999999985</v>
      </c>
      <c r="AH391" s="521">
        <f>(AK391*10000)/AM391</f>
        <v>62383.124999999985</v>
      </c>
      <c r="AI391" s="302"/>
      <c r="AJ391" s="303"/>
      <c r="AK391">
        <v>31.191562499999993</v>
      </c>
      <c r="AL391" s="521"/>
      <c r="AM391">
        <v>5</v>
      </c>
      <c r="AN391" s="303">
        <v>42244</v>
      </c>
      <c r="AO391">
        <v>125</v>
      </c>
      <c r="AP391" s="303">
        <v>42170</v>
      </c>
      <c r="AQ391" s="302"/>
      <c r="AR391" s="303"/>
      <c r="AS391" s="302"/>
      <c r="AT391" s="303"/>
      <c r="AU391">
        <v>106</v>
      </c>
      <c r="AV391" s="303"/>
      <c r="AW391" s="302"/>
      <c r="AX391" s="302"/>
      <c r="AY391" s="302"/>
      <c r="AZ391" s="303"/>
      <c r="BA391" s="302"/>
      <c r="BB391" s="302"/>
      <c r="BC391" s="302"/>
      <c r="BD391" s="302"/>
      <c r="BE391" s="302"/>
      <c r="BF391" s="302"/>
      <c r="BG391" s="302"/>
      <c r="BH391" s="302"/>
      <c r="BI391" s="302"/>
      <c r="BJ391" s="302"/>
      <c r="BM391">
        <v>40.799999999999997</v>
      </c>
      <c r="BS391">
        <v>12</v>
      </c>
      <c r="BY391">
        <v>48.5</v>
      </c>
      <c r="CA391">
        <v>21.2</v>
      </c>
      <c r="CC391">
        <v>72.3</v>
      </c>
      <c r="CI391">
        <v>5.5</v>
      </c>
      <c r="CO391" t="s">
        <v>8698</v>
      </c>
      <c r="CR391">
        <v>2</v>
      </c>
      <c r="CT391" s="304" t="s">
        <v>11678</v>
      </c>
    </row>
    <row r="392" spans="1:98" s="304" customFormat="1">
      <c r="A392" s="304" t="s">
        <v>8506</v>
      </c>
      <c r="B392" s="463">
        <v>27</v>
      </c>
      <c r="C392" s="296" t="s">
        <v>7639</v>
      </c>
      <c r="D392" s="296" t="s">
        <v>7815</v>
      </c>
      <c r="E392" s="296" t="s">
        <v>7639</v>
      </c>
      <c r="F392" s="296"/>
      <c r="G392" s="296" t="s">
        <v>8506</v>
      </c>
      <c r="H392" s="297" t="s">
        <v>8697</v>
      </c>
      <c r="I392" s="297">
        <v>1</v>
      </c>
      <c r="J392" s="297">
        <v>154</v>
      </c>
      <c r="K392" s="299"/>
      <c r="L392" s="299"/>
      <c r="M392" s="299">
        <v>62</v>
      </c>
      <c r="N392" s="299">
        <v>1</v>
      </c>
      <c r="O392" s="300">
        <v>12</v>
      </c>
      <c r="P392" s="301">
        <v>42090</v>
      </c>
      <c r="Q392" s="302"/>
      <c r="R392" s="303"/>
      <c r="S392" s="289"/>
      <c r="T392" s="303"/>
      <c r="U392" s="302"/>
      <c r="V392" s="303"/>
      <c r="W392" s="302"/>
      <c r="X392" s="303"/>
      <c r="Y392" s="302"/>
      <c r="Z392" s="303"/>
      <c r="AA392"/>
      <c r="AB392" s="303"/>
      <c r="AC392" s="302"/>
      <c r="AD392" s="303"/>
      <c r="AE392" s="302"/>
      <c r="AF392" s="303"/>
      <c r="AG392" t="e">
        <v>#DIV/0!</v>
      </c>
      <c r="AH392" s="521" t="e">
        <f>(AK392*10000)/AM392</f>
        <v>#DIV/0!</v>
      </c>
      <c r="AI392" s="302"/>
      <c r="AJ392" s="303"/>
      <c r="AK392" t="e">
        <v>#DIV/0!</v>
      </c>
      <c r="AL392" s="521"/>
      <c r="AM392"/>
      <c r="AN392" s="303"/>
      <c r="AO392"/>
      <c r="AP392" s="303"/>
      <c r="AQ392" s="302"/>
      <c r="AR392" s="303"/>
      <c r="AS392" s="302"/>
      <c r="AT392" s="303"/>
      <c r="AU392"/>
      <c r="AV392" s="303"/>
      <c r="AW392" s="302"/>
      <c r="AX392" s="302"/>
      <c r="AY392" s="302"/>
      <c r="AZ392" s="303"/>
      <c r="BA392" s="302"/>
      <c r="BB392" s="302"/>
      <c r="BC392" s="302"/>
      <c r="BD392" s="302"/>
      <c r="BE392" s="302"/>
      <c r="BF392" s="302"/>
      <c r="BG392" s="302"/>
      <c r="BH392" s="302"/>
      <c r="BI392" s="302"/>
      <c r="BJ392" s="302"/>
      <c r="BM392"/>
      <c r="BS392"/>
      <c r="BY392"/>
      <c r="CA392"/>
      <c r="CC392"/>
      <c r="CI392"/>
      <c r="CO392" t="s">
        <v>8698</v>
      </c>
      <c r="CR392"/>
      <c r="CT392" s="304" t="s">
        <v>11678</v>
      </c>
    </row>
    <row r="393" spans="1:98" s="304" customFormat="1">
      <c r="A393" s="304" t="s">
        <v>8506</v>
      </c>
      <c r="B393" s="463">
        <v>42</v>
      </c>
      <c r="C393" s="296" t="s">
        <v>7659</v>
      </c>
      <c r="D393" s="296" t="s">
        <v>7492</v>
      </c>
      <c r="E393" s="296" t="s">
        <v>7659</v>
      </c>
      <c r="F393" s="296"/>
      <c r="G393" s="296" t="s">
        <v>8506</v>
      </c>
      <c r="H393" s="297" t="s">
        <v>8697</v>
      </c>
      <c r="I393" s="297">
        <v>1</v>
      </c>
      <c r="J393" s="297">
        <v>1294</v>
      </c>
      <c r="K393" s="299"/>
      <c r="L393" s="299"/>
      <c r="M393" s="299">
        <v>62</v>
      </c>
      <c r="N393" s="299">
        <v>5</v>
      </c>
      <c r="O393" s="300">
        <v>27</v>
      </c>
      <c r="P393" s="301">
        <v>42090</v>
      </c>
      <c r="Q393" s="302"/>
      <c r="R393" s="303"/>
      <c r="S393" s="289">
        <v>4.7</v>
      </c>
      <c r="T393" s="303">
        <v>42208</v>
      </c>
      <c r="U393" s="302"/>
      <c r="V393" s="303"/>
      <c r="W393" s="302"/>
      <c r="X393" s="303"/>
      <c r="Y393" s="302">
        <v>17.64</v>
      </c>
      <c r="Z393" s="303">
        <v>42208</v>
      </c>
      <c r="AA393">
        <v>14.4</v>
      </c>
      <c r="AB393" s="303"/>
      <c r="AC393" s="302"/>
      <c r="AD393" s="303"/>
      <c r="AE393" s="302"/>
      <c r="AF393" s="303"/>
      <c r="AG393">
        <v>68479.356060606064</v>
      </c>
      <c r="AH393" s="521">
        <f>(AK393*10000)/AM393</f>
        <v>68479.356060606064</v>
      </c>
      <c r="AI393" s="302"/>
      <c r="AJ393" s="303"/>
      <c r="AK393">
        <v>30.130916666666668</v>
      </c>
      <c r="AL393" s="521"/>
      <c r="AM393">
        <v>4.4000000000000004</v>
      </c>
      <c r="AN393" s="303">
        <v>42244</v>
      </c>
      <c r="AO393">
        <v>135</v>
      </c>
      <c r="AP393" s="303">
        <v>42170</v>
      </c>
      <c r="AQ393" s="302"/>
      <c r="AR393" s="303"/>
      <c r="AS393" s="302"/>
      <c r="AT393" s="303"/>
      <c r="AU393">
        <v>112</v>
      </c>
      <c r="AV393" s="303"/>
      <c r="AW393" s="302"/>
      <c r="AX393" s="302"/>
      <c r="AY393" s="302"/>
      <c r="AZ393" s="303"/>
      <c r="BA393" s="302"/>
      <c r="BB393" s="302"/>
      <c r="BC393" s="302"/>
      <c r="BD393" s="302"/>
      <c r="BE393" s="302"/>
      <c r="BF393" s="302"/>
      <c r="BG393" s="302"/>
      <c r="BH393" s="302"/>
      <c r="BI393" s="302"/>
      <c r="BJ393" s="302"/>
      <c r="BM393">
        <v>-3.4</v>
      </c>
      <c r="BS393">
        <v>61.9</v>
      </c>
      <c r="BY393">
        <v>52.2</v>
      </c>
      <c r="CA393">
        <v>15.8</v>
      </c>
      <c r="CC393">
        <v>11.5</v>
      </c>
      <c r="CI393">
        <v>5.8</v>
      </c>
      <c r="CO393" t="s">
        <v>8698</v>
      </c>
      <c r="CR393">
        <v>2</v>
      </c>
      <c r="CT393" s="304" t="s">
        <v>11678</v>
      </c>
    </row>
    <row r="394" spans="1:98" s="304" customFormat="1">
      <c r="A394" s="304" t="s">
        <v>8506</v>
      </c>
      <c r="B394" s="463">
        <v>85</v>
      </c>
      <c r="C394" s="296" t="s">
        <v>7703</v>
      </c>
      <c r="D394" s="296" t="s">
        <v>7532</v>
      </c>
      <c r="E394" s="296" t="s">
        <v>7703</v>
      </c>
      <c r="F394" s="296"/>
      <c r="G394" s="296" t="s">
        <v>8506</v>
      </c>
      <c r="H394" s="466" t="s">
        <v>8696</v>
      </c>
      <c r="I394" s="297">
        <v>1</v>
      </c>
      <c r="J394" s="297">
        <v>1174</v>
      </c>
      <c r="K394" s="299"/>
      <c r="L394" s="299"/>
      <c r="M394" s="299">
        <v>62</v>
      </c>
      <c r="N394" s="299">
        <v>3</v>
      </c>
      <c r="O394" s="300">
        <v>32</v>
      </c>
      <c r="P394" s="301">
        <v>42090</v>
      </c>
      <c r="Q394" s="302"/>
      <c r="R394" s="303"/>
      <c r="S394" s="289">
        <v>5.45</v>
      </c>
      <c r="T394" s="303">
        <v>42208</v>
      </c>
      <c r="U394" s="302"/>
      <c r="V394" s="303"/>
      <c r="W394" s="302"/>
      <c r="X394" s="303"/>
      <c r="Y394" s="302">
        <v>19.02</v>
      </c>
      <c r="Z394" s="303">
        <v>42208</v>
      </c>
      <c r="AA394">
        <v>14.4</v>
      </c>
      <c r="AB394" s="303"/>
      <c r="AC394" s="302"/>
      <c r="AD394" s="303"/>
      <c r="AE394" s="302"/>
      <c r="AF394" s="303"/>
      <c r="AG394">
        <v>71228.472222222204</v>
      </c>
      <c r="AH394" s="521">
        <f>(AK394*10000)/AM394</f>
        <v>71228.472222222204</v>
      </c>
      <c r="AI394" s="302"/>
      <c r="AJ394" s="303"/>
      <c r="AK394">
        <v>34.901951388888882</v>
      </c>
      <c r="AL394" s="521"/>
      <c r="AM394">
        <v>4.9000000000000004</v>
      </c>
      <c r="AN394" s="303">
        <v>42244</v>
      </c>
      <c r="AO394">
        <v>150</v>
      </c>
      <c r="AP394" s="303">
        <v>42170</v>
      </c>
      <c r="AQ394" s="302"/>
      <c r="AR394" s="303"/>
      <c r="AS394" s="302"/>
      <c r="AT394" s="303"/>
      <c r="AU394">
        <v>105</v>
      </c>
      <c r="AV394" s="303"/>
      <c r="AW394" s="302"/>
      <c r="AX394" s="302"/>
      <c r="AY394" s="302"/>
      <c r="AZ394" s="303"/>
      <c r="BA394" s="302"/>
      <c r="BB394" s="302"/>
      <c r="BC394" s="302"/>
      <c r="BD394" s="302"/>
      <c r="BE394" s="302"/>
      <c r="BF394" s="302"/>
      <c r="BG394" s="302"/>
      <c r="BH394" s="302"/>
      <c r="BI394" s="302"/>
      <c r="BJ394" s="302"/>
      <c r="BM394">
        <v>-1.4</v>
      </c>
      <c r="BS394">
        <v>58.2</v>
      </c>
      <c r="BY394">
        <v>48.6</v>
      </c>
      <c r="CA394">
        <v>20.7</v>
      </c>
      <c r="CC394">
        <v>16.399999999999999</v>
      </c>
      <c r="CI394">
        <v>5.9</v>
      </c>
      <c r="CO394" t="s">
        <v>11679</v>
      </c>
      <c r="CR394">
        <v>5</v>
      </c>
      <c r="CT394" s="304" t="s">
        <v>11678</v>
      </c>
    </row>
    <row r="395" spans="1:98" s="304" customFormat="1">
      <c r="A395" s="304" t="s">
        <v>8506</v>
      </c>
      <c r="B395" s="463">
        <v>121</v>
      </c>
      <c r="C395" s="296" t="s">
        <v>7742</v>
      </c>
      <c r="D395" s="296" t="s">
        <v>7826</v>
      </c>
      <c r="E395" s="296" t="s">
        <v>7742</v>
      </c>
      <c r="F395" s="296"/>
      <c r="G395" s="296" t="s">
        <v>8506</v>
      </c>
      <c r="H395" s="297" t="s">
        <v>8697</v>
      </c>
      <c r="I395" s="297">
        <v>1</v>
      </c>
      <c r="J395" s="297">
        <v>1354</v>
      </c>
      <c r="K395" s="299"/>
      <c r="L395" s="299"/>
      <c r="M395" s="299">
        <v>62</v>
      </c>
      <c r="N395" s="299">
        <v>6</v>
      </c>
      <c r="O395" s="300">
        <v>50</v>
      </c>
      <c r="P395" s="301">
        <v>42090</v>
      </c>
      <c r="Q395" s="302"/>
      <c r="R395" s="303"/>
      <c r="S395" s="289">
        <v>3.85</v>
      </c>
      <c r="T395" s="303">
        <v>42208</v>
      </c>
      <c r="U395" s="302"/>
      <c r="V395" s="303"/>
      <c r="W395" s="302"/>
      <c r="X395" s="303"/>
      <c r="Y395" s="302">
        <v>13.13</v>
      </c>
      <c r="Z395" s="303">
        <v>42208</v>
      </c>
      <c r="AA395">
        <v>14.4</v>
      </c>
      <c r="AB395" s="303"/>
      <c r="AC395" s="302"/>
      <c r="AD395" s="303"/>
      <c r="AE395" s="302"/>
      <c r="AF395" s="303"/>
      <c r="AG395">
        <v>49206.208333333336</v>
      </c>
      <c r="AH395" s="521">
        <f>(AK395*10000)/AM395</f>
        <v>49206.208333333336</v>
      </c>
      <c r="AI395" s="302"/>
      <c r="AJ395" s="303"/>
      <c r="AK395">
        <v>24.603104166666668</v>
      </c>
      <c r="AL395" s="521"/>
      <c r="AM395">
        <v>5</v>
      </c>
      <c r="AN395" s="303">
        <v>42244</v>
      </c>
      <c r="AO395">
        <v>170</v>
      </c>
      <c r="AP395" s="303">
        <v>42170</v>
      </c>
      <c r="AQ395" s="302"/>
      <c r="AR395" s="303"/>
      <c r="AS395" s="302"/>
      <c r="AT395" s="303"/>
      <c r="AU395">
        <v>110</v>
      </c>
      <c r="AV395" s="303"/>
      <c r="AW395" s="302"/>
      <c r="AX395" s="302"/>
      <c r="AY395" s="302"/>
      <c r="AZ395" s="303"/>
      <c r="BA395" s="302"/>
      <c r="BB395" s="302"/>
      <c r="BC395" s="302"/>
      <c r="BD395" s="302"/>
      <c r="BE395" s="302"/>
      <c r="BF395" s="302"/>
      <c r="BG395" s="302"/>
      <c r="BH395" s="302"/>
      <c r="BI395" s="302"/>
      <c r="BJ395" s="302"/>
      <c r="BM395">
        <v>41.2</v>
      </c>
      <c r="BS395">
        <v>12.7</v>
      </c>
      <c r="BY395">
        <v>47.6</v>
      </c>
      <c r="CA395">
        <v>22.4</v>
      </c>
      <c r="CC395">
        <v>70.900000000000006</v>
      </c>
      <c r="CI395">
        <v>6.1</v>
      </c>
      <c r="CO395" t="s">
        <v>8700</v>
      </c>
      <c r="CR395">
        <v>4</v>
      </c>
      <c r="CT395" s="304" t="s">
        <v>11678</v>
      </c>
    </row>
    <row r="396" spans="1:98" s="304" customFormat="1">
      <c r="A396" s="304" t="s">
        <v>8506</v>
      </c>
      <c r="B396" s="463">
        <v>164</v>
      </c>
      <c r="C396" s="296" t="s">
        <v>7792</v>
      </c>
      <c r="D396" s="296" t="s">
        <v>7593</v>
      </c>
      <c r="E396" s="296" t="s">
        <v>7792</v>
      </c>
      <c r="F396" s="296"/>
      <c r="G396" s="296" t="s">
        <v>8506</v>
      </c>
      <c r="H396" s="297" t="s">
        <v>8696</v>
      </c>
      <c r="I396" s="297">
        <v>2</v>
      </c>
      <c r="J396" s="297">
        <v>2294</v>
      </c>
      <c r="K396" s="299"/>
      <c r="L396" s="299"/>
      <c r="M396" s="299">
        <v>62</v>
      </c>
      <c r="N396" s="299">
        <v>11</v>
      </c>
      <c r="O396" s="300">
        <v>52</v>
      </c>
      <c r="P396" s="301">
        <v>42090</v>
      </c>
      <c r="Q396" s="302"/>
      <c r="R396" s="303"/>
      <c r="S396" s="289">
        <v>6.5</v>
      </c>
      <c r="T396" s="303">
        <v>42208</v>
      </c>
      <c r="U396" s="302"/>
      <c r="V396" s="303"/>
      <c r="W396" s="302"/>
      <c r="X396" s="303"/>
      <c r="Y396" s="302">
        <v>23.71</v>
      </c>
      <c r="Z396" s="303">
        <v>42208</v>
      </c>
      <c r="AA396">
        <v>14.4</v>
      </c>
      <c r="AB396" s="303"/>
      <c r="AC396" s="302"/>
      <c r="AD396" s="303"/>
      <c r="AE396" s="302"/>
      <c r="AF396" s="303"/>
      <c r="AG396">
        <v>83252.361111111095</v>
      </c>
      <c r="AH396" s="521">
        <f>(AK396*10000)/AM396</f>
        <v>83252.361111111095</v>
      </c>
      <c r="AI396" s="302"/>
      <c r="AJ396" s="303"/>
      <c r="AK396">
        <v>41.62618055555555</v>
      </c>
      <c r="AL396" s="521"/>
      <c r="AM396">
        <v>5</v>
      </c>
      <c r="AN396" s="303">
        <v>42244</v>
      </c>
      <c r="AO396">
        <v>125</v>
      </c>
      <c r="AP396" s="303">
        <v>42170</v>
      </c>
      <c r="AQ396" s="302"/>
      <c r="AR396" s="303"/>
      <c r="AS396" s="302"/>
      <c r="AT396" s="303"/>
      <c r="AU396">
        <v>109</v>
      </c>
      <c r="AV396" s="303"/>
      <c r="AW396" s="302"/>
      <c r="AX396" s="302"/>
      <c r="AY396" s="302"/>
      <c r="AZ396" s="303"/>
      <c r="BA396" s="302"/>
      <c r="BB396" s="302"/>
      <c r="BC396" s="302"/>
      <c r="BD396" s="302"/>
      <c r="BE396" s="302"/>
      <c r="BF396" s="302"/>
      <c r="BG396" s="302"/>
      <c r="BH396" s="302"/>
      <c r="BI396" s="302"/>
      <c r="BJ396" s="302"/>
      <c r="BM396">
        <v>-3.8</v>
      </c>
      <c r="BS396">
        <v>62.1</v>
      </c>
      <c r="BY396">
        <v>50.8</v>
      </c>
      <c r="CA396">
        <v>17.5</v>
      </c>
      <c r="CC396">
        <v>14.4</v>
      </c>
      <c r="CI396">
        <v>5.9</v>
      </c>
      <c r="CO396" t="s">
        <v>8698</v>
      </c>
      <c r="CR396">
        <v>2</v>
      </c>
      <c r="CT396" s="304" t="s">
        <v>11678</v>
      </c>
    </row>
    <row r="397" spans="1:98" s="304" customFormat="1">
      <c r="A397" s="304" t="s">
        <v>8506</v>
      </c>
      <c r="B397" s="463">
        <v>171</v>
      </c>
      <c r="C397" s="296" t="s">
        <v>7799</v>
      </c>
      <c r="D397" s="296" t="s">
        <v>7600</v>
      </c>
      <c r="E397" s="296" t="s">
        <v>7799</v>
      </c>
      <c r="F397" s="296"/>
      <c r="G397" s="296" t="s">
        <v>8506</v>
      </c>
      <c r="H397" s="466" t="s">
        <v>8696</v>
      </c>
      <c r="I397" s="297">
        <v>1</v>
      </c>
      <c r="J397" s="297">
        <v>1234</v>
      </c>
      <c r="K397" s="299"/>
      <c r="L397" s="299"/>
      <c r="M397" s="299">
        <v>62</v>
      </c>
      <c r="N397" s="299">
        <v>4</v>
      </c>
      <c r="O397" s="300">
        <v>52</v>
      </c>
      <c r="P397" s="301">
        <v>42090</v>
      </c>
      <c r="Q397" s="302"/>
      <c r="R397" s="303"/>
      <c r="S397" s="289">
        <v>6.25</v>
      </c>
      <c r="T397" s="303">
        <v>42208</v>
      </c>
      <c r="U397" s="302"/>
      <c r="V397" s="303"/>
      <c r="W397" s="302"/>
      <c r="X397" s="303"/>
      <c r="Y397" s="302">
        <v>23.18</v>
      </c>
      <c r="Z397" s="303">
        <v>42208</v>
      </c>
      <c r="AA397">
        <v>14.4</v>
      </c>
      <c r="AB397" s="303"/>
      <c r="AC397" s="302"/>
      <c r="AD397" s="303"/>
      <c r="AE397" s="302"/>
      <c r="AF397" s="303"/>
      <c r="AG397">
        <v>81770.833333333343</v>
      </c>
      <c r="AH397" s="521">
        <f>(AK397*10000)/AM397</f>
        <v>81770.833333333343</v>
      </c>
      <c r="AI397" s="302"/>
      <c r="AJ397" s="303"/>
      <c r="AK397">
        <v>40.067708333333343</v>
      </c>
      <c r="AL397" s="521"/>
      <c r="AM397">
        <v>4.9000000000000004</v>
      </c>
      <c r="AN397" s="303">
        <v>42244</v>
      </c>
      <c r="AO397">
        <v>130</v>
      </c>
      <c r="AP397" s="303">
        <v>42170</v>
      </c>
      <c r="AQ397" s="302"/>
      <c r="AR397" s="303"/>
      <c r="AS397" s="302"/>
      <c r="AT397" s="303"/>
      <c r="AU397">
        <v>105</v>
      </c>
      <c r="AV397" s="303"/>
      <c r="AW397" s="302"/>
      <c r="AX397" s="302"/>
      <c r="AY397" s="302"/>
      <c r="AZ397" s="303"/>
      <c r="BA397" s="302"/>
      <c r="BB397" s="302"/>
      <c r="BC397" s="302"/>
      <c r="BD397" s="302"/>
      <c r="BE397" s="302"/>
      <c r="BF397" s="302"/>
      <c r="BG397" s="302"/>
      <c r="BH397" s="302"/>
      <c r="BI397" s="302"/>
      <c r="BJ397" s="302"/>
      <c r="BM397">
        <v>-5.8</v>
      </c>
      <c r="BS397">
        <v>64.099999999999994</v>
      </c>
      <c r="BY397">
        <v>51.6</v>
      </c>
      <c r="CA397">
        <v>17.8</v>
      </c>
      <c r="CC397">
        <v>12</v>
      </c>
      <c r="CI397">
        <v>5.8</v>
      </c>
      <c r="CO397" t="s">
        <v>11679</v>
      </c>
      <c r="CR397">
        <v>2</v>
      </c>
      <c r="CT397" s="304" t="s">
        <v>11678</v>
      </c>
    </row>
    <row r="398" spans="1:98" s="304" customFormat="1">
      <c r="A398" s="304" t="s">
        <v>8506</v>
      </c>
      <c r="B398" s="463">
        <v>68</v>
      </c>
      <c r="C398" s="296" t="s">
        <v>7686</v>
      </c>
      <c r="D398" s="296" t="s">
        <v>262</v>
      </c>
      <c r="E398" s="296" t="s">
        <v>7686</v>
      </c>
      <c r="F398" s="296"/>
      <c r="G398" s="296" t="s">
        <v>8506</v>
      </c>
      <c r="H398" s="297" t="s">
        <v>8696</v>
      </c>
      <c r="I398" s="297">
        <v>2</v>
      </c>
      <c r="J398" s="297">
        <v>2295</v>
      </c>
      <c r="K398" s="299"/>
      <c r="L398" s="299"/>
      <c r="M398" s="299">
        <v>63</v>
      </c>
      <c r="N398" s="299">
        <v>11</v>
      </c>
      <c r="O398" s="300">
        <v>54</v>
      </c>
      <c r="P398" s="301">
        <v>42090</v>
      </c>
      <c r="Q398" s="302"/>
      <c r="R398" s="303"/>
      <c r="S398" s="289">
        <v>5.4</v>
      </c>
      <c r="T398" s="303">
        <v>42208</v>
      </c>
      <c r="U398" s="302"/>
      <c r="V398" s="303"/>
      <c r="W398" s="302"/>
      <c r="X398" s="303"/>
      <c r="Y398" s="302">
        <v>20.03</v>
      </c>
      <c r="Z398" s="303">
        <v>42208</v>
      </c>
      <c r="AA398">
        <v>14.4</v>
      </c>
      <c r="AB398" s="303"/>
      <c r="AC398" s="302"/>
      <c r="AD398" s="303"/>
      <c r="AE398" s="302"/>
      <c r="AF398" s="303"/>
      <c r="AG398">
        <v>80508.13953488374</v>
      </c>
      <c r="AH398" s="521">
        <f>(AK398*10000)/AM398</f>
        <v>80508.13953488374</v>
      </c>
      <c r="AI398" s="302"/>
      <c r="AJ398" s="303"/>
      <c r="AK398">
        <v>34.618500000000004</v>
      </c>
      <c r="AL398" s="521"/>
      <c r="AM398">
        <v>4.3</v>
      </c>
      <c r="AN398" s="303">
        <v>42244</v>
      </c>
      <c r="AO398">
        <v>110</v>
      </c>
      <c r="AP398" s="303">
        <v>42170</v>
      </c>
      <c r="AQ398" s="302"/>
      <c r="AR398" s="303"/>
      <c r="AS398" s="302"/>
      <c r="AT398" s="303"/>
      <c r="AU398">
        <v>106</v>
      </c>
      <c r="AV398" s="303"/>
      <c r="AW398" s="302"/>
      <c r="AX398" s="302"/>
      <c r="AY398" s="302"/>
      <c r="AZ398" s="303"/>
      <c r="BA398" s="302"/>
      <c r="BB398" s="302"/>
      <c r="BC398" s="302"/>
      <c r="BD398" s="302"/>
      <c r="BE398" s="302"/>
      <c r="BF398" s="302"/>
      <c r="BG398" s="302"/>
      <c r="BH398" s="302"/>
      <c r="BI398" s="302"/>
      <c r="BJ398" s="302"/>
      <c r="BM398">
        <v>-4.9000000000000004</v>
      </c>
      <c r="BS398">
        <v>63.8</v>
      </c>
      <c r="BY398">
        <v>51.6</v>
      </c>
      <c r="CA398">
        <v>17.600000000000001</v>
      </c>
      <c r="CC398">
        <v>18</v>
      </c>
      <c r="CI398">
        <v>5.8</v>
      </c>
      <c r="CO398" t="s">
        <v>8698</v>
      </c>
      <c r="CR398">
        <v>2</v>
      </c>
      <c r="CT398" s="304" t="s">
        <v>11678</v>
      </c>
    </row>
    <row r="399" spans="1:98" s="304" customFormat="1">
      <c r="A399" s="304" t="s">
        <v>8506</v>
      </c>
      <c r="B399" s="463">
        <v>71</v>
      </c>
      <c r="C399" s="296" t="s">
        <v>7689</v>
      </c>
      <c r="D399" s="296" t="s">
        <v>7518</v>
      </c>
      <c r="E399" s="296" t="s">
        <v>7689</v>
      </c>
      <c r="F399" s="296"/>
      <c r="G399" s="296" t="s">
        <v>8506</v>
      </c>
      <c r="H399" s="297" t="s">
        <v>8696</v>
      </c>
      <c r="I399" s="297">
        <v>2</v>
      </c>
      <c r="J399" s="308">
        <v>2115</v>
      </c>
      <c r="K399" s="299"/>
      <c r="L399" s="299"/>
      <c r="M399" s="299">
        <v>63</v>
      </c>
      <c r="N399" s="299">
        <v>8</v>
      </c>
      <c r="O399" s="300">
        <v>54</v>
      </c>
      <c r="P399" s="301">
        <v>42090</v>
      </c>
      <c r="Q399" s="306"/>
      <c r="R399" s="303"/>
      <c r="S399" s="289">
        <v>6.2</v>
      </c>
      <c r="T399" s="303">
        <v>42208</v>
      </c>
      <c r="U399" s="307"/>
      <c r="V399" s="303"/>
      <c r="W399" s="306"/>
      <c r="X399" s="303"/>
      <c r="Y399" s="306">
        <v>21.24</v>
      </c>
      <c r="Z399" s="303">
        <v>42208</v>
      </c>
      <c r="AA399">
        <v>14.4</v>
      </c>
      <c r="AB399" s="303"/>
      <c r="AC399" s="306"/>
      <c r="AD399" s="303"/>
      <c r="AE399" s="302"/>
      <c r="AF399" s="303"/>
      <c r="AG399">
        <v>82191.261574074088</v>
      </c>
      <c r="AH399" s="521">
        <f>(AK399*10000)/AM399</f>
        <v>82191.261574074088</v>
      </c>
      <c r="AI399" s="302"/>
      <c r="AJ399" s="303"/>
      <c r="AK399">
        <v>39.451805555555559</v>
      </c>
      <c r="AL399" s="521"/>
      <c r="AM399">
        <v>4.8</v>
      </c>
      <c r="AN399" s="303">
        <v>42244</v>
      </c>
      <c r="AO399">
        <v>135</v>
      </c>
      <c r="AP399" s="303">
        <v>42170</v>
      </c>
      <c r="AQ399" s="306"/>
      <c r="AR399" s="303"/>
      <c r="AS399" s="306"/>
      <c r="AT399" s="303"/>
      <c r="AU399">
        <v>111</v>
      </c>
      <c r="AV399" s="303"/>
      <c r="AW399" s="302"/>
      <c r="AX399" s="302"/>
      <c r="AY399" s="302"/>
      <c r="AZ399" s="303"/>
      <c r="BA399" s="302"/>
      <c r="BB399" s="302"/>
      <c r="BC399" s="302"/>
      <c r="BD399" s="302"/>
      <c r="BE399" s="302"/>
      <c r="BF399" s="302"/>
      <c r="BG399" s="302"/>
      <c r="BH399" s="302"/>
      <c r="BI399" s="302"/>
      <c r="BJ399" s="302"/>
      <c r="BM399">
        <v>-5.7</v>
      </c>
      <c r="BS399">
        <v>62.2</v>
      </c>
      <c r="BY399">
        <v>48</v>
      </c>
      <c r="CA399">
        <v>18.8</v>
      </c>
      <c r="CC399">
        <v>21.3</v>
      </c>
      <c r="CI399">
        <v>6.5</v>
      </c>
      <c r="CO399" t="s">
        <v>8698</v>
      </c>
      <c r="CR399">
        <v>1</v>
      </c>
      <c r="CT399" s="304" t="s">
        <v>11678</v>
      </c>
    </row>
    <row r="400" spans="1:98" s="304" customFormat="1">
      <c r="A400" s="304" t="s">
        <v>8506</v>
      </c>
      <c r="B400" s="463">
        <v>94</v>
      </c>
      <c r="C400" s="296" t="s">
        <v>7712</v>
      </c>
      <c r="D400" s="296" t="s">
        <v>259</v>
      </c>
      <c r="E400" s="296" t="s">
        <v>7712</v>
      </c>
      <c r="F400" s="296"/>
      <c r="G400" s="296" t="s">
        <v>8506</v>
      </c>
      <c r="H400" s="297" t="s">
        <v>8696</v>
      </c>
      <c r="I400" s="297">
        <v>2</v>
      </c>
      <c r="J400" s="297">
        <v>255</v>
      </c>
      <c r="K400" s="299"/>
      <c r="L400" s="299"/>
      <c r="M400" s="299">
        <v>63</v>
      </c>
      <c r="N400" s="299">
        <v>7</v>
      </c>
      <c r="O400" s="300">
        <v>66</v>
      </c>
      <c r="P400" s="301">
        <v>42090</v>
      </c>
      <c r="Q400" s="302"/>
      <c r="R400" s="303"/>
      <c r="S400" s="289">
        <v>6.25</v>
      </c>
      <c r="T400" s="303">
        <v>42208</v>
      </c>
      <c r="U400" s="302"/>
      <c r="V400" s="303"/>
      <c r="W400" s="302"/>
      <c r="X400" s="303"/>
      <c r="Y400" s="302">
        <v>23.49</v>
      </c>
      <c r="Z400" s="303">
        <v>42208</v>
      </c>
      <c r="AA400">
        <v>14.4</v>
      </c>
      <c r="AB400" s="303"/>
      <c r="AC400" s="302"/>
      <c r="AD400" s="303"/>
      <c r="AE400" s="302"/>
      <c r="AF400" s="303"/>
      <c r="AG400">
        <v>81597.222222222219</v>
      </c>
      <c r="AH400" s="521">
        <f>(AK400*10000)/AM400</f>
        <v>81597.222222222219</v>
      </c>
      <c r="AI400" s="302"/>
      <c r="AJ400" s="303"/>
      <c r="AK400">
        <v>39.982638888888886</v>
      </c>
      <c r="AL400" s="521"/>
      <c r="AM400">
        <v>4.9000000000000004</v>
      </c>
      <c r="AN400" s="303">
        <v>42244</v>
      </c>
      <c r="AO400">
        <v>130</v>
      </c>
      <c r="AP400" s="303">
        <v>42170</v>
      </c>
      <c r="AQ400" s="302"/>
      <c r="AR400" s="303"/>
      <c r="AS400" s="302"/>
      <c r="AT400" s="303"/>
      <c r="AU400">
        <v>102</v>
      </c>
      <c r="AV400" s="303"/>
      <c r="AW400" s="302"/>
      <c r="AX400" s="302"/>
      <c r="AY400" s="302"/>
      <c r="AZ400" s="303"/>
      <c r="BA400" s="302"/>
      <c r="BB400" s="302"/>
      <c r="BC400" s="302"/>
      <c r="BD400" s="302"/>
      <c r="BE400" s="302"/>
      <c r="BF400" s="302"/>
      <c r="BG400" s="302"/>
      <c r="BH400" s="302"/>
      <c r="BI400" s="302"/>
      <c r="BJ400" s="302"/>
      <c r="BM400">
        <v>-4.3</v>
      </c>
      <c r="BS400">
        <v>59.6</v>
      </c>
      <c r="BY400">
        <v>52.4</v>
      </c>
      <c r="CA400">
        <v>17.2</v>
      </c>
      <c r="CC400">
        <v>13.4</v>
      </c>
      <c r="CI400">
        <v>6</v>
      </c>
      <c r="CO400" t="s">
        <v>8698</v>
      </c>
      <c r="CR400">
        <v>3</v>
      </c>
      <c r="CT400" s="304" t="s">
        <v>11678</v>
      </c>
    </row>
    <row r="401" spans="1:98" s="304" customFormat="1">
      <c r="A401" s="304" t="s">
        <v>8506</v>
      </c>
      <c r="B401" s="463">
        <v>98</v>
      </c>
      <c r="C401" s="296" t="s">
        <v>7716</v>
      </c>
      <c r="D401" s="296" t="s">
        <v>7543</v>
      </c>
      <c r="E401" s="296" t="s">
        <v>7716</v>
      </c>
      <c r="F401" s="296"/>
      <c r="G401" s="296" t="s">
        <v>8506</v>
      </c>
      <c r="H401" s="466" t="s">
        <v>8696</v>
      </c>
      <c r="I401" s="297">
        <v>1</v>
      </c>
      <c r="J401" s="297">
        <v>1235</v>
      </c>
      <c r="K401" s="299"/>
      <c r="L401" s="299"/>
      <c r="M401" s="299">
        <v>63</v>
      </c>
      <c r="N401" s="299">
        <v>4</v>
      </c>
      <c r="O401" s="300">
        <v>38</v>
      </c>
      <c r="P401" s="301">
        <v>42090</v>
      </c>
      <c r="Q401" s="302"/>
      <c r="R401" s="303"/>
      <c r="S401" s="289">
        <v>6.05</v>
      </c>
      <c r="T401" s="303">
        <v>42208</v>
      </c>
      <c r="U401" s="302"/>
      <c r="V401" s="303"/>
      <c r="W401" s="302"/>
      <c r="X401" s="303"/>
      <c r="Y401" s="302">
        <v>21.98</v>
      </c>
      <c r="Z401" s="303">
        <v>42208</v>
      </c>
      <c r="AA401">
        <v>14.4</v>
      </c>
      <c r="AB401" s="303"/>
      <c r="AC401" s="302"/>
      <c r="AD401" s="303"/>
      <c r="AE401" s="302"/>
      <c r="AF401" s="303"/>
      <c r="AG401">
        <v>84047.871376811599</v>
      </c>
      <c r="AH401" s="521">
        <f>(AK401*10000)/AM401</f>
        <v>84047.871376811599</v>
      </c>
      <c r="AI401" s="302"/>
      <c r="AJ401" s="303"/>
      <c r="AK401">
        <v>38.66202083333333</v>
      </c>
      <c r="AL401" s="521"/>
      <c r="AM401">
        <v>4.5999999999999996</v>
      </c>
      <c r="AN401" s="303">
        <v>42244</v>
      </c>
      <c r="AO401">
        <v>145</v>
      </c>
      <c r="AP401" s="303">
        <v>42170</v>
      </c>
      <c r="AQ401" s="302"/>
      <c r="AR401" s="303"/>
      <c r="AS401" s="302"/>
      <c r="AT401" s="303"/>
      <c r="AU401">
        <v>103</v>
      </c>
      <c r="AV401" s="303"/>
      <c r="AW401" s="302"/>
      <c r="AX401" s="302"/>
      <c r="AY401" s="302"/>
      <c r="AZ401" s="303"/>
      <c r="BA401" s="302"/>
      <c r="BB401" s="302"/>
      <c r="BC401" s="302"/>
      <c r="BD401" s="302"/>
      <c r="BE401" s="302"/>
      <c r="BF401" s="302"/>
      <c r="BG401" s="302"/>
      <c r="BH401" s="302"/>
      <c r="BI401" s="302"/>
      <c r="BJ401" s="302"/>
      <c r="BM401">
        <v>-6.5</v>
      </c>
      <c r="BS401">
        <v>63.3</v>
      </c>
      <c r="BY401">
        <v>50.7</v>
      </c>
      <c r="CA401">
        <v>17.899999999999999</v>
      </c>
      <c r="CC401">
        <v>15.9</v>
      </c>
      <c r="CI401">
        <v>6.1</v>
      </c>
      <c r="CO401" t="s">
        <v>11679</v>
      </c>
      <c r="CR401">
        <v>1</v>
      </c>
      <c r="CT401" s="304" t="s">
        <v>11678</v>
      </c>
    </row>
    <row r="402" spans="1:98" s="304" customFormat="1">
      <c r="A402" s="304" t="s">
        <v>8506</v>
      </c>
      <c r="B402" s="463">
        <v>129</v>
      </c>
      <c r="C402" s="296" t="s">
        <v>7757</v>
      </c>
      <c r="D402" s="296" t="s">
        <v>8687</v>
      </c>
      <c r="E402" s="296" t="s">
        <v>7757</v>
      </c>
      <c r="F402" s="296"/>
      <c r="G402" s="296" t="s">
        <v>8506</v>
      </c>
      <c r="H402" s="297" t="s">
        <v>8697</v>
      </c>
      <c r="I402" s="297">
        <v>1</v>
      </c>
      <c r="J402" s="297">
        <v>1295</v>
      </c>
      <c r="K402" s="299"/>
      <c r="L402" s="299"/>
      <c r="M402" s="299">
        <v>63</v>
      </c>
      <c r="N402" s="299">
        <v>5</v>
      </c>
      <c r="O402" s="300">
        <v>27</v>
      </c>
      <c r="P402" s="301">
        <v>42090</v>
      </c>
      <c r="Q402" s="302"/>
      <c r="R402" s="303"/>
      <c r="S402" s="289">
        <v>5.25</v>
      </c>
      <c r="T402" s="303">
        <v>42208</v>
      </c>
      <c r="U402" s="302"/>
      <c r="V402" s="303"/>
      <c r="W402" s="302"/>
      <c r="X402" s="303"/>
      <c r="Y402" s="302">
        <v>19.260000000000002</v>
      </c>
      <c r="Z402" s="303">
        <v>42208</v>
      </c>
      <c r="AA402">
        <v>14.4</v>
      </c>
      <c r="AB402" s="303"/>
      <c r="AC402" s="302"/>
      <c r="AD402" s="303"/>
      <c r="AE402" s="302"/>
      <c r="AF402" s="303"/>
      <c r="AG402">
        <v>64381.209935897423</v>
      </c>
      <c r="AH402" s="521">
        <f>(AK402*10000)/AM402</f>
        <v>64381.209935897423</v>
      </c>
      <c r="AI402" s="302"/>
      <c r="AJ402" s="303"/>
      <c r="AK402">
        <v>33.478229166666665</v>
      </c>
      <c r="AL402" s="521"/>
      <c r="AM402">
        <v>5.2</v>
      </c>
      <c r="AN402" s="303">
        <v>42244</v>
      </c>
      <c r="AO402">
        <v>125</v>
      </c>
      <c r="AP402" s="303">
        <v>42170</v>
      </c>
      <c r="AQ402" s="302"/>
      <c r="AR402" s="303"/>
      <c r="AS402" s="302"/>
      <c r="AT402" s="303"/>
      <c r="AU402">
        <v>107</v>
      </c>
      <c r="AV402" s="303"/>
      <c r="AW402" s="302"/>
      <c r="AX402" s="302"/>
      <c r="AY402" s="302"/>
      <c r="AZ402" s="303"/>
      <c r="BA402" s="302"/>
      <c r="BB402" s="302"/>
      <c r="BC402" s="302"/>
      <c r="BD402" s="302"/>
      <c r="BE402" s="302"/>
      <c r="BF402" s="302"/>
      <c r="BG402" s="302"/>
      <c r="BH402" s="302"/>
      <c r="BI402" s="302"/>
      <c r="BJ402" s="302"/>
      <c r="BM402">
        <v>-4</v>
      </c>
      <c r="BS402">
        <v>60.2</v>
      </c>
      <c r="BY402">
        <v>51.3</v>
      </c>
      <c r="CA402">
        <v>16.2</v>
      </c>
      <c r="CC402">
        <v>21.5</v>
      </c>
      <c r="CI402">
        <v>6.3</v>
      </c>
      <c r="CO402" t="s">
        <v>8698</v>
      </c>
      <c r="CR402">
        <v>1</v>
      </c>
      <c r="CT402" s="304" t="s">
        <v>11678</v>
      </c>
    </row>
    <row r="403" spans="1:98" s="304" customFormat="1">
      <c r="A403" s="304" t="s">
        <v>8506</v>
      </c>
      <c r="B403" s="463">
        <v>180</v>
      </c>
      <c r="C403" s="296" t="s">
        <v>7808</v>
      </c>
      <c r="D403" s="296" t="s">
        <v>7605</v>
      </c>
      <c r="E403" s="296" t="s">
        <v>7808</v>
      </c>
      <c r="F403" s="296"/>
      <c r="G403" s="296" t="s">
        <v>8506</v>
      </c>
      <c r="H403" s="297" t="s">
        <v>8697</v>
      </c>
      <c r="I403" s="297">
        <v>1</v>
      </c>
      <c r="J403" s="297">
        <v>1355</v>
      </c>
      <c r="K403" s="299"/>
      <c r="L403" s="299"/>
      <c r="M403" s="299">
        <v>63</v>
      </c>
      <c r="N403" s="299">
        <v>6</v>
      </c>
      <c r="O403" s="300">
        <v>43</v>
      </c>
      <c r="P403" s="301">
        <v>42090</v>
      </c>
      <c r="Q403" s="302"/>
      <c r="R403" s="303"/>
      <c r="S403" s="289">
        <v>4.8499999999999996</v>
      </c>
      <c r="T403" s="303">
        <v>42208</v>
      </c>
      <c r="U403" s="302"/>
      <c r="V403" s="303"/>
      <c r="W403" s="302"/>
      <c r="X403" s="303"/>
      <c r="Y403" s="302">
        <v>17.670000000000002</v>
      </c>
      <c r="Z403" s="303">
        <v>42208</v>
      </c>
      <c r="AA403">
        <v>14.4</v>
      </c>
      <c r="AB403" s="303"/>
      <c r="AC403" s="302"/>
      <c r="AD403" s="303"/>
      <c r="AE403" s="302"/>
      <c r="AF403" s="303"/>
      <c r="AG403">
        <v>59666.399572649563</v>
      </c>
      <c r="AH403" s="521">
        <f>(AK403*10000)/AM403</f>
        <v>59666.399572649563</v>
      </c>
      <c r="AI403" s="302"/>
      <c r="AJ403" s="303"/>
      <c r="AK403">
        <v>31.026527777777773</v>
      </c>
      <c r="AL403" s="521"/>
      <c r="AM403">
        <v>5.2</v>
      </c>
      <c r="AN403" s="303">
        <v>42244</v>
      </c>
      <c r="AO403">
        <v>160</v>
      </c>
      <c r="AP403" s="303">
        <v>42170</v>
      </c>
      <c r="AQ403" s="302"/>
      <c r="AR403" s="303"/>
      <c r="AS403" s="302"/>
      <c r="AT403" s="303"/>
      <c r="AU403">
        <v>107</v>
      </c>
      <c r="AV403" s="303"/>
      <c r="AW403" s="302"/>
      <c r="AX403" s="302"/>
      <c r="AY403" s="302"/>
      <c r="AZ403" s="303"/>
      <c r="BA403" s="302"/>
      <c r="BB403" s="302"/>
      <c r="BC403" s="302"/>
      <c r="BD403" s="302"/>
      <c r="BE403" s="302"/>
      <c r="BF403" s="302"/>
      <c r="BG403" s="302"/>
      <c r="BH403" s="302"/>
      <c r="BI403" s="302"/>
      <c r="BJ403" s="302"/>
      <c r="BM403">
        <v>-4</v>
      </c>
      <c r="BS403">
        <v>62.6</v>
      </c>
      <c r="BY403">
        <v>50.8</v>
      </c>
      <c r="CA403">
        <v>17.600000000000001</v>
      </c>
      <c r="CC403">
        <v>18.100000000000001</v>
      </c>
      <c r="CI403">
        <v>6</v>
      </c>
      <c r="CO403" t="s">
        <v>8698</v>
      </c>
      <c r="CR403">
        <v>1</v>
      </c>
      <c r="CT403" s="304" t="s">
        <v>11678</v>
      </c>
    </row>
    <row r="404" spans="1:98" s="304" customFormat="1">
      <c r="A404" s="304" t="s">
        <v>8506</v>
      </c>
      <c r="B404" s="463">
        <v>14</v>
      </c>
      <c r="C404" s="296" t="s">
        <v>7623</v>
      </c>
      <c r="D404" s="296" t="s">
        <v>7461</v>
      </c>
      <c r="E404" s="296" t="s">
        <v>7623</v>
      </c>
      <c r="F404" s="296"/>
      <c r="G404" s="296" t="s">
        <v>8506</v>
      </c>
      <c r="H404" s="297" t="s">
        <v>8696</v>
      </c>
      <c r="I404" s="297">
        <v>2</v>
      </c>
      <c r="J404" s="297">
        <v>2236</v>
      </c>
      <c r="K404" s="299"/>
      <c r="L404" s="299"/>
      <c r="M404" s="299">
        <v>64</v>
      </c>
      <c r="N404" s="299">
        <v>10</v>
      </c>
      <c r="O404" s="300">
        <v>74</v>
      </c>
      <c r="P404" s="301">
        <v>42090</v>
      </c>
      <c r="Q404" s="302"/>
      <c r="R404" s="303"/>
      <c r="S404" s="289">
        <v>4.7</v>
      </c>
      <c r="T404" s="303">
        <v>42208</v>
      </c>
      <c r="U404" s="302"/>
      <c r="V404" s="303"/>
      <c r="W404" s="302"/>
      <c r="X404" s="303"/>
      <c r="Y404" s="302">
        <v>16.399999999999999</v>
      </c>
      <c r="Z404" s="303">
        <v>42208</v>
      </c>
      <c r="AA404">
        <v>14.4</v>
      </c>
      <c r="AB404" s="303"/>
      <c r="AC404" s="302"/>
      <c r="AD404" s="303"/>
      <c r="AE404" s="302"/>
      <c r="AF404" s="303"/>
      <c r="AG404">
        <v>61426.388888888883</v>
      </c>
      <c r="AH404" s="521">
        <f>(AK404*10000)/AM404</f>
        <v>61426.388888888883</v>
      </c>
      <c r="AI404" s="302"/>
      <c r="AJ404" s="303"/>
      <c r="AK404">
        <v>30.098930555555555</v>
      </c>
      <c r="AL404" s="521"/>
      <c r="AM404">
        <v>4.9000000000000004</v>
      </c>
      <c r="AN404" s="303">
        <v>42244</v>
      </c>
      <c r="AO404">
        <v>110</v>
      </c>
      <c r="AP404" s="303">
        <v>42170</v>
      </c>
      <c r="AQ404" s="302"/>
      <c r="AR404" s="303"/>
      <c r="AS404" s="302"/>
      <c r="AT404" s="303"/>
      <c r="AU404">
        <v>107</v>
      </c>
      <c r="AV404" s="303"/>
      <c r="AW404" s="302"/>
      <c r="AX404" s="302"/>
      <c r="AY404" s="302"/>
      <c r="AZ404" s="303"/>
      <c r="BA404" s="302"/>
      <c r="BB404" s="302"/>
      <c r="BC404" s="302"/>
      <c r="BD404" s="302"/>
      <c r="BE404" s="302"/>
      <c r="BF404" s="302"/>
      <c r="BG404" s="302"/>
      <c r="BH404" s="302"/>
      <c r="BI404" s="302"/>
      <c r="BJ404" s="302"/>
      <c r="BM404">
        <v>34.9</v>
      </c>
      <c r="BS404">
        <v>16.399999999999999</v>
      </c>
      <c r="BY404">
        <v>48.6</v>
      </c>
      <c r="CA404">
        <v>21.1</v>
      </c>
      <c r="CC404">
        <v>58</v>
      </c>
      <c r="CI404">
        <v>5.9</v>
      </c>
      <c r="CO404" t="s">
        <v>8698</v>
      </c>
      <c r="CR404">
        <v>2</v>
      </c>
      <c r="CT404" s="304" t="s">
        <v>11678</v>
      </c>
    </row>
    <row r="405" spans="1:98" s="304" customFormat="1">
      <c r="A405" s="304" t="s">
        <v>8506</v>
      </c>
      <c r="B405" s="463">
        <v>48</v>
      </c>
      <c r="C405" s="296" t="s">
        <v>7665</v>
      </c>
      <c r="D405" s="296" t="s">
        <v>7816</v>
      </c>
      <c r="E405" s="296" t="s">
        <v>7665</v>
      </c>
      <c r="F405" s="296"/>
      <c r="G405" s="296" t="s">
        <v>8506</v>
      </c>
      <c r="H405" s="297" t="s">
        <v>8697</v>
      </c>
      <c r="I405" s="297">
        <v>1</v>
      </c>
      <c r="J405" s="297">
        <v>1116</v>
      </c>
      <c r="K405" s="299"/>
      <c r="L405" s="299"/>
      <c r="M405" s="299">
        <v>64</v>
      </c>
      <c r="N405" s="299">
        <v>2</v>
      </c>
      <c r="O405" s="300">
        <v>24</v>
      </c>
      <c r="P405" s="301">
        <v>42090</v>
      </c>
      <c r="Q405" s="302"/>
      <c r="R405" s="303"/>
      <c r="S405" s="289">
        <v>3.6</v>
      </c>
      <c r="T405" s="303">
        <v>42208</v>
      </c>
      <c r="U405" s="302"/>
      <c r="V405" s="303"/>
      <c r="W405" s="302"/>
      <c r="X405" s="303"/>
      <c r="Y405" s="302">
        <v>13.15</v>
      </c>
      <c r="Z405" s="303">
        <v>42208</v>
      </c>
      <c r="AA405">
        <v>14.4</v>
      </c>
      <c r="AB405" s="303"/>
      <c r="AC405" s="302"/>
      <c r="AD405" s="303"/>
      <c r="AE405" s="302"/>
      <c r="AF405" s="303"/>
      <c r="AG405">
        <v>48081.25</v>
      </c>
      <c r="AH405" s="521">
        <f>(AK405*10000)/AM405</f>
        <v>48081.25</v>
      </c>
      <c r="AI405" s="302"/>
      <c r="AJ405" s="303"/>
      <c r="AK405">
        <v>23.079000000000001</v>
      </c>
      <c r="AL405" s="521"/>
      <c r="AM405">
        <v>4.8</v>
      </c>
      <c r="AN405" s="303">
        <v>42244</v>
      </c>
      <c r="AO405">
        <v>135</v>
      </c>
      <c r="AP405" s="303">
        <v>42170</v>
      </c>
      <c r="AQ405" s="302"/>
      <c r="AR405" s="303"/>
      <c r="AS405" s="302"/>
      <c r="AT405" s="303"/>
      <c r="AU405">
        <v>113</v>
      </c>
      <c r="AV405" s="303"/>
      <c r="AW405" s="302"/>
      <c r="AX405" s="302"/>
      <c r="AY405" s="302"/>
      <c r="AZ405" s="303"/>
      <c r="BA405" s="302"/>
      <c r="BB405" s="302"/>
      <c r="BC405" s="302"/>
      <c r="BD405" s="302"/>
      <c r="BE405" s="302"/>
      <c r="BF405" s="302"/>
      <c r="BG405" s="302"/>
      <c r="BH405" s="302"/>
      <c r="BI405" s="302"/>
      <c r="BJ405" s="302"/>
      <c r="BM405">
        <v>-0.1</v>
      </c>
      <c r="BS405">
        <v>55.9</v>
      </c>
      <c r="BY405">
        <v>50.8</v>
      </c>
      <c r="CA405">
        <v>17.3</v>
      </c>
      <c r="CC405">
        <v>19.3</v>
      </c>
      <c r="CI405">
        <v>5.8</v>
      </c>
      <c r="CO405" t="s">
        <v>8698</v>
      </c>
      <c r="CR405">
        <v>2</v>
      </c>
      <c r="CT405" s="304" t="s">
        <v>11678</v>
      </c>
    </row>
    <row r="406" spans="1:98" s="304" customFormat="1">
      <c r="A406" s="304" t="s">
        <v>8506</v>
      </c>
      <c r="B406" s="463">
        <v>100</v>
      </c>
      <c r="C406" s="296" t="s">
        <v>7718</v>
      </c>
      <c r="D406" s="296" t="s">
        <v>7545</v>
      </c>
      <c r="E406" s="296" t="s">
        <v>7718</v>
      </c>
      <c r="F406" s="296"/>
      <c r="G406" s="296" t="s">
        <v>8506</v>
      </c>
      <c r="H406" s="297" t="s">
        <v>8696</v>
      </c>
      <c r="I406" s="297">
        <v>2</v>
      </c>
      <c r="J406" s="297">
        <v>2116</v>
      </c>
      <c r="K406" s="299"/>
      <c r="L406" s="299"/>
      <c r="M406" s="299">
        <v>64</v>
      </c>
      <c r="N406" s="299">
        <v>8</v>
      </c>
      <c r="O406" s="300">
        <v>46</v>
      </c>
      <c r="P406" s="301">
        <v>42090</v>
      </c>
      <c r="Q406" s="302"/>
      <c r="R406" s="303"/>
      <c r="S406" s="289">
        <v>6.6</v>
      </c>
      <c r="T406" s="303">
        <v>42208</v>
      </c>
      <c r="U406" s="302"/>
      <c r="V406" s="303"/>
      <c r="W406" s="302"/>
      <c r="X406" s="303"/>
      <c r="Y406" s="302">
        <v>23.31</v>
      </c>
      <c r="Z406" s="303">
        <v>42208</v>
      </c>
      <c r="AA406">
        <v>14.4</v>
      </c>
      <c r="AB406" s="303"/>
      <c r="AC406" s="302"/>
      <c r="AD406" s="303"/>
      <c r="AE406" s="302"/>
      <c r="AF406" s="303"/>
      <c r="AG406">
        <v>72563.649425287367</v>
      </c>
      <c r="AH406" s="521">
        <f>(AK406*10000)/AM406</f>
        <v>72563.649425287367</v>
      </c>
      <c r="AI406" s="302"/>
      <c r="AJ406" s="303"/>
      <c r="AK406">
        <v>42.086916666666667</v>
      </c>
      <c r="AL406" s="521"/>
      <c r="AM406">
        <v>5.8</v>
      </c>
      <c r="AN406" s="303">
        <v>42244</v>
      </c>
      <c r="AO406">
        <v>140</v>
      </c>
      <c r="AP406" s="303">
        <v>42170</v>
      </c>
      <c r="AQ406" s="302"/>
      <c r="AR406" s="303"/>
      <c r="AS406" s="302"/>
      <c r="AT406" s="303"/>
      <c r="AU406">
        <v>106</v>
      </c>
      <c r="AV406" s="303"/>
      <c r="AW406" s="302"/>
      <c r="AX406" s="302"/>
      <c r="AY406" s="302"/>
      <c r="AZ406" s="303"/>
      <c r="BA406" s="302"/>
      <c r="BB406" s="302"/>
      <c r="BC406" s="302"/>
      <c r="BD406" s="302"/>
      <c r="BE406" s="302"/>
      <c r="BF406" s="302"/>
      <c r="BG406" s="302"/>
      <c r="BH406" s="302"/>
      <c r="BI406" s="302"/>
      <c r="BJ406" s="302"/>
      <c r="BM406">
        <v>-2.5</v>
      </c>
      <c r="BS406">
        <v>62.7</v>
      </c>
      <c r="BY406">
        <v>49.4</v>
      </c>
      <c r="CA406">
        <v>18.899999999999999</v>
      </c>
      <c r="CC406">
        <v>15.4</v>
      </c>
      <c r="CI406">
        <v>6.3</v>
      </c>
      <c r="CO406" t="s">
        <v>8698</v>
      </c>
      <c r="CR406">
        <v>2</v>
      </c>
      <c r="CT406" s="304" t="s">
        <v>11678</v>
      </c>
    </row>
    <row r="407" spans="1:98" s="304" customFormat="1">
      <c r="A407" s="304" t="s">
        <v>8506</v>
      </c>
      <c r="B407" s="463">
        <v>112</v>
      </c>
      <c r="C407" s="296" t="s">
        <v>7730</v>
      </c>
      <c r="D407" s="296" t="s">
        <v>7556</v>
      </c>
      <c r="E407" s="296" t="s">
        <v>7730</v>
      </c>
      <c r="F407" s="296"/>
      <c r="G407" s="296" t="s">
        <v>8506</v>
      </c>
      <c r="H407" s="297" t="s">
        <v>8696</v>
      </c>
      <c r="I407" s="297">
        <v>2</v>
      </c>
      <c r="J407" s="297">
        <v>2176</v>
      </c>
      <c r="K407" s="299"/>
      <c r="L407" s="299"/>
      <c r="M407" s="299">
        <v>64</v>
      </c>
      <c r="N407" s="299">
        <v>9</v>
      </c>
      <c r="O407" s="300">
        <v>72</v>
      </c>
      <c r="P407" s="301">
        <v>42090</v>
      </c>
      <c r="Q407" s="302"/>
      <c r="R407" s="303"/>
      <c r="S407" s="289">
        <v>5.7</v>
      </c>
      <c r="T407" s="303">
        <v>42208</v>
      </c>
      <c r="U407" s="302"/>
      <c r="V407" s="303"/>
      <c r="W407" s="302"/>
      <c r="X407" s="303"/>
      <c r="Y407" s="302">
        <v>20.170000000000002</v>
      </c>
      <c r="Z407" s="303">
        <v>42208</v>
      </c>
      <c r="AA407">
        <v>14.4</v>
      </c>
      <c r="AB407" s="303"/>
      <c r="AC407" s="302"/>
      <c r="AD407" s="303"/>
      <c r="AE407" s="302"/>
      <c r="AF407" s="303"/>
      <c r="AG407">
        <v>75886.197916666657</v>
      </c>
      <c r="AH407" s="521">
        <f>(AK407*10000)/AM407</f>
        <v>75886.197916666657</v>
      </c>
      <c r="AI407" s="302"/>
      <c r="AJ407" s="303"/>
      <c r="AK407">
        <v>36.425374999999995</v>
      </c>
      <c r="AL407" s="521"/>
      <c r="AM407">
        <v>4.8</v>
      </c>
      <c r="AN407" s="303">
        <v>42244</v>
      </c>
      <c r="AO407">
        <v>130</v>
      </c>
      <c r="AP407" s="303">
        <v>42170</v>
      </c>
      <c r="AQ407" s="302"/>
      <c r="AR407" s="303"/>
      <c r="AS407" s="302"/>
      <c r="AT407" s="303"/>
      <c r="AU407">
        <v>107</v>
      </c>
      <c r="AV407" s="303"/>
      <c r="AW407" s="302"/>
      <c r="AX407" s="302"/>
      <c r="AY407" s="302"/>
      <c r="AZ407" s="303"/>
      <c r="BA407" s="302"/>
      <c r="BB407" s="302"/>
      <c r="BC407" s="302"/>
      <c r="BD407" s="302"/>
      <c r="BE407" s="302"/>
      <c r="BF407" s="302"/>
      <c r="BG407" s="302"/>
      <c r="BH407" s="302"/>
      <c r="BI407" s="302"/>
      <c r="BJ407" s="302"/>
      <c r="BM407">
        <v>-2.4</v>
      </c>
      <c r="BS407">
        <v>58</v>
      </c>
      <c r="BY407">
        <v>49.4</v>
      </c>
      <c r="CA407">
        <v>19.2</v>
      </c>
      <c r="CC407">
        <v>20.100000000000001</v>
      </c>
      <c r="CI407">
        <v>6.1</v>
      </c>
      <c r="CO407" t="s">
        <v>8698</v>
      </c>
      <c r="CR407">
        <v>2</v>
      </c>
      <c r="CT407" s="304" t="s">
        <v>11678</v>
      </c>
    </row>
    <row r="408" spans="1:98" s="304" customFormat="1">
      <c r="A408" s="304" t="s">
        <v>8506</v>
      </c>
      <c r="B408" s="463">
        <v>165</v>
      </c>
      <c r="C408" s="296" t="s">
        <v>7793</v>
      </c>
      <c r="D408" s="296" t="s">
        <v>7594</v>
      </c>
      <c r="E408" s="296" t="s">
        <v>7793</v>
      </c>
      <c r="F408" s="296"/>
      <c r="G408" s="296" t="s">
        <v>8506</v>
      </c>
      <c r="H408" s="297" t="s">
        <v>8697</v>
      </c>
      <c r="I408" s="297">
        <v>1</v>
      </c>
      <c r="J408" s="297">
        <v>1356</v>
      </c>
      <c r="K408" s="299"/>
      <c r="L408" s="299"/>
      <c r="M408" s="299">
        <v>64</v>
      </c>
      <c r="N408" s="299">
        <v>6</v>
      </c>
      <c r="O408" s="300">
        <v>38</v>
      </c>
      <c r="P408" s="301">
        <v>42090</v>
      </c>
      <c r="Q408" s="302"/>
      <c r="R408" s="303"/>
      <c r="S408" s="289">
        <v>6.4</v>
      </c>
      <c r="T408" s="303">
        <v>42208</v>
      </c>
      <c r="U408" s="302"/>
      <c r="V408" s="303"/>
      <c r="W408" s="302"/>
      <c r="X408" s="303"/>
      <c r="Y408" s="302">
        <v>24</v>
      </c>
      <c r="Z408" s="303">
        <v>42208</v>
      </c>
      <c r="AA408">
        <v>14.4</v>
      </c>
      <c r="AB408" s="303"/>
      <c r="AC408" s="302"/>
      <c r="AD408" s="303"/>
      <c r="AE408" s="302"/>
      <c r="AF408" s="303"/>
      <c r="AG408">
        <v>85568.518518518526</v>
      </c>
      <c r="AH408" s="521">
        <f>(AK408*10000)/AM408</f>
        <v>85568.518518518526</v>
      </c>
      <c r="AI408" s="302"/>
      <c r="AJ408" s="303"/>
      <c r="AK408">
        <v>41.07288888888889</v>
      </c>
      <c r="AL408" s="521"/>
      <c r="AM408">
        <v>4.8</v>
      </c>
      <c r="AN408" s="303">
        <v>42244</v>
      </c>
      <c r="AO408">
        <v>140</v>
      </c>
      <c r="AP408" s="303">
        <v>42170</v>
      </c>
      <c r="AQ408" s="302"/>
      <c r="AR408" s="303"/>
      <c r="AS408" s="302"/>
      <c r="AT408" s="303"/>
      <c r="AU408">
        <v>107</v>
      </c>
      <c r="AV408" s="303"/>
      <c r="AW408" s="302"/>
      <c r="AX408" s="302"/>
      <c r="AY408" s="302"/>
      <c r="AZ408" s="303"/>
      <c r="BA408" s="302"/>
      <c r="BB408" s="302"/>
      <c r="BC408" s="302"/>
      <c r="BD408" s="302"/>
      <c r="BE408" s="302"/>
      <c r="BF408" s="302"/>
      <c r="BG408" s="302"/>
      <c r="BH408" s="302"/>
      <c r="BI408" s="302"/>
      <c r="BJ408" s="302"/>
      <c r="BM408">
        <v>-3.7</v>
      </c>
      <c r="BS408">
        <v>62.2</v>
      </c>
      <c r="BY408">
        <v>52.1</v>
      </c>
      <c r="CA408">
        <v>18.100000000000001</v>
      </c>
      <c r="CC408">
        <v>13.6</v>
      </c>
      <c r="CI408">
        <v>5.7</v>
      </c>
      <c r="CO408" t="s">
        <v>8698</v>
      </c>
      <c r="CR408">
        <v>1</v>
      </c>
      <c r="CT408" s="304" t="s">
        <v>11678</v>
      </c>
    </row>
    <row r="409" spans="1:98" s="304" customFormat="1">
      <c r="A409" s="304" t="s">
        <v>8506</v>
      </c>
      <c r="B409" s="463">
        <v>178</v>
      </c>
      <c r="C409" s="296" t="s">
        <v>7806</v>
      </c>
      <c r="D409" s="296" t="s">
        <v>7603</v>
      </c>
      <c r="E409" s="296" t="s">
        <v>7806</v>
      </c>
      <c r="F409" s="296"/>
      <c r="G409" s="296" t="s">
        <v>8506</v>
      </c>
      <c r="H409" s="466" t="s">
        <v>8696</v>
      </c>
      <c r="I409" s="297">
        <v>1</v>
      </c>
      <c r="J409" s="297">
        <v>1236</v>
      </c>
      <c r="K409" s="299"/>
      <c r="L409" s="299"/>
      <c r="M409" s="299">
        <v>64</v>
      </c>
      <c r="N409" s="299">
        <v>4</v>
      </c>
      <c r="O409" s="300">
        <v>32</v>
      </c>
      <c r="P409" s="301">
        <v>42090</v>
      </c>
      <c r="Q409" s="302"/>
      <c r="R409" s="303"/>
      <c r="S409" s="289">
        <v>6.35</v>
      </c>
      <c r="T409" s="303">
        <v>42208</v>
      </c>
      <c r="U409" s="302"/>
      <c r="V409" s="303"/>
      <c r="W409" s="302"/>
      <c r="X409" s="303"/>
      <c r="Y409" s="302">
        <v>23.33</v>
      </c>
      <c r="Z409" s="303">
        <v>42208</v>
      </c>
      <c r="AA409">
        <v>14.4</v>
      </c>
      <c r="AB409" s="303"/>
      <c r="AC409" s="302"/>
      <c r="AD409" s="303"/>
      <c r="AE409" s="302"/>
      <c r="AF409" s="303"/>
      <c r="AG409">
        <v>85170.109953703708</v>
      </c>
      <c r="AH409" s="521">
        <f>(AK409*10000)/AM409</f>
        <v>85170.109953703708</v>
      </c>
      <c r="AI409" s="302"/>
      <c r="AJ409" s="303"/>
      <c r="AK409">
        <v>40.881652777777774</v>
      </c>
      <c r="AL409" s="521"/>
      <c r="AM409">
        <v>4.8</v>
      </c>
      <c r="AN409" s="303">
        <v>42244</v>
      </c>
      <c r="AO409">
        <v>145</v>
      </c>
      <c r="AP409" s="303">
        <v>42170</v>
      </c>
      <c r="AQ409" s="302"/>
      <c r="AR409" s="303"/>
      <c r="AS409" s="302"/>
      <c r="AT409" s="303"/>
      <c r="AU409">
        <v>109</v>
      </c>
      <c r="AV409" s="303"/>
      <c r="AW409" s="302"/>
      <c r="AX409" s="302"/>
      <c r="AY409" s="302"/>
      <c r="AZ409" s="303"/>
      <c r="BA409" s="302"/>
      <c r="BB409" s="302"/>
      <c r="BC409" s="302"/>
      <c r="BD409" s="302"/>
      <c r="BE409" s="302"/>
      <c r="BF409" s="302"/>
      <c r="BG409" s="302"/>
      <c r="BH409" s="302"/>
      <c r="BI409" s="302"/>
      <c r="BJ409" s="302"/>
      <c r="BM409">
        <v>-3.1</v>
      </c>
      <c r="BS409">
        <v>60.9</v>
      </c>
      <c r="BY409">
        <v>50.9</v>
      </c>
      <c r="CA409">
        <v>17.399999999999999</v>
      </c>
      <c r="CC409">
        <v>12.3</v>
      </c>
      <c r="CI409">
        <v>5.4</v>
      </c>
      <c r="CO409" t="s">
        <v>11679</v>
      </c>
      <c r="CR409">
        <v>2</v>
      </c>
      <c r="CT409" s="304" t="s">
        <v>11678</v>
      </c>
    </row>
    <row r="410" spans="1:98" s="304" customFormat="1">
      <c r="A410" s="304" t="s">
        <v>8506</v>
      </c>
      <c r="B410" s="463">
        <v>17</v>
      </c>
      <c r="C410" s="296" t="s">
        <v>7626</v>
      </c>
      <c r="D410" s="296" t="s">
        <v>7814</v>
      </c>
      <c r="E410" s="296" t="s">
        <v>7626</v>
      </c>
      <c r="F410" s="296"/>
      <c r="G410" s="296" t="s">
        <v>8506</v>
      </c>
      <c r="H410" s="297" t="s">
        <v>8696</v>
      </c>
      <c r="I410" s="297">
        <v>2</v>
      </c>
      <c r="J410" s="297">
        <v>2177</v>
      </c>
      <c r="K410" s="299"/>
      <c r="L410" s="299"/>
      <c r="M410" s="299">
        <v>65</v>
      </c>
      <c r="N410" s="299">
        <v>9</v>
      </c>
      <c r="O410" s="300">
        <v>46</v>
      </c>
      <c r="P410" s="301">
        <v>42090</v>
      </c>
      <c r="Q410" s="302"/>
      <c r="R410" s="303"/>
      <c r="S410" s="289">
        <v>4.55</v>
      </c>
      <c r="T410" s="303">
        <v>42208</v>
      </c>
      <c r="U410" s="302"/>
      <c r="V410" s="303"/>
      <c r="W410" s="302"/>
      <c r="X410" s="303"/>
      <c r="Y410" s="302">
        <v>15.42</v>
      </c>
      <c r="Z410" s="303">
        <v>42208</v>
      </c>
      <c r="AA410">
        <v>14.4</v>
      </c>
      <c r="AB410" s="303"/>
      <c r="AC410" s="302"/>
      <c r="AD410" s="303"/>
      <c r="AE410" s="302"/>
      <c r="AF410" s="303"/>
      <c r="AG410">
        <v>60704.846643518518</v>
      </c>
      <c r="AH410" s="521">
        <f>(AK410*10000)/AM410</f>
        <v>60704.846643518518</v>
      </c>
      <c r="AI410" s="302"/>
      <c r="AJ410" s="303"/>
      <c r="AK410">
        <v>29.138326388888885</v>
      </c>
      <c r="AL410" s="521"/>
      <c r="AM410">
        <v>4.8</v>
      </c>
      <c r="AN410" s="303">
        <v>42244</v>
      </c>
      <c r="AO410">
        <v>130</v>
      </c>
      <c r="AP410" s="303">
        <v>42170</v>
      </c>
      <c r="AQ410" s="302"/>
      <c r="AR410" s="303"/>
      <c r="AS410" s="302"/>
      <c r="AT410" s="303"/>
      <c r="AU410">
        <v>110</v>
      </c>
      <c r="AV410" s="303"/>
      <c r="AW410" s="302"/>
      <c r="AX410" s="302"/>
      <c r="AY410" s="302"/>
      <c r="AZ410" s="303"/>
      <c r="BA410" s="302"/>
      <c r="BB410" s="302"/>
      <c r="BC410" s="302"/>
      <c r="BD410" s="302"/>
      <c r="BE410" s="302"/>
      <c r="BF410" s="302"/>
      <c r="BG410" s="302"/>
      <c r="BH410" s="302"/>
      <c r="BI410" s="302"/>
      <c r="BJ410" s="302"/>
      <c r="BM410">
        <v>34.9</v>
      </c>
      <c r="BS410">
        <v>20.399999999999999</v>
      </c>
      <c r="BY410">
        <v>47.2</v>
      </c>
      <c r="CA410">
        <v>21</v>
      </c>
      <c r="CC410">
        <v>71.099999999999994</v>
      </c>
      <c r="CI410">
        <v>5.9</v>
      </c>
      <c r="CO410" t="s">
        <v>8698</v>
      </c>
      <c r="CR410">
        <v>2</v>
      </c>
      <c r="CT410" s="304" t="s">
        <v>11678</v>
      </c>
    </row>
    <row r="411" spans="1:98" s="304" customFormat="1">
      <c r="A411" s="304" t="s">
        <v>8506</v>
      </c>
      <c r="B411" s="463">
        <v>65</v>
      </c>
      <c r="C411" s="296" t="s">
        <v>7683</v>
      </c>
      <c r="D411" s="296" t="s">
        <v>7513</v>
      </c>
      <c r="E411" s="296" t="s">
        <v>7683</v>
      </c>
      <c r="F411" s="296"/>
      <c r="G411" s="296" t="s">
        <v>8506</v>
      </c>
      <c r="H411" s="297" t="s">
        <v>8696</v>
      </c>
      <c r="I411" s="297">
        <v>2</v>
      </c>
      <c r="J411" s="297">
        <v>257</v>
      </c>
      <c r="K411" s="299"/>
      <c r="L411" s="299"/>
      <c r="M411" s="299">
        <v>65</v>
      </c>
      <c r="N411" s="299">
        <v>7</v>
      </c>
      <c r="O411" s="300">
        <v>40</v>
      </c>
      <c r="P411" s="301">
        <v>42090</v>
      </c>
      <c r="Q411" s="302"/>
      <c r="R411" s="303"/>
      <c r="S411" s="289">
        <v>5.05</v>
      </c>
      <c r="T411" s="303">
        <v>42208</v>
      </c>
      <c r="U411" s="302"/>
      <c r="V411" s="303"/>
      <c r="W411" s="302"/>
      <c r="X411" s="303"/>
      <c r="Y411" s="302">
        <v>18.25</v>
      </c>
      <c r="Z411" s="303">
        <v>42208</v>
      </c>
      <c r="AA411">
        <v>14.4</v>
      </c>
      <c r="AB411" s="303"/>
      <c r="AC411" s="302"/>
      <c r="AD411" s="303"/>
      <c r="AE411" s="302"/>
      <c r="AF411" s="303"/>
      <c r="AG411">
        <v>60695.283018867915</v>
      </c>
      <c r="AH411" s="521">
        <f>(AK411*10000)/AM411</f>
        <v>60695.283018867915</v>
      </c>
      <c r="AI411" s="302"/>
      <c r="AJ411" s="303"/>
      <c r="AK411">
        <v>32.168499999999995</v>
      </c>
      <c r="AL411" s="521"/>
      <c r="AM411">
        <v>5.3</v>
      </c>
      <c r="AN411" s="303">
        <v>42244</v>
      </c>
      <c r="AO411">
        <v>130</v>
      </c>
      <c r="AP411" s="303">
        <v>42170</v>
      </c>
      <c r="AQ411" s="302"/>
      <c r="AR411" s="303"/>
      <c r="AS411" s="302"/>
      <c r="AT411" s="303"/>
      <c r="AU411">
        <v>106</v>
      </c>
      <c r="AV411" s="303"/>
      <c r="AW411" s="302"/>
      <c r="AX411" s="302"/>
      <c r="AY411" s="302"/>
      <c r="AZ411" s="303"/>
      <c r="BA411" s="302"/>
      <c r="BB411" s="302"/>
      <c r="BC411" s="302"/>
      <c r="BD411" s="302"/>
      <c r="BE411" s="302"/>
      <c r="BF411" s="302"/>
      <c r="BG411" s="302"/>
      <c r="BH411" s="302"/>
      <c r="BI411" s="302"/>
      <c r="BJ411" s="302"/>
      <c r="BM411">
        <v>-3.2</v>
      </c>
      <c r="BS411">
        <v>61.7</v>
      </c>
      <c r="BY411">
        <v>50.6</v>
      </c>
      <c r="CA411">
        <v>18.7</v>
      </c>
      <c r="CC411">
        <v>17.5</v>
      </c>
      <c r="CI411">
        <v>6.4</v>
      </c>
      <c r="CO411" t="s">
        <v>8698</v>
      </c>
      <c r="CR411">
        <v>2</v>
      </c>
      <c r="CT411" s="304" t="s">
        <v>11678</v>
      </c>
    </row>
    <row r="412" spans="1:98" s="304" customFormat="1">
      <c r="A412" s="304" t="s">
        <v>8506</v>
      </c>
      <c r="B412" s="463">
        <v>99</v>
      </c>
      <c r="C412" s="296" t="s">
        <v>7717</v>
      </c>
      <c r="D412" s="296" t="s">
        <v>7544</v>
      </c>
      <c r="E412" s="296" t="s">
        <v>7717</v>
      </c>
      <c r="F412" s="296"/>
      <c r="G412" s="296" t="s">
        <v>8506</v>
      </c>
      <c r="H412" s="466" t="s">
        <v>8696</v>
      </c>
      <c r="I412" s="297">
        <v>1</v>
      </c>
      <c r="J412" s="297">
        <v>1177</v>
      </c>
      <c r="K412" s="299"/>
      <c r="L412" s="299"/>
      <c r="M412" s="299">
        <v>65</v>
      </c>
      <c r="N412" s="299">
        <v>3</v>
      </c>
      <c r="O412" s="300">
        <v>33</v>
      </c>
      <c r="P412" s="301">
        <v>42090</v>
      </c>
      <c r="Q412" s="302"/>
      <c r="R412" s="303"/>
      <c r="S412" s="289">
        <v>5.9</v>
      </c>
      <c r="T412" s="303">
        <v>42208</v>
      </c>
      <c r="U412" s="302"/>
      <c r="V412" s="303"/>
      <c r="W412" s="302"/>
      <c r="X412" s="303"/>
      <c r="Y412" s="302">
        <v>21.31</v>
      </c>
      <c r="Z412" s="303">
        <v>42208</v>
      </c>
      <c r="AA412">
        <v>14.4</v>
      </c>
      <c r="AB412" s="303"/>
      <c r="AC412" s="302"/>
      <c r="AD412" s="303"/>
      <c r="AE412" s="302"/>
      <c r="AF412" s="303"/>
      <c r="AG412">
        <v>72352.21688034189</v>
      </c>
      <c r="AH412" s="521">
        <f>(AK412*10000)/AM412</f>
        <v>72352.21688034189</v>
      </c>
      <c r="AI412" s="302"/>
      <c r="AJ412" s="303"/>
      <c r="AK412">
        <v>37.623152777777783</v>
      </c>
      <c r="AL412" s="521"/>
      <c r="AM412">
        <v>5.2</v>
      </c>
      <c r="AN412" s="303">
        <v>42244</v>
      </c>
      <c r="AO412">
        <v>130</v>
      </c>
      <c r="AP412" s="303">
        <v>42170</v>
      </c>
      <c r="AQ412" s="302"/>
      <c r="AR412" s="303"/>
      <c r="AS412" s="302"/>
      <c r="AT412" s="303"/>
      <c r="AU412">
        <v>107</v>
      </c>
      <c r="AV412" s="303"/>
      <c r="AW412" s="302"/>
      <c r="AX412" s="302"/>
      <c r="AY412" s="302"/>
      <c r="AZ412" s="303"/>
      <c r="BA412" s="302"/>
      <c r="BB412" s="302"/>
      <c r="BC412" s="302"/>
      <c r="BD412" s="302"/>
      <c r="BE412" s="302"/>
      <c r="BF412" s="302"/>
      <c r="BG412" s="302"/>
      <c r="BH412" s="302"/>
      <c r="BI412" s="302"/>
      <c r="BJ412" s="302"/>
      <c r="BM412">
        <v>-3.9</v>
      </c>
      <c r="BS412">
        <v>62.1</v>
      </c>
      <c r="BY412">
        <v>50.5</v>
      </c>
      <c r="CA412">
        <v>18.399999999999999</v>
      </c>
      <c r="CC412">
        <v>17.899999999999999</v>
      </c>
      <c r="CI412">
        <v>6.3</v>
      </c>
      <c r="CO412" t="s">
        <v>11679</v>
      </c>
      <c r="CR412">
        <v>2</v>
      </c>
      <c r="CT412" s="304" t="s">
        <v>11678</v>
      </c>
    </row>
    <row r="413" spans="1:98" s="304" customFormat="1">
      <c r="A413" s="304" t="s">
        <v>8506</v>
      </c>
      <c r="B413" s="463">
        <v>145</v>
      </c>
      <c r="C413" s="296" t="s">
        <v>7773</v>
      </c>
      <c r="D413" s="296" t="s">
        <v>7574</v>
      </c>
      <c r="E413" s="296" t="s">
        <v>7773</v>
      </c>
      <c r="F413" s="296"/>
      <c r="G413" s="296" t="s">
        <v>8506</v>
      </c>
      <c r="H413" s="297" t="s">
        <v>8697</v>
      </c>
      <c r="I413" s="297">
        <v>1</v>
      </c>
      <c r="J413" s="297">
        <v>1297</v>
      </c>
      <c r="K413" s="299"/>
      <c r="L413" s="299"/>
      <c r="M413" s="299">
        <v>65</v>
      </c>
      <c r="N413" s="299">
        <v>5</v>
      </c>
      <c r="O413" s="300">
        <v>24</v>
      </c>
      <c r="P413" s="301">
        <v>42090</v>
      </c>
      <c r="Q413" s="302"/>
      <c r="R413" s="303"/>
      <c r="S413" s="289">
        <v>5.3</v>
      </c>
      <c r="T413" s="303">
        <v>42208</v>
      </c>
      <c r="U413" s="302"/>
      <c r="V413" s="303"/>
      <c r="W413" s="302"/>
      <c r="X413" s="303"/>
      <c r="Y413" s="302">
        <v>19.86</v>
      </c>
      <c r="Z413" s="303">
        <v>42208</v>
      </c>
      <c r="AA413">
        <v>14.4</v>
      </c>
      <c r="AB413" s="303"/>
      <c r="AC413" s="302"/>
      <c r="AD413" s="303"/>
      <c r="AE413" s="302"/>
      <c r="AF413" s="303"/>
      <c r="AG413">
        <v>61580.378787878784</v>
      </c>
      <c r="AH413" s="521">
        <f>(AK413*10000)/AM413</f>
        <v>61580.378787878784</v>
      </c>
      <c r="AI413" s="302"/>
      <c r="AJ413" s="303"/>
      <c r="AK413">
        <v>33.869208333333333</v>
      </c>
      <c r="AL413" s="521"/>
      <c r="AM413">
        <v>5.5</v>
      </c>
      <c r="AN413" s="303">
        <v>42244</v>
      </c>
      <c r="AO413">
        <v>135</v>
      </c>
      <c r="AP413" s="303">
        <v>42170</v>
      </c>
      <c r="AQ413" s="302"/>
      <c r="AR413" s="303"/>
      <c r="AS413" s="302"/>
      <c r="AT413" s="303"/>
      <c r="AU413">
        <v>106</v>
      </c>
      <c r="AV413" s="303"/>
      <c r="AW413" s="302"/>
      <c r="AX413" s="302"/>
      <c r="AY413" s="302"/>
      <c r="AZ413" s="303"/>
      <c r="BA413" s="302"/>
      <c r="BB413" s="302"/>
      <c r="BC413" s="302"/>
      <c r="BD413" s="302"/>
      <c r="BE413" s="302"/>
      <c r="BF413" s="302"/>
      <c r="BG413" s="302"/>
      <c r="BH413" s="302"/>
      <c r="BI413" s="302"/>
      <c r="BJ413" s="302"/>
      <c r="BM413">
        <v>-5.8</v>
      </c>
      <c r="BS413">
        <v>61.8</v>
      </c>
      <c r="BY413">
        <v>52.3</v>
      </c>
      <c r="CA413">
        <v>15.1</v>
      </c>
      <c r="CC413">
        <v>16</v>
      </c>
      <c r="CI413">
        <v>6.1</v>
      </c>
      <c r="CO413" t="s">
        <v>8698</v>
      </c>
      <c r="CR413">
        <v>2</v>
      </c>
      <c r="CT413" s="304" t="s">
        <v>11678</v>
      </c>
    </row>
    <row r="414" spans="1:98" s="304" customFormat="1">
      <c r="A414" s="304" t="s">
        <v>8506</v>
      </c>
      <c r="B414" s="463">
        <v>5</v>
      </c>
      <c r="C414" s="296" t="s">
        <v>7612</v>
      </c>
      <c r="D414" s="296" t="s">
        <v>7811</v>
      </c>
      <c r="E414" s="296" t="s">
        <v>7612</v>
      </c>
      <c r="F414" s="296"/>
      <c r="G414" s="296" t="s">
        <v>8506</v>
      </c>
      <c r="H414" s="297" t="s">
        <v>8696</v>
      </c>
      <c r="I414" s="297">
        <v>2</v>
      </c>
      <c r="J414" s="297">
        <v>2298</v>
      </c>
      <c r="K414" s="299"/>
      <c r="L414" s="299"/>
      <c r="M414" s="299">
        <v>66</v>
      </c>
      <c r="N414" s="299">
        <v>11</v>
      </c>
      <c r="O414" s="300">
        <v>20</v>
      </c>
      <c r="P414" s="301">
        <v>42090</v>
      </c>
      <c r="Q414" s="302"/>
      <c r="R414" s="303"/>
      <c r="S414" s="289">
        <v>3.85</v>
      </c>
      <c r="T414" s="303">
        <v>42208</v>
      </c>
      <c r="U414" s="302"/>
      <c r="V414" s="303"/>
      <c r="W414" s="302"/>
      <c r="X414" s="303"/>
      <c r="Y414" s="302">
        <v>12.39</v>
      </c>
      <c r="Z414" s="303">
        <v>42208</v>
      </c>
      <c r="AA414">
        <v>14.4</v>
      </c>
      <c r="AB414" s="303"/>
      <c r="AC414" s="302"/>
      <c r="AD414" s="303"/>
      <c r="AE414" s="302"/>
      <c r="AF414" s="303"/>
      <c r="AG414">
        <v>42419.145114942534</v>
      </c>
      <c r="AH414" s="521">
        <f>(AK414*10000)/AM414</f>
        <v>42419.145114942534</v>
      </c>
      <c r="AI414" s="302"/>
      <c r="AJ414" s="303"/>
      <c r="AK414">
        <v>24.603104166666668</v>
      </c>
      <c r="AL414" s="521"/>
      <c r="AM414">
        <v>5.8</v>
      </c>
      <c r="AN414" s="303">
        <v>42244</v>
      </c>
      <c r="AO414">
        <v>125</v>
      </c>
      <c r="AP414" s="303">
        <v>42170</v>
      </c>
      <c r="AQ414" s="302"/>
      <c r="AR414" s="303"/>
      <c r="AS414" s="302"/>
      <c r="AT414" s="303"/>
      <c r="AU414">
        <v>107</v>
      </c>
      <c r="AV414" s="303"/>
      <c r="AW414" s="302"/>
      <c r="AX414" s="302"/>
      <c r="AY414" s="302"/>
      <c r="AZ414" s="303"/>
      <c r="BA414" s="302"/>
      <c r="BB414" s="302"/>
      <c r="BC414" s="302"/>
      <c r="BD414" s="302"/>
      <c r="BE414" s="302"/>
      <c r="BF414" s="302"/>
      <c r="BG414" s="302"/>
      <c r="BH414" s="302"/>
      <c r="BI414" s="302"/>
      <c r="BJ414" s="302"/>
      <c r="BM414">
        <v>48.5</v>
      </c>
      <c r="BS414">
        <v>2.9</v>
      </c>
      <c r="BY414">
        <v>44.9</v>
      </c>
      <c r="CA414">
        <v>23.4</v>
      </c>
      <c r="CC414">
        <v>80</v>
      </c>
      <c r="CI414">
        <v>6.1</v>
      </c>
      <c r="CO414" t="s">
        <v>8698</v>
      </c>
      <c r="CR414">
        <v>3</v>
      </c>
      <c r="CT414" s="304" t="s">
        <v>11678</v>
      </c>
    </row>
    <row r="415" spans="1:98" s="304" customFormat="1">
      <c r="A415" s="304" t="s">
        <v>8506</v>
      </c>
      <c r="B415" s="463">
        <v>15</v>
      </c>
      <c r="C415" s="296" t="s">
        <v>7624</v>
      </c>
      <c r="D415" s="296" t="s">
        <v>7462</v>
      </c>
      <c r="E415" s="296" t="s">
        <v>7624</v>
      </c>
      <c r="F415" s="296"/>
      <c r="G415" s="296" t="s">
        <v>8506</v>
      </c>
      <c r="H415" s="297" t="s">
        <v>8696</v>
      </c>
      <c r="I415" s="297">
        <v>2</v>
      </c>
      <c r="J415" s="297">
        <v>258</v>
      </c>
      <c r="K415" s="299"/>
      <c r="L415" s="299"/>
      <c r="M415" s="299">
        <v>66</v>
      </c>
      <c r="N415" s="299">
        <v>7</v>
      </c>
      <c r="O415" s="300">
        <v>60</v>
      </c>
      <c r="P415" s="301">
        <v>42090</v>
      </c>
      <c r="Q415" s="302"/>
      <c r="R415" s="303"/>
      <c r="S415" s="289">
        <v>3.45</v>
      </c>
      <c r="T415" s="303">
        <v>42208</v>
      </c>
      <c r="U415" s="302"/>
      <c r="V415" s="303"/>
      <c r="W415" s="302"/>
      <c r="X415" s="303"/>
      <c r="Y415" s="302">
        <v>11.27</v>
      </c>
      <c r="Z415" s="303">
        <v>42208</v>
      </c>
      <c r="AA415">
        <v>14.4</v>
      </c>
      <c r="AB415" s="303"/>
      <c r="AC415" s="302"/>
      <c r="AD415" s="303"/>
      <c r="AE415" s="302"/>
      <c r="AF415" s="303"/>
      <c r="AG415">
        <v>39453.385416666664</v>
      </c>
      <c r="AH415" s="521">
        <f>(AK415*10000)/AM415</f>
        <v>39453.385416666664</v>
      </c>
      <c r="AI415" s="302"/>
      <c r="AJ415" s="303"/>
      <c r="AK415">
        <v>22.093895833333331</v>
      </c>
      <c r="AL415" s="521"/>
      <c r="AM415">
        <v>5.6</v>
      </c>
      <c r="AN415" s="303">
        <v>42244</v>
      </c>
      <c r="AO415">
        <v>135</v>
      </c>
      <c r="AP415" s="303">
        <v>42170</v>
      </c>
      <c r="AQ415" s="302"/>
      <c r="AR415" s="303"/>
      <c r="AS415" s="302"/>
      <c r="AT415" s="303"/>
      <c r="AU415">
        <v>113</v>
      </c>
      <c r="AV415" s="303"/>
      <c r="AW415" s="302"/>
      <c r="AX415" s="302"/>
      <c r="AY415" s="302"/>
      <c r="AZ415" s="303"/>
      <c r="BA415" s="302"/>
      <c r="BB415" s="302"/>
      <c r="BC415" s="302"/>
      <c r="BD415" s="302"/>
      <c r="BE415" s="302"/>
      <c r="BF415" s="302"/>
      <c r="BG415" s="302"/>
      <c r="BH415" s="302"/>
      <c r="BI415" s="302"/>
      <c r="BJ415" s="302"/>
      <c r="BM415">
        <v>31.4</v>
      </c>
      <c r="BS415">
        <v>24.3</v>
      </c>
      <c r="BY415">
        <v>45.5</v>
      </c>
      <c r="CA415">
        <v>22.9</v>
      </c>
      <c r="CC415">
        <v>74</v>
      </c>
      <c r="CI415">
        <v>5.9</v>
      </c>
      <c r="CO415" t="s">
        <v>8698</v>
      </c>
      <c r="CR415">
        <v>3</v>
      </c>
      <c r="CT415" s="304" t="s">
        <v>11678</v>
      </c>
    </row>
    <row r="416" spans="1:98" s="304" customFormat="1">
      <c r="A416" s="304" t="s">
        <v>8506</v>
      </c>
      <c r="B416" s="463">
        <v>32</v>
      </c>
      <c r="C416" s="296" t="s">
        <v>7644</v>
      </c>
      <c r="D416" s="296" t="s">
        <v>7479</v>
      </c>
      <c r="E416" s="296" t="s">
        <v>7644</v>
      </c>
      <c r="F416" s="296"/>
      <c r="G416" s="296" t="s">
        <v>8506</v>
      </c>
      <c r="H416" s="297" t="s">
        <v>8696</v>
      </c>
      <c r="I416" s="297">
        <v>2</v>
      </c>
      <c r="J416" s="297">
        <v>2358</v>
      </c>
      <c r="K416" s="299"/>
      <c r="L416" s="299"/>
      <c r="M416" s="299">
        <v>66</v>
      </c>
      <c r="N416" s="299">
        <v>12</v>
      </c>
      <c r="O416" s="300">
        <v>68</v>
      </c>
      <c r="P416" s="301">
        <v>42090</v>
      </c>
      <c r="Q416" s="302"/>
      <c r="R416" s="303"/>
      <c r="S416" s="289">
        <v>4.4000000000000004</v>
      </c>
      <c r="T416" s="303">
        <v>42208</v>
      </c>
      <c r="U416" s="302"/>
      <c r="V416" s="303"/>
      <c r="W416" s="302"/>
      <c r="X416" s="303"/>
      <c r="Y416" s="302">
        <v>13.93</v>
      </c>
      <c r="Z416" s="303">
        <v>42208</v>
      </c>
      <c r="AA416">
        <v>14.4</v>
      </c>
      <c r="AB416" s="303"/>
      <c r="AC416" s="302"/>
      <c r="AD416" s="303"/>
      <c r="AE416" s="302"/>
      <c r="AF416" s="303"/>
      <c r="AG416">
        <v>52431.027253668763</v>
      </c>
      <c r="AH416" s="521">
        <f>(AK416*10000)/AM416</f>
        <v>52431.027253668763</v>
      </c>
      <c r="AI416" s="302"/>
      <c r="AJ416" s="303"/>
      <c r="AK416">
        <v>27.788444444444444</v>
      </c>
      <c r="AL416" s="521"/>
      <c r="AM416">
        <v>5.3</v>
      </c>
      <c r="AN416" s="303">
        <v>42244</v>
      </c>
      <c r="AO416">
        <v>125</v>
      </c>
      <c r="AP416" s="303">
        <v>42170</v>
      </c>
      <c r="AQ416" s="302"/>
      <c r="AR416" s="303"/>
      <c r="AS416" s="302"/>
      <c r="AT416" s="303"/>
      <c r="AU416">
        <v>111</v>
      </c>
      <c r="AV416" s="303"/>
      <c r="AW416" s="302"/>
      <c r="AX416" s="302"/>
      <c r="AY416" s="302"/>
      <c r="AZ416" s="303"/>
      <c r="BA416" s="302"/>
      <c r="BB416" s="302"/>
      <c r="BC416" s="302"/>
      <c r="BD416" s="302"/>
      <c r="BE416" s="302"/>
      <c r="BF416" s="302"/>
      <c r="BG416" s="302"/>
      <c r="BH416" s="302"/>
      <c r="BI416" s="302"/>
      <c r="BJ416" s="302"/>
      <c r="BM416">
        <v>-5</v>
      </c>
      <c r="BS416">
        <v>55.4</v>
      </c>
      <c r="BY416">
        <v>44.7</v>
      </c>
      <c r="CA416">
        <v>22.5</v>
      </c>
      <c r="CC416">
        <v>25.4</v>
      </c>
      <c r="CI416">
        <v>7.2</v>
      </c>
      <c r="CO416" t="s">
        <v>8698</v>
      </c>
      <c r="CR416">
        <v>3</v>
      </c>
      <c r="CT416" s="304" t="s">
        <v>11678</v>
      </c>
    </row>
    <row r="417" spans="1:98" s="304" customFormat="1">
      <c r="A417" s="304" t="s">
        <v>8506</v>
      </c>
      <c r="B417" s="463">
        <v>119</v>
      </c>
      <c r="C417" s="296" t="s">
        <v>7738</v>
      </c>
      <c r="D417" s="296" t="s">
        <v>7822</v>
      </c>
      <c r="E417" s="296" t="s">
        <v>7738</v>
      </c>
      <c r="F417" s="296"/>
      <c r="G417" s="296" t="s">
        <v>8506</v>
      </c>
      <c r="H417" s="297" t="s">
        <v>8697</v>
      </c>
      <c r="I417" s="297">
        <v>1</v>
      </c>
      <c r="J417" s="297">
        <v>1118</v>
      </c>
      <c r="K417" s="299"/>
      <c r="L417" s="299"/>
      <c r="M417" s="299">
        <v>66</v>
      </c>
      <c r="N417" s="299">
        <v>2</v>
      </c>
      <c r="O417" s="300">
        <v>44</v>
      </c>
      <c r="P417" s="301">
        <v>42090</v>
      </c>
      <c r="Q417" s="302"/>
      <c r="R417" s="303"/>
      <c r="S417" s="289">
        <v>3.2</v>
      </c>
      <c r="T417" s="303">
        <v>42208</v>
      </c>
      <c r="U417" s="302"/>
      <c r="V417" s="303"/>
      <c r="W417" s="302"/>
      <c r="X417" s="303"/>
      <c r="Y417" s="302">
        <v>12.04</v>
      </c>
      <c r="Z417" s="303">
        <v>42208</v>
      </c>
      <c r="AA417">
        <v>14.4</v>
      </c>
      <c r="AB417" s="303"/>
      <c r="AC417" s="302"/>
      <c r="AD417" s="303"/>
      <c r="AE417" s="302"/>
      <c r="AF417" s="303"/>
      <c r="AG417">
        <v>46475.757575757576</v>
      </c>
      <c r="AH417" s="521">
        <f>(AK417*10000)/AM417</f>
        <v>46475.757575757576</v>
      </c>
      <c r="AI417" s="302"/>
      <c r="AJ417" s="303"/>
      <c r="AK417">
        <v>20.449333333333335</v>
      </c>
      <c r="AL417" s="521"/>
      <c r="AM417">
        <v>4.4000000000000004</v>
      </c>
      <c r="AN417" s="303">
        <v>42244</v>
      </c>
      <c r="AO417">
        <v>155</v>
      </c>
      <c r="AP417" s="303">
        <v>42170</v>
      </c>
      <c r="AQ417" s="302"/>
      <c r="AR417" s="303"/>
      <c r="AS417" s="302"/>
      <c r="AT417" s="303"/>
      <c r="AU417">
        <v>112</v>
      </c>
      <c r="AV417" s="303"/>
      <c r="AW417" s="302"/>
      <c r="AX417" s="302"/>
      <c r="AY417" s="302"/>
      <c r="AZ417" s="303"/>
      <c r="BA417" s="302"/>
      <c r="BB417" s="302"/>
      <c r="BC417" s="302"/>
      <c r="BD417" s="302"/>
      <c r="BE417" s="302"/>
      <c r="BF417" s="302"/>
      <c r="BG417" s="302"/>
      <c r="BH417" s="302"/>
      <c r="BI417" s="302"/>
      <c r="BJ417" s="302"/>
      <c r="BM417">
        <v>41.5</v>
      </c>
      <c r="BS417">
        <v>13.6</v>
      </c>
      <c r="BY417">
        <v>52.5</v>
      </c>
      <c r="CA417">
        <v>17.100000000000001</v>
      </c>
      <c r="CC417">
        <v>57.5</v>
      </c>
      <c r="CI417">
        <v>6.1</v>
      </c>
      <c r="CO417" t="s">
        <v>8698</v>
      </c>
      <c r="CR417">
        <v>3</v>
      </c>
      <c r="CT417" s="304" t="s">
        <v>11678</v>
      </c>
    </row>
    <row r="418" spans="1:98" s="304" customFormat="1">
      <c r="A418" s="304" t="s">
        <v>8506</v>
      </c>
      <c r="B418" s="463">
        <v>158</v>
      </c>
      <c r="C418" s="296" t="s">
        <v>7786</v>
      </c>
      <c r="D418" s="296" t="s">
        <v>7587</v>
      </c>
      <c r="E418" s="296" t="s">
        <v>7786</v>
      </c>
      <c r="F418" s="296"/>
      <c r="G418" s="296" t="s">
        <v>8506</v>
      </c>
      <c r="H418" s="297" t="s">
        <v>8697</v>
      </c>
      <c r="I418" s="297">
        <v>1</v>
      </c>
      <c r="J418" s="297">
        <v>158</v>
      </c>
      <c r="K418" s="299"/>
      <c r="L418" s="299"/>
      <c r="M418" s="299">
        <v>66</v>
      </c>
      <c r="N418" s="299">
        <v>1</v>
      </c>
      <c r="O418" s="300">
        <v>34</v>
      </c>
      <c r="P418" s="301">
        <v>42090</v>
      </c>
      <c r="Q418" s="302"/>
      <c r="R418" s="303"/>
      <c r="S418" s="289">
        <v>5.3</v>
      </c>
      <c r="T418" s="303">
        <v>42208</v>
      </c>
      <c r="U418" s="302"/>
      <c r="V418" s="303"/>
      <c r="W418" s="302"/>
      <c r="X418" s="303"/>
      <c r="Y418" s="302">
        <v>20.37</v>
      </c>
      <c r="Z418" s="303">
        <v>42208</v>
      </c>
      <c r="AA418">
        <v>14.4</v>
      </c>
      <c r="AB418" s="303"/>
      <c r="AC418" s="302"/>
      <c r="AD418" s="303"/>
      <c r="AE418" s="302"/>
      <c r="AF418" s="303"/>
      <c r="AG418">
        <v>64176.388888888883</v>
      </c>
      <c r="AH418" s="521">
        <f>(AK418*10000)/AM418</f>
        <v>64176.388888888883</v>
      </c>
      <c r="AI418" s="302"/>
      <c r="AJ418" s="303"/>
      <c r="AK418">
        <v>34.013486111111106</v>
      </c>
      <c r="AL418" s="521"/>
      <c r="AM418">
        <v>5.3</v>
      </c>
      <c r="AN418" s="303">
        <v>42244</v>
      </c>
      <c r="AO418">
        <v>130</v>
      </c>
      <c r="AP418" s="303">
        <v>42170</v>
      </c>
      <c r="AQ418" s="302"/>
      <c r="AR418" s="303"/>
      <c r="AS418" s="302"/>
      <c r="AT418" s="303"/>
      <c r="AU418">
        <v>107</v>
      </c>
      <c r="AV418" s="303"/>
      <c r="AW418" s="302"/>
      <c r="AX418" s="302"/>
      <c r="AY418" s="302"/>
      <c r="AZ418" s="303"/>
      <c r="BA418" s="302"/>
      <c r="BB418" s="302"/>
      <c r="BC418" s="302"/>
      <c r="BD418" s="302"/>
      <c r="BE418" s="302"/>
      <c r="BF418" s="302"/>
      <c r="BG418" s="302"/>
      <c r="BH418" s="302"/>
      <c r="BI418" s="302"/>
      <c r="BJ418" s="302"/>
      <c r="BM418">
        <v>-5.5</v>
      </c>
      <c r="BS418">
        <v>61.1</v>
      </c>
      <c r="BY418">
        <v>53.4</v>
      </c>
      <c r="CA418">
        <v>14.5</v>
      </c>
      <c r="CC418">
        <v>18.100000000000001</v>
      </c>
      <c r="CI418">
        <v>5.7</v>
      </c>
      <c r="CO418" t="s">
        <v>8698</v>
      </c>
      <c r="CR418">
        <v>2</v>
      </c>
      <c r="CT418" s="304" t="s">
        <v>11678</v>
      </c>
    </row>
    <row r="419" spans="1:98" s="304" customFormat="1">
      <c r="A419" s="304" t="s">
        <v>8506</v>
      </c>
      <c r="B419" s="463">
        <v>170</v>
      </c>
      <c r="C419" s="296" t="s">
        <v>7798</v>
      </c>
      <c r="D419" s="296" t="s">
        <v>7599</v>
      </c>
      <c r="E419" s="296" t="s">
        <v>7798</v>
      </c>
      <c r="F419" s="296"/>
      <c r="G419" s="296" t="s">
        <v>8506</v>
      </c>
      <c r="H419" s="297" t="s">
        <v>8696</v>
      </c>
      <c r="I419" s="297">
        <v>2</v>
      </c>
      <c r="J419" s="297">
        <v>2178</v>
      </c>
      <c r="K419" s="299"/>
      <c r="L419" s="299"/>
      <c r="M419" s="299">
        <v>66</v>
      </c>
      <c r="N419" s="299">
        <v>9</v>
      </c>
      <c r="O419" s="300">
        <v>73</v>
      </c>
      <c r="P419" s="301">
        <v>42090</v>
      </c>
      <c r="Q419" s="302"/>
      <c r="R419" s="303"/>
      <c r="S419" s="289">
        <v>6.05</v>
      </c>
      <c r="T419" s="303">
        <v>42208</v>
      </c>
      <c r="U419" s="302"/>
      <c r="V419" s="303"/>
      <c r="W419" s="302"/>
      <c r="X419" s="303"/>
      <c r="Y419" s="302">
        <v>21.85</v>
      </c>
      <c r="Z419" s="303">
        <v>42208</v>
      </c>
      <c r="AA419">
        <v>14.4</v>
      </c>
      <c r="AB419" s="303"/>
      <c r="AC419" s="302"/>
      <c r="AD419" s="303"/>
      <c r="AE419" s="302"/>
      <c r="AF419" s="303"/>
      <c r="AG419">
        <v>67683.637914230014</v>
      </c>
      <c r="AH419" s="521">
        <f>(AK419*10000)/AM419</f>
        <v>67683.637914230014</v>
      </c>
      <c r="AI419" s="302"/>
      <c r="AJ419" s="303"/>
      <c r="AK419">
        <v>38.579673611111112</v>
      </c>
      <c r="AL419" s="521"/>
      <c r="AM419">
        <v>5.7</v>
      </c>
      <c r="AN419" s="303">
        <v>42244</v>
      </c>
      <c r="AO419">
        <v>130</v>
      </c>
      <c r="AP419" s="303">
        <v>42170</v>
      </c>
      <c r="AQ419" s="302"/>
      <c r="AR419" s="303"/>
      <c r="AS419" s="302"/>
      <c r="AT419" s="303"/>
      <c r="AU419">
        <v>102</v>
      </c>
      <c r="AV419" s="303"/>
      <c r="AW419" s="302"/>
      <c r="AX419" s="302"/>
      <c r="AY419" s="302"/>
      <c r="AZ419" s="303"/>
      <c r="BA419" s="302"/>
      <c r="BB419" s="302"/>
      <c r="BC419" s="302"/>
      <c r="BD419" s="302"/>
      <c r="BE419" s="302"/>
      <c r="BF419" s="302"/>
      <c r="BG419" s="302"/>
      <c r="BH419" s="302"/>
      <c r="BI419" s="302"/>
      <c r="BJ419" s="302"/>
      <c r="BM419">
        <v>-5.2</v>
      </c>
      <c r="BS419">
        <v>64.599999999999994</v>
      </c>
      <c r="BY419">
        <v>50.5</v>
      </c>
      <c r="CA419">
        <v>18.600000000000001</v>
      </c>
      <c r="CC419">
        <v>14.5</v>
      </c>
      <c r="CI419">
        <v>6.3</v>
      </c>
      <c r="CO419" t="s">
        <v>8698</v>
      </c>
      <c r="CR419">
        <v>1</v>
      </c>
      <c r="CT419" s="304" t="s">
        <v>11678</v>
      </c>
    </row>
    <row r="420" spans="1:98" s="304" customFormat="1">
      <c r="A420" s="304" t="s">
        <v>8506</v>
      </c>
      <c r="B420" s="463">
        <v>174</v>
      </c>
      <c r="C420" s="296" t="s">
        <v>7802</v>
      </c>
      <c r="D420" s="296" t="s">
        <v>7843</v>
      </c>
      <c r="E420" s="296" t="s">
        <v>7802</v>
      </c>
      <c r="F420" s="296"/>
      <c r="G420" s="296" t="s">
        <v>8506</v>
      </c>
      <c r="H420" s="466" t="s">
        <v>8696</v>
      </c>
      <c r="I420" s="297">
        <v>1</v>
      </c>
      <c r="J420" s="297">
        <v>1178</v>
      </c>
      <c r="K420" s="299"/>
      <c r="L420" s="299"/>
      <c r="M420" s="299">
        <v>66</v>
      </c>
      <c r="N420" s="299">
        <v>3</v>
      </c>
      <c r="O420" s="300">
        <v>38</v>
      </c>
      <c r="P420" s="301">
        <v>42090</v>
      </c>
      <c r="Q420" s="302"/>
      <c r="R420" s="303"/>
      <c r="S420" s="289">
        <v>7.45</v>
      </c>
      <c r="T420" s="303">
        <v>42208</v>
      </c>
      <c r="U420" s="302"/>
      <c r="V420" s="303"/>
      <c r="W420" s="302"/>
      <c r="X420" s="303"/>
      <c r="Y420" s="302">
        <v>27.53</v>
      </c>
      <c r="Z420" s="303">
        <v>42208</v>
      </c>
      <c r="AA420">
        <v>14.4</v>
      </c>
      <c r="AB420" s="303"/>
      <c r="AC420" s="302"/>
      <c r="AD420" s="303"/>
      <c r="AE420" s="302"/>
      <c r="AF420" s="303"/>
      <c r="AG420">
        <v>111071.4147286822</v>
      </c>
      <c r="AH420" s="521">
        <f>(AK420*10000)/AM420</f>
        <v>111071.4147286822</v>
      </c>
      <c r="AI420" s="302"/>
      <c r="AJ420" s="303"/>
      <c r="AK420">
        <v>47.760708333333341</v>
      </c>
      <c r="AL420" s="521"/>
      <c r="AM420">
        <v>4.3</v>
      </c>
      <c r="AN420" s="303">
        <v>42244</v>
      </c>
      <c r="AO420">
        <v>130</v>
      </c>
      <c r="AP420" s="303">
        <v>42170</v>
      </c>
      <c r="AQ420" s="302"/>
      <c r="AR420" s="303"/>
      <c r="AS420" s="302"/>
      <c r="AT420" s="303"/>
      <c r="AU420">
        <v>107</v>
      </c>
      <c r="AV420" s="303"/>
      <c r="AW420" s="302"/>
      <c r="AX420" s="302"/>
      <c r="AY420" s="302"/>
      <c r="AZ420" s="303"/>
      <c r="BA420" s="302"/>
      <c r="BB420" s="302"/>
      <c r="BC420" s="302"/>
      <c r="BD420" s="302"/>
      <c r="BE420" s="302"/>
      <c r="BF420" s="302"/>
      <c r="BG420" s="302"/>
      <c r="BH420" s="302"/>
      <c r="BI420" s="302"/>
      <c r="BJ420" s="302"/>
      <c r="BM420">
        <v>-3.6</v>
      </c>
      <c r="BS420">
        <v>60.8</v>
      </c>
      <c r="BY420">
        <v>51.4</v>
      </c>
      <c r="CA420">
        <v>17.399999999999999</v>
      </c>
      <c r="CC420">
        <v>14.9</v>
      </c>
      <c r="CI420">
        <v>5.8</v>
      </c>
      <c r="CO420" t="s">
        <v>11679</v>
      </c>
      <c r="CR420">
        <v>2</v>
      </c>
      <c r="CT420" s="304" t="s">
        <v>11678</v>
      </c>
    </row>
    <row r="421" spans="1:98" s="304" customFormat="1">
      <c r="A421" s="304" t="s">
        <v>8506</v>
      </c>
      <c r="B421" s="463">
        <v>56</v>
      </c>
      <c r="C421" s="296" t="s">
        <v>7674</v>
      </c>
      <c r="D421" s="296" t="s">
        <v>7506</v>
      </c>
      <c r="E421" s="296" t="s">
        <v>7674</v>
      </c>
      <c r="F421" s="296"/>
      <c r="G421" s="296" t="s">
        <v>8506</v>
      </c>
      <c r="H421" s="466" t="s">
        <v>8696</v>
      </c>
      <c r="I421" s="297">
        <v>1</v>
      </c>
      <c r="J421" s="308">
        <v>1179</v>
      </c>
      <c r="K421" s="299"/>
      <c r="L421" s="299"/>
      <c r="M421" s="299">
        <v>67</v>
      </c>
      <c r="N421" s="299">
        <v>3</v>
      </c>
      <c r="O421" s="300">
        <v>41</v>
      </c>
      <c r="P421" s="301">
        <v>42090</v>
      </c>
      <c r="Q421" s="306"/>
      <c r="R421" s="303"/>
      <c r="S421" s="289">
        <v>5.3</v>
      </c>
      <c r="T421" s="303">
        <v>42208</v>
      </c>
      <c r="U421" s="307"/>
      <c r="V421" s="303"/>
      <c r="W421" s="306"/>
      <c r="X421" s="303"/>
      <c r="Y421" s="306">
        <v>18.75</v>
      </c>
      <c r="Z421" s="303">
        <v>42208</v>
      </c>
      <c r="AA421">
        <v>14.4</v>
      </c>
      <c r="AB421" s="303"/>
      <c r="AC421" s="306"/>
      <c r="AD421" s="303"/>
      <c r="AE421" s="302"/>
      <c r="AF421" s="303"/>
      <c r="AG421">
        <v>69341.666666666657</v>
      </c>
      <c r="AH421" s="521">
        <f>(AK421*10000)/AM421</f>
        <v>69341.666666666657</v>
      </c>
      <c r="AI421" s="302"/>
      <c r="AJ421" s="303"/>
      <c r="AK421">
        <v>33.977416666666663</v>
      </c>
      <c r="AL421" s="521"/>
      <c r="AM421">
        <v>4.9000000000000004</v>
      </c>
      <c r="AN421" s="303">
        <v>42244</v>
      </c>
      <c r="AO421">
        <v>130</v>
      </c>
      <c r="AP421" s="303">
        <v>42170</v>
      </c>
      <c r="AQ421" s="306"/>
      <c r="AR421" s="303"/>
      <c r="AS421" s="306"/>
      <c r="AT421" s="303"/>
      <c r="AU421">
        <v>105</v>
      </c>
      <c r="AV421" s="303"/>
      <c r="AW421" s="302"/>
      <c r="AX421" s="302"/>
      <c r="AY421" s="302"/>
      <c r="AZ421" s="303"/>
      <c r="BA421" s="302"/>
      <c r="BB421" s="302"/>
      <c r="BC421" s="302"/>
      <c r="BD421" s="302"/>
      <c r="BE421" s="302"/>
      <c r="BF421" s="302"/>
      <c r="BG421" s="302"/>
      <c r="BH421" s="302"/>
      <c r="BI421" s="302"/>
      <c r="BJ421" s="302"/>
      <c r="BM421">
        <v>-2.8</v>
      </c>
      <c r="BS421">
        <v>59.6</v>
      </c>
      <c r="BY421">
        <v>49.2</v>
      </c>
      <c r="CA421">
        <v>18.399999999999999</v>
      </c>
      <c r="CC421">
        <v>15.4</v>
      </c>
      <c r="CI421">
        <v>5.8</v>
      </c>
      <c r="CO421" t="s">
        <v>11679</v>
      </c>
      <c r="CR421">
        <v>2</v>
      </c>
      <c r="CT421" s="304" t="s">
        <v>11678</v>
      </c>
    </row>
    <row r="422" spans="1:98" s="304" customFormat="1">
      <c r="A422" s="304" t="s">
        <v>8506</v>
      </c>
      <c r="B422" s="463">
        <v>88</v>
      </c>
      <c r="C422" s="296" t="s">
        <v>7706</v>
      </c>
      <c r="D422" s="296" t="s">
        <v>7535</v>
      </c>
      <c r="E422" s="296" t="s">
        <v>7706</v>
      </c>
      <c r="F422" s="296"/>
      <c r="G422" s="296" t="s">
        <v>8506</v>
      </c>
      <c r="H422" s="297" t="s">
        <v>8696</v>
      </c>
      <c r="I422" s="297">
        <v>2</v>
      </c>
      <c r="J422" s="308">
        <v>259</v>
      </c>
      <c r="K422" s="299"/>
      <c r="L422" s="299"/>
      <c r="M422" s="299">
        <v>67</v>
      </c>
      <c r="N422" s="299">
        <v>7</v>
      </c>
      <c r="O422" s="300">
        <v>51</v>
      </c>
      <c r="P422" s="301">
        <v>42090</v>
      </c>
      <c r="Q422" s="306"/>
      <c r="R422" s="303"/>
      <c r="S422" s="289">
        <v>5.5</v>
      </c>
      <c r="T422" s="303">
        <v>42208</v>
      </c>
      <c r="U422" s="307"/>
      <c r="V422" s="303"/>
      <c r="W422" s="306"/>
      <c r="X422" s="303"/>
      <c r="Y422" s="306">
        <v>19.41</v>
      </c>
      <c r="Z422" s="303">
        <v>42208</v>
      </c>
      <c r="AA422">
        <v>14.4</v>
      </c>
      <c r="AB422" s="303"/>
      <c r="AC422" s="306"/>
      <c r="AD422" s="303"/>
      <c r="AE422" s="302"/>
      <c r="AF422" s="303"/>
      <c r="AG422">
        <v>65018.261316872413</v>
      </c>
      <c r="AH422" s="521">
        <f>(AK422*10000)/AM422</f>
        <v>65018.261316872413</v>
      </c>
      <c r="AI422" s="302"/>
      <c r="AJ422" s="303"/>
      <c r="AK422">
        <v>35.109861111111108</v>
      </c>
      <c r="AL422" s="521"/>
      <c r="AM422">
        <v>5.4</v>
      </c>
      <c r="AN422" s="303">
        <v>42244</v>
      </c>
      <c r="AO422">
        <v>130</v>
      </c>
      <c r="AP422" s="303">
        <v>42170</v>
      </c>
      <c r="AQ422" s="306"/>
      <c r="AR422" s="303"/>
      <c r="AS422" s="306"/>
      <c r="AT422" s="303"/>
      <c r="AU422">
        <v>108</v>
      </c>
      <c r="AV422" s="303"/>
      <c r="AW422" s="302"/>
      <c r="AX422" s="302"/>
      <c r="AY422" s="302"/>
      <c r="AZ422" s="303"/>
      <c r="BA422" s="302"/>
      <c r="BB422" s="302"/>
      <c r="BC422" s="302"/>
      <c r="BD422" s="302"/>
      <c r="BE422" s="302"/>
      <c r="BF422" s="302"/>
      <c r="BG422" s="302"/>
      <c r="BH422" s="302"/>
      <c r="BI422" s="302"/>
      <c r="BJ422" s="302"/>
      <c r="BM422">
        <v>-0.2</v>
      </c>
      <c r="BS422">
        <v>58.8</v>
      </c>
      <c r="BY422">
        <v>49.3</v>
      </c>
      <c r="CA422">
        <v>18.8</v>
      </c>
      <c r="CC422">
        <v>16.399999999999999</v>
      </c>
      <c r="CI422">
        <v>6.2</v>
      </c>
      <c r="CO422" t="s">
        <v>8698</v>
      </c>
      <c r="CR422">
        <v>2</v>
      </c>
      <c r="CT422" s="304" t="s">
        <v>11678</v>
      </c>
    </row>
    <row r="423" spans="1:98" s="304" customFormat="1">
      <c r="A423" s="304" t="s">
        <v>8506</v>
      </c>
      <c r="B423" s="463">
        <v>116</v>
      </c>
      <c r="C423" s="296" t="s">
        <v>7735</v>
      </c>
      <c r="D423" s="296" t="s">
        <v>7819</v>
      </c>
      <c r="E423" s="296" t="s">
        <v>7735</v>
      </c>
      <c r="F423" s="296"/>
      <c r="G423" s="296" t="s">
        <v>8506</v>
      </c>
      <c r="H423" s="297" t="s">
        <v>8697</v>
      </c>
      <c r="I423" s="297">
        <v>1</v>
      </c>
      <c r="J423" s="297">
        <v>1299</v>
      </c>
      <c r="K423" s="299"/>
      <c r="L423" s="299"/>
      <c r="M423" s="299">
        <v>67</v>
      </c>
      <c r="N423" s="299">
        <v>5</v>
      </c>
      <c r="O423" s="300">
        <v>24</v>
      </c>
      <c r="P423" s="301">
        <v>42090</v>
      </c>
      <c r="Q423" s="302"/>
      <c r="R423" s="303"/>
      <c r="S423" s="289">
        <v>4.3499999999999996</v>
      </c>
      <c r="T423" s="303">
        <v>42208</v>
      </c>
      <c r="U423" s="302"/>
      <c r="V423" s="303"/>
      <c r="W423" s="302"/>
      <c r="X423" s="303"/>
      <c r="Y423" s="302">
        <v>15.31</v>
      </c>
      <c r="Z423" s="303">
        <v>42208</v>
      </c>
      <c r="AA423">
        <v>14.4</v>
      </c>
      <c r="AB423" s="303"/>
      <c r="AC423" s="302"/>
      <c r="AD423" s="303"/>
      <c r="AE423" s="302"/>
      <c r="AF423" s="303"/>
      <c r="AG423">
        <v>60688.541666666679</v>
      </c>
      <c r="AH423" s="521">
        <f>(AK423*10000)/AM423</f>
        <v>60688.541666666679</v>
      </c>
      <c r="AI423" s="302"/>
      <c r="AJ423" s="303"/>
      <c r="AK423">
        <v>27.916729166666666</v>
      </c>
      <c r="AL423" s="521"/>
      <c r="AM423">
        <v>4.5999999999999996</v>
      </c>
      <c r="AN423" s="303">
        <v>42244</v>
      </c>
      <c r="AO423">
        <v>135</v>
      </c>
      <c r="AP423" s="303">
        <v>42170</v>
      </c>
      <c r="AQ423" s="302"/>
      <c r="AR423" s="303"/>
      <c r="AS423" s="302"/>
      <c r="AT423" s="303"/>
      <c r="AU423">
        <v>113</v>
      </c>
      <c r="AV423" s="303"/>
      <c r="AW423" s="302"/>
      <c r="AX423" s="302"/>
      <c r="AY423" s="302"/>
      <c r="AZ423" s="303"/>
      <c r="BA423" s="302"/>
      <c r="BB423" s="302"/>
      <c r="BC423" s="302"/>
      <c r="BD423" s="302"/>
      <c r="BE423" s="302"/>
      <c r="BF423" s="302"/>
      <c r="BG423" s="302"/>
      <c r="BH423" s="302"/>
      <c r="BI423" s="302"/>
      <c r="BJ423" s="302"/>
      <c r="BM423">
        <v>42.8</v>
      </c>
      <c r="BS423">
        <v>15.1</v>
      </c>
      <c r="BY423">
        <v>48.9</v>
      </c>
      <c r="CA423">
        <v>18</v>
      </c>
      <c r="CC423">
        <v>63.4</v>
      </c>
      <c r="CI423">
        <v>5.7</v>
      </c>
      <c r="CO423" s="304" t="s">
        <v>11676</v>
      </c>
      <c r="CR423">
        <v>7</v>
      </c>
      <c r="CT423" s="304" t="s">
        <v>11678</v>
      </c>
    </row>
    <row r="424" spans="1:98" s="304" customFormat="1">
      <c r="A424" s="304" t="s">
        <v>8506</v>
      </c>
      <c r="B424" s="463">
        <v>144</v>
      </c>
      <c r="C424" s="296" t="s">
        <v>7772</v>
      </c>
      <c r="D424" s="296" t="s">
        <v>7573</v>
      </c>
      <c r="E424" s="296" t="s">
        <v>7772</v>
      </c>
      <c r="F424" s="296"/>
      <c r="G424" s="296" t="s">
        <v>8506</v>
      </c>
      <c r="H424" s="297" t="s">
        <v>8697</v>
      </c>
      <c r="I424" s="297">
        <v>1</v>
      </c>
      <c r="J424" s="297">
        <v>1359</v>
      </c>
      <c r="K424" s="299"/>
      <c r="L424" s="299"/>
      <c r="M424" s="299">
        <v>67</v>
      </c>
      <c r="N424" s="299">
        <v>6</v>
      </c>
      <c r="O424" s="300">
        <v>41</v>
      </c>
      <c r="P424" s="301">
        <v>42090</v>
      </c>
      <c r="Q424" s="302"/>
      <c r="R424" s="303"/>
      <c r="S424" s="289">
        <v>5.55</v>
      </c>
      <c r="T424" s="303">
        <v>42208</v>
      </c>
      <c r="U424" s="302"/>
      <c r="V424" s="303"/>
      <c r="W424" s="302"/>
      <c r="X424" s="303"/>
      <c r="Y424" s="302">
        <v>19.61</v>
      </c>
      <c r="Z424" s="303">
        <v>42208</v>
      </c>
      <c r="AA424">
        <v>14.4</v>
      </c>
      <c r="AB424" s="303"/>
      <c r="AC424" s="302"/>
      <c r="AD424" s="303"/>
      <c r="AE424" s="302"/>
      <c r="AF424" s="303"/>
      <c r="AG424">
        <v>67061.045597484263</v>
      </c>
      <c r="AH424" s="521">
        <f>(AK424*10000)/AM424</f>
        <v>67061.045597484263</v>
      </c>
      <c r="AI424" s="302"/>
      <c r="AJ424" s="303"/>
      <c r="AK424">
        <v>35.542354166666655</v>
      </c>
      <c r="AL424" s="521"/>
      <c r="AM424">
        <v>5.3</v>
      </c>
      <c r="AN424" s="303">
        <v>42244</v>
      </c>
      <c r="AO424">
        <v>140</v>
      </c>
      <c r="AP424" s="303">
        <v>42170</v>
      </c>
      <c r="AQ424" s="302"/>
      <c r="AR424" s="303"/>
      <c r="AS424" s="302"/>
      <c r="AT424" s="303"/>
      <c r="AU424">
        <v>107</v>
      </c>
      <c r="AV424" s="303"/>
      <c r="AW424" s="302"/>
      <c r="AX424" s="302"/>
      <c r="AY424" s="302"/>
      <c r="AZ424" s="303"/>
      <c r="BA424" s="302"/>
      <c r="BB424" s="302"/>
      <c r="BC424" s="302"/>
      <c r="BD424" s="302"/>
      <c r="BE424" s="302"/>
      <c r="BF424" s="302"/>
      <c r="BG424" s="302"/>
      <c r="BH424" s="302"/>
      <c r="BI424" s="302"/>
      <c r="BJ424" s="302"/>
      <c r="BM424">
        <v>-1.3</v>
      </c>
      <c r="BS424">
        <v>56.3</v>
      </c>
      <c r="BY424">
        <v>49.2</v>
      </c>
      <c r="CA424">
        <v>19.399999999999999</v>
      </c>
      <c r="CC424">
        <v>12.5</v>
      </c>
      <c r="CI424">
        <v>5.9</v>
      </c>
      <c r="CO424" t="s">
        <v>8698</v>
      </c>
      <c r="CR424">
        <v>2</v>
      </c>
      <c r="CT424" s="304" t="s">
        <v>11678</v>
      </c>
    </row>
    <row r="425" spans="1:98" s="304" customFormat="1">
      <c r="A425" s="304" t="s">
        <v>8506</v>
      </c>
      <c r="B425" s="463">
        <v>162</v>
      </c>
      <c r="C425" s="296" t="s">
        <v>7790</v>
      </c>
      <c r="D425" s="296" t="s">
        <v>7591</v>
      </c>
      <c r="E425" s="296" t="s">
        <v>7790</v>
      </c>
      <c r="F425" s="296"/>
      <c r="G425" s="296" t="s">
        <v>8506</v>
      </c>
      <c r="H425" s="297" t="s">
        <v>8696</v>
      </c>
      <c r="I425" s="297">
        <v>2</v>
      </c>
      <c r="J425" s="297">
        <v>2299</v>
      </c>
      <c r="K425" s="299"/>
      <c r="L425" s="299"/>
      <c r="M425" s="299">
        <v>67</v>
      </c>
      <c r="N425" s="299">
        <v>11</v>
      </c>
      <c r="O425" s="300">
        <v>29</v>
      </c>
      <c r="P425" s="301">
        <v>42090</v>
      </c>
      <c r="Q425" s="302"/>
      <c r="R425" s="303"/>
      <c r="S425" s="289">
        <v>6.65</v>
      </c>
      <c r="T425" s="303">
        <v>42208</v>
      </c>
      <c r="U425" s="302"/>
      <c r="V425" s="303"/>
      <c r="W425" s="302"/>
      <c r="X425" s="303"/>
      <c r="Y425" s="302">
        <v>24.7</v>
      </c>
      <c r="Z425" s="303">
        <v>42208</v>
      </c>
      <c r="AA425">
        <v>14.4</v>
      </c>
      <c r="AB425" s="303"/>
      <c r="AC425" s="302"/>
      <c r="AD425" s="303"/>
      <c r="AE425" s="302"/>
      <c r="AF425" s="303"/>
      <c r="AG425">
        <v>94134.444444444438</v>
      </c>
      <c r="AH425" s="521">
        <f>(AK425*10000)/AM425</f>
        <v>94134.444444444438</v>
      </c>
      <c r="AI425" s="302"/>
      <c r="AJ425" s="303"/>
      <c r="AK425">
        <v>42.360499999999995</v>
      </c>
      <c r="AL425" s="521"/>
      <c r="AM425">
        <v>4.5</v>
      </c>
      <c r="AN425" s="303">
        <v>42244</v>
      </c>
      <c r="AO425">
        <v>135</v>
      </c>
      <c r="AP425" s="303">
        <v>42170</v>
      </c>
      <c r="AQ425" s="302"/>
      <c r="AR425" s="303"/>
      <c r="AS425" s="302"/>
      <c r="AT425" s="303"/>
      <c r="AU425">
        <v>106</v>
      </c>
      <c r="AV425" s="303"/>
      <c r="AW425" s="302"/>
      <c r="AX425" s="302"/>
      <c r="AY425" s="302"/>
      <c r="AZ425" s="303"/>
      <c r="BA425" s="302"/>
      <c r="BB425" s="302"/>
      <c r="BC425" s="302"/>
      <c r="BD425" s="302"/>
      <c r="BE425" s="302"/>
      <c r="BF425" s="302"/>
      <c r="BG425" s="302"/>
      <c r="BH425" s="302"/>
      <c r="BI425" s="302"/>
      <c r="BJ425" s="302"/>
      <c r="BM425">
        <v>-3.1</v>
      </c>
      <c r="BS425">
        <v>62.1</v>
      </c>
      <c r="BY425">
        <v>52</v>
      </c>
      <c r="CA425">
        <v>16.3</v>
      </c>
      <c r="CC425">
        <v>15.9</v>
      </c>
      <c r="CI425">
        <v>6.4</v>
      </c>
      <c r="CO425" t="s">
        <v>8698</v>
      </c>
      <c r="CR425">
        <v>2</v>
      </c>
      <c r="CT425" s="304" t="s">
        <v>11678</v>
      </c>
    </row>
    <row r="426" spans="1:98" s="304" customFormat="1">
      <c r="A426" s="304" t="s">
        <v>8506</v>
      </c>
      <c r="B426" s="463">
        <v>60</v>
      </c>
      <c r="C426" s="296" t="s">
        <v>7678</v>
      </c>
      <c r="D426" s="296" t="s">
        <v>261</v>
      </c>
      <c r="E426" s="296" t="s">
        <v>7678</v>
      </c>
      <c r="F426" s="296"/>
      <c r="G426" s="296" t="s">
        <v>8506</v>
      </c>
      <c r="H426" s="297" t="s">
        <v>8696</v>
      </c>
      <c r="I426" s="297">
        <v>2</v>
      </c>
      <c r="J426" s="297">
        <v>2120</v>
      </c>
      <c r="K426" s="299"/>
      <c r="L426" s="299"/>
      <c r="M426" s="299">
        <v>68</v>
      </c>
      <c r="N426" s="299">
        <v>8</v>
      </c>
      <c r="O426" s="300">
        <v>40</v>
      </c>
      <c r="P426" s="301">
        <v>42090</v>
      </c>
      <c r="Q426" s="302"/>
      <c r="R426" s="303"/>
      <c r="S426" s="289">
        <v>4.55</v>
      </c>
      <c r="T426" s="303">
        <v>42208</v>
      </c>
      <c r="U426" s="302"/>
      <c r="V426" s="303"/>
      <c r="W426" s="302"/>
      <c r="X426" s="303"/>
      <c r="Y426" s="302">
        <v>15.6</v>
      </c>
      <c r="Z426" s="303">
        <v>42208</v>
      </c>
      <c r="AA426">
        <v>14.4</v>
      </c>
      <c r="AB426" s="303"/>
      <c r="AC426" s="302"/>
      <c r="AD426" s="303"/>
      <c r="AE426" s="302"/>
      <c r="AF426" s="303"/>
      <c r="AG426">
        <v>51174.195906432753</v>
      </c>
      <c r="AH426" s="521">
        <f>(AK426*10000)/AM426</f>
        <v>51174.195906432753</v>
      </c>
      <c r="AI426" s="302"/>
      <c r="AJ426" s="303"/>
      <c r="AK426">
        <v>29.16929166666667</v>
      </c>
      <c r="AL426" s="521"/>
      <c r="AM426">
        <v>5.7</v>
      </c>
      <c r="AN426" s="303">
        <v>42244</v>
      </c>
      <c r="AO426">
        <v>135</v>
      </c>
      <c r="AP426" s="303">
        <v>42170</v>
      </c>
      <c r="AQ426" s="302"/>
      <c r="AR426" s="303"/>
      <c r="AS426" s="302"/>
      <c r="AT426" s="303"/>
      <c r="AU426">
        <v>113</v>
      </c>
      <c r="AV426" s="303"/>
      <c r="AW426" s="302"/>
      <c r="AX426" s="302"/>
      <c r="AY426" s="302"/>
      <c r="AZ426" s="303"/>
      <c r="BA426" s="302"/>
      <c r="BB426" s="302"/>
      <c r="BC426" s="302"/>
      <c r="BD426" s="302"/>
      <c r="BE426" s="302"/>
      <c r="BF426" s="302"/>
      <c r="BG426" s="302"/>
      <c r="BH426" s="302"/>
      <c r="BI426" s="302"/>
      <c r="BJ426" s="302"/>
      <c r="BM426">
        <v>-0.7</v>
      </c>
      <c r="BS426">
        <v>65.2</v>
      </c>
      <c r="BY426">
        <v>47.7</v>
      </c>
      <c r="CA426">
        <v>21.9</v>
      </c>
      <c r="CC426">
        <v>24.4</v>
      </c>
      <c r="CI426">
        <v>5.8</v>
      </c>
      <c r="CO426" t="s">
        <v>8698</v>
      </c>
      <c r="CR426">
        <v>3</v>
      </c>
      <c r="CT426" s="304" t="s">
        <v>11678</v>
      </c>
    </row>
    <row r="427" spans="1:98" s="304" customFormat="1">
      <c r="A427" s="304" t="s">
        <v>8506</v>
      </c>
      <c r="B427" s="463">
        <v>135</v>
      </c>
      <c r="C427" s="296" t="s">
        <v>7763</v>
      </c>
      <c r="D427" s="296" t="s">
        <v>7838</v>
      </c>
      <c r="E427" s="296" t="s">
        <v>7763</v>
      </c>
      <c r="F427" s="296"/>
      <c r="G427" s="296" t="s">
        <v>8506</v>
      </c>
      <c r="H427" s="297" t="s">
        <v>8697</v>
      </c>
      <c r="I427" s="297">
        <v>1</v>
      </c>
      <c r="J427" s="297">
        <v>1360</v>
      </c>
      <c r="K427" s="299"/>
      <c r="L427" s="299"/>
      <c r="M427" s="299">
        <v>68</v>
      </c>
      <c r="N427" s="299">
        <v>6</v>
      </c>
      <c r="O427" s="300">
        <v>38</v>
      </c>
      <c r="P427" s="301">
        <v>42090</v>
      </c>
      <c r="Q427" s="302"/>
      <c r="R427" s="303"/>
      <c r="S427" s="289">
        <v>5.65</v>
      </c>
      <c r="T427" s="303">
        <v>42208</v>
      </c>
      <c r="U427" s="302"/>
      <c r="V427" s="303"/>
      <c r="W427" s="302"/>
      <c r="X427" s="303"/>
      <c r="Y427" s="302">
        <v>21.49</v>
      </c>
      <c r="Z427" s="303">
        <v>42208</v>
      </c>
      <c r="AA427">
        <v>14.4</v>
      </c>
      <c r="AB427" s="303"/>
      <c r="AC427" s="302"/>
      <c r="AD427" s="303"/>
      <c r="AE427" s="302"/>
      <c r="AF427" s="303"/>
      <c r="AG427">
        <v>72442.416666666672</v>
      </c>
      <c r="AH427" s="521">
        <f>(AK427*10000)/AM427</f>
        <v>72442.416666666672</v>
      </c>
      <c r="AI427" s="302"/>
      <c r="AJ427" s="303"/>
      <c r="AK427">
        <v>36.221208333333337</v>
      </c>
      <c r="AL427" s="521"/>
      <c r="AM427">
        <v>5</v>
      </c>
      <c r="AN427" s="303">
        <v>42244</v>
      </c>
      <c r="AO427">
        <v>135</v>
      </c>
      <c r="AP427" s="303">
        <v>42170</v>
      </c>
      <c r="AQ427" s="302"/>
      <c r="AR427" s="303"/>
      <c r="AS427" s="302"/>
      <c r="AT427" s="303"/>
      <c r="AU427">
        <v>106</v>
      </c>
      <c r="AV427" s="303"/>
      <c r="AW427" s="302"/>
      <c r="AX427" s="302"/>
      <c r="AY427" s="302"/>
      <c r="AZ427" s="303"/>
      <c r="BA427" s="302"/>
      <c r="BB427" s="302"/>
      <c r="BC427" s="302"/>
      <c r="BD427" s="302"/>
      <c r="BE427" s="302"/>
      <c r="BF427" s="302"/>
      <c r="BG427" s="302"/>
      <c r="BH427" s="302"/>
      <c r="BI427" s="302"/>
      <c r="BJ427" s="302"/>
      <c r="BM427">
        <v>-5.9</v>
      </c>
      <c r="BS427">
        <v>63.2</v>
      </c>
      <c r="BY427">
        <v>52.9</v>
      </c>
      <c r="CA427">
        <v>16.5</v>
      </c>
      <c r="CC427">
        <v>12.9</v>
      </c>
      <c r="CI427">
        <v>5.8</v>
      </c>
      <c r="CO427" t="s">
        <v>8698</v>
      </c>
      <c r="CR427">
        <v>2</v>
      </c>
      <c r="CT427" s="304" t="s">
        <v>11678</v>
      </c>
    </row>
    <row r="428" spans="1:98" s="304" customFormat="1">
      <c r="A428" s="304" t="s">
        <v>8506</v>
      </c>
      <c r="B428" s="463">
        <v>157</v>
      </c>
      <c r="C428" s="296" t="s">
        <v>7785</v>
      </c>
      <c r="D428" s="296" t="s">
        <v>7586</v>
      </c>
      <c r="E428" s="296" t="s">
        <v>7785</v>
      </c>
      <c r="F428" s="296"/>
      <c r="G428" s="296" t="s">
        <v>8506</v>
      </c>
      <c r="H428" s="297" t="s">
        <v>8696</v>
      </c>
      <c r="I428" s="297">
        <v>2</v>
      </c>
      <c r="J428" s="297">
        <v>2240</v>
      </c>
      <c r="K428" s="299"/>
      <c r="L428" s="299"/>
      <c r="M428" s="299">
        <v>68</v>
      </c>
      <c r="N428" s="299">
        <v>10</v>
      </c>
      <c r="O428" s="300">
        <v>36</v>
      </c>
      <c r="P428" s="301">
        <v>42090</v>
      </c>
      <c r="Q428" s="302"/>
      <c r="R428" s="303"/>
      <c r="S428" s="289">
        <v>5.9</v>
      </c>
      <c r="T428" s="303">
        <v>42208</v>
      </c>
      <c r="U428" s="302"/>
      <c r="V428" s="303"/>
      <c r="W428" s="302"/>
      <c r="X428" s="303"/>
      <c r="Y428" s="302">
        <v>22</v>
      </c>
      <c r="Z428" s="303">
        <v>42208</v>
      </c>
      <c r="AA428">
        <v>14.4</v>
      </c>
      <c r="AB428" s="303"/>
      <c r="AC428" s="302"/>
      <c r="AD428" s="303"/>
      <c r="AE428" s="302"/>
      <c r="AF428" s="303"/>
      <c r="AG428">
        <v>78297.916666666657</v>
      </c>
      <c r="AH428" s="521">
        <f>(AK428*10000)/AM428</f>
        <v>78297.916666666657</v>
      </c>
      <c r="AI428" s="302"/>
      <c r="AJ428" s="303"/>
      <c r="AK428">
        <v>37.582999999999991</v>
      </c>
      <c r="AL428" s="521"/>
      <c r="AM428">
        <v>4.8</v>
      </c>
      <c r="AN428" s="303">
        <v>42244</v>
      </c>
      <c r="AO428">
        <v>140</v>
      </c>
      <c r="AP428" s="303">
        <v>42170</v>
      </c>
      <c r="AQ428" s="302"/>
      <c r="AR428" s="303"/>
      <c r="AS428" s="302"/>
      <c r="AT428" s="303"/>
      <c r="AU428">
        <v>109</v>
      </c>
      <c r="AV428" s="303"/>
      <c r="AW428" s="302"/>
      <c r="AX428" s="302"/>
      <c r="AY428" s="302"/>
      <c r="AZ428" s="303"/>
      <c r="BA428" s="302"/>
      <c r="BB428" s="302"/>
      <c r="BC428" s="302"/>
      <c r="BD428" s="302"/>
      <c r="BE428" s="302"/>
      <c r="BF428" s="302"/>
      <c r="BG428" s="302"/>
      <c r="BH428" s="302"/>
      <c r="BI428" s="302"/>
      <c r="BJ428" s="302"/>
      <c r="BM428">
        <v>-5.7</v>
      </c>
      <c r="BS428">
        <v>62.8</v>
      </c>
      <c r="BY428">
        <v>52.2</v>
      </c>
      <c r="CA428">
        <v>17.5</v>
      </c>
      <c r="CC428">
        <v>13.2</v>
      </c>
      <c r="CI428">
        <v>6.4</v>
      </c>
      <c r="CO428" t="s">
        <v>8698</v>
      </c>
      <c r="CR428">
        <v>2</v>
      </c>
      <c r="CT428" s="304" t="s">
        <v>11678</v>
      </c>
    </row>
    <row r="429" spans="1:98" s="304" customFormat="1">
      <c r="A429" s="304" t="s">
        <v>8506</v>
      </c>
      <c r="B429" s="463">
        <v>166</v>
      </c>
      <c r="C429" s="296" t="s">
        <v>7794</v>
      </c>
      <c r="D429" s="296" t="s">
        <v>7595</v>
      </c>
      <c r="E429" s="296" t="s">
        <v>7794</v>
      </c>
      <c r="F429" s="296"/>
      <c r="G429" s="296" t="s">
        <v>8506</v>
      </c>
      <c r="H429" s="297" t="s">
        <v>8696</v>
      </c>
      <c r="I429" s="297">
        <v>2</v>
      </c>
      <c r="J429" s="297">
        <v>2360</v>
      </c>
      <c r="K429" s="299"/>
      <c r="L429" s="299"/>
      <c r="M429" s="299">
        <v>68</v>
      </c>
      <c r="N429" s="299">
        <v>12</v>
      </c>
      <c r="O429" s="300">
        <v>34</v>
      </c>
      <c r="P429" s="301">
        <v>42090</v>
      </c>
      <c r="Q429" s="302"/>
      <c r="R429" s="303"/>
      <c r="S429" s="289">
        <v>4.55</v>
      </c>
      <c r="T429" s="303">
        <v>42208</v>
      </c>
      <c r="U429" s="302"/>
      <c r="V429" s="303"/>
      <c r="W429" s="302"/>
      <c r="X429" s="303"/>
      <c r="Y429" s="302">
        <v>15.73</v>
      </c>
      <c r="Z429" s="303">
        <v>42208</v>
      </c>
      <c r="AA429">
        <v>14.4</v>
      </c>
      <c r="AB429" s="303"/>
      <c r="AC429" s="302"/>
      <c r="AD429" s="303"/>
      <c r="AE429" s="302"/>
      <c r="AF429" s="303"/>
      <c r="AG429">
        <v>59276.388888888876</v>
      </c>
      <c r="AH429" s="521">
        <f>(AK429*10000)/AM429</f>
        <v>59276.388888888876</v>
      </c>
      <c r="AI429" s="302"/>
      <c r="AJ429" s="303"/>
      <c r="AK429">
        <v>29.045430555555551</v>
      </c>
      <c r="AL429" s="521"/>
      <c r="AM429">
        <v>4.9000000000000004</v>
      </c>
      <c r="AN429" s="303">
        <v>42244</v>
      </c>
      <c r="AO429">
        <v>115</v>
      </c>
      <c r="AP429" s="303">
        <v>42170</v>
      </c>
      <c r="AQ429" s="302"/>
      <c r="AR429" s="303"/>
      <c r="AS429" s="302"/>
      <c r="AT429" s="303"/>
      <c r="AU429">
        <v>110</v>
      </c>
      <c r="AV429" s="303"/>
      <c r="AW429" s="302"/>
      <c r="AX429" s="302"/>
      <c r="AY429" s="302"/>
      <c r="AZ429" s="303"/>
      <c r="BA429" s="302"/>
      <c r="BB429" s="302"/>
      <c r="BC429" s="302"/>
      <c r="BD429" s="302"/>
      <c r="BE429" s="302"/>
      <c r="BF429" s="302"/>
      <c r="BG429" s="302"/>
      <c r="BH429" s="302"/>
      <c r="BI429" s="302"/>
      <c r="BJ429" s="302"/>
      <c r="BM429">
        <v>-0.9</v>
      </c>
      <c r="BS429">
        <v>59.5</v>
      </c>
      <c r="BY429">
        <v>48.3</v>
      </c>
      <c r="CA429">
        <v>18.7</v>
      </c>
      <c r="CC429">
        <v>12.7</v>
      </c>
      <c r="CI429">
        <v>6.2</v>
      </c>
      <c r="CO429" t="s">
        <v>8698</v>
      </c>
      <c r="CR429">
        <v>2</v>
      </c>
      <c r="CT429" s="304" t="s">
        <v>11678</v>
      </c>
    </row>
    <row r="430" spans="1:98" s="304" customFormat="1">
      <c r="A430" s="304" t="s">
        <v>8506</v>
      </c>
      <c r="B430" s="463">
        <v>27</v>
      </c>
      <c r="C430" s="296" t="s">
        <v>7639</v>
      </c>
      <c r="D430" s="296" t="s">
        <v>7815</v>
      </c>
      <c r="E430" s="296" t="s">
        <v>7639</v>
      </c>
      <c r="F430" s="296"/>
      <c r="G430" s="296" t="s">
        <v>8506</v>
      </c>
      <c r="H430" s="297" t="s">
        <v>8696</v>
      </c>
      <c r="I430" s="297">
        <v>3</v>
      </c>
      <c r="J430" s="297">
        <v>301</v>
      </c>
      <c r="K430" s="299"/>
      <c r="L430" s="299"/>
      <c r="M430" s="299">
        <v>72</v>
      </c>
      <c r="N430" s="299">
        <v>1</v>
      </c>
      <c r="O430" s="300">
        <v>34</v>
      </c>
      <c r="P430" s="301">
        <v>42090</v>
      </c>
      <c r="Q430" s="302"/>
      <c r="R430" s="303"/>
      <c r="S430" s="289">
        <v>6.1</v>
      </c>
      <c r="T430" s="303">
        <v>42208</v>
      </c>
      <c r="U430" s="302"/>
      <c r="V430" s="303"/>
      <c r="W430" s="302"/>
      <c r="X430" s="303"/>
      <c r="Y430" s="302">
        <v>21.92</v>
      </c>
      <c r="Z430" s="303">
        <v>42208</v>
      </c>
      <c r="AA430">
        <v>14.4</v>
      </c>
      <c r="AB430" s="303"/>
      <c r="AC430" s="302"/>
      <c r="AD430" s="303"/>
      <c r="AE430" s="302"/>
      <c r="AF430" s="303"/>
      <c r="AG430">
        <v>86533.39506172837</v>
      </c>
      <c r="AH430" s="521">
        <f>(AK430*10000)/AM430</f>
        <v>86533.39506172837</v>
      </c>
      <c r="AI430" s="302"/>
      <c r="AJ430" s="303"/>
      <c r="AK430">
        <v>38.940027777777772</v>
      </c>
      <c r="AL430" s="521"/>
      <c r="AM430">
        <v>4.5</v>
      </c>
      <c r="AN430" s="303">
        <v>42244</v>
      </c>
      <c r="AO430">
        <v>125</v>
      </c>
      <c r="AP430" s="303">
        <v>42170</v>
      </c>
      <c r="AQ430" s="302"/>
      <c r="AR430" s="303"/>
      <c r="AS430" s="302"/>
      <c r="AT430" s="303"/>
      <c r="AU430">
        <v>104</v>
      </c>
      <c r="AV430" s="303"/>
      <c r="AW430" s="302"/>
      <c r="AX430" s="302"/>
      <c r="AY430" s="302"/>
      <c r="AZ430" s="303"/>
      <c r="BA430" s="302"/>
      <c r="BB430" s="302"/>
      <c r="BC430" s="302"/>
      <c r="BD430" s="302"/>
      <c r="BE430" s="302"/>
      <c r="BF430" s="302"/>
      <c r="BG430" s="302"/>
      <c r="BH430" s="302"/>
      <c r="BI430" s="302"/>
      <c r="BJ430" s="302"/>
      <c r="BM430">
        <v>8.3000000000000007</v>
      </c>
      <c r="BS430">
        <v>47.4</v>
      </c>
      <c r="BY430">
        <v>50.2</v>
      </c>
      <c r="CA430">
        <v>18.3</v>
      </c>
      <c r="CC430">
        <v>50.2</v>
      </c>
      <c r="CI430">
        <v>6.2</v>
      </c>
      <c r="CO430" t="s">
        <v>8699</v>
      </c>
      <c r="CR430">
        <v>1</v>
      </c>
      <c r="CT430" s="304" t="s">
        <v>11678</v>
      </c>
    </row>
    <row r="431" spans="1:98" s="304" customFormat="1">
      <c r="A431" s="304" t="s">
        <v>8506</v>
      </c>
      <c r="B431" s="463">
        <v>30</v>
      </c>
      <c r="C431" s="296" t="s">
        <v>7642</v>
      </c>
      <c r="D431" s="296" t="s">
        <v>7477</v>
      </c>
      <c r="E431" s="296" t="s">
        <v>7642</v>
      </c>
      <c r="F431" s="296"/>
      <c r="G431" s="296" t="s">
        <v>8506</v>
      </c>
      <c r="H431" s="297" t="s">
        <v>8697</v>
      </c>
      <c r="I431" s="297">
        <v>4</v>
      </c>
      <c r="J431" s="297">
        <v>461</v>
      </c>
      <c r="K431" s="299"/>
      <c r="L431" s="299"/>
      <c r="M431" s="299">
        <v>72</v>
      </c>
      <c r="N431" s="299">
        <v>8</v>
      </c>
      <c r="O431" s="300">
        <v>39</v>
      </c>
      <c r="P431" s="301">
        <v>42090</v>
      </c>
      <c r="Q431" s="302"/>
      <c r="R431" s="303"/>
      <c r="S431" s="289">
        <v>3.75</v>
      </c>
      <c r="T431" s="303">
        <v>42208</v>
      </c>
      <c r="U431" s="302"/>
      <c r="V431" s="303"/>
      <c r="W431" s="302"/>
      <c r="X431" s="303"/>
      <c r="Y431" s="302">
        <v>12.86</v>
      </c>
      <c r="Z431" s="303">
        <v>42208</v>
      </c>
      <c r="AA431">
        <v>14.4</v>
      </c>
      <c r="AB431" s="303"/>
      <c r="AC431" s="302"/>
      <c r="AD431" s="303"/>
      <c r="AE431" s="302"/>
      <c r="AF431" s="303"/>
      <c r="AG431">
        <v>42086.98830409356</v>
      </c>
      <c r="AH431" s="521">
        <f>(AK431*10000)/AM431</f>
        <v>42086.98830409356</v>
      </c>
      <c r="AI431" s="302"/>
      <c r="AJ431" s="303"/>
      <c r="AK431">
        <v>23.989583333333332</v>
      </c>
      <c r="AL431" s="521"/>
      <c r="AM431">
        <v>5.7</v>
      </c>
      <c r="AN431" s="303">
        <v>42244</v>
      </c>
      <c r="AO431">
        <v>140</v>
      </c>
      <c r="AP431" s="303">
        <v>42170</v>
      </c>
      <c r="AQ431" s="302"/>
      <c r="AR431" s="303"/>
      <c r="AS431" s="302"/>
      <c r="AT431" s="303"/>
      <c r="AU431">
        <v>108</v>
      </c>
      <c r="AV431" s="303"/>
      <c r="AW431" s="302"/>
      <c r="AX431" s="302"/>
      <c r="AY431" s="302"/>
      <c r="AZ431" s="303"/>
      <c r="BA431" s="302"/>
      <c r="BB431" s="302"/>
      <c r="BC431" s="302"/>
      <c r="BD431" s="302"/>
      <c r="BE431" s="302"/>
      <c r="BF431" s="302"/>
      <c r="BG431" s="302"/>
      <c r="BH431" s="302"/>
      <c r="BI431" s="302"/>
      <c r="BJ431" s="302"/>
      <c r="BM431">
        <v>4.5</v>
      </c>
      <c r="BS431">
        <v>52.2</v>
      </c>
      <c r="BY431">
        <v>47.8</v>
      </c>
      <c r="CA431">
        <v>19.7</v>
      </c>
      <c r="CC431">
        <v>64.8</v>
      </c>
      <c r="CI431">
        <v>6</v>
      </c>
      <c r="CO431" t="s">
        <v>8698</v>
      </c>
      <c r="CR431">
        <v>3</v>
      </c>
      <c r="CT431" s="304" t="s">
        <v>11678</v>
      </c>
    </row>
    <row r="432" spans="1:98" s="304" customFormat="1">
      <c r="A432" s="304" t="s">
        <v>8506</v>
      </c>
      <c r="B432" s="463">
        <v>37</v>
      </c>
      <c r="C432" s="296" t="s">
        <v>7653</v>
      </c>
      <c r="D432" s="296" t="s">
        <v>7487</v>
      </c>
      <c r="E432" s="296" t="s">
        <v>7653</v>
      </c>
      <c r="F432" s="296"/>
      <c r="G432" s="296" t="s">
        <v>8506</v>
      </c>
      <c r="H432" s="297" t="s">
        <v>8696</v>
      </c>
      <c r="I432" s="297">
        <v>3</v>
      </c>
      <c r="J432" s="297">
        <v>3181</v>
      </c>
      <c r="K432" s="299"/>
      <c r="L432" s="299"/>
      <c r="M432" s="299">
        <v>72</v>
      </c>
      <c r="N432" s="299">
        <v>4</v>
      </c>
      <c r="O432" s="300">
        <v>40</v>
      </c>
      <c r="P432" s="301">
        <v>42090</v>
      </c>
      <c r="Q432" s="302"/>
      <c r="R432" s="303"/>
      <c r="S432" s="289">
        <v>4.2</v>
      </c>
      <c r="T432" s="303">
        <v>42208</v>
      </c>
      <c r="U432" s="302"/>
      <c r="V432" s="303"/>
      <c r="W432" s="302"/>
      <c r="X432" s="303"/>
      <c r="Y432" s="302">
        <v>14.24</v>
      </c>
      <c r="Z432" s="303">
        <v>42208</v>
      </c>
      <c r="AA432">
        <v>14.4</v>
      </c>
      <c r="AB432" s="303"/>
      <c r="AC432" s="302"/>
      <c r="AD432" s="303"/>
      <c r="AE432" s="302"/>
      <c r="AF432" s="303"/>
      <c r="AG432">
        <v>45587.99435028249</v>
      </c>
      <c r="AH432" s="521">
        <f>(AK432*10000)/AM432</f>
        <v>45587.99435028249</v>
      </c>
      <c r="AI432" s="302"/>
      <c r="AJ432" s="303"/>
      <c r="AK432">
        <v>26.896916666666666</v>
      </c>
      <c r="AL432" s="521"/>
      <c r="AM432">
        <v>5.9</v>
      </c>
      <c r="AN432" s="303">
        <v>42244</v>
      </c>
      <c r="AO432">
        <v>135</v>
      </c>
      <c r="AP432" s="303">
        <v>42170</v>
      </c>
      <c r="AQ432" s="302"/>
      <c r="AR432" s="303"/>
      <c r="AS432" s="302"/>
      <c r="AT432" s="303"/>
      <c r="AU432">
        <v>107</v>
      </c>
      <c r="AV432" s="303"/>
      <c r="AW432" s="302"/>
      <c r="AX432" s="302"/>
      <c r="AY432" s="302"/>
      <c r="AZ432" s="303"/>
      <c r="BA432" s="302"/>
      <c r="BB432" s="302"/>
      <c r="BC432" s="302"/>
      <c r="BD432" s="302"/>
      <c r="BE432" s="302"/>
      <c r="BF432" s="302"/>
      <c r="BG432" s="302"/>
      <c r="BH432" s="302"/>
      <c r="BI432" s="302"/>
      <c r="BJ432" s="302"/>
      <c r="BM432">
        <v>-3.5</v>
      </c>
      <c r="BS432">
        <v>56.2</v>
      </c>
      <c r="BY432">
        <v>47.2</v>
      </c>
      <c r="CA432">
        <v>21.5</v>
      </c>
      <c r="CC432">
        <v>35.4</v>
      </c>
      <c r="CI432">
        <v>5.9</v>
      </c>
      <c r="CO432" t="s">
        <v>8698</v>
      </c>
      <c r="CR432">
        <v>5</v>
      </c>
      <c r="CT432" s="304" t="s">
        <v>11678</v>
      </c>
    </row>
    <row r="433" spans="1:98" s="304" customFormat="1">
      <c r="A433" s="304" t="s">
        <v>8506</v>
      </c>
      <c r="B433" s="463">
        <v>96</v>
      </c>
      <c r="C433" s="296" t="s">
        <v>7714</v>
      </c>
      <c r="D433" s="296" t="s">
        <v>7541</v>
      </c>
      <c r="E433" s="296" t="s">
        <v>7714</v>
      </c>
      <c r="F433" s="296"/>
      <c r="G433" s="296" t="s">
        <v>8506</v>
      </c>
      <c r="H433" s="297" t="s">
        <v>8697</v>
      </c>
      <c r="I433" s="297">
        <v>4</v>
      </c>
      <c r="J433" s="297">
        <v>401</v>
      </c>
      <c r="K433" s="299"/>
      <c r="L433" s="299"/>
      <c r="M433" s="299">
        <v>72</v>
      </c>
      <c r="N433" s="299">
        <v>7</v>
      </c>
      <c r="O433" s="300">
        <v>34</v>
      </c>
      <c r="P433" s="301">
        <v>42090</v>
      </c>
      <c r="Q433" s="302"/>
      <c r="R433" s="303"/>
      <c r="S433" s="289">
        <v>4.5</v>
      </c>
      <c r="T433" s="303">
        <v>42208</v>
      </c>
      <c r="U433" s="302"/>
      <c r="V433" s="303"/>
      <c r="W433" s="302"/>
      <c r="X433" s="303"/>
      <c r="Y433" s="302">
        <v>16.97</v>
      </c>
      <c r="Z433" s="303">
        <v>42208</v>
      </c>
      <c r="AA433">
        <v>14.4</v>
      </c>
      <c r="AB433" s="303"/>
      <c r="AC433" s="302"/>
      <c r="AD433" s="303"/>
      <c r="AE433" s="302"/>
      <c r="AF433" s="303"/>
      <c r="AG433">
        <v>58624.999999999985</v>
      </c>
      <c r="AH433" s="521">
        <f>(AK433*10000)/AM433</f>
        <v>58624.999999999985</v>
      </c>
      <c r="AI433" s="302"/>
      <c r="AJ433" s="303"/>
      <c r="AK433">
        <v>28.726249999999997</v>
      </c>
      <c r="AL433" s="521"/>
      <c r="AM433">
        <v>4.9000000000000004</v>
      </c>
      <c r="AN433" s="303">
        <v>42244</v>
      </c>
      <c r="AO433">
        <v>125</v>
      </c>
      <c r="AP433" s="303">
        <v>42170</v>
      </c>
      <c r="AQ433" s="302"/>
      <c r="AR433" s="303"/>
      <c r="AS433" s="302"/>
      <c r="AT433" s="303"/>
      <c r="AU433">
        <v>107</v>
      </c>
      <c r="AV433" s="303"/>
      <c r="AW433" s="302"/>
      <c r="AX433" s="302"/>
      <c r="AY433" s="302"/>
      <c r="AZ433" s="303"/>
      <c r="BA433" s="302"/>
      <c r="BB433" s="302"/>
      <c r="BC433" s="302"/>
      <c r="BD433" s="302"/>
      <c r="BE433" s="302"/>
      <c r="BF433" s="302"/>
      <c r="BG433" s="302"/>
      <c r="BH433" s="302"/>
      <c r="BI433" s="302"/>
      <c r="BJ433" s="302"/>
      <c r="BM433">
        <v>-4.4000000000000004</v>
      </c>
      <c r="BS433">
        <v>67</v>
      </c>
      <c r="BY433">
        <v>52.7</v>
      </c>
      <c r="CA433">
        <v>15.6</v>
      </c>
      <c r="CC433">
        <v>20.399999999999999</v>
      </c>
      <c r="CI433">
        <v>6.2</v>
      </c>
      <c r="CO433" t="s">
        <v>8698</v>
      </c>
      <c r="CR433">
        <v>2</v>
      </c>
      <c r="CT433" s="304" t="s">
        <v>11678</v>
      </c>
    </row>
    <row r="434" spans="1:98" s="304" customFormat="1">
      <c r="A434" s="304" t="s">
        <v>8506</v>
      </c>
      <c r="B434" s="463">
        <v>153</v>
      </c>
      <c r="C434" s="296" t="s">
        <v>7781</v>
      </c>
      <c r="D434" s="296" t="s">
        <v>7582</v>
      </c>
      <c r="E434" s="296" t="s">
        <v>7781</v>
      </c>
      <c r="F434" s="296"/>
      <c r="G434" s="296" t="s">
        <v>8506</v>
      </c>
      <c r="H434" s="297" t="s">
        <v>8697</v>
      </c>
      <c r="I434" s="297">
        <v>4</v>
      </c>
      <c r="J434" s="297">
        <v>4301</v>
      </c>
      <c r="K434" s="299"/>
      <c r="L434" s="299"/>
      <c r="M434" s="299">
        <v>72</v>
      </c>
      <c r="N434" s="299">
        <v>12</v>
      </c>
      <c r="O434" s="300">
        <v>38</v>
      </c>
      <c r="P434" s="301">
        <v>42090</v>
      </c>
      <c r="Q434" s="302"/>
      <c r="R434" s="303"/>
      <c r="S434" s="289">
        <v>5.2</v>
      </c>
      <c r="T434" s="303">
        <v>42208</v>
      </c>
      <c r="U434" s="302"/>
      <c r="V434" s="303"/>
      <c r="W434" s="302"/>
      <c r="X434" s="303"/>
      <c r="Y434" s="302">
        <v>19.63</v>
      </c>
      <c r="Z434" s="303">
        <v>42208</v>
      </c>
      <c r="AA434">
        <v>14.4</v>
      </c>
      <c r="AB434" s="303"/>
      <c r="AC434" s="302"/>
      <c r="AD434" s="303"/>
      <c r="AE434" s="302"/>
      <c r="AF434" s="303"/>
      <c r="AG434">
        <v>71931.763285024164</v>
      </c>
      <c r="AH434" s="521">
        <f>(AK434*10000)/AM434</f>
        <v>71931.763285024164</v>
      </c>
      <c r="AI434" s="302"/>
      <c r="AJ434" s="303"/>
      <c r="AK434">
        <v>33.088611111111113</v>
      </c>
      <c r="AL434" s="521"/>
      <c r="AM434">
        <v>4.5999999999999996</v>
      </c>
      <c r="AN434" s="303">
        <v>42244</v>
      </c>
      <c r="AO434">
        <v>135</v>
      </c>
      <c r="AP434" s="303">
        <v>42170</v>
      </c>
      <c r="AQ434" s="302"/>
      <c r="AR434" s="303"/>
      <c r="AS434" s="302"/>
      <c r="AT434" s="303"/>
      <c r="AU434">
        <v>109</v>
      </c>
      <c r="AV434" s="303"/>
      <c r="AW434" s="302"/>
      <c r="AX434" s="302"/>
      <c r="AY434" s="302"/>
      <c r="AZ434" s="303"/>
      <c r="BA434" s="302"/>
      <c r="BB434" s="302"/>
      <c r="BC434" s="302"/>
      <c r="BD434" s="302"/>
      <c r="BE434" s="302"/>
      <c r="BF434" s="302"/>
      <c r="BG434" s="302"/>
      <c r="BH434" s="302"/>
      <c r="BI434" s="302"/>
      <c r="BJ434" s="302"/>
      <c r="BM434">
        <v>-2.1</v>
      </c>
      <c r="BS434">
        <v>62.3</v>
      </c>
      <c r="BY434">
        <v>52.9</v>
      </c>
      <c r="CA434">
        <v>15.3</v>
      </c>
      <c r="CC434">
        <v>18</v>
      </c>
      <c r="CI434">
        <v>6.5</v>
      </c>
      <c r="CO434" t="s">
        <v>8698</v>
      </c>
      <c r="CR434">
        <v>1</v>
      </c>
      <c r="CT434" s="304" t="s">
        <v>11678</v>
      </c>
    </row>
    <row r="435" spans="1:98" s="304" customFormat="1">
      <c r="A435" s="304" t="s">
        <v>8506</v>
      </c>
      <c r="B435" s="463">
        <v>24</v>
      </c>
      <c r="C435" s="296" t="s">
        <v>7636</v>
      </c>
      <c r="D435" s="296" t="s">
        <v>7472</v>
      </c>
      <c r="E435" s="296" t="s">
        <v>7636</v>
      </c>
      <c r="F435" s="296"/>
      <c r="G435" s="296" t="s">
        <v>8506</v>
      </c>
      <c r="H435" s="297" t="s">
        <v>8697</v>
      </c>
      <c r="I435" s="297">
        <v>4</v>
      </c>
      <c r="J435" s="297">
        <v>402</v>
      </c>
      <c r="K435" s="299"/>
      <c r="L435" s="299"/>
      <c r="M435" s="299">
        <v>73</v>
      </c>
      <c r="N435" s="299">
        <v>7</v>
      </c>
      <c r="O435" s="300">
        <v>72</v>
      </c>
      <c r="P435" s="301">
        <v>42090</v>
      </c>
      <c r="Q435" s="302"/>
      <c r="R435" s="303"/>
      <c r="S435" s="289">
        <v>4.25</v>
      </c>
      <c r="T435" s="303">
        <v>42208</v>
      </c>
      <c r="U435" s="302"/>
      <c r="V435" s="303"/>
      <c r="W435" s="302"/>
      <c r="X435" s="303"/>
      <c r="Y435" s="302">
        <v>14.92</v>
      </c>
      <c r="Z435" s="303">
        <v>42208</v>
      </c>
      <c r="AA435">
        <v>14.4</v>
      </c>
      <c r="AB435" s="303"/>
      <c r="AC435" s="302"/>
      <c r="AD435" s="303"/>
      <c r="AE435" s="302"/>
      <c r="AF435" s="303"/>
      <c r="AG435">
        <v>55309.027777777774</v>
      </c>
      <c r="AH435" s="521">
        <f>(AK435*10000)/AM435</f>
        <v>55309.027777777774</v>
      </c>
      <c r="AI435" s="302"/>
      <c r="AJ435" s="303"/>
      <c r="AK435">
        <v>27.101423611111112</v>
      </c>
      <c r="AL435" s="521"/>
      <c r="AM435">
        <v>4.9000000000000004</v>
      </c>
      <c r="AN435" s="303">
        <v>42244</v>
      </c>
      <c r="AO435">
        <v>135</v>
      </c>
      <c r="AP435" s="303">
        <v>42170</v>
      </c>
      <c r="AQ435" s="302"/>
      <c r="AR435" s="303"/>
      <c r="AS435" s="302"/>
      <c r="AT435" s="303"/>
      <c r="AU435">
        <v>107</v>
      </c>
      <c r="AV435" s="303"/>
      <c r="AW435" s="302"/>
      <c r="AX435" s="302"/>
      <c r="AY435" s="302"/>
      <c r="AZ435" s="303"/>
      <c r="BA435" s="302"/>
      <c r="BB435" s="302"/>
      <c r="BC435" s="302"/>
      <c r="BD435" s="302"/>
      <c r="BE435" s="302"/>
      <c r="BF435" s="302"/>
      <c r="BG435" s="302"/>
      <c r="BH435" s="302"/>
      <c r="BI435" s="302"/>
      <c r="BJ435" s="302"/>
      <c r="BM435">
        <v>5.9</v>
      </c>
      <c r="BS435">
        <v>53.5</v>
      </c>
      <c r="BY435">
        <v>49.1</v>
      </c>
      <c r="CA435">
        <v>20</v>
      </c>
      <c r="CC435">
        <v>63.6</v>
      </c>
      <c r="CI435">
        <v>6.3</v>
      </c>
      <c r="CO435" t="s">
        <v>8698</v>
      </c>
      <c r="CR435">
        <v>4</v>
      </c>
      <c r="CT435" s="304" t="s">
        <v>11678</v>
      </c>
    </row>
    <row r="436" spans="1:98" s="304" customFormat="1">
      <c r="A436" s="304" t="s">
        <v>8506</v>
      </c>
      <c r="B436" s="463">
        <v>98</v>
      </c>
      <c r="C436" s="296" t="s">
        <v>7716</v>
      </c>
      <c r="D436" s="296" t="s">
        <v>7543</v>
      </c>
      <c r="E436" s="296" t="s">
        <v>7716</v>
      </c>
      <c r="F436" s="296"/>
      <c r="G436" s="296" t="s">
        <v>8506</v>
      </c>
      <c r="H436" s="297" t="s">
        <v>8696</v>
      </c>
      <c r="I436" s="297">
        <v>3</v>
      </c>
      <c r="J436" s="297">
        <v>3302</v>
      </c>
      <c r="K436" s="299"/>
      <c r="L436" s="299"/>
      <c r="M436" s="299">
        <v>73</v>
      </c>
      <c r="N436" s="299">
        <v>6</v>
      </c>
      <c r="O436" s="300">
        <v>56</v>
      </c>
      <c r="P436" s="301">
        <v>42090</v>
      </c>
      <c r="Q436" s="302"/>
      <c r="R436" s="303"/>
      <c r="S436" s="289">
        <v>6.65</v>
      </c>
      <c r="T436" s="303">
        <v>42208</v>
      </c>
      <c r="U436" s="302"/>
      <c r="V436" s="303"/>
      <c r="W436" s="302"/>
      <c r="X436" s="303"/>
      <c r="Y436" s="302">
        <v>24.16</v>
      </c>
      <c r="Z436" s="303">
        <v>42208</v>
      </c>
      <c r="AA436">
        <v>14.4</v>
      </c>
      <c r="AB436" s="303"/>
      <c r="AC436" s="302"/>
      <c r="AD436" s="303"/>
      <c r="AE436" s="302"/>
      <c r="AF436" s="303"/>
      <c r="AG436">
        <v>88722.468171296292</v>
      </c>
      <c r="AH436" s="521">
        <f>(AK436*10000)/AM436</f>
        <v>88722.468171296292</v>
      </c>
      <c r="AI436" s="302"/>
      <c r="AJ436" s="303"/>
      <c r="AK436">
        <v>42.58678472222222</v>
      </c>
      <c r="AL436" s="521"/>
      <c r="AM436">
        <v>4.8</v>
      </c>
      <c r="AN436" s="303">
        <v>42244</v>
      </c>
      <c r="AO436">
        <v>130</v>
      </c>
      <c r="AP436" s="303">
        <v>42170</v>
      </c>
      <c r="AQ436" s="302"/>
      <c r="AR436" s="303"/>
      <c r="AS436" s="302"/>
      <c r="AT436" s="303"/>
      <c r="AU436">
        <v>103</v>
      </c>
      <c r="AV436" s="303"/>
      <c r="AW436" s="302"/>
      <c r="AX436" s="302"/>
      <c r="AY436" s="302"/>
      <c r="AZ436" s="303"/>
      <c r="BA436" s="302"/>
      <c r="BB436" s="302"/>
      <c r="BC436" s="302"/>
      <c r="BD436" s="302"/>
      <c r="BE436" s="302"/>
      <c r="BF436" s="302"/>
      <c r="BG436" s="302"/>
      <c r="BH436" s="302"/>
      <c r="BI436" s="302"/>
      <c r="BJ436" s="302"/>
      <c r="BM436">
        <v>-2.4</v>
      </c>
      <c r="BS436">
        <v>61.5</v>
      </c>
      <c r="BY436">
        <v>50.6</v>
      </c>
      <c r="CA436">
        <v>18.5</v>
      </c>
      <c r="CC436">
        <v>16.8</v>
      </c>
      <c r="CI436">
        <v>5.9</v>
      </c>
      <c r="CO436" t="s">
        <v>8698</v>
      </c>
      <c r="CR436">
        <v>1</v>
      </c>
      <c r="CT436" s="304" t="s">
        <v>11678</v>
      </c>
    </row>
    <row r="437" spans="1:98" s="304" customFormat="1">
      <c r="A437" s="304" t="s">
        <v>8506</v>
      </c>
      <c r="B437" s="463">
        <v>123</v>
      </c>
      <c r="C437" s="296" t="s">
        <v>7750</v>
      </c>
      <c r="D437" s="296" t="s">
        <v>7561</v>
      </c>
      <c r="E437" s="296" t="s">
        <v>7750</v>
      </c>
      <c r="F437" s="296"/>
      <c r="G437" s="296" t="s">
        <v>8506</v>
      </c>
      <c r="H437" s="297" t="s">
        <v>8696</v>
      </c>
      <c r="I437" s="297">
        <v>3</v>
      </c>
      <c r="J437" s="297">
        <v>3242</v>
      </c>
      <c r="K437" s="299"/>
      <c r="L437" s="299"/>
      <c r="M437" s="299">
        <v>73</v>
      </c>
      <c r="N437" s="299">
        <v>5</v>
      </c>
      <c r="O437" s="300">
        <v>42</v>
      </c>
      <c r="P437" s="301">
        <v>42090</v>
      </c>
      <c r="Q437" s="302"/>
      <c r="R437" s="303"/>
      <c r="S437" s="289">
        <v>5.05</v>
      </c>
      <c r="T437" s="303">
        <v>42208</v>
      </c>
      <c r="U437" s="302"/>
      <c r="V437" s="303"/>
      <c r="W437" s="302"/>
      <c r="X437" s="303"/>
      <c r="Y437" s="302">
        <v>17.89</v>
      </c>
      <c r="Z437" s="303">
        <v>42208</v>
      </c>
      <c r="AA437">
        <v>14.4</v>
      </c>
      <c r="AB437" s="303"/>
      <c r="AC437" s="302"/>
      <c r="AD437" s="303"/>
      <c r="AE437" s="302"/>
      <c r="AF437" s="303"/>
      <c r="AG437">
        <v>69931.521739130432</v>
      </c>
      <c r="AH437" s="521">
        <f>(AK437*10000)/AM437</f>
        <v>69931.521739130432</v>
      </c>
      <c r="AI437" s="302"/>
      <c r="AJ437" s="303"/>
      <c r="AK437">
        <v>32.168499999999995</v>
      </c>
      <c r="AL437" s="521"/>
      <c r="AM437">
        <v>4.5999999999999996</v>
      </c>
      <c r="AN437" s="303">
        <v>42244</v>
      </c>
      <c r="AO437">
        <v>125</v>
      </c>
      <c r="AP437" s="303">
        <v>42170</v>
      </c>
      <c r="AQ437" s="302"/>
      <c r="AR437" s="303"/>
      <c r="AS437" s="302"/>
      <c r="AT437" s="303"/>
      <c r="AU437">
        <v>113</v>
      </c>
      <c r="AV437" s="303"/>
      <c r="AW437" s="302"/>
      <c r="AX437" s="302"/>
      <c r="AY437" s="302"/>
      <c r="AZ437" s="303"/>
      <c r="BA437" s="302"/>
      <c r="BB437" s="302"/>
      <c r="BC437" s="302"/>
      <c r="BD437" s="302"/>
      <c r="BE437" s="302"/>
      <c r="BF437" s="302"/>
      <c r="BG437" s="302"/>
      <c r="BH437" s="302"/>
      <c r="BI437" s="302"/>
      <c r="BJ437" s="302"/>
      <c r="BM437">
        <v>53.4</v>
      </c>
      <c r="BS437">
        <v>4.5</v>
      </c>
      <c r="BY437">
        <v>49.6</v>
      </c>
      <c r="CA437">
        <v>20.399999999999999</v>
      </c>
      <c r="CC437">
        <v>48.7</v>
      </c>
      <c r="CI437">
        <v>6.4</v>
      </c>
      <c r="CO437" t="s">
        <v>8698</v>
      </c>
      <c r="CR437">
        <v>3</v>
      </c>
      <c r="CT437" s="304" t="s">
        <v>11678</v>
      </c>
    </row>
    <row r="438" spans="1:98" s="304" customFormat="1">
      <c r="A438" s="304" t="s">
        <v>8506</v>
      </c>
      <c r="B438" s="463">
        <v>126</v>
      </c>
      <c r="C438" s="296" t="s">
        <v>7753</v>
      </c>
      <c r="D438" s="296" t="s">
        <v>7564</v>
      </c>
      <c r="E438" s="296" t="s">
        <v>7753</v>
      </c>
      <c r="F438" s="296"/>
      <c r="G438" s="296" t="s">
        <v>8506</v>
      </c>
      <c r="H438" s="297" t="s">
        <v>8696</v>
      </c>
      <c r="I438" s="297">
        <v>3</v>
      </c>
      <c r="J438" s="297">
        <v>302</v>
      </c>
      <c r="K438" s="299"/>
      <c r="L438" s="299"/>
      <c r="M438" s="299">
        <v>73</v>
      </c>
      <c r="N438" s="299">
        <v>1</v>
      </c>
      <c r="O438" s="300">
        <v>56</v>
      </c>
      <c r="P438" s="301">
        <v>42090</v>
      </c>
      <c r="Q438" s="302"/>
      <c r="R438" s="303"/>
      <c r="S438" s="289">
        <v>6.5</v>
      </c>
      <c r="T438" s="303">
        <v>42208</v>
      </c>
      <c r="U438" s="302"/>
      <c r="V438" s="303"/>
      <c r="W438" s="302"/>
      <c r="X438" s="303"/>
      <c r="Y438" s="302">
        <v>22.84</v>
      </c>
      <c r="Z438" s="303">
        <v>42208</v>
      </c>
      <c r="AA438">
        <v>14.4</v>
      </c>
      <c r="AB438" s="303"/>
      <c r="AC438" s="302"/>
      <c r="AD438" s="303"/>
      <c r="AE438" s="302"/>
      <c r="AF438" s="303"/>
      <c r="AG438">
        <v>85069.444444444438</v>
      </c>
      <c r="AH438" s="521">
        <f>(AK438*10000)/AM438</f>
        <v>85069.444444444438</v>
      </c>
      <c r="AI438" s="302"/>
      <c r="AJ438" s="303"/>
      <c r="AK438">
        <v>44.236111111111107</v>
      </c>
      <c r="AL438" s="521"/>
      <c r="AM438">
        <v>5.2</v>
      </c>
      <c r="AN438" s="303">
        <v>42244</v>
      </c>
      <c r="AO438">
        <v>135</v>
      </c>
      <c r="AP438" s="303">
        <v>42170</v>
      </c>
      <c r="AQ438" s="302"/>
      <c r="AR438" s="303"/>
      <c r="AS438" s="302"/>
      <c r="AT438" s="303"/>
      <c r="AU438">
        <v>105</v>
      </c>
      <c r="AV438" s="303"/>
      <c r="AW438" s="302"/>
      <c r="AX438" s="302"/>
      <c r="AY438" s="302"/>
      <c r="AZ438" s="303"/>
      <c r="BA438" s="302"/>
      <c r="BB438" s="302"/>
      <c r="BC438" s="302"/>
      <c r="BD438" s="302"/>
      <c r="BE438" s="302"/>
      <c r="BF438" s="302"/>
      <c r="BG438" s="302"/>
      <c r="BH438" s="302"/>
      <c r="BI438" s="302"/>
      <c r="BJ438" s="302"/>
      <c r="BM438">
        <v>0.8</v>
      </c>
      <c r="BS438">
        <v>58.1</v>
      </c>
      <c r="BY438">
        <v>50.6</v>
      </c>
      <c r="CA438">
        <v>18.8</v>
      </c>
      <c r="CC438">
        <v>19</v>
      </c>
      <c r="CI438"/>
      <c r="CO438" t="s">
        <v>8699</v>
      </c>
      <c r="CR438">
        <v>1</v>
      </c>
      <c r="CT438" s="304" t="s">
        <v>11678</v>
      </c>
    </row>
    <row r="439" spans="1:98" s="304" customFormat="1">
      <c r="A439" s="304" t="s">
        <v>8506</v>
      </c>
      <c r="B439" s="463">
        <v>165</v>
      </c>
      <c r="C439" s="296" t="s">
        <v>7793</v>
      </c>
      <c r="D439" s="296" t="s">
        <v>7594</v>
      </c>
      <c r="E439" s="296" t="s">
        <v>7793</v>
      </c>
      <c r="F439" s="296"/>
      <c r="G439" s="296" t="s">
        <v>8506</v>
      </c>
      <c r="H439" s="297" t="s">
        <v>8697</v>
      </c>
      <c r="I439" s="297">
        <v>4</v>
      </c>
      <c r="J439" s="308">
        <v>4182</v>
      </c>
      <c r="K439" s="299"/>
      <c r="L439" s="299"/>
      <c r="M439" s="299">
        <v>73</v>
      </c>
      <c r="N439" s="299">
        <v>10</v>
      </c>
      <c r="O439" s="300">
        <v>62</v>
      </c>
      <c r="P439" s="301">
        <v>42090</v>
      </c>
      <c r="Q439" s="306"/>
      <c r="R439" s="303"/>
      <c r="S439" s="289">
        <v>5.45</v>
      </c>
      <c r="T439" s="303">
        <v>42208</v>
      </c>
      <c r="U439" s="307"/>
      <c r="V439" s="303"/>
      <c r="W439" s="306"/>
      <c r="X439" s="303"/>
      <c r="Y439" s="306">
        <v>21.12</v>
      </c>
      <c r="Z439" s="303">
        <v>42208</v>
      </c>
      <c r="AA439">
        <v>14.4</v>
      </c>
      <c r="AB439" s="303"/>
      <c r="AC439" s="306"/>
      <c r="AD439" s="303"/>
      <c r="AE439" s="302"/>
      <c r="AF439" s="303"/>
      <c r="AG439">
        <v>80822.302971576239</v>
      </c>
      <c r="AH439" s="521">
        <f>(AK439*10000)/AM439</f>
        <v>80822.302971576239</v>
      </c>
      <c r="AI439" s="302"/>
      <c r="AJ439" s="303"/>
      <c r="AK439">
        <v>34.753590277777782</v>
      </c>
      <c r="AL439" s="521"/>
      <c r="AM439">
        <v>4.3</v>
      </c>
      <c r="AN439" s="303">
        <v>42244</v>
      </c>
      <c r="AO439">
        <v>125</v>
      </c>
      <c r="AP439" s="303">
        <v>42170</v>
      </c>
      <c r="AQ439" s="306"/>
      <c r="AR439" s="303"/>
      <c r="AS439" s="306"/>
      <c r="AT439" s="303"/>
      <c r="AU439">
        <v>106</v>
      </c>
      <c r="AV439" s="303"/>
      <c r="AW439" s="302"/>
      <c r="AX439" s="302"/>
      <c r="AY439" s="302"/>
      <c r="AZ439" s="303"/>
      <c r="BA439" s="302"/>
      <c r="BB439" s="302"/>
      <c r="BC439" s="302"/>
      <c r="BD439" s="302"/>
      <c r="BE439" s="302"/>
      <c r="BF439" s="302"/>
      <c r="BG439" s="302"/>
      <c r="BH439" s="302"/>
      <c r="BI439" s="302"/>
      <c r="BJ439" s="302"/>
      <c r="BM439">
        <v>-4.5</v>
      </c>
      <c r="BS439">
        <v>64.599999999999994</v>
      </c>
      <c r="BY439">
        <v>54.2</v>
      </c>
      <c r="CA439">
        <v>15.3</v>
      </c>
      <c r="CC439">
        <v>14.6</v>
      </c>
      <c r="CI439">
        <v>6.3</v>
      </c>
      <c r="CO439" t="s">
        <v>8698</v>
      </c>
      <c r="CR439">
        <v>1</v>
      </c>
      <c r="CT439" s="304" t="s">
        <v>11678</v>
      </c>
    </row>
    <row r="440" spans="1:98" s="304" customFormat="1">
      <c r="A440" s="304" t="s">
        <v>8506</v>
      </c>
      <c r="B440" s="463">
        <v>54</v>
      </c>
      <c r="C440" s="296" t="s">
        <v>7672</v>
      </c>
      <c r="D440" s="296" t="s">
        <v>7504</v>
      </c>
      <c r="E440" s="296" t="s">
        <v>7672</v>
      </c>
      <c r="F440" s="296"/>
      <c r="G440" s="296" t="s">
        <v>8506</v>
      </c>
      <c r="H440" s="297" t="s">
        <v>8696</v>
      </c>
      <c r="I440" s="297">
        <v>3</v>
      </c>
      <c r="J440" s="297">
        <v>3183</v>
      </c>
      <c r="K440" s="299"/>
      <c r="L440" s="299"/>
      <c r="M440" s="299">
        <v>74</v>
      </c>
      <c r="N440" s="299">
        <v>4</v>
      </c>
      <c r="O440" s="300">
        <v>26</v>
      </c>
      <c r="P440" s="301">
        <v>42090</v>
      </c>
      <c r="Q440" s="302"/>
      <c r="R440" s="303"/>
      <c r="S440" s="289">
        <v>5.45</v>
      </c>
      <c r="T440" s="303">
        <v>42208</v>
      </c>
      <c r="U440" s="302"/>
      <c r="V440" s="303"/>
      <c r="W440" s="302"/>
      <c r="X440" s="303"/>
      <c r="Y440" s="302">
        <v>19.45</v>
      </c>
      <c r="Z440" s="303">
        <v>42208</v>
      </c>
      <c r="AA440">
        <v>14.4</v>
      </c>
      <c r="AB440" s="303"/>
      <c r="AC440" s="302"/>
      <c r="AD440" s="303"/>
      <c r="AE440" s="302"/>
      <c r="AF440" s="303"/>
      <c r="AG440">
        <v>56054.177867383514</v>
      </c>
      <c r="AH440" s="521">
        <f>(AK440*10000)/AM440</f>
        <v>56054.177867383514</v>
      </c>
      <c r="AI440" s="302"/>
      <c r="AJ440" s="303"/>
      <c r="AK440">
        <v>34.753590277777782</v>
      </c>
      <c r="AL440" s="521"/>
      <c r="AM440">
        <v>6.2</v>
      </c>
      <c r="AN440" s="303">
        <v>42244</v>
      </c>
      <c r="AO440">
        <v>140</v>
      </c>
      <c r="AP440" s="303">
        <v>42170</v>
      </c>
      <c r="AQ440" s="302"/>
      <c r="AR440" s="303"/>
      <c r="AS440" s="302"/>
      <c r="AT440" s="303"/>
      <c r="AU440">
        <v>110</v>
      </c>
      <c r="AV440" s="303"/>
      <c r="AW440" s="302"/>
      <c r="AX440" s="302"/>
      <c r="AY440" s="302"/>
      <c r="AZ440" s="303"/>
      <c r="BA440" s="302"/>
      <c r="BB440" s="302"/>
      <c r="BC440" s="302"/>
      <c r="BD440" s="302"/>
      <c r="BE440" s="302"/>
      <c r="BF440" s="302"/>
      <c r="BG440" s="302"/>
      <c r="BH440" s="302"/>
      <c r="BI440" s="302"/>
      <c r="BJ440" s="302"/>
      <c r="BM440">
        <v>-0.2</v>
      </c>
      <c r="BS440">
        <v>58</v>
      </c>
      <c r="BY440">
        <v>49.9</v>
      </c>
      <c r="CA440">
        <v>18.899999999999999</v>
      </c>
      <c r="CC440">
        <v>21.2</v>
      </c>
      <c r="CI440">
        <v>6.3</v>
      </c>
      <c r="CO440" t="s">
        <v>8698</v>
      </c>
      <c r="CR440">
        <v>3</v>
      </c>
      <c r="CT440" s="304" t="s">
        <v>11678</v>
      </c>
    </row>
    <row r="441" spans="1:98" s="304" customFormat="1">
      <c r="A441" s="304" t="s">
        <v>8506</v>
      </c>
      <c r="B441" s="463">
        <v>61</v>
      </c>
      <c r="C441" s="296" t="s">
        <v>7679</v>
      </c>
      <c r="D441" s="296" t="s">
        <v>7509</v>
      </c>
      <c r="E441" s="296" t="s">
        <v>7679</v>
      </c>
      <c r="F441" s="296"/>
      <c r="G441" s="296" t="s">
        <v>8506</v>
      </c>
      <c r="H441" s="297" t="s">
        <v>8697</v>
      </c>
      <c r="I441" s="297">
        <v>4</v>
      </c>
      <c r="J441" s="297">
        <v>4123</v>
      </c>
      <c r="K441" s="299"/>
      <c r="L441" s="299"/>
      <c r="M441" s="299">
        <v>74</v>
      </c>
      <c r="N441" s="299">
        <v>9</v>
      </c>
      <c r="O441" s="300">
        <v>46</v>
      </c>
      <c r="P441" s="301">
        <v>42090</v>
      </c>
      <c r="Q441" s="302"/>
      <c r="R441" s="303"/>
      <c r="S441" s="289">
        <v>5.55</v>
      </c>
      <c r="T441" s="303">
        <v>42208</v>
      </c>
      <c r="U441" s="302"/>
      <c r="V441" s="303"/>
      <c r="W441" s="302"/>
      <c r="X441" s="303"/>
      <c r="Y441" s="302">
        <v>21.58</v>
      </c>
      <c r="Z441" s="303">
        <v>42208</v>
      </c>
      <c r="AA441">
        <v>14.4</v>
      </c>
      <c r="AB441" s="303"/>
      <c r="AC441" s="302"/>
      <c r="AD441" s="303"/>
      <c r="AE441" s="302"/>
      <c r="AF441" s="303"/>
      <c r="AG441">
        <v>82568.798449612397</v>
      </c>
      <c r="AH441" s="521">
        <f>(AK441*10000)/AM441</f>
        <v>82568.798449612397</v>
      </c>
      <c r="AI441" s="302"/>
      <c r="AJ441" s="303"/>
      <c r="AK441">
        <v>35.504583333333329</v>
      </c>
      <c r="AL441" s="521"/>
      <c r="AM441">
        <v>4.3</v>
      </c>
      <c r="AN441" s="303">
        <v>42244</v>
      </c>
      <c r="AO441">
        <v>120</v>
      </c>
      <c r="AP441" s="303">
        <v>42170</v>
      </c>
      <c r="AQ441" s="302"/>
      <c r="AR441" s="303"/>
      <c r="AS441" s="302"/>
      <c r="AT441" s="303"/>
      <c r="AU441">
        <v>108</v>
      </c>
      <c r="AV441" s="303"/>
      <c r="AW441" s="302"/>
      <c r="AX441" s="302"/>
      <c r="AY441" s="302"/>
      <c r="AZ441" s="303"/>
      <c r="BA441" s="302"/>
      <c r="BB441" s="302"/>
      <c r="BC441" s="302"/>
      <c r="BD441" s="302"/>
      <c r="BE441" s="302"/>
      <c r="BF441" s="302"/>
      <c r="BG441" s="302"/>
      <c r="BH441" s="302"/>
      <c r="BI441" s="302"/>
      <c r="BJ441" s="302"/>
      <c r="BM441">
        <v>-7.8</v>
      </c>
      <c r="BS441">
        <v>67.599999999999994</v>
      </c>
      <c r="BY441">
        <v>54.2</v>
      </c>
      <c r="CA441">
        <v>15.2</v>
      </c>
      <c r="CC441">
        <v>13.5</v>
      </c>
      <c r="CI441">
        <v>6</v>
      </c>
      <c r="CO441" t="s">
        <v>8698</v>
      </c>
      <c r="CR441">
        <v>2</v>
      </c>
      <c r="CT441" s="304" t="s">
        <v>11678</v>
      </c>
    </row>
    <row r="442" spans="1:98" s="304" customFormat="1">
      <c r="A442" s="304" t="s">
        <v>8506</v>
      </c>
      <c r="B442" s="463">
        <v>99</v>
      </c>
      <c r="C442" s="296" t="s">
        <v>7717</v>
      </c>
      <c r="D442" s="296" t="s">
        <v>7544</v>
      </c>
      <c r="E442" s="296" t="s">
        <v>7717</v>
      </c>
      <c r="F442" s="296"/>
      <c r="G442" s="296" t="s">
        <v>8506</v>
      </c>
      <c r="H442" s="297" t="s">
        <v>8696</v>
      </c>
      <c r="I442" s="297">
        <v>3</v>
      </c>
      <c r="J442" s="297">
        <v>3243</v>
      </c>
      <c r="K442" s="299"/>
      <c r="L442" s="299"/>
      <c r="M442" s="299">
        <v>74</v>
      </c>
      <c r="N442" s="299">
        <v>5</v>
      </c>
      <c r="O442" s="300">
        <v>56</v>
      </c>
      <c r="P442" s="301">
        <v>42090</v>
      </c>
      <c r="Q442" s="302"/>
      <c r="R442" s="303"/>
      <c r="S442" s="289">
        <v>6.3</v>
      </c>
      <c r="T442" s="303">
        <v>42208</v>
      </c>
      <c r="U442" s="302"/>
      <c r="V442" s="303"/>
      <c r="W442" s="302"/>
      <c r="X442" s="303"/>
      <c r="Y442" s="302">
        <v>23.09</v>
      </c>
      <c r="Z442" s="303">
        <v>42208</v>
      </c>
      <c r="AA442">
        <v>14.4</v>
      </c>
      <c r="AB442" s="303"/>
      <c r="AC442" s="302"/>
      <c r="AD442" s="303"/>
      <c r="AE442" s="302"/>
      <c r="AF442" s="303"/>
      <c r="AG442">
        <v>74634.259259259241</v>
      </c>
      <c r="AH442" s="521">
        <f>(AK442*10000)/AM442</f>
        <v>74634.259259259241</v>
      </c>
      <c r="AI442" s="302"/>
      <c r="AJ442" s="303"/>
      <c r="AK442">
        <v>40.302499999999995</v>
      </c>
      <c r="AL442" s="521"/>
      <c r="AM442">
        <v>5.4</v>
      </c>
      <c r="AN442" s="303">
        <v>42244</v>
      </c>
      <c r="AO442">
        <v>115</v>
      </c>
      <c r="AP442" s="303">
        <v>42170</v>
      </c>
      <c r="AQ442" s="302"/>
      <c r="AR442" s="303"/>
      <c r="AS442" s="302"/>
      <c r="AT442" s="303"/>
      <c r="AU442">
        <v>107</v>
      </c>
      <c r="AV442" s="303"/>
      <c r="AW442" s="302"/>
      <c r="AX442" s="302"/>
      <c r="AY442" s="302"/>
      <c r="AZ442" s="303"/>
      <c r="BA442" s="302"/>
      <c r="BB442" s="302"/>
      <c r="BC442" s="302"/>
      <c r="BD442" s="302"/>
      <c r="BE442" s="302"/>
      <c r="BF442" s="302"/>
      <c r="BG442" s="302"/>
      <c r="BH442" s="302"/>
      <c r="BI442" s="302"/>
      <c r="BJ442" s="302"/>
      <c r="BM442">
        <v>-1.4</v>
      </c>
      <c r="BS442">
        <v>63</v>
      </c>
      <c r="BY442">
        <v>51.1</v>
      </c>
      <c r="CA442">
        <v>18.399999999999999</v>
      </c>
      <c r="CC442">
        <v>17.899999999999999</v>
      </c>
      <c r="CI442">
        <v>6</v>
      </c>
      <c r="CO442" t="s">
        <v>8698</v>
      </c>
      <c r="CR442">
        <v>2</v>
      </c>
      <c r="CT442" s="304" t="s">
        <v>11678</v>
      </c>
    </row>
    <row r="443" spans="1:98" s="304" customFormat="1">
      <c r="A443" s="304" t="s">
        <v>8506</v>
      </c>
      <c r="B443" s="463">
        <v>127</v>
      </c>
      <c r="C443" s="296" t="s">
        <v>7754</v>
      </c>
      <c r="D443" s="296" t="s">
        <v>7565</v>
      </c>
      <c r="E443" s="296" t="s">
        <v>7754</v>
      </c>
      <c r="F443" s="296"/>
      <c r="G443" s="296" t="s">
        <v>8506</v>
      </c>
      <c r="H443" s="297" t="s">
        <v>8697</v>
      </c>
      <c r="I443" s="297">
        <v>4</v>
      </c>
      <c r="J443" s="297">
        <v>403</v>
      </c>
      <c r="K443" s="299"/>
      <c r="L443" s="299"/>
      <c r="M443" s="299">
        <v>74</v>
      </c>
      <c r="N443" s="299">
        <v>7</v>
      </c>
      <c r="O443" s="300">
        <v>36</v>
      </c>
      <c r="P443" s="301">
        <v>42090</v>
      </c>
      <c r="Q443" s="302"/>
      <c r="R443" s="303"/>
      <c r="S443" s="289">
        <v>4.2</v>
      </c>
      <c r="T443" s="303">
        <v>42208</v>
      </c>
      <c r="U443" s="302"/>
      <c r="V443" s="303"/>
      <c r="W443" s="302"/>
      <c r="X443" s="303"/>
      <c r="Y443" s="302">
        <v>16.14</v>
      </c>
      <c r="Z443" s="303">
        <v>42208</v>
      </c>
      <c r="AA443">
        <v>14.4</v>
      </c>
      <c r="AB443" s="303"/>
      <c r="AC443" s="302"/>
      <c r="AD443" s="303"/>
      <c r="AE443" s="302"/>
      <c r="AF443" s="303"/>
      <c r="AG443">
        <v>52570.915032679746</v>
      </c>
      <c r="AH443" s="521">
        <f>(AK443*10000)/AM443</f>
        <v>52570.915032679746</v>
      </c>
      <c r="AI443" s="302"/>
      <c r="AJ443" s="303"/>
      <c r="AK443">
        <v>26.811166666666669</v>
      </c>
      <c r="AL443" s="521"/>
      <c r="AM443">
        <v>5.0999999999999996</v>
      </c>
      <c r="AN443" s="303">
        <v>42244</v>
      </c>
      <c r="AO443">
        <v>150</v>
      </c>
      <c r="AP443" s="303">
        <v>42170</v>
      </c>
      <c r="AQ443" s="302"/>
      <c r="AR443" s="303"/>
      <c r="AS443" s="302"/>
      <c r="AT443" s="303"/>
      <c r="AU443">
        <v>109</v>
      </c>
      <c r="AV443" s="303"/>
      <c r="AW443" s="302"/>
      <c r="AX443" s="302"/>
      <c r="AY443" s="302"/>
      <c r="AZ443" s="303"/>
      <c r="BA443" s="302"/>
      <c r="BB443" s="302"/>
      <c r="BC443" s="302"/>
      <c r="BD443" s="302"/>
      <c r="BE443" s="302"/>
      <c r="BF443" s="302"/>
      <c r="BG443" s="302"/>
      <c r="BH443" s="302"/>
      <c r="BI443" s="302"/>
      <c r="BJ443" s="302"/>
      <c r="BM443">
        <v>-2.1</v>
      </c>
      <c r="BS443">
        <v>56.9</v>
      </c>
      <c r="BY443">
        <v>53.7</v>
      </c>
      <c r="CA443">
        <v>15.5</v>
      </c>
      <c r="CC443">
        <v>70</v>
      </c>
      <c r="CI443">
        <v>6.2</v>
      </c>
      <c r="CO443" t="s">
        <v>8698</v>
      </c>
      <c r="CR443">
        <v>3</v>
      </c>
      <c r="CT443" s="304" t="s">
        <v>11678</v>
      </c>
    </row>
    <row r="444" spans="1:98" s="304" customFormat="1">
      <c r="A444" s="304" t="s">
        <v>8506</v>
      </c>
      <c r="B444" s="463">
        <v>133</v>
      </c>
      <c r="C444" s="296" t="s">
        <v>7761</v>
      </c>
      <c r="D444" s="296" t="s">
        <v>7836</v>
      </c>
      <c r="E444" s="296" t="s">
        <v>7761</v>
      </c>
      <c r="F444" s="296"/>
      <c r="G444" s="296" t="s">
        <v>8506</v>
      </c>
      <c r="H444" s="297" t="s">
        <v>8696</v>
      </c>
      <c r="I444" s="297">
        <v>3</v>
      </c>
      <c r="J444" s="297">
        <v>303</v>
      </c>
      <c r="K444" s="299"/>
      <c r="L444" s="299"/>
      <c r="M444" s="299">
        <v>74</v>
      </c>
      <c r="N444" s="299">
        <v>1</v>
      </c>
      <c r="O444" s="300">
        <v>26</v>
      </c>
      <c r="P444" s="301">
        <v>42090</v>
      </c>
      <c r="Q444" s="302"/>
      <c r="R444" s="303"/>
      <c r="S444" s="289">
        <v>6.35</v>
      </c>
      <c r="T444" s="303">
        <v>42208</v>
      </c>
      <c r="U444" s="302"/>
      <c r="V444" s="303"/>
      <c r="W444" s="302"/>
      <c r="X444" s="303"/>
      <c r="Y444" s="302">
        <v>23.01</v>
      </c>
      <c r="Z444" s="303">
        <v>42208</v>
      </c>
      <c r="AA444">
        <v>14.4</v>
      </c>
      <c r="AB444" s="303"/>
      <c r="AC444" s="302"/>
      <c r="AD444" s="303"/>
      <c r="AE444" s="302"/>
      <c r="AF444" s="303"/>
      <c r="AG444">
        <v>71418.93274853802</v>
      </c>
      <c r="AH444" s="521">
        <f>(AK444*10000)/AM444</f>
        <v>71418.93274853802</v>
      </c>
      <c r="AI444" s="302"/>
      <c r="AJ444" s="303"/>
      <c r="AK444">
        <v>40.70879166666667</v>
      </c>
      <c r="AL444" s="521"/>
      <c r="AM444">
        <v>5.7</v>
      </c>
      <c r="AN444" s="303">
        <v>42244</v>
      </c>
      <c r="AO444">
        <v>110</v>
      </c>
      <c r="AP444" s="303">
        <v>42170</v>
      </c>
      <c r="AQ444" s="302"/>
      <c r="AR444" s="303"/>
      <c r="AS444" s="302"/>
      <c r="AT444" s="303"/>
      <c r="AU444">
        <v>103</v>
      </c>
      <c r="AV444" s="303"/>
      <c r="AW444" s="302"/>
      <c r="AX444" s="302"/>
      <c r="AY444" s="302"/>
      <c r="AZ444" s="303"/>
      <c r="BA444" s="302"/>
      <c r="BB444" s="302"/>
      <c r="BC444" s="302"/>
      <c r="BD444" s="302"/>
      <c r="BE444" s="302"/>
      <c r="BF444" s="302"/>
      <c r="BG444" s="302"/>
      <c r="BH444" s="302"/>
      <c r="BI444" s="302"/>
      <c r="BJ444" s="302"/>
      <c r="BM444">
        <v>-1</v>
      </c>
      <c r="BS444">
        <v>61.8</v>
      </c>
      <c r="BY444">
        <v>50.4</v>
      </c>
      <c r="CA444">
        <v>18.3</v>
      </c>
      <c r="CC444">
        <v>16</v>
      </c>
      <c r="CI444">
        <v>5.8</v>
      </c>
      <c r="CO444" t="s">
        <v>8699</v>
      </c>
      <c r="CR444">
        <v>1</v>
      </c>
      <c r="CT444" s="304" t="s">
        <v>11678</v>
      </c>
    </row>
    <row r="445" spans="1:98" s="304" customFormat="1">
      <c r="A445" s="304" t="s">
        <v>8506</v>
      </c>
      <c r="B445" s="463">
        <v>144</v>
      </c>
      <c r="C445" s="296" t="s">
        <v>7772</v>
      </c>
      <c r="D445" s="296" t="s">
        <v>7573</v>
      </c>
      <c r="E445" s="296" t="s">
        <v>7772</v>
      </c>
      <c r="F445" s="296"/>
      <c r="G445" s="296" t="s">
        <v>8506</v>
      </c>
      <c r="H445" s="297" t="s">
        <v>8696</v>
      </c>
      <c r="I445" s="297">
        <v>3</v>
      </c>
      <c r="J445" s="297">
        <v>3123</v>
      </c>
      <c r="K445" s="299"/>
      <c r="L445" s="299"/>
      <c r="M445" s="299">
        <v>74</v>
      </c>
      <c r="N445" s="299">
        <v>3</v>
      </c>
      <c r="O445" s="300">
        <v>38</v>
      </c>
      <c r="P445" s="301">
        <v>42090</v>
      </c>
      <c r="Q445" s="302"/>
      <c r="R445" s="303"/>
      <c r="S445" s="289">
        <v>6.8</v>
      </c>
      <c r="T445" s="303">
        <v>42208</v>
      </c>
      <c r="U445" s="302"/>
      <c r="V445" s="303"/>
      <c r="W445" s="302"/>
      <c r="X445" s="303"/>
      <c r="Y445" s="302">
        <v>24.45</v>
      </c>
      <c r="Z445" s="303">
        <v>42208</v>
      </c>
      <c r="AA445">
        <v>14.4</v>
      </c>
      <c r="AB445" s="303"/>
      <c r="AC445" s="302"/>
      <c r="AD445" s="303"/>
      <c r="AE445" s="302"/>
      <c r="AF445" s="303"/>
      <c r="AG445">
        <v>81640.985324947585</v>
      </c>
      <c r="AH445" s="521">
        <f>(AK445*10000)/AM445</f>
        <v>81640.985324947585</v>
      </c>
      <c r="AI445" s="302"/>
      <c r="AJ445" s="303"/>
      <c r="AK445">
        <v>43.269722222222221</v>
      </c>
      <c r="AL445" s="521"/>
      <c r="AM445">
        <v>5.3</v>
      </c>
      <c r="AN445" s="303">
        <v>42244</v>
      </c>
      <c r="AO445">
        <v>130</v>
      </c>
      <c r="AP445" s="303">
        <v>42170</v>
      </c>
      <c r="AQ445" s="302"/>
      <c r="AR445" s="303"/>
      <c r="AS445" s="302"/>
      <c r="AT445" s="303"/>
      <c r="AU445">
        <v>107</v>
      </c>
      <c r="AV445" s="303"/>
      <c r="AW445" s="302"/>
      <c r="AX445" s="302"/>
      <c r="AY445" s="302"/>
      <c r="AZ445" s="303"/>
      <c r="BA445" s="302"/>
      <c r="BB445" s="302"/>
      <c r="BC445" s="302"/>
      <c r="BD445" s="302"/>
      <c r="BE445" s="302"/>
      <c r="BF445" s="302"/>
      <c r="BG445" s="302"/>
      <c r="BH445" s="302"/>
      <c r="BI445" s="302"/>
      <c r="BJ445" s="302"/>
      <c r="BM445">
        <v>0</v>
      </c>
      <c r="BS445">
        <v>56.6</v>
      </c>
      <c r="BY445">
        <v>50.4</v>
      </c>
      <c r="CA445">
        <v>18.399999999999999</v>
      </c>
      <c r="CC445">
        <v>13.9</v>
      </c>
      <c r="CI445">
        <v>6.5</v>
      </c>
      <c r="CO445" t="s">
        <v>8699</v>
      </c>
      <c r="CR445">
        <v>7</v>
      </c>
      <c r="CT445" s="304" t="s">
        <v>11678</v>
      </c>
    </row>
    <row r="446" spans="1:98" s="304" customFormat="1">
      <c r="A446" s="304" t="s">
        <v>8506</v>
      </c>
      <c r="B446" s="463">
        <v>150</v>
      </c>
      <c r="C446" s="296" t="s">
        <v>7778</v>
      </c>
      <c r="D446" s="296" t="s">
        <v>7579</v>
      </c>
      <c r="E446" s="296" t="s">
        <v>7778</v>
      </c>
      <c r="F446" s="296"/>
      <c r="G446" s="296" t="s">
        <v>8506</v>
      </c>
      <c r="H446" s="297" t="s">
        <v>8697</v>
      </c>
      <c r="I446" s="297">
        <v>4</v>
      </c>
      <c r="J446" s="297">
        <v>4303</v>
      </c>
      <c r="K446" s="299"/>
      <c r="L446" s="299"/>
      <c r="M446" s="299">
        <v>74</v>
      </c>
      <c r="N446" s="299">
        <v>12</v>
      </c>
      <c r="O446" s="300">
        <v>32</v>
      </c>
      <c r="P446" s="301">
        <v>42090</v>
      </c>
      <c r="Q446" s="302"/>
      <c r="R446" s="303"/>
      <c r="S446" s="289">
        <v>4.45</v>
      </c>
      <c r="T446" s="303">
        <v>42208</v>
      </c>
      <c r="U446" s="302"/>
      <c r="V446" s="303"/>
      <c r="W446" s="302"/>
      <c r="X446" s="303"/>
      <c r="Y446" s="302">
        <v>16.899999999999999</v>
      </c>
      <c r="Z446" s="303">
        <v>42208</v>
      </c>
      <c r="AA446">
        <v>14.4</v>
      </c>
      <c r="AB446" s="303"/>
      <c r="AC446" s="302"/>
      <c r="AD446" s="303"/>
      <c r="AE446" s="302"/>
      <c r="AF446" s="303"/>
      <c r="AG446">
        <v>63194.120370370372</v>
      </c>
      <c r="AH446" s="521">
        <f>(AK446*10000)/AM446</f>
        <v>63194.120370370372</v>
      </c>
      <c r="AI446" s="302"/>
      <c r="AJ446" s="303"/>
      <c r="AK446">
        <v>28.437354166666669</v>
      </c>
      <c r="AL446" s="521"/>
      <c r="AM446">
        <v>4.5</v>
      </c>
      <c r="AN446" s="303">
        <v>42244</v>
      </c>
      <c r="AO446">
        <v>125</v>
      </c>
      <c r="AP446" s="303">
        <v>42170</v>
      </c>
      <c r="AQ446" s="302"/>
      <c r="AR446" s="303"/>
      <c r="AS446" s="302"/>
      <c r="AT446" s="303"/>
      <c r="AU446">
        <v>112</v>
      </c>
      <c r="AV446" s="303"/>
      <c r="AW446" s="302"/>
      <c r="AX446" s="302"/>
      <c r="AY446" s="302"/>
      <c r="AZ446" s="303"/>
      <c r="BA446" s="302"/>
      <c r="BB446" s="302"/>
      <c r="BC446" s="302"/>
      <c r="BD446" s="302"/>
      <c r="BE446" s="302"/>
      <c r="BF446" s="302"/>
      <c r="BG446" s="302"/>
      <c r="BH446" s="302"/>
      <c r="BI446" s="302"/>
      <c r="BJ446" s="302"/>
      <c r="BM446">
        <v>-3.3</v>
      </c>
      <c r="BS446">
        <v>62.6</v>
      </c>
      <c r="BY446">
        <v>53</v>
      </c>
      <c r="CA446">
        <v>15.4</v>
      </c>
      <c r="CC446">
        <v>10.1</v>
      </c>
      <c r="CI446">
        <v>6.1</v>
      </c>
      <c r="CO446" t="s">
        <v>8698</v>
      </c>
      <c r="CR446">
        <v>2</v>
      </c>
      <c r="CT446" s="304" t="s">
        <v>11678</v>
      </c>
    </row>
    <row r="447" spans="1:98" s="304" customFormat="1">
      <c r="A447" s="304" t="s">
        <v>8506</v>
      </c>
      <c r="B447" s="463">
        <v>162</v>
      </c>
      <c r="C447" s="296" t="s">
        <v>7790</v>
      </c>
      <c r="D447" s="296" t="s">
        <v>7591</v>
      </c>
      <c r="E447" s="296" t="s">
        <v>7790</v>
      </c>
      <c r="F447" s="296"/>
      <c r="G447" s="296" t="s">
        <v>8506</v>
      </c>
      <c r="H447" s="297" t="s">
        <v>8697</v>
      </c>
      <c r="I447" s="297">
        <v>4</v>
      </c>
      <c r="J447" s="297">
        <v>4243</v>
      </c>
      <c r="K447" s="299"/>
      <c r="L447" s="299"/>
      <c r="M447" s="299">
        <v>74</v>
      </c>
      <c r="N447" s="299">
        <v>11</v>
      </c>
      <c r="O447" s="300">
        <v>43</v>
      </c>
      <c r="P447" s="301">
        <v>42090</v>
      </c>
      <c r="Q447" s="302"/>
      <c r="R447" s="303"/>
      <c r="S447" s="289">
        <v>5.5</v>
      </c>
      <c r="T447" s="303">
        <v>42208</v>
      </c>
      <c r="U447" s="302"/>
      <c r="V447" s="303"/>
      <c r="W447" s="302"/>
      <c r="X447" s="303"/>
      <c r="Y447" s="302">
        <v>21.22</v>
      </c>
      <c r="Z447" s="303">
        <v>42208</v>
      </c>
      <c r="AA447">
        <v>14.4</v>
      </c>
      <c r="AB447" s="303"/>
      <c r="AC447" s="302"/>
      <c r="AD447" s="303"/>
      <c r="AE447" s="302"/>
      <c r="AF447" s="303"/>
      <c r="AG447">
        <v>79965.277777777752</v>
      </c>
      <c r="AH447" s="521">
        <f>(AK447*10000)/AM447</f>
        <v>79965.277777777752</v>
      </c>
      <c r="AI447" s="302"/>
      <c r="AJ447" s="303"/>
      <c r="AK447">
        <v>35.184722222222213</v>
      </c>
      <c r="AL447" s="521"/>
      <c r="AM447">
        <v>4.4000000000000004</v>
      </c>
      <c r="AN447" s="303">
        <v>42244</v>
      </c>
      <c r="AO447">
        <v>130</v>
      </c>
      <c r="AP447" s="303">
        <v>42170</v>
      </c>
      <c r="AQ447" s="302"/>
      <c r="AR447" s="303"/>
      <c r="AS447" s="302"/>
      <c r="AT447" s="303"/>
      <c r="AU447">
        <v>104</v>
      </c>
      <c r="AV447" s="303"/>
      <c r="AW447" s="302"/>
      <c r="AX447" s="302"/>
      <c r="AY447" s="302"/>
      <c r="AZ447" s="303"/>
      <c r="BA447" s="302"/>
      <c r="BB447" s="302"/>
      <c r="BC447" s="302"/>
      <c r="BD447" s="302"/>
      <c r="BE447" s="302"/>
      <c r="BF447" s="302"/>
      <c r="BG447" s="302"/>
      <c r="BH447" s="302"/>
      <c r="BI447" s="302"/>
      <c r="BJ447" s="302"/>
      <c r="BM447">
        <v>-5.0999999999999996</v>
      </c>
      <c r="BS447">
        <v>65.099999999999994</v>
      </c>
      <c r="BY447">
        <v>53.8</v>
      </c>
      <c r="CA447">
        <v>13.9</v>
      </c>
      <c r="CC447">
        <v>14.6</v>
      </c>
      <c r="CI447">
        <v>6</v>
      </c>
      <c r="CO447" t="s">
        <v>8698</v>
      </c>
      <c r="CR447">
        <v>1</v>
      </c>
      <c r="CT447" s="304" t="s">
        <v>11678</v>
      </c>
    </row>
    <row r="448" spans="1:98" s="304" customFormat="1">
      <c r="A448" s="304" t="s">
        <v>8506</v>
      </c>
      <c r="B448" s="463">
        <v>177</v>
      </c>
      <c r="C448" s="296" t="s">
        <v>7805</v>
      </c>
      <c r="D448" s="296" t="s">
        <v>7602</v>
      </c>
      <c r="E448" s="296" t="s">
        <v>7805</v>
      </c>
      <c r="F448" s="296"/>
      <c r="G448" s="296" t="s">
        <v>8506</v>
      </c>
      <c r="H448" s="297" t="s">
        <v>8696</v>
      </c>
      <c r="I448" s="297">
        <v>3</v>
      </c>
      <c r="J448" s="297">
        <v>363</v>
      </c>
      <c r="K448" s="299"/>
      <c r="L448" s="299"/>
      <c r="M448" s="299">
        <v>74</v>
      </c>
      <c r="N448" s="299">
        <v>2</v>
      </c>
      <c r="O448" s="300">
        <v>40</v>
      </c>
      <c r="P448" s="301">
        <v>42090</v>
      </c>
      <c r="Q448" s="302"/>
      <c r="R448" s="303"/>
      <c r="S448" s="289">
        <v>6.45</v>
      </c>
      <c r="T448" s="303">
        <v>42208</v>
      </c>
      <c r="U448" s="302"/>
      <c r="V448" s="303"/>
      <c r="W448" s="302"/>
      <c r="X448" s="303"/>
      <c r="Y448" s="302">
        <v>23.62</v>
      </c>
      <c r="Z448" s="303">
        <v>42208</v>
      </c>
      <c r="AA448">
        <v>14.4</v>
      </c>
      <c r="AB448" s="303"/>
      <c r="AC448" s="302"/>
      <c r="AD448" s="303"/>
      <c r="AE448" s="302"/>
      <c r="AF448" s="303"/>
      <c r="AG448">
        <v>70010.134180790934</v>
      </c>
      <c r="AH448" s="521">
        <f>(AK448*10000)/AM448</f>
        <v>70010.134180790934</v>
      </c>
      <c r="AI448" s="302"/>
      <c r="AJ448" s="303"/>
      <c r="AK448">
        <v>41.30597916666666</v>
      </c>
      <c r="AL448" s="521"/>
      <c r="AM448">
        <v>5.9</v>
      </c>
      <c r="AN448" s="303">
        <v>42244</v>
      </c>
      <c r="AO448">
        <v>130</v>
      </c>
      <c r="AP448" s="303">
        <v>42170</v>
      </c>
      <c r="AQ448" s="302"/>
      <c r="AR448" s="303"/>
      <c r="AS448" s="302"/>
      <c r="AT448" s="303"/>
      <c r="AU448">
        <v>104</v>
      </c>
      <c r="AV448" s="303"/>
      <c r="AW448" s="302"/>
      <c r="AX448" s="302"/>
      <c r="AY448" s="302"/>
      <c r="AZ448" s="303"/>
      <c r="BA448" s="302"/>
      <c r="BB448" s="302"/>
      <c r="BC448" s="302"/>
      <c r="BD448" s="302"/>
      <c r="BE448" s="302"/>
      <c r="BF448" s="302"/>
      <c r="BG448" s="302"/>
      <c r="BH448" s="302"/>
      <c r="BI448" s="302"/>
      <c r="BJ448" s="302"/>
      <c r="BM448">
        <v>-3.5</v>
      </c>
      <c r="BS448">
        <v>64.400000000000006</v>
      </c>
      <c r="BY448">
        <v>51</v>
      </c>
      <c r="CA448">
        <v>17.600000000000001</v>
      </c>
      <c r="CC448">
        <v>23.3</v>
      </c>
      <c r="CI448">
        <v>5.9</v>
      </c>
      <c r="CO448" t="s">
        <v>8699</v>
      </c>
      <c r="CR448">
        <v>3</v>
      </c>
      <c r="CT448" s="304" t="s">
        <v>11678</v>
      </c>
    </row>
    <row r="449" spans="1:98" s="304" customFormat="1">
      <c r="A449" s="304" t="s">
        <v>8506</v>
      </c>
      <c r="B449" s="463">
        <v>6</v>
      </c>
      <c r="C449" s="296" t="s">
        <v>7615</v>
      </c>
      <c r="D449" s="296" t="s">
        <v>7455</v>
      </c>
      <c r="E449" s="296" t="s">
        <v>7615</v>
      </c>
      <c r="F449" s="296"/>
      <c r="G449" s="296" t="s">
        <v>8506</v>
      </c>
      <c r="H449" s="297" t="s">
        <v>8696</v>
      </c>
      <c r="I449" s="297">
        <v>3</v>
      </c>
      <c r="J449" s="297">
        <v>364</v>
      </c>
      <c r="K449" s="299"/>
      <c r="L449" s="299"/>
      <c r="M449" s="299">
        <v>75</v>
      </c>
      <c r="N449" s="299">
        <v>2</v>
      </c>
      <c r="O449" s="300">
        <v>42</v>
      </c>
      <c r="P449" s="301">
        <v>42090</v>
      </c>
      <c r="Q449" s="302"/>
      <c r="R449" s="303"/>
      <c r="S449" s="289">
        <v>4.2</v>
      </c>
      <c r="T449" s="303">
        <v>42208</v>
      </c>
      <c r="U449" s="302"/>
      <c r="V449" s="303"/>
      <c r="W449" s="302"/>
      <c r="X449" s="303"/>
      <c r="Y449" s="302">
        <v>14.44</v>
      </c>
      <c r="Z449" s="303">
        <v>42208</v>
      </c>
      <c r="AA449">
        <v>14.4</v>
      </c>
      <c r="AB449" s="303"/>
      <c r="AC449" s="302"/>
      <c r="AD449" s="303"/>
      <c r="AE449" s="302"/>
      <c r="AF449" s="303"/>
      <c r="AG449">
        <v>50533.176100628938</v>
      </c>
      <c r="AH449" s="521">
        <f>(AK449*10000)/AM449</f>
        <v>50533.176100628938</v>
      </c>
      <c r="AI449" s="302"/>
      <c r="AJ449" s="303"/>
      <c r="AK449">
        <v>26.782583333333339</v>
      </c>
      <c r="AL449" s="521"/>
      <c r="AM449">
        <v>5.3</v>
      </c>
      <c r="AN449" s="303">
        <v>42244</v>
      </c>
      <c r="AO449">
        <v>135</v>
      </c>
      <c r="AP449" s="303">
        <v>42170</v>
      </c>
      <c r="AQ449" s="302"/>
      <c r="AR449" s="303"/>
      <c r="AS449" s="302"/>
      <c r="AT449" s="303"/>
      <c r="AU449">
        <v>112</v>
      </c>
      <c r="AV449" s="303"/>
      <c r="AW449" s="302"/>
      <c r="AX449" s="302"/>
      <c r="AY449" s="302"/>
      <c r="AZ449" s="303"/>
      <c r="BA449" s="302"/>
      <c r="BB449" s="302"/>
      <c r="BC449" s="302"/>
      <c r="BD449" s="302"/>
      <c r="BE449" s="302"/>
      <c r="BF449" s="302"/>
      <c r="BG449" s="302"/>
      <c r="BH449" s="302"/>
      <c r="BI449" s="302"/>
      <c r="BJ449" s="302"/>
      <c r="BM449">
        <v>39.700000000000003</v>
      </c>
      <c r="BS449">
        <v>16.2</v>
      </c>
      <c r="BY449">
        <v>48.1</v>
      </c>
      <c r="CA449">
        <v>21.1</v>
      </c>
      <c r="CC449">
        <v>68.8</v>
      </c>
      <c r="CI449">
        <v>6.3</v>
      </c>
      <c r="CO449" t="s">
        <v>8699</v>
      </c>
      <c r="CR449">
        <v>5</v>
      </c>
      <c r="CT449" s="304" t="s">
        <v>11678</v>
      </c>
    </row>
    <row r="450" spans="1:98" s="304" customFormat="1">
      <c r="A450" s="304" t="s">
        <v>8506</v>
      </c>
      <c r="B450" s="463">
        <v>29</v>
      </c>
      <c r="C450" s="296" t="s">
        <v>7641</v>
      </c>
      <c r="D450" s="296" t="s">
        <v>7476</v>
      </c>
      <c r="E450" s="296" t="s">
        <v>7641</v>
      </c>
      <c r="F450" s="296"/>
      <c r="G450" s="296" t="s">
        <v>8506</v>
      </c>
      <c r="H450" s="297" t="s">
        <v>8697</v>
      </c>
      <c r="I450" s="297">
        <v>4</v>
      </c>
      <c r="J450" s="308">
        <v>4184</v>
      </c>
      <c r="K450" s="299"/>
      <c r="L450" s="299"/>
      <c r="M450" s="299">
        <v>75</v>
      </c>
      <c r="N450" s="299">
        <v>10</v>
      </c>
      <c r="O450" s="300">
        <v>56</v>
      </c>
      <c r="P450" s="301">
        <v>42090</v>
      </c>
      <c r="Q450" s="306"/>
      <c r="R450" s="303"/>
      <c r="S450" s="289">
        <v>3.85</v>
      </c>
      <c r="T450" s="303">
        <v>42208</v>
      </c>
      <c r="U450" s="307"/>
      <c r="V450" s="303"/>
      <c r="W450" s="306"/>
      <c r="X450" s="303"/>
      <c r="Y450" s="306">
        <v>13.49</v>
      </c>
      <c r="Z450" s="303">
        <v>42208</v>
      </c>
      <c r="AA450">
        <v>14.4</v>
      </c>
      <c r="AB450" s="303"/>
      <c r="AC450" s="306"/>
      <c r="AD450" s="303"/>
      <c r="AE450" s="302"/>
      <c r="AF450" s="303"/>
      <c r="AG450">
        <v>41700.176553672318</v>
      </c>
      <c r="AH450" s="521">
        <f>(AK450*10000)/AM450</f>
        <v>41700.176553672318</v>
      </c>
      <c r="AI450" s="302"/>
      <c r="AJ450" s="303"/>
      <c r="AK450">
        <v>24.603104166666668</v>
      </c>
      <c r="AL450" s="521"/>
      <c r="AM450">
        <v>5.9</v>
      </c>
      <c r="AN450" s="303">
        <v>42244</v>
      </c>
      <c r="AO450">
        <v>120</v>
      </c>
      <c r="AP450" s="303">
        <v>42170</v>
      </c>
      <c r="AQ450" s="306"/>
      <c r="AR450" s="303"/>
      <c r="AS450" s="306"/>
      <c r="AT450" s="303"/>
      <c r="AU450">
        <v>107</v>
      </c>
      <c r="AV450" s="303"/>
      <c r="AW450" s="302"/>
      <c r="AX450" s="302"/>
      <c r="AY450" s="302"/>
      <c r="AZ450" s="303"/>
      <c r="BA450" s="302"/>
      <c r="BB450" s="302"/>
      <c r="BC450" s="302"/>
      <c r="BD450" s="302"/>
      <c r="BE450" s="302"/>
      <c r="BF450" s="302"/>
      <c r="BG450" s="302"/>
      <c r="BH450" s="302"/>
      <c r="BI450" s="302"/>
      <c r="BJ450" s="302"/>
      <c r="BM450">
        <v>3</v>
      </c>
      <c r="BS450">
        <v>51.3</v>
      </c>
      <c r="BY450">
        <v>48.9</v>
      </c>
      <c r="CA450">
        <v>19.899999999999999</v>
      </c>
      <c r="CC450">
        <v>69.7</v>
      </c>
      <c r="CI450">
        <v>6.1</v>
      </c>
      <c r="CO450" t="s">
        <v>8698</v>
      </c>
      <c r="CR450">
        <v>2</v>
      </c>
      <c r="CT450" s="304" t="s">
        <v>11678</v>
      </c>
    </row>
    <row r="451" spans="1:98" s="304" customFormat="1">
      <c r="A451" s="304" t="s">
        <v>8506</v>
      </c>
      <c r="B451" s="463">
        <v>45</v>
      </c>
      <c r="C451" s="296" t="s">
        <v>7662</v>
      </c>
      <c r="D451" s="296" t="s">
        <v>7495</v>
      </c>
      <c r="E451" s="296" t="s">
        <v>7662</v>
      </c>
      <c r="F451" s="296"/>
      <c r="G451" s="296" t="s">
        <v>8506</v>
      </c>
      <c r="H451" s="297" t="s">
        <v>8696</v>
      </c>
      <c r="I451" s="297">
        <v>3</v>
      </c>
      <c r="J451" s="297">
        <v>3244</v>
      </c>
      <c r="K451" s="299"/>
      <c r="L451" s="299"/>
      <c r="M451" s="299">
        <v>75</v>
      </c>
      <c r="N451" s="299">
        <v>5</v>
      </c>
      <c r="O451" s="300">
        <v>54</v>
      </c>
      <c r="P451" s="301">
        <v>42090</v>
      </c>
      <c r="Q451" s="302"/>
      <c r="R451" s="303"/>
      <c r="S451" s="289">
        <v>6.75</v>
      </c>
      <c r="T451" s="303">
        <v>42208</v>
      </c>
      <c r="U451" s="302"/>
      <c r="V451" s="303"/>
      <c r="W451" s="302"/>
      <c r="X451" s="303"/>
      <c r="Y451" s="302">
        <v>24.88</v>
      </c>
      <c r="Z451" s="303">
        <v>42208</v>
      </c>
      <c r="AA451">
        <v>14.4</v>
      </c>
      <c r="AB451" s="303"/>
      <c r="AC451" s="302"/>
      <c r="AD451" s="303"/>
      <c r="AE451" s="302"/>
      <c r="AF451" s="303"/>
      <c r="AG451">
        <v>89769.531249999985</v>
      </c>
      <c r="AH451" s="521">
        <f>(AK451*10000)/AM451</f>
        <v>89769.531249999985</v>
      </c>
      <c r="AI451" s="302"/>
      <c r="AJ451" s="303"/>
      <c r="AK451">
        <v>43.089374999999997</v>
      </c>
      <c r="AL451" s="521"/>
      <c r="AM451">
        <v>4.8</v>
      </c>
      <c r="AN451" s="303">
        <v>42244</v>
      </c>
      <c r="AO451">
        <v>140</v>
      </c>
      <c r="AP451" s="303">
        <v>42170</v>
      </c>
      <c r="AQ451" s="302"/>
      <c r="AR451" s="303"/>
      <c r="AS451" s="302"/>
      <c r="AT451" s="303"/>
      <c r="AU451">
        <v>106</v>
      </c>
      <c r="AV451" s="303"/>
      <c r="AW451" s="302"/>
      <c r="AX451" s="302"/>
      <c r="AY451" s="302"/>
      <c r="AZ451" s="303"/>
      <c r="BA451" s="302"/>
      <c r="BB451" s="302"/>
      <c r="BC451" s="302"/>
      <c r="BD451" s="302"/>
      <c r="BE451" s="302"/>
      <c r="BF451" s="302"/>
      <c r="BG451" s="302"/>
      <c r="BH451" s="302"/>
      <c r="BI451" s="302"/>
      <c r="BJ451" s="302"/>
      <c r="BM451">
        <v>-1.6</v>
      </c>
      <c r="BS451">
        <v>64.2</v>
      </c>
      <c r="BY451">
        <v>51.5</v>
      </c>
      <c r="CA451">
        <v>18.600000000000001</v>
      </c>
      <c r="CC451">
        <v>18.899999999999999</v>
      </c>
      <c r="CI451">
        <v>6.2</v>
      </c>
      <c r="CO451" t="s">
        <v>8698</v>
      </c>
      <c r="CR451">
        <v>2</v>
      </c>
      <c r="CT451" s="304" t="s">
        <v>11678</v>
      </c>
    </row>
    <row r="452" spans="1:98" s="304" customFormat="1">
      <c r="A452" s="304" t="s">
        <v>8506</v>
      </c>
      <c r="B452" s="463">
        <v>58</v>
      </c>
      <c r="C452" s="296" t="s">
        <v>7676</v>
      </c>
      <c r="D452" s="296" t="s">
        <v>7508</v>
      </c>
      <c r="E452" s="296" t="s">
        <v>7676</v>
      </c>
      <c r="F452" s="296"/>
      <c r="G452" s="296" t="s">
        <v>8506</v>
      </c>
      <c r="H452" s="297" t="s">
        <v>8697</v>
      </c>
      <c r="I452" s="297">
        <v>4</v>
      </c>
      <c r="J452" s="297">
        <v>464</v>
      </c>
      <c r="K452" s="299"/>
      <c r="L452" s="299"/>
      <c r="M452" s="299">
        <v>75</v>
      </c>
      <c r="N452" s="299">
        <v>8</v>
      </c>
      <c r="O452" s="300">
        <v>52</v>
      </c>
      <c r="P452" s="301">
        <v>42090</v>
      </c>
      <c r="Q452" s="302"/>
      <c r="R452" s="303"/>
      <c r="S452" s="289">
        <v>4.5</v>
      </c>
      <c r="T452" s="303">
        <v>42208</v>
      </c>
      <c r="U452" s="302"/>
      <c r="V452" s="303"/>
      <c r="W452" s="302"/>
      <c r="X452" s="303"/>
      <c r="Y452" s="302">
        <v>16.690000000000001</v>
      </c>
      <c r="Z452" s="303">
        <v>42208</v>
      </c>
      <c r="AA452">
        <v>14.4</v>
      </c>
      <c r="AB452" s="303"/>
      <c r="AC452" s="302"/>
      <c r="AD452" s="303"/>
      <c r="AE452" s="302"/>
      <c r="AF452" s="303"/>
      <c r="AG452">
        <v>59973.958333333336</v>
      </c>
      <c r="AH452" s="521">
        <f>(AK452*10000)/AM452</f>
        <v>59973.958333333336</v>
      </c>
      <c r="AI452" s="302"/>
      <c r="AJ452" s="303"/>
      <c r="AK452">
        <v>28.787499999999998</v>
      </c>
      <c r="AL452" s="521"/>
      <c r="AM452">
        <v>4.8</v>
      </c>
      <c r="AN452" s="303">
        <v>42244</v>
      </c>
      <c r="AO452">
        <v>115</v>
      </c>
      <c r="AP452" s="303">
        <v>42170</v>
      </c>
      <c r="AQ452" s="302"/>
      <c r="AR452" s="303"/>
      <c r="AS452" s="302"/>
      <c r="AT452" s="303"/>
      <c r="AU452">
        <v>107</v>
      </c>
      <c r="AV452" s="303"/>
      <c r="AW452" s="302"/>
      <c r="AX452" s="302"/>
      <c r="AY452" s="302"/>
      <c r="AZ452" s="303"/>
      <c r="BA452" s="302"/>
      <c r="BB452" s="302"/>
      <c r="BC452" s="302"/>
      <c r="BD452" s="302"/>
      <c r="BE452" s="302"/>
      <c r="BF452" s="302"/>
      <c r="BG452" s="302"/>
      <c r="BH452" s="302"/>
      <c r="BI452" s="302"/>
      <c r="BJ452" s="302"/>
      <c r="BM452">
        <v>1.2</v>
      </c>
      <c r="BS452">
        <v>56.6</v>
      </c>
      <c r="BY452">
        <v>51.7</v>
      </c>
      <c r="CA452">
        <v>16.2</v>
      </c>
      <c r="CC452">
        <v>22.6</v>
      </c>
      <c r="CI452">
        <v>6</v>
      </c>
      <c r="CO452" t="s">
        <v>8698</v>
      </c>
      <c r="CR452">
        <v>2</v>
      </c>
      <c r="CT452" s="304" t="s">
        <v>11678</v>
      </c>
    </row>
    <row r="453" spans="1:98" s="304" customFormat="1">
      <c r="A453" s="304" t="s">
        <v>8506</v>
      </c>
      <c r="B453" s="463">
        <v>122</v>
      </c>
      <c r="C453" s="296" t="s">
        <v>7747</v>
      </c>
      <c r="D453" s="296" t="s">
        <v>7831</v>
      </c>
      <c r="E453" s="296" t="s">
        <v>7747</v>
      </c>
      <c r="F453" s="296"/>
      <c r="G453" s="296" t="s">
        <v>8506</v>
      </c>
      <c r="H453" s="297" t="s">
        <v>8697</v>
      </c>
      <c r="I453" s="297">
        <v>4</v>
      </c>
      <c r="J453" s="308">
        <v>404</v>
      </c>
      <c r="K453" s="299"/>
      <c r="L453" s="299"/>
      <c r="M453" s="299">
        <v>75</v>
      </c>
      <c r="N453" s="299">
        <v>7</v>
      </c>
      <c r="O453" s="300">
        <v>54</v>
      </c>
      <c r="P453" s="301">
        <v>42090</v>
      </c>
      <c r="Q453" s="306"/>
      <c r="R453" s="303"/>
      <c r="S453" s="289">
        <v>2.9</v>
      </c>
      <c r="T453" s="303">
        <v>42208</v>
      </c>
      <c r="U453" s="307"/>
      <c r="V453" s="303"/>
      <c r="W453" s="306"/>
      <c r="X453" s="303"/>
      <c r="Y453" s="306">
        <v>10.29</v>
      </c>
      <c r="Z453" s="303">
        <v>42208</v>
      </c>
      <c r="AA453">
        <v>14.4</v>
      </c>
      <c r="AB453" s="303"/>
      <c r="AC453" s="306"/>
      <c r="AD453" s="303"/>
      <c r="AE453" s="302"/>
      <c r="AF453" s="303"/>
      <c r="AG453">
        <v>50087.049549549549</v>
      </c>
      <c r="AH453" s="521">
        <f>(AK453*10000)/AM453</f>
        <v>50087.049549549549</v>
      </c>
      <c r="AI453" s="302"/>
      <c r="AJ453" s="303"/>
      <c r="AK453">
        <v>18.532208333333333</v>
      </c>
      <c r="AL453" s="521"/>
      <c r="AM453">
        <v>3.7</v>
      </c>
      <c r="AN453" s="303">
        <v>42244</v>
      </c>
      <c r="AO453">
        <v>135</v>
      </c>
      <c r="AP453" s="303">
        <v>42170</v>
      </c>
      <c r="AQ453" s="306"/>
      <c r="AR453" s="303"/>
      <c r="AS453" s="306"/>
      <c r="AT453" s="303"/>
      <c r="AU453">
        <v>113</v>
      </c>
      <c r="AV453" s="303"/>
      <c r="AW453" s="302"/>
      <c r="AX453" s="302"/>
      <c r="AY453" s="302"/>
      <c r="AZ453" s="303"/>
      <c r="BA453" s="302"/>
      <c r="BB453" s="302"/>
      <c r="BC453" s="302"/>
      <c r="BD453" s="302"/>
      <c r="BE453" s="302"/>
      <c r="BF453" s="302"/>
      <c r="BG453" s="302"/>
      <c r="BH453" s="302"/>
      <c r="BI453" s="302"/>
      <c r="BJ453" s="302"/>
      <c r="BM453">
        <v>47.9</v>
      </c>
      <c r="BS453">
        <v>12.4</v>
      </c>
      <c r="BY453">
        <v>49.5</v>
      </c>
      <c r="CA453">
        <v>19.2</v>
      </c>
      <c r="CC453">
        <v>62</v>
      </c>
      <c r="CI453">
        <v>6.1</v>
      </c>
      <c r="CO453" t="s">
        <v>8698</v>
      </c>
      <c r="CR453">
        <v>3</v>
      </c>
      <c r="CT453" s="304" t="s">
        <v>11678</v>
      </c>
    </row>
    <row r="454" spans="1:98" s="304" customFormat="1">
      <c r="A454" s="304" t="s">
        <v>8506</v>
      </c>
      <c r="B454" s="463">
        <v>167</v>
      </c>
      <c r="C454" s="296" t="s">
        <v>7795</v>
      </c>
      <c r="D454" s="296" t="s">
        <v>7596</v>
      </c>
      <c r="E454" s="296" t="s">
        <v>7795</v>
      </c>
      <c r="F454" s="296"/>
      <c r="G454" s="296" t="s">
        <v>8506</v>
      </c>
      <c r="H454" s="297" t="s">
        <v>8696</v>
      </c>
      <c r="I454" s="297">
        <v>3</v>
      </c>
      <c r="J454" s="297">
        <v>304</v>
      </c>
      <c r="K454" s="299"/>
      <c r="L454" s="299"/>
      <c r="M454" s="299">
        <v>75</v>
      </c>
      <c r="N454" s="299">
        <v>1</v>
      </c>
      <c r="O454" s="300">
        <v>48</v>
      </c>
      <c r="P454" s="301">
        <v>42090</v>
      </c>
      <c r="Q454" s="302"/>
      <c r="R454" s="303"/>
      <c r="S454" s="289">
        <v>6.95</v>
      </c>
      <c r="T454" s="303">
        <v>42208</v>
      </c>
      <c r="U454" s="302"/>
      <c r="V454" s="303"/>
      <c r="W454" s="302"/>
      <c r="X454" s="303"/>
      <c r="Y454" s="302">
        <v>26.23</v>
      </c>
      <c r="Z454" s="303">
        <v>42208</v>
      </c>
      <c r="AA454">
        <v>14.4</v>
      </c>
      <c r="AB454" s="303"/>
      <c r="AC454" s="302"/>
      <c r="AD454" s="303"/>
      <c r="AE454" s="302"/>
      <c r="AF454" s="303"/>
      <c r="AG454">
        <v>79394.097222222219</v>
      </c>
      <c r="AH454" s="521">
        <f>(AK454*10000)/AM454</f>
        <v>79394.097222222219</v>
      </c>
      <c r="AI454" s="302"/>
      <c r="AJ454" s="303"/>
      <c r="AK454">
        <v>44.460694444444442</v>
      </c>
      <c r="AL454" s="521"/>
      <c r="AM454">
        <v>5.6</v>
      </c>
      <c r="AN454" s="303">
        <v>42244</v>
      </c>
      <c r="AO454">
        <v>140</v>
      </c>
      <c r="AP454" s="303">
        <v>42170</v>
      </c>
      <c r="AQ454" s="302"/>
      <c r="AR454" s="303"/>
      <c r="AS454" s="302"/>
      <c r="AT454" s="303"/>
      <c r="AU454">
        <v>105</v>
      </c>
      <c r="AV454" s="303"/>
      <c r="AW454" s="302"/>
      <c r="AX454" s="302"/>
      <c r="AY454" s="302"/>
      <c r="AZ454" s="303"/>
      <c r="BA454" s="302"/>
      <c r="BB454" s="302"/>
      <c r="BC454" s="302"/>
      <c r="BD454" s="302"/>
      <c r="BE454" s="302"/>
      <c r="BF454" s="302"/>
      <c r="BG454" s="302"/>
      <c r="BH454" s="302"/>
      <c r="BI454" s="302"/>
      <c r="BJ454" s="302"/>
      <c r="BM454">
        <v>-0.3</v>
      </c>
      <c r="BS454">
        <v>61</v>
      </c>
      <c r="BY454">
        <v>52.6</v>
      </c>
      <c r="CA454">
        <v>17.3</v>
      </c>
      <c r="CC454">
        <v>23.2</v>
      </c>
      <c r="CI454">
        <v>6</v>
      </c>
      <c r="CO454" t="s">
        <v>8699</v>
      </c>
      <c r="CR454">
        <v>1</v>
      </c>
      <c r="CT454" s="304" t="s">
        <v>11678</v>
      </c>
    </row>
    <row r="455" spans="1:98" s="304" customFormat="1">
      <c r="A455" s="304" t="s">
        <v>8506</v>
      </c>
      <c r="B455" s="463">
        <v>3</v>
      </c>
      <c r="C455" s="296" t="s">
        <v>7610</v>
      </c>
      <c r="D455" s="296" t="s">
        <v>7452</v>
      </c>
      <c r="E455" s="296" t="s">
        <v>7610</v>
      </c>
      <c r="F455" s="296"/>
      <c r="G455" s="296" t="s">
        <v>8506</v>
      </c>
      <c r="H455" s="297" t="s">
        <v>8697</v>
      </c>
      <c r="I455" s="297">
        <v>4</v>
      </c>
      <c r="J455" s="308">
        <v>465</v>
      </c>
      <c r="K455" s="299"/>
      <c r="L455" s="299"/>
      <c r="M455" s="299">
        <v>76</v>
      </c>
      <c r="N455" s="299">
        <v>8</v>
      </c>
      <c r="O455" s="300">
        <v>82</v>
      </c>
      <c r="P455" s="301">
        <v>42090</v>
      </c>
      <c r="Q455" s="306"/>
      <c r="R455" s="303"/>
      <c r="S455" s="289">
        <v>3.5</v>
      </c>
      <c r="T455" s="303">
        <v>42208</v>
      </c>
      <c r="U455" s="307"/>
      <c r="V455" s="303"/>
      <c r="W455" s="306"/>
      <c r="X455" s="303"/>
      <c r="Y455" s="306">
        <v>12.67</v>
      </c>
      <c r="Z455" s="303">
        <v>42208</v>
      </c>
      <c r="AA455">
        <v>14.4</v>
      </c>
      <c r="AB455" s="303"/>
      <c r="AC455" s="306"/>
      <c r="AD455" s="303"/>
      <c r="AE455" s="302"/>
      <c r="AF455" s="303"/>
      <c r="AG455">
        <v>38562.8591954023</v>
      </c>
      <c r="AH455" s="521">
        <f>(AK455*10000)/AM455</f>
        <v>38562.8591954023</v>
      </c>
      <c r="AI455" s="302"/>
      <c r="AJ455" s="303"/>
      <c r="AK455">
        <v>22.366458333333334</v>
      </c>
      <c r="AL455" s="521"/>
      <c r="AM455">
        <v>5.8</v>
      </c>
      <c r="AN455" s="303">
        <v>42244</v>
      </c>
      <c r="AO455">
        <v>125</v>
      </c>
      <c r="AP455" s="303">
        <v>42170</v>
      </c>
      <c r="AQ455" s="306"/>
      <c r="AR455" s="303"/>
      <c r="AS455" s="306"/>
      <c r="AT455" s="303"/>
      <c r="AU455">
        <v>110</v>
      </c>
      <c r="AV455" s="303"/>
      <c r="AW455" s="302"/>
      <c r="AX455" s="302"/>
      <c r="AY455" s="302"/>
      <c r="AZ455" s="303"/>
      <c r="BA455" s="302"/>
      <c r="BB455" s="302"/>
      <c r="BC455" s="302"/>
      <c r="BD455" s="302"/>
      <c r="BE455" s="302"/>
      <c r="BF455" s="302"/>
      <c r="BG455" s="302"/>
      <c r="BH455" s="302"/>
      <c r="BI455" s="302"/>
      <c r="BJ455" s="302"/>
      <c r="BM455">
        <v>47.5</v>
      </c>
      <c r="BS455">
        <v>6.9</v>
      </c>
      <c r="BY455">
        <v>50.5</v>
      </c>
      <c r="CA455">
        <v>18.600000000000001</v>
      </c>
      <c r="CC455">
        <v>77.7</v>
      </c>
      <c r="CI455">
        <v>6.1</v>
      </c>
      <c r="CO455" t="s">
        <v>8698</v>
      </c>
      <c r="CR455">
        <v>2</v>
      </c>
      <c r="CT455" s="304" t="s">
        <v>11678</v>
      </c>
    </row>
    <row r="456" spans="1:98" s="304" customFormat="1">
      <c r="A456" s="304" t="s">
        <v>8506</v>
      </c>
      <c r="B456" s="463">
        <v>36</v>
      </c>
      <c r="C456" s="296" t="s">
        <v>7652</v>
      </c>
      <c r="D456" s="296" t="s">
        <v>7486</v>
      </c>
      <c r="E456" s="296" t="s">
        <v>7652</v>
      </c>
      <c r="F456" s="296"/>
      <c r="G456" s="296" t="s">
        <v>8506</v>
      </c>
      <c r="H456" s="297" t="s">
        <v>8697</v>
      </c>
      <c r="I456" s="297">
        <v>4</v>
      </c>
      <c r="J456" s="297">
        <v>4125</v>
      </c>
      <c r="K456" s="299"/>
      <c r="L456" s="299"/>
      <c r="M456" s="299">
        <v>76</v>
      </c>
      <c r="N456" s="299">
        <v>9</v>
      </c>
      <c r="O456" s="300">
        <v>60</v>
      </c>
      <c r="P456" s="301">
        <v>42090</v>
      </c>
      <c r="Q456" s="302"/>
      <c r="R456" s="303"/>
      <c r="S456" s="289">
        <v>3.95</v>
      </c>
      <c r="T456" s="303">
        <v>42208</v>
      </c>
      <c r="U456" s="302"/>
      <c r="V456" s="303"/>
      <c r="W456" s="302"/>
      <c r="X456" s="303"/>
      <c r="Y456" s="302">
        <v>13.99</v>
      </c>
      <c r="Z456" s="303">
        <v>42208</v>
      </c>
      <c r="AA456">
        <v>14.4</v>
      </c>
      <c r="AB456" s="303"/>
      <c r="AC456" s="302"/>
      <c r="AD456" s="303"/>
      <c r="AE456" s="302"/>
      <c r="AF456" s="303"/>
      <c r="AG456">
        <v>45171.267361111109</v>
      </c>
      <c r="AH456" s="521">
        <f>(AK456*10000)/AM456</f>
        <v>45171.267361111109</v>
      </c>
      <c r="AI456" s="302"/>
      <c r="AJ456" s="303"/>
      <c r="AK456">
        <v>25.29590972222222</v>
      </c>
      <c r="AL456" s="521"/>
      <c r="AM456">
        <v>5.6</v>
      </c>
      <c r="AN456" s="303">
        <v>42244</v>
      </c>
      <c r="AO456">
        <v>135</v>
      </c>
      <c r="AP456" s="303">
        <v>42170</v>
      </c>
      <c r="AQ456" s="302"/>
      <c r="AR456" s="303"/>
      <c r="AS456" s="302"/>
      <c r="AT456" s="303"/>
      <c r="AU456">
        <v>107</v>
      </c>
      <c r="AV456" s="303"/>
      <c r="AW456" s="302"/>
      <c r="AX456" s="302"/>
      <c r="AY456" s="302"/>
      <c r="AZ456" s="303"/>
      <c r="BA456" s="302"/>
      <c r="BB456" s="302"/>
      <c r="BC456" s="302"/>
      <c r="BD456" s="302"/>
      <c r="BE456" s="302"/>
      <c r="BF456" s="302"/>
      <c r="BG456" s="302"/>
      <c r="BH456" s="302"/>
      <c r="BI456" s="302"/>
      <c r="BJ456" s="302"/>
      <c r="BM456">
        <v>4.0999999999999996</v>
      </c>
      <c r="BS456">
        <v>53.3</v>
      </c>
      <c r="BY456">
        <v>49.3</v>
      </c>
      <c r="CA456">
        <v>18.2</v>
      </c>
      <c r="CC456">
        <v>64.5</v>
      </c>
      <c r="CI456">
        <v>5.9</v>
      </c>
      <c r="CO456" t="s">
        <v>8698</v>
      </c>
      <c r="CR456">
        <v>2</v>
      </c>
      <c r="CT456" s="304" t="s">
        <v>11678</v>
      </c>
    </row>
    <row r="457" spans="1:98" s="304" customFormat="1">
      <c r="A457" s="304" t="s">
        <v>8506</v>
      </c>
      <c r="B457" s="463">
        <v>118</v>
      </c>
      <c r="C457" s="296" t="s">
        <v>7737</v>
      </c>
      <c r="D457" s="296" t="s">
        <v>7821</v>
      </c>
      <c r="E457" s="296" t="s">
        <v>7737</v>
      </c>
      <c r="F457" s="296"/>
      <c r="G457" s="296" t="s">
        <v>8506</v>
      </c>
      <c r="H457" s="297" t="s">
        <v>8696</v>
      </c>
      <c r="I457" s="297">
        <v>3</v>
      </c>
      <c r="J457" s="308">
        <v>305</v>
      </c>
      <c r="K457" s="299"/>
      <c r="L457" s="299"/>
      <c r="M457" s="299">
        <v>76</v>
      </c>
      <c r="N457" s="299">
        <v>1</v>
      </c>
      <c r="O457" s="300">
        <v>64</v>
      </c>
      <c r="P457" s="301">
        <v>42090</v>
      </c>
      <c r="Q457" s="306"/>
      <c r="R457" s="303"/>
      <c r="S457" s="289">
        <v>4.55</v>
      </c>
      <c r="T457" s="303">
        <v>42208</v>
      </c>
      <c r="U457" s="307"/>
      <c r="V457" s="303"/>
      <c r="W457" s="306"/>
      <c r="X457" s="303"/>
      <c r="Y457" s="306">
        <v>15.73</v>
      </c>
      <c r="Z457" s="303">
        <v>42208</v>
      </c>
      <c r="AA457">
        <v>14.4</v>
      </c>
      <c r="AB457" s="303"/>
      <c r="AC457" s="306"/>
      <c r="AD457" s="303"/>
      <c r="AE457" s="302"/>
      <c r="AF457" s="303"/>
      <c r="AG457">
        <v>60511.313657407401</v>
      </c>
      <c r="AH457" s="521">
        <f>(AK457*10000)/AM457</f>
        <v>60511.313657407401</v>
      </c>
      <c r="AI457" s="302"/>
      <c r="AJ457" s="303"/>
      <c r="AK457">
        <v>29.045430555555551</v>
      </c>
      <c r="AL457" s="521"/>
      <c r="AM457">
        <v>4.8</v>
      </c>
      <c r="AN457" s="303">
        <v>42244</v>
      </c>
      <c r="AO457">
        <v>120</v>
      </c>
      <c r="AP457" s="303">
        <v>42170</v>
      </c>
      <c r="AQ457" s="306"/>
      <c r="AR457" s="303"/>
      <c r="AS457" s="306"/>
      <c r="AT457" s="303"/>
      <c r="AU457">
        <v>108</v>
      </c>
      <c r="AV457" s="303"/>
      <c r="AW457" s="302"/>
      <c r="AX457" s="302"/>
      <c r="AY457" s="302"/>
      <c r="AZ457" s="303"/>
      <c r="BA457" s="302"/>
      <c r="BB457" s="302"/>
      <c r="BC457" s="302"/>
      <c r="BD457" s="302"/>
      <c r="BE457" s="302"/>
      <c r="BF457" s="302"/>
      <c r="BG457" s="302"/>
      <c r="BH457" s="302"/>
      <c r="BI457" s="302"/>
      <c r="BJ457" s="302"/>
      <c r="BM457">
        <v>34.299999999999997</v>
      </c>
      <c r="BS457">
        <v>27.7</v>
      </c>
      <c r="BY457">
        <v>48.3</v>
      </c>
      <c r="CA457">
        <v>20.7</v>
      </c>
      <c r="CC457">
        <v>66.900000000000006</v>
      </c>
      <c r="CI457">
        <v>6.2</v>
      </c>
      <c r="CO457" t="s">
        <v>8699</v>
      </c>
      <c r="CR457">
        <v>3</v>
      </c>
      <c r="CT457" s="304" t="s">
        <v>11678</v>
      </c>
    </row>
    <row r="458" spans="1:98" s="304" customFormat="1">
      <c r="A458" s="304" t="s">
        <v>8506</v>
      </c>
      <c r="B458" s="463">
        <v>128</v>
      </c>
      <c r="C458" s="296" t="s">
        <v>7756</v>
      </c>
      <c r="D458" s="296" t="s">
        <v>7455</v>
      </c>
      <c r="E458" s="296" t="s">
        <v>7756</v>
      </c>
      <c r="F458" s="296"/>
      <c r="G458" s="296" t="s">
        <v>8506</v>
      </c>
      <c r="H458" s="297" t="s">
        <v>8696</v>
      </c>
      <c r="I458" s="297">
        <v>3</v>
      </c>
      <c r="J458" s="297">
        <v>3125</v>
      </c>
      <c r="K458" s="299"/>
      <c r="L458" s="299"/>
      <c r="M458" s="299">
        <v>76</v>
      </c>
      <c r="N458" s="299">
        <v>3</v>
      </c>
      <c r="O458" s="300">
        <v>48</v>
      </c>
      <c r="P458" s="301">
        <v>42090</v>
      </c>
      <c r="Q458" s="302"/>
      <c r="R458" s="303"/>
      <c r="S458" s="289">
        <v>3.5</v>
      </c>
      <c r="T458" s="303">
        <v>42208</v>
      </c>
      <c r="U458" s="302"/>
      <c r="V458" s="303"/>
      <c r="W458" s="302"/>
      <c r="X458" s="303"/>
      <c r="Y458" s="302">
        <v>12.36</v>
      </c>
      <c r="Z458" s="303">
        <v>42208</v>
      </c>
      <c r="AA458">
        <v>14.4</v>
      </c>
      <c r="AB458" s="303"/>
      <c r="AC458" s="302"/>
      <c r="AD458" s="303"/>
      <c r="AE458" s="302"/>
      <c r="AF458" s="303"/>
      <c r="AG458">
        <v>43949.210239651409</v>
      </c>
      <c r="AH458" s="521">
        <f>(AK458*10000)/AM458</f>
        <v>43949.210239651409</v>
      </c>
      <c r="AI458" s="302"/>
      <c r="AJ458" s="303"/>
      <c r="AK458">
        <v>22.414097222222217</v>
      </c>
      <c r="AL458" s="521"/>
      <c r="AM458">
        <v>5.0999999999999996</v>
      </c>
      <c r="AN458" s="303">
        <v>42244</v>
      </c>
      <c r="AO458">
        <v>160</v>
      </c>
      <c r="AP458" s="303">
        <v>42170</v>
      </c>
      <c r="AQ458" s="302"/>
      <c r="AR458" s="303"/>
      <c r="AS458" s="302"/>
      <c r="AT458" s="303"/>
      <c r="AU458">
        <v>116</v>
      </c>
      <c r="AV458" s="303"/>
      <c r="AW458" s="302"/>
      <c r="AX458" s="302"/>
      <c r="AY458" s="302"/>
      <c r="AZ458" s="303"/>
      <c r="BA458" s="302"/>
      <c r="BB458" s="302"/>
      <c r="BC458" s="302"/>
      <c r="BD458" s="302"/>
      <c r="BE458" s="302"/>
      <c r="BF458" s="302"/>
      <c r="BG458" s="302"/>
      <c r="BH458" s="302"/>
      <c r="BI458" s="302"/>
      <c r="BJ458" s="302"/>
      <c r="BM458">
        <v>45</v>
      </c>
      <c r="BS458">
        <v>10.199999999999999</v>
      </c>
      <c r="BY458">
        <v>49.2</v>
      </c>
      <c r="CA458">
        <v>22.7</v>
      </c>
      <c r="CC458">
        <v>68</v>
      </c>
      <c r="CI458">
        <v>5.9</v>
      </c>
      <c r="CO458" t="s">
        <v>8699</v>
      </c>
      <c r="CR458">
        <v>2</v>
      </c>
      <c r="CT458" s="304" t="s">
        <v>11678</v>
      </c>
    </row>
    <row r="459" spans="1:98" s="304" customFormat="1">
      <c r="A459" s="304" t="s">
        <v>8506</v>
      </c>
      <c r="B459" s="463">
        <v>35</v>
      </c>
      <c r="C459" s="296" t="s">
        <v>7650</v>
      </c>
      <c r="D459" s="296" t="s">
        <v>260</v>
      </c>
      <c r="E459" s="296" t="s">
        <v>7650</v>
      </c>
      <c r="F459" s="296"/>
      <c r="G459" s="296" t="s">
        <v>8506</v>
      </c>
      <c r="H459" s="297" t="s">
        <v>8696</v>
      </c>
      <c r="I459" s="297">
        <v>3</v>
      </c>
      <c r="J459" s="297">
        <v>3246</v>
      </c>
      <c r="K459" s="299"/>
      <c r="L459" s="299"/>
      <c r="M459" s="299">
        <v>77</v>
      </c>
      <c r="N459" s="299">
        <v>5</v>
      </c>
      <c r="O459" s="300">
        <v>38</v>
      </c>
      <c r="P459" s="301">
        <v>42090</v>
      </c>
      <c r="Q459" s="302"/>
      <c r="R459" s="303"/>
      <c r="S459" s="289">
        <v>6.6</v>
      </c>
      <c r="T459" s="303">
        <v>42208</v>
      </c>
      <c r="U459" s="302"/>
      <c r="V459" s="303"/>
      <c r="W459" s="302"/>
      <c r="X459" s="303"/>
      <c r="Y459" s="302">
        <v>23.88</v>
      </c>
      <c r="Z459" s="303">
        <v>42208</v>
      </c>
      <c r="AA459">
        <v>14.4</v>
      </c>
      <c r="AB459" s="303"/>
      <c r="AC459" s="302"/>
      <c r="AD459" s="303"/>
      <c r="AE459" s="302"/>
      <c r="AF459" s="303"/>
      <c r="AG459">
        <v>98085.465116279069</v>
      </c>
      <c r="AH459" s="521">
        <f>(AK459*10000)/AM459</f>
        <v>98085.465116279069</v>
      </c>
      <c r="AI459" s="302"/>
      <c r="AJ459" s="303"/>
      <c r="AK459">
        <v>42.176749999999998</v>
      </c>
      <c r="AL459" s="521"/>
      <c r="AM459">
        <v>4.3</v>
      </c>
      <c r="AN459" s="303">
        <v>42244</v>
      </c>
      <c r="AO459">
        <v>110</v>
      </c>
      <c r="AP459" s="303">
        <v>42170</v>
      </c>
      <c r="AQ459" s="302"/>
      <c r="AR459" s="303"/>
      <c r="AS459" s="302"/>
      <c r="AT459" s="303"/>
      <c r="AU459">
        <v>106</v>
      </c>
      <c r="AV459" s="303"/>
      <c r="AW459" s="302"/>
      <c r="AX459" s="302"/>
      <c r="AY459" s="302"/>
      <c r="AZ459" s="303"/>
      <c r="BA459" s="302"/>
      <c r="BB459" s="302"/>
      <c r="BC459" s="302"/>
      <c r="BD459" s="302"/>
      <c r="BE459" s="302"/>
      <c r="BF459" s="302"/>
      <c r="BG459" s="302"/>
      <c r="BH459" s="302"/>
      <c r="BI459" s="302"/>
      <c r="BJ459" s="302"/>
      <c r="BM459">
        <v>1.8</v>
      </c>
      <c r="BS459">
        <v>54</v>
      </c>
      <c r="BY459">
        <v>50.5</v>
      </c>
      <c r="CA459">
        <v>19.899999999999999</v>
      </c>
      <c r="CC459">
        <v>51.2</v>
      </c>
      <c r="CI459">
        <v>6.1</v>
      </c>
      <c r="CO459" t="s">
        <v>8698</v>
      </c>
      <c r="CR459">
        <v>2</v>
      </c>
      <c r="CT459" s="304" t="s">
        <v>11678</v>
      </c>
    </row>
    <row r="460" spans="1:98" s="304" customFormat="1">
      <c r="A460" s="304" t="s">
        <v>8506</v>
      </c>
      <c r="B460" s="463">
        <v>71</v>
      </c>
      <c r="C460" s="296" t="s">
        <v>7689</v>
      </c>
      <c r="D460" s="296" t="s">
        <v>7518</v>
      </c>
      <c r="E460" s="296" t="s">
        <v>7689</v>
      </c>
      <c r="F460" s="296"/>
      <c r="G460" s="296" t="s">
        <v>8506</v>
      </c>
      <c r="H460" s="297" t="s">
        <v>8696</v>
      </c>
      <c r="I460" s="297">
        <v>3</v>
      </c>
      <c r="J460" s="297">
        <v>306</v>
      </c>
      <c r="K460" s="299"/>
      <c r="L460" s="299"/>
      <c r="M460" s="299">
        <v>77</v>
      </c>
      <c r="N460" s="299">
        <v>1</v>
      </c>
      <c r="O460" s="300">
        <v>46</v>
      </c>
      <c r="P460" s="301">
        <v>42090</v>
      </c>
      <c r="Q460" s="302"/>
      <c r="R460" s="303"/>
      <c r="S460" s="289">
        <v>6.35</v>
      </c>
      <c r="T460" s="303">
        <v>42208</v>
      </c>
      <c r="U460" s="302"/>
      <c r="V460" s="303"/>
      <c r="W460" s="302"/>
      <c r="X460" s="303"/>
      <c r="Y460" s="302">
        <v>22.64</v>
      </c>
      <c r="Z460" s="303">
        <v>42208</v>
      </c>
      <c r="AA460">
        <v>14.4</v>
      </c>
      <c r="AB460" s="303"/>
      <c r="AC460" s="302"/>
      <c r="AD460" s="303"/>
      <c r="AE460" s="302"/>
      <c r="AF460" s="303"/>
      <c r="AG460">
        <v>78119.925213675204</v>
      </c>
      <c r="AH460" s="521">
        <f>(AK460*10000)/AM460</f>
        <v>78119.925213675204</v>
      </c>
      <c r="AI460" s="302"/>
      <c r="AJ460" s="303"/>
      <c r="AK460">
        <v>40.622361111111104</v>
      </c>
      <c r="AL460" s="521"/>
      <c r="AM460">
        <v>5.2</v>
      </c>
      <c r="AN460" s="303">
        <v>42244</v>
      </c>
      <c r="AO460">
        <v>125</v>
      </c>
      <c r="AP460" s="303">
        <v>42170</v>
      </c>
      <c r="AQ460" s="302"/>
      <c r="AR460" s="303"/>
      <c r="AS460" s="302"/>
      <c r="AT460" s="303"/>
      <c r="AU460">
        <v>111</v>
      </c>
      <c r="AV460" s="303"/>
      <c r="AW460" s="302"/>
      <c r="AX460" s="302"/>
      <c r="AY460" s="302"/>
      <c r="AZ460" s="303"/>
      <c r="BA460" s="302"/>
      <c r="BB460" s="302"/>
      <c r="BC460" s="302"/>
      <c r="BD460" s="302"/>
      <c r="BE460" s="302"/>
      <c r="BF460" s="302"/>
      <c r="BG460" s="302"/>
      <c r="BH460" s="302"/>
      <c r="BI460" s="302"/>
      <c r="BJ460" s="302"/>
      <c r="BM460">
        <v>-3.3</v>
      </c>
      <c r="BS460">
        <v>60.8</v>
      </c>
      <c r="BY460">
        <v>49.7</v>
      </c>
      <c r="CA460">
        <v>17.899999999999999</v>
      </c>
      <c r="CC460">
        <v>22.4</v>
      </c>
      <c r="CI460">
        <v>6</v>
      </c>
      <c r="CO460" t="s">
        <v>8699</v>
      </c>
      <c r="CR460">
        <v>1</v>
      </c>
      <c r="CT460" s="304" t="s">
        <v>11678</v>
      </c>
    </row>
    <row r="461" spans="1:98" s="304" customFormat="1">
      <c r="A461" s="304" t="s">
        <v>8506</v>
      </c>
      <c r="B461" s="463">
        <v>119</v>
      </c>
      <c r="C461" s="296" t="s">
        <v>7738</v>
      </c>
      <c r="D461" s="296" t="s">
        <v>7822</v>
      </c>
      <c r="E461" s="296" t="s">
        <v>7738</v>
      </c>
      <c r="F461" s="296"/>
      <c r="G461" s="296" t="s">
        <v>8506</v>
      </c>
      <c r="H461" s="297" t="s">
        <v>8697</v>
      </c>
      <c r="I461" s="297">
        <v>4</v>
      </c>
      <c r="J461" s="297">
        <v>4306</v>
      </c>
      <c r="K461" s="299"/>
      <c r="L461" s="299"/>
      <c r="M461" s="299">
        <v>77</v>
      </c>
      <c r="N461" s="299">
        <v>12</v>
      </c>
      <c r="O461" s="300">
        <v>64</v>
      </c>
      <c r="P461" s="301">
        <v>42090</v>
      </c>
      <c r="Q461" s="302"/>
      <c r="R461" s="303"/>
      <c r="S461" s="289">
        <v>3.25</v>
      </c>
      <c r="T461" s="303">
        <v>42208</v>
      </c>
      <c r="U461" s="302"/>
      <c r="V461" s="303"/>
      <c r="W461" s="302"/>
      <c r="X461" s="303"/>
      <c r="Y461" s="302">
        <v>11.89</v>
      </c>
      <c r="Z461" s="303">
        <v>42208</v>
      </c>
      <c r="AA461">
        <v>14.4</v>
      </c>
      <c r="AB461" s="303"/>
      <c r="AC461" s="302"/>
      <c r="AD461" s="303"/>
      <c r="AE461" s="302"/>
      <c r="AF461" s="303"/>
      <c r="AG461">
        <v>46398.765432098764</v>
      </c>
      <c r="AH461" s="521">
        <f>(AK461*10000)/AM461</f>
        <v>46398.765432098764</v>
      </c>
      <c r="AI461" s="302"/>
      <c r="AJ461" s="303"/>
      <c r="AK461">
        <v>20.879444444444445</v>
      </c>
      <c r="AL461" s="521"/>
      <c r="AM461">
        <v>4.5</v>
      </c>
      <c r="AN461" s="303">
        <v>42244</v>
      </c>
      <c r="AO461">
        <v>125</v>
      </c>
      <c r="AP461" s="303">
        <v>42170</v>
      </c>
      <c r="AQ461" s="302"/>
      <c r="AR461" s="303"/>
      <c r="AS461" s="302"/>
      <c r="AT461" s="303"/>
      <c r="AU461">
        <v>113</v>
      </c>
      <c r="AV461" s="303"/>
      <c r="AW461" s="302"/>
      <c r="AX461" s="302"/>
      <c r="AY461" s="302"/>
      <c r="AZ461" s="303"/>
      <c r="BA461" s="302"/>
      <c r="BB461" s="302"/>
      <c r="BC461" s="302"/>
      <c r="BD461" s="302"/>
      <c r="BE461" s="302"/>
      <c r="BF461" s="302"/>
      <c r="BG461" s="302"/>
      <c r="BH461" s="302"/>
      <c r="BI461" s="302"/>
      <c r="BJ461" s="302"/>
      <c r="BM461">
        <v>49.8</v>
      </c>
      <c r="BS461">
        <v>4</v>
      </c>
      <c r="BY461">
        <v>50.8</v>
      </c>
      <c r="CA461">
        <v>19.2</v>
      </c>
      <c r="CC461">
        <v>67.2</v>
      </c>
      <c r="CI461">
        <v>5.6</v>
      </c>
      <c r="CO461" t="s">
        <v>8698</v>
      </c>
      <c r="CR461">
        <v>2</v>
      </c>
      <c r="CT461" s="304" t="s">
        <v>11678</v>
      </c>
    </row>
    <row r="462" spans="1:98" s="304" customFormat="1">
      <c r="A462" s="304" t="s">
        <v>8506</v>
      </c>
      <c r="B462" s="463">
        <v>139</v>
      </c>
      <c r="C462" s="296" t="s">
        <v>7767</v>
      </c>
      <c r="D462" s="296" t="s">
        <v>7841</v>
      </c>
      <c r="E462" s="296" t="s">
        <v>7767</v>
      </c>
      <c r="F462" s="296"/>
      <c r="G462" s="296" t="s">
        <v>8506</v>
      </c>
      <c r="H462" s="297" t="s">
        <v>8696</v>
      </c>
      <c r="I462" s="297">
        <v>3</v>
      </c>
      <c r="J462" s="297">
        <v>366</v>
      </c>
      <c r="K462" s="299"/>
      <c r="L462" s="299"/>
      <c r="M462" s="299">
        <v>77</v>
      </c>
      <c r="N462" s="299">
        <v>2</v>
      </c>
      <c r="O462" s="300">
        <v>34</v>
      </c>
      <c r="P462" s="301">
        <v>42090</v>
      </c>
      <c r="Q462" s="302"/>
      <c r="R462" s="303"/>
      <c r="S462" s="289">
        <v>5.9</v>
      </c>
      <c r="T462" s="303">
        <v>42208</v>
      </c>
      <c r="U462" s="302"/>
      <c r="V462" s="303"/>
      <c r="W462" s="302"/>
      <c r="X462" s="303"/>
      <c r="Y462" s="302">
        <v>21.29</v>
      </c>
      <c r="Z462" s="303">
        <v>42208</v>
      </c>
      <c r="AA462">
        <v>14.4</v>
      </c>
      <c r="AB462" s="303"/>
      <c r="AC462" s="302"/>
      <c r="AD462" s="303"/>
      <c r="AE462" s="302"/>
      <c r="AF462" s="303"/>
      <c r="AG462">
        <v>68624.747474747463</v>
      </c>
      <c r="AH462" s="521">
        <f>(AK462*10000)/AM462</f>
        <v>68624.747474747463</v>
      </c>
      <c r="AI462" s="302"/>
      <c r="AJ462" s="303"/>
      <c r="AK462">
        <v>37.743611111111107</v>
      </c>
      <c r="AL462" s="521"/>
      <c r="AM462">
        <v>5.5</v>
      </c>
      <c r="AN462" s="303">
        <v>42244</v>
      </c>
      <c r="AO462">
        <v>125</v>
      </c>
      <c r="AP462" s="303">
        <v>42170</v>
      </c>
      <c r="AQ462" s="302"/>
      <c r="AR462" s="303"/>
      <c r="AS462" s="302"/>
      <c r="AT462" s="303"/>
      <c r="AU462">
        <v>109</v>
      </c>
      <c r="AV462" s="303"/>
      <c r="AW462" s="302"/>
      <c r="AX462" s="302"/>
      <c r="AY462" s="302"/>
      <c r="AZ462" s="303"/>
      <c r="BA462" s="302"/>
      <c r="BB462" s="302"/>
      <c r="BC462" s="302"/>
      <c r="BD462" s="302"/>
      <c r="BE462" s="302"/>
      <c r="BF462" s="302"/>
      <c r="BG462" s="302"/>
      <c r="BH462" s="302"/>
      <c r="BI462" s="302"/>
      <c r="BJ462" s="302"/>
      <c r="BM462">
        <v>-0.8</v>
      </c>
      <c r="BS462">
        <v>62.8</v>
      </c>
      <c r="BY462">
        <v>50.3</v>
      </c>
      <c r="CA462">
        <v>18.100000000000001</v>
      </c>
      <c r="CC462">
        <v>19</v>
      </c>
      <c r="CI462">
        <v>6</v>
      </c>
      <c r="CO462" t="s">
        <v>8699</v>
      </c>
      <c r="CR462">
        <v>3</v>
      </c>
      <c r="CT462" s="304" t="s">
        <v>11678</v>
      </c>
    </row>
    <row r="463" spans="1:98" s="304" customFormat="1">
      <c r="A463" s="304" t="s">
        <v>8506</v>
      </c>
      <c r="B463" s="463">
        <v>168</v>
      </c>
      <c r="C463" s="296" t="s">
        <v>7796</v>
      </c>
      <c r="D463" s="296" t="s">
        <v>7597</v>
      </c>
      <c r="E463" s="296" t="s">
        <v>7796</v>
      </c>
      <c r="F463" s="296"/>
      <c r="G463" s="296" t="s">
        <v>8506</v>
      </c>
      <c r="H463" s="297" t="s">
        <v>8697</v>
      </c>
      <c r="I463" s="297">
        <v>4</v>
      </c>
      <c r="J463" s="297">
        <v>4246</v>
      </c>
      <c r="K463" s="299"/>
      <c r="L463" s="299"/>
      <c r="M463" s="299">
        <v>77</v>
      </c>
      <c r="N463" s="299">
        <v>11</v>
      </c>
      <c r="O463" s="300">
        <v>28</v>
      </c>
      <c r="P463" s="301">
        <v>42090</v>
      </c>
      <c r="Q463" s="302"/>
      <c r="R463" s="303"/>
      <c r="S463" s="289">
        <v>5.05</v>
      </c>
      <c r="T463" s="303">
        <v>42208</v>
      </c>
      <c r="U463" s="302"/>
      <c r="V463" s="303"/>
      <c r="W463" s="302"/>
      <c r="X463" s="303"/>
      <c r="Y463" s="302">
        <v>19.78</v>
      </c>
      <c r="Z463" s="303">
        <v>42208</v>
      </c>
      <c r="AA463">
        <v>14.4</v>
      </c>
      <c r="AB463" s="303"/>
      <c r="AC463" s="302"/>
      <c r="AD463" s="303"/>
      <c r="AE463" s="302"/>
      <c r="AF463" s="303"/>
      <c r="AG463">
        <v>63345.043572984745</v>
      </c>
      <c r="AH463" s="521">
        <f>(AK463*10000)/AM463</f>
        <v>63345.043572984745</v>
      </c>
      <c r="AI463" s="302"/>
      <c r="AJ463" s="303"/>
      <c r="AK463">
        <v>32.305972222222216</v>
      </c>
      <c r="AL463" s="521"/>
      <c r="AM463">
        <v>5.0999999999999996</v>
      </c>
      <c r="AN463" s="303">
        <v>42244</v>
      </c>
      <c r="AO463">
        <v>115</v>
      </c>
      <c r="AP463" s="303">
        <v>42170</v>
      </c>
      <c r="AQ463" s="302"/>
      <c r="AR463" s="303"/>
      <c r="AS463" s="302"/>
      <c r="AT463" s="303"/>
      <c r="AU463">
        <v>108</v>
      </c>
      <c r="AV463" s="303"/>
      <c r="AW463" s="302"/>
      <c r="AX463" s="302"/>
      <c r="AY463" s="302"/>
      <c r="AZ463" s="303"/>
      <c r="BA463" s="302"/>
      <c r="BB463" s="302"/>
      <c r="BC463" s="302"/>
      <c r="BD463" s="302"/>
      <c r="BE463" s="302"/>
      <c r="BF463" s="302"/>
      <c r="BG463" s="302"/>
      <c r="BH463" s="302"/>
      <c r="BI463" s="302"/>
      <c r="BJ463" s="302"/>
      <c r="BM463">
        <v>-5.6</v>
      </c>
      <c r="BS463">
        <v>64.2</v>
      </c>
      <c r="BY463">
        <v>54.6</v>
      </c>
      <c r="CA463">
        <v>13.8</v>
      </c>
      <c r="CC463">
        <v>14.2</v>
      </c>
      <c r="CI463">
        <v>6</v>
      </c>
      <c r="CO463" t="s">
        <v>8698</v>
      </c>
      <c r="CR463">
        <v>2</v>
      </c>
      <c r="CT463" s="304" t="s">
        <v>11678</v>
      </c>
    </row>
    <row r="464" spans="1:98" s="304" customFormat="1">
      <c r="A464" s="304" t="s">
        <v>8506</v>
      </c>
      <c r="B464" s="463">
        <v>20</v>
      </c>
      <c r="C464" s="296" t="s">
        <v>7630</v>
      </c>
      <c r="D464" s="296" t="s">
        <v>7467</v>
      </c>
      <c r="E464" s="296" t="s">
        <v>7630</v>
      </c>
      <c r="F464" s="296"/>
      <c r="G464" s="296" t="s">
        <v>8506</v>
      </c>
      <c r="H464" s="297" t="s">
        <v>8696</v>
      </c>
      <c r="I464" s="297">
        <v>3</v>
      </c>
      <c r="J464" s="297">
        <v>367</v>
      </c>
      <c r="K464" s="299"/>
      <c r="L464" s="299"/>
      <c r="M464" s="299">
        <v>78</v>
      </c>
      <c r="N464" s="299">
        <v>2</v>
      </c>
      <c r="O464" s="300">
        <v>28</v>
      </c>
      <c r="P464" s="301">
        <v>42090</v>
      </c>
      <c r="Q464" s="302"/>
      <c r="R464" s="303"/>
      <c r="S464" s="289">
        <v>5.05</v>
      </c>
      <c r="T464" s="303">
        <v>42208</v>
      </c>
      <c r="U464" s="302"/>
      <c r="V464" s="303"/>
      <c r="W464" s="302"/>
      <c r="X464" s="303"/>
      <c r="Y464" s="302">
        <v>16.989999999999998</v>
      </c>
      <c r="Z464" s="303">
        <v>42208</v>
      </c>
      <c r="AA464">
        <v>14.4</v>
      </c>
      <c r="AB464" s="303"/>
      <c r="AC464" s="302"/>
      <c r="AD464" s="303"/>
      <c r="AE464" s="302"/>
      <c r="AF464" s="303"/>
      <c r="AG464">
        <v>65790.277777777766</v>
      </c>
      <c r="AH464" s="521">
        <f>(AK464*10000)/AM464</f>
        <v>65790.277777777766</v>
      </c>
      <c r="AI464" s="302"/>
      <c r="AJ464" s="303"/>
      <c r="AK464">
        <v>32.237236111111109</v>
      </c>
      <c r="AL464" s="521"/>
      <c r="AM464">
        <v>4.9000000000000004</v>
      </c>
      <c r="AN464" s="303">
        <v>42244</v>
      </c>
      <c r="AO464">
        <v>120</v>
      </c>
      <c r="AP464" s="303">
        <v>42170</v>
      </c>
      <c r="AQ464" s="302"/>
      <c r="AR464" s="303"/>
      <c r="AS464" s="302"/>
      <c r="AT464" s="303"/>
      <c r="AU464">
        <v>109</v>
      </c>
      <c r="AV464" s="303"/>
      <c r="AW464" s="302"/>
      <c r="AX464" s="302"/>
      <c r="AY464" s="302"/>
      <c r="AZ464" s="303"/>
      <c r="BA464" s="302"/>
      <c r="BB464" s="302"/>
      <c r="BC464" s="302"/>
      <c r="BD464" s="302"/>
      <c r="BE464" s="302"/>
      <c r="BF464" s="302"/>
      <c r="BG464" s="302"/>
      <c r="BH464" s="302"/>
      <c r="BI464" s="302"/>
      <c r="BJ464" s="302"/>
      <c r="BM464">
        <v>20.6</v>
      </c>
      <c r="BS464">
        <v>35.200000000000003</v>
      </c>
      <c r="BY464">
        <v>47</v>
      </c>
      <c r="CA464">
        <v>21.2</v>
      </c>
      <c r="CC464">
        <v>61.5</v>
      </c>
      <c r="CI464">
        <v>6.2</v>
      </c>
      <c r="CO464" t="s">
        <v>8699</v>
      </c>
      <c r="CR464">
        <v>1</v>
      </c>
      <c r="CT464" s="304" t="s">
        <v>11678</v>
      </c>
    </row>
    <row r="465" spans="1:98" s="304" customFormat="1">
      <c r="A465" s="304" t="s">
        <v>8506</v>
      </c>
      <c r="B465" s="463">
        <v>26</v>
      </c>
      <c r="C465" s="296" t="s">
        <v>7638</v>
      </c>
      <c r="D465" s="296" t="s">
        <v>7474</v>
      </c>
      <c r="E465" s="296" t="s">
        <v>7638</v>
      </c>
      <c r="F465" s="296"/>
      <c r="G465" s="296" t="s">
        <v>8506</v>
      </c>
      <c r="H465" s="297" t="s">
        <v>8696</v>
      </c>
      <c r="I465" s="297">
        <v>3</v>
      </c>
      <c r="J465" s="297">
        <v>3307</v>
      </c>
      <c r="K465" s="299"/>
      <c r="L465" s="299"/>
      <c r="M465" s="299">
        <v>78</v>
      </c>
      <c r="N465" s="299">
        <v>6</v>
      </c>
      <c r="O465" s="300">
        <v>24</v>
      </c>
      <c r="P465" s="301">
        <v>42090</v>
      </c>
      <c r="Q465" s="302"/>
      <c r="R465" s="303"/>
      <c r="S465" s="289">
        <v>4.5</v>
      </c>
      <c r="T465" s="303">
        <v>42208</v>
      </c>
      <c r="U465" s="302"/>
      <c r="V465" s="303"/>
      <c r="W465" s="302"/>
      <c r="X465" s="303"/>
      <c r="Y465" s="302">
        <v>14.53</v>
      </c>
      <c r="Z465" s="303">
        <v>42208</v>
      </c>
      <c r="AA465">
        <v>14.4</v>
      </c>
      <c r="AB465" s="303"/>
      <c r="AC465" s="302"/>
      <c r="AD465" s="303"/>
      <c r="AE465" s="302"/>
      <c r="AF465" s="303"/>
      <c r="AG465">
        <v>46431.451612903227</v>
      </c>
      <c r="AH465" s="521">
        <f>(AK465*10000)/AM465</f>
        <v>46431.451612903227</v>
      </c>
      <c r="AI465" s="302"/>
      <c r="AJ465" s="303"/>
      <c r="AK465">
        <v>28.787499999999998</v>
      </c>
      <c r="AL465" s="521"/>
      <c r="AM465">
        <v>6.2</v>
      </c>
      <c r="AN465" s="303">
        <v>42244</v>
      </c>
      <c r="AO465">
        <v>175</v>
      </c>
      <c r="AP465" s="303">
        <v>42170</v>
      </c>
      <c r="AQ465" s="302"/>
      <c r="AR465" s="303"/>
      <c r="AS465" s="302"/>
      <c r="AT465" s="303"/>
      <c r="AU465">
        <v>109</v>
      </c>
      <c r="AV465" s="303"/>
      <c r="AW465" s="302"/>
      <c r="AX465" s="302"/>
      <c r="AY465" s="302"/>
      <c r="AZ465" s="303"/>
      <c r="BA465" s="302"/>
      <c r="BB465" s="302"/>
      <c r="BC465" s="302"/>
      <c r="BD465" s="302"/>
      <c r="BE465" s="302"/>
      <c r="BF465" s="302"/>
      <c r="BG465" s="302"/>
      <c r="BH465" s="302"/>
      <c r="BI465" s="302"/>
      <c r="BJ465" s="302"/>
      <c r="BM465">
        <v>4.5999999999999996</v>
      </c>
      <c r="BS465">
        <v>46.4</v>
      </c>
      <c r="BY465">
        <v>45</v>
      </c>
      <c r="CA465">
        <v>24</v>
      </c>
      <c r="CC465">
        <v>72</v>
      </c>
      <c r="CI465">
        <v>6</v>
      </c>
      <c r="CO465" t="s">
        <v>8698</v>
      </c>
      <c r="CR465">
        <v>3</v>
      </c>
      <c r="CT465" s="304" t="s">
        <v>11678</v>
      </c>
    </row>
    <row r="466" spans="1:98" s="304" customFormat="1">
      <c r="A466" s="304" t="s">
        <v>8506</v>
      </c>
      <c r="B466" s="463">
        <v>53</v>
      </c>
      <c r="C466" s="296" t="s">
        <v>7671</v>
      </c>
      <c r="D466" s="296" t="s">
        <v>7503</v>
      </c>
      <c r="E466" s="296" t="s">
        <v>7671</v>
      </c>
      <c r="F466" s="296"/>
      <c r="G466" s="296" t="s">
        <v>8506</v>
      </c>
      <c r="H466" s="297" t="s">
        <v>8696</v>
      </c>
      <c r="I466" s="297">
        <v>3</v>
      </c>
      <c r="J466" s="297">
        <v>3187</v>
      </c>
      <c r="K466" s="299"/>
      <c r="L466" s="299"/>
      <c r="M466" s="299">
        <v>78</v>
      </c>
      <c r="N466" s="299">
        <v>4</v>
      </c>
      <c r="O466" s="300">
        <v>24</v>
      </c>
      <c r="P466" s="301">
        <v>42090</v>
      </c>
      <c r="Q466" s="302"/>
      <c r="R466" s="303"/>
      <c r="S466" s="289">
        <v>5.75</v>
      </c>
      <c r="T466" s="303">
        <v>42208</v>
      </c>
      <c r="U466" s="302"/>
      <c r="V466" s="303"/>
      <c r="W466" s="302"/>
      <c r="X466" s="303"/>
      <c r="Y466" s="302">
        <v>21.15</v>
      </c>
      <c r="Z466" s="303">
        <v>42208</v>
      </c>
      <c r="AA466">
        <v>14.4</v>
      </c>
      <c r="AB466" s="303"/>
      <c r="AC466" s="302"/>
      <c r="AD466" s="303"/>
      <c r="AE466" s="302"/>
      <c r="AF466" s="303"/>
      <c r="AG466">
        <v>75309.027777777766</v>
      </c>
      <c r="AH466" s="521">
        <f>(AK466*10000)/AM466</f>
        <v>75309.027777777766</v>
      </c>
      <c r="AI466" s="302"/>
      <c r="AJ466" s="303"/>
      <c r="AK466">
        <v>36.901423611111106</v>
      </c>
      <c r="AL466" s="521"/>
      <c r="AM466">
        <v>4.9000000000000004</v>
      </c>
      <c r="AN466" s="303">
        <v>42244</v>
      </c>
      <c r="AO466">
        <v>140</v>
      </c>
      <c r="AP466" s="303">
        <v>42170</v>
      </c>
      <c r="AQ466" s="302"/>
      <c r="AR466" s="303"/>
      <c r="AS466" s="302"/>
      <c r="AT466" s="303"/>
      <c r="AU466">
        <v>112</v>
      </c>
      <c r="AV466" s="303"/>
      <c r="AW466" s="302"/>
      <c r="AX466" s="302"/>
      <c r="AY466" s="302"/>
      <c r="AZ466" s="303"/>
      <c r="BA466" s="302"/>
      <c r="BB466" s="302"/>
      <c r="BC466" s="302"/>
      <c r="BD466" s="302"/>
      <c r="BE466" s="302"/>
      <c r="BF466" s="302"/>
      <c r="BG466" s="302"/>
      <c r="BH466" s="302"/>
      <c r="BI466" s="302"/>
      <c r="BJ466" s="302"/>
      <c r="BM466">
        <v>0.9</v>
      </c>
      <c r="BS466">
        <v>62.5</v>
      </c>
      <c r="BY466">
        <v>51.1</v>
      </c>
      <c r="CA466">
        <v>17.600000000000001</v>
      </c>
      <c r="CC466">
        <v>13</v>
      </c>
      <c r="CI466">
        <v>5.7</v>
      </c>
      <c r="CO466" t="s">
        <v>8698</v>
      </c>
      <c r="CR466">
        <v>1</v>
      </c>
      <c r="CT466" s="304" t="s">
        <v>11678</v>
      </c>
    </row>
    <row r="467" spans="1:98" s="304" customFormat="1">
      <c r="A467" s="304" t="s">
        <v>8506</v>
      </c>
      <c r="B467" s="463">
        <v>69</v>
      </c>
      <c r="C467" s="296" t="s">
        <v>7687</v>
      </c>
      <c r="D467" s="296" t="s">
        <v>7516</v>
      </c>
      <c r="E467" s="296" t="s">
        <v>7687</v>
      </c>
      <c r="F467" s="296"/>
      <c r="G467" s="296" t="s">
        <v>8506</v>
      </c>
      <c r="H467" s="297" t="s">
        <v>8696</v>
      </c>
      <c r="I467" s="297">
        <v>3</v>
      </c>
      <c r="J467" s="297">
        <v>3247</v>
      </c>
      <c r="K467" s="299"/>
      <c r="L467" s="299"/>
      <c r="M467" s="299">
        <v>78</v>
      </c>
      <c r="N467" s="299">
        <v>5</v>
      </c>
      <c r="O467" s="300">
        <v>60</v>
      </c>
      <c r="P467" s="301">
        <v>42090</v>
      </c>
      <c r="Q467" s="302"/>
      <c r="R467" s="303"/>
      <c r="S467" s="289">
        <v>5.75</v>
      </c>
      <c r="T467" s="303">
        <v>42208</v>
      </c>
      <c r="U467" s="302"/>
      <c r="V467" s="303"/>
      <c r="W467" s="302"/>
      <c r="X467" s="303"/>
      <c r="Y467" s="302">
        <v>21.17</v>
      </c>
      <c r="Z467" s="303">
        <v>42208</v>
      </c>
      <c r="AA467">
        <v>14.4</v>
      </c>
      <c r="AB467" s="303"/>
      <c r="AC467" s="302"/>
      <c r="AD467" s="303"/>
      <c r="AE467" s="302"/>
      <c r="AF467" s="303"/>
      <c r="AG467">
        <v>73176.736111111109</v>
      </c>
      <c r="AH467" s="521">
        <f>(AK467*10000)/AM467</f>
        <v>73176.736111111109</v>
      </c>
      <c r="AI467" s="302"/>
      <c r="AJ467" s="303"/>
      <c r="AK467">
        <v>36.588368055555556</v>
      </c>
      <c r="AL467" s="521"/>
      <c r="AM467">
        <v>5</v>
      </c>
      <c r="AN467" s="303">
        <v>42244</v>
      </c>
      <c r="AO467">
        <v>110</v>
      </c>
      <c r="AP467" s="303">
        <v>42170</v>
      </c>
      <c r="AQ467" s="302"/>
      <c r="AR467" s="303"/>
      <c r="AS467" s="302"/>
      <c r="AT467" s="303"/>
      <c r="AU467">
        <v>104</v>
      </c>
      <c r="AV467" s="303"/>
      <c r="AW467" s="302"/>
      <c r="AX467" s="302"/>
      <c r="AY467" s="302"/>
      <c r="AZ467" s="303"/>
      <c r="BA467" s="302"/>
      <c r="BB467" s="302"/>
      <c r="BC467" s="302"/>
      <c r="BD467" s="302"/>
      <c r="BE467" s="302"/>
      <c r="BF467" s="302"/>
      <c r="BG467" s="302"/>
      <c r="BH467" s="302"/>
      <c r="BI467" s="302"/>
      <c r="BJ467" s="302"/>
      <c r="BM467">
        <v>-1.7</v>
      </c>
      <c r="BS467">
        <v>60.8</v>
      </c>
      <c r="BY467">
        <v>51.6</v>
      </c>
      <c r="CA467">
        <v>17.899999999999999</v>
      </c>
      <c r="CC467">
        <v>18.2</v>
      </c>
      <c r="CI467">
        <v>6.5</v>
      </c>
      <c r="CO467" t="s">
        <v>8698</v>
      </c>
      <c r="CR467">
        <v>2</v>
      </c>
      <c r="CT467" s="304" t="s">
        <v>11678</v>
      </c>
    </row>
    <row r="468" spans="1:98" s="304" customFormat="1">
      <c r="A468" s="304" t="s">
        <v>8506</v>
      </c>
      <c r="B468" s="463">
        <v>94</v>
      </c>
      <c r="C468" s="296" t="s">
        <v>7712</v>
      </c>
      <c r="D468" s="296" t="s">
        <v>259</v>
      </c>
      <c r="E468" s="296" t="s">
        <v>7712</v>
      </c>
      <c r="F468" s="296"/>
      <c r="G468" s="296" t="s">
        <v>8506</v>
      </c>
      <c r="H468" s="297" t="s">
        <v>8697</v>
      </c>
      <c r="I468" s="297">
        <v>4</v>
      </c>
      <c r="J468" s="297">
        <v>4187</v>
      </c>
      <c r="K468" s="299"/>
      <c r="L468" s="299"/>
      <c r="M468" s="299">
        <v>78</v>
      </c>
      <c r="N468" s="299">
        <v>10</v>
      </c>
      <c r="O468" s="300">
        <v>74</v>
      </c>
      <c r="P468" s="301">
        <v>42090</v>
      </c>
      <c r="Q468" s="302"/>
      <c r="R468" s="303"/>
      <c r="S468" s="289">
        <v>5.05</v>
      </c>
      <c r="T468" s="303">
        <v>42208</v>
      </c>
      <c r="U468" s="302"/>
      <c r="V468" s="303"/>
      <c r="W468" s="302"/>
      <c r="X468" s="303"/>
      <c r="Y468" s="302">
        <v>19.98</v>
      </c>
      <c r="Z468" s="303">
        <v>42208</v>
      </c>
      <c r="AA468">
        <v>14.4</v>
      </c>
      <c r="AB468" s="303"/>
      <c r="AC468" s="302"/>
      <c r="AD468" s="303"/>
      <c r="AE468" s="302"/>
      <c r="AF468" s="303"/>
      <c r="AG468">
        <v>75210.093669250637</v>
      </c>
      <c r="AH468" s="521">
        <f>(AK468*10000)/AM468</f>
        <v>75210.093669250637</v>
      </c>
      <c r="AI468" s="302"/>
      <c r="AJ468" s="303"/>
      <c r="AK468">
        <v>32.340340277777777</v>
      </c>
      <c r="AL468" s="521"/>
      <c r="AM468">
        <v>4.3</v>
      </c>
      <c r="AN468" s="303">
        <v>42244</v>
      </c>
      <c r="AO468">
        <v>125</v>
      </c>
      <c r="AP468" s="303">
        <v>42170</v>
      </c>
      <c r="AQ468" s="302"/>
      <c r="AR468" s="303"/>
      <c r="AS468" s="302"/>
      <c r="AT468" s="303"/>
      <c r="AU468">
        <v>103</v>
      </c>
      <c r="AV468" s="303"/>
      <c r="AW468" s="302"/>
      <c r="AX468" s="302"/>
      <c r="AY468" s="302"/>
      <c r="AZ468" s="303"/>
      <c r="BA468" s="302"/>
      <c r="BB468" s="302"/>
      <c r="BC468" s="302"/>
      <c r="BD468" s="302"/>
      <c r="BE468" s="302"/>
      <c r="BF468" s="302"/>
      <c r="BG468" s="302"/>
      <c r="BH468" s="302"/>
      <c r="BI468" s="302"/>
      <c r="BJ468" s="302"/>
      <c r="BM468">
        <v>-6.7</v>
      </c>
      <c r="BS468">
        <v>63</v>
      </c>
      <c r="BY468">
        <v>55.1</v>
      </c>
      <c r="CA468">
        <v>13.8</v>
      </c>
      <c r="CC468">
        <v>12.6</v>
      </c>
      <c r="CI468">
        <v>5.9</v>
      </c>
      <c r="CO468" t="s">
        <v>8698</v>
      </c>
      <c r="CR468">
        <v>1</v>
      </c>
      <c r="CT468" s="304" t="s">
        <v>11678</v>
      </c>
    </row>
    <row r="469" spans="1:98" s="304" customFormat="1">
      <c r="A469" s="304" t="s">
        <v>8506</v>
      </c>
      <c r="B469" s="463">
        <v>114</v>
      </c>
      <c r="C469" s="296" t="s">
        <v>7733</v>
      </c>
      <c r="D469" s="296" t="s">
        <v>7559</v>
      </c>
      <c r="E469" s="296" t="s">
        <v>7733</v>
      </c>
      <c r="F469" s="296"/>
      <c r="G469" s="296" t="s">
        <v>8506</v>
      </c>
      <c r="H469" s="297" t="s">
        <v>8696</v>
      </c>
      <c r="I469" s="297">
        <v>3</v>
      </c>
      <c r="J469" s="297">
        <v>307</v>
      </c>
      <c r="K469" s="299"/>
      <c r="L469" s="299"/>
      <c r="M469" s="299">
        <v>78</v>
      </c>
      <c r="N469" s="299">
        <v>1</v>
      </c>
      <c r="O469" s="300">
        <v>58</v>
      </c>
      <c r="P469" s="301">
        <v>42090</v>
      </c>
      <c r="Q469" s="302"/>
      <c r="R469" s="303"/>
      <c r="S469" s="289">
        <v>6.2</v>
      </c>
      <c r="T469" s="303">
        <v>42208</v>
      </c>
      <c r="U469" s="302"/>
      <c r="V469" s="303"/>
      <c r="W469" s="302"/>
      <c r="X469" s="303"/>
      <c r="Y469" s="302">
        <v>22.01</v>
      </c>
      <c r="Z469" s="303">
        <v>42208</v>
      </c>
      <c r="AA469">
        <v>14.4</v>
      </c>
      <c r="AB469" s="303"/>
      <c r="AC469" s="302"/>
      <c r="AD469" s="303"/>
      <c r="AE469" s="302"/>
      <c r="AF469" s="303"/>
      <c r="AG469">
        <v>80772.222222222219</v>
      </c>
      <c r="AH469" s="521">
        <f>(AK469*10000)/AM469</f>
        <v>80772.222222222219</v>
      </c>
      <c r="AI469" s="302"/>
      <c r="AJ469" s="303"/>
      <c r="AK469">
        <v>39.578388888888888</v>
      </c>
      <c r="AL469" s="521"/>
      <c r="AM469">
        <v>4.9000000000000004</v>
      </c>
      <c r="AN469" s="303">
        <v>42244</v>
      </c>
      <c r="AO469">
        <v>135</v>
      </c>
      <c r="AP469" s="303">
        <v>42170</v>
      </c>
      <c r="AQ469" s="302"/>
      <c r="AR469" s="303"/>
      <c r="AS469" s="302"/>
      <c r="AT469" s="303"/>
      <c r="AU469">
        <v>109</v>
      </c>
      <c r="AV469" s="303"/>
      <c r="AW469" s="302"/>
      <c r="AX469" s="302"/>
      <c r="AY469" s="302"/>
      <c r="AZ469" s="303"/>
      <c r="BA469" s="302"/>
      <c r="BB469" s="302"/>
      <c r="BC469" s="302"/>
      <c r="BD469" s="302"/>
      <c r="BE469" s="302"/>
      <c r="BF469" s="302"/>
      <c r="BG469" s="302"/>
      <c r="BH469" s="302"/>
      <c r="BI469" s="302"/>
      <c r="BJ469" s="302"/>
      <c r="BM469">
        <v>-1.2</v>
      </c>
      <c r="BS469">
        <v>57.5</v>
      </c>
      <c r="BY469">
        <v>49.6</v>
      </c>
      <c r="CA469">
        <v>18.399999999999999</v>
      </c>
      <c r="CC469">
        <v>20.3</v>
      </c>
      <c r="CI469">
        <v>6.2</v>
      </c>
      <c r="CO469" t="s">
        <v>8699</v>
      </c>
      <c r="CR469">
        <v>3</v>
      </c>
      <c r="CT469" s="304" t="s">
        <v>11678</v>
      </c>
    </row>
    <row r="470" spans="1:98" s="304" customFormat="1">
      <c r="A470" s="304" t="s">
        <v>8506</v>
      </c>
      <c r="B470" s="463">
        <v>166</v>
      </c>
      <c r="C470" s="296" t="s">
        <v>7794</v>
      </c>
      <c r="D470" s="296" t="s">
        <v>7595</v>
      </c>
      <c r="E470" s="296" t="s">
        <v>7794</v>
      </c>
      <c r="F470" s="296"/>
      <c r="G470" s="296" t="s">
        <v>8506</v>
      </c>
      <c r="H470" s="297" t="s">
        <v>8697</v>
      </c>
      <c r="I470" s="297">
        <v>4</v>
      </c>
      <c r="J470" s="297">
        <v>4247</v>
      </c>
      <c r="K470" s="299"/>
      <c r="L470" s="299"/>
      <c r="M470" s="299">
        <v>78</v>
      </c>
      <c r="N470" s="299">
        <v>11</v>
      </c>
      <c r="O470" s="300">
        <v>44</v>
      </c>
      <c r="P470" s="301">
        <v>42090</v>
      </c>
      <c r="Q470" s="302"/>
      <c r="R470" s="303"/>
      <c r="S470" s="289">
        <v>4.95</v>
      </c>
      <c r="T470" s="303">
        <v>42208</v>
      </c>
      <c r="U470" s="302"/>
      <c r="V470" s="303"/>
      <c r="W470" s="302"/>
      <c r="X470" s="303"/>
      <c r="Y470" s="302">
        <v>19.39</v>
      </c>
      <c r="Z470" s="303">
        <v>42208</v>
      </c>
      <c r="AA470">
        <v>14.4</v>
      </c>
      <c r="AB470" s="303"/>
      <c r="AC470" s="302"/>
      <c r="AD470" s="303"/>
      <c r="AE470" s="302"/>
      <c r="AF470" s="303"/>
      <c r="AG470">
        <v>65760.807291666686</v>
      </c>
      <c r="AH470" s="521">
        <f>(AK470*10000)/AM470</f>
        <v>65760.807291666686</v>
      </c>
      <c r="AI470" s="302"/>
      <c r="AJ470" s="303"/>
      <c r="AK470">
        <v>31.565187500000004</v>
      </c>
      <c r="AL470" s="521"/>
      <c r="AM470">
        <v>4.8</v>
      </c>
      <c r="AN470" s="303">
        <v>42244</v>
      </c>
      <c r="AO470">
        <v>115</v>
      </c>
      <c r="AP470" s="303">
        <v>42170</v>
      </c>
      <c r="AQ470" s="302"/>
      <c r="AR470" s="303"/>
      <c r="AS470" s="302"/>
      <c r="AT470" s="303"/>
      <c r="AU470">
        <v>105</v>
      </c>
      <c r="AV470" s="303"/>
      <c r="AW470" s="302"/>
      <c r="AX470" s="302"/>
      <c r="AY470" s="302"/>
      <c r="AZ470" s="303"/>
      <c r="BA470" s="302"/>
      <c r="BB470" s="302"/>
      <c r="BC470" s="302"/>
      <c r="BD470" s="302"/>
      <c r="BE470" s="302"/>
      <c r="BF470" s="302"/>
      <c r="BG470" s="302"/>
      <c r="BH470" s="302"/>
      <c r="BI470" s="302"/>
      <c r="BJ470" s="302"/>
      <c r="BM470">
        <v>-8.1999999999999993</v>
      </c>
      <c r="BS470">
        <v>69.5</v>
      </c>
      <c r="BY470">
        <v>54.8</v>
      </c>
      <c r="CA470">
        <v>13.2</v>
      </c>
      <c r="CC470">
        <v>10.9</v>
      </c>
      <c r="CI470">
        <v>6.3</v>
      </c>
      <c r="CO470" t="s">
        <v>8698</v>
      </c>
      <c r="CR470">
        <v>2</v>
      </c>
      <c r="CT470" s="304" t="s">
        <v>11678</v>
      </c>
    </row>
    <row r="471" spans="1:98" s="304" customFormat="1">
      <c r="A471" s="304" t="s">
        <v>8506</v>
      </c>
      <c r="B471" s="463">
        <v>2</v>
      </c>
      <c r="C471" s="296" t="s">
        <v>7608</v>
      </c>
      <c r="D471" s="296" t="s">
        <v>7810</v>
      </c>
      <c r="E471" s="296" t="s">
        <v>7608</v>
      </c>
      <c r="F471" s="296"/>
      <c r="G471" s="296" t="s">
        <v>8506</v>
      </c>
      <c r="H471" s="297" t="s">
        <v>8697</v>
      </c>
      <c r="I471" s="297">
        <v>4</v>
      </c>
      <c r="J471" s="297">
        <v>408</v>
      </c>
      <c r="K471" s="299"/>
      <c r="L471" s="299"/>
      <c r="M471" s="299">
        <v>79</v>
      </c>
      <c r="N471" s="299">
        <v>7</v>
      </c>
      <c r="O471" s="300">
        <v>42</v>
      </c>
      <c r="P471" s="301">
        <v>42090</v>
      </c>
      <c r="Q471" s="302"/>
      <c r="R471" s="303"/>
      <c r="S471" s="289">
        <v>2.65</v>
      </c>
      <c r="T471" s="303">
        <v>42208</v>
      </c>
      <c r="U471" s="302"/>
      <c r="V471" s="303"/>
      <c r="W471" s="302"/>
      <c r="X471" s="303"/>
      <c r="Y471" s="302">
        <v>9.65</v>
      </c>
      <c r="Z471" s="303">
        <v>42208</v>
      </c>
      <c r="AA471">
        <v>14.4</v>
      </c>
      <c r="AB471" s="303"/>
      <c r="AC471" s="302"/>
      <c r="AD471" s="303"/>
      <c r="AE471" s="302"/>
      <c r="AF471" s="303"/>
      <c r="AG471">
        <v>32635.910790598286</v>
      </c>
      <c r="AH471" s="521">
        <f>(AK471*10000)/AM471</f>
        <v>32635.910790598286</v>
      </c>
      <c r="AI471" s="302"/>
      <c r="AJ471" s="303"/>
      <c r="AK471">
        <v>16.97067361111111</v>
      </c>
      <c r="AL471" s="521"/>
      <c r="AM471">
        <v>5.2</v>
      </c>
      <c r="AN471" s="303">
        <v>42244</v>
      </c>
      <c r="AO471">
        <v>135</v>
      </c>
      <c r="AP471" s="303">
        <v>42170</v>
      </c>
      <c r="AQ471" s="302"/>
      <c r="AR471" s="303"/>
      <c r="AS471" s="302"/>
      <c r="AT471" s="303"/>
      <c r="AU471">
        <v>111</v>
      </c>
      <c r="AV471" s="303"/>
      <c r="AW471" s="302"/>
      <c r="AX471" s="302"/>
      <c r="AY471" s="302"/>
      <c r="AZ471" s="303"/>
      <c r="BA471" s="302"/>
      <c r="BB471" s="302"/>
      <c r="BC471" s="302"/>
      <c r="BD471" s="302"/>
      <c r="BE471" s="302"/>
      <c r="BF471" s="302"/>
      <c r="BG471" s="302"/>
      <c r="BH471" s="302"/>
      <c r="BI471" s="302"/>
      <c r="BJ471" s="302"/>
      <c r="BM471">
        <v>43.5</v>
      </c>
      <c r="BS471">
        <v>13.3</v>
      </c>
      <c r="BY471">
        <v>50.7</v>
      </c>
      <c r="CA471">
        <v>18.399999999999999</v>
      </c>
      <c r="CC471">
        <v>63</v>
      </c>
      <c r="CI471">
        <v>5.9</v>
      </c>
      <c r="CO471" t="s">
        <v>8698</v>
      </c>
      <c r="CR471">
        <v>4</v>
      </c>
      <c r="CT471" s="304" t="s">
        <v>11678</v>
      </c>
    </row>
    <row r="472" spans="1:98" s="304" customFormat="1">
      <c r="A472" s="304" t="s">
        <v>8506</v>
      </c>
      <c r="B472" s="463">
        <v>49</v>
      </c>
      <c r="C472" s="296" t="s">
        <v>7666</v>
      </c>
      <c r="D472" s="296" t="s">
        <v>7498</v>
      </c>
      <c r="E472" s="296" t="s">
        <v>7666</v>
      </c>
      <c r="F472" s="296"/>
      <c r="G472" s="296" t="s">
        <v>8506</v>
      </c>
      <c r="H472" s="297" t="s">
        <v>8697</v>
      </c>
      <c r="I472" s="297">
        <v>4</v>
      </c>
      <c r="J472" s="297">
        <v>468</v>
      </c>
      <c r="K472" s="299"/>
      <c r="L472" s="299"/>
      <c r="M472" s="299">
        <v>79</v>
      </c>
      <c r="N472" s="299">
        <v>8</v>
      </c>
      <c r="O472" s="300">
        <v>60</v>
      </c>
      <c r="P472" s="301">
        <v>42090</v>
      </c>
      <c r="Q472" s="302"/>
      <c r="R472" s="303"/>
      <c r="S472" s="289">
        <v>4.75</v>
      </c>
      <c r="T472" s="303">
        <v>42208</v>
      </c>
      <c r="U472" s="302"/>
      <c r="V472" s="303"/>
      <c r="W472" s="302"/>
      <c r="X472" s="303"/>
      <c r="Y472" s="302">
        <v>17.82</v>
      </c>
      <c r="Z472" s="303">
        <v>42208</v>
      </c>
      <c r="AA472">
        <v>14.4</v>
      </c>
      <c r="AB472" s="303"/>
      <c r="AC472" s="302"/>
      <c r="AD472" s="303"/>
      <c r="AE472" s="302"/>
      <c r="AF472" s="303"/>
      <c r="AG472">
        <v>55248.737373737364</v>
      </c>
      <c r="AH472" s="521">
        <f>(AK472*10000)/AM472</f>
        <v>55248.737373737364</v>
      </c>
      <c r="AI472" s="302"/>
      <c r="AJ472" s="303"/>
      <c r="AK472">
        <v>30.386805555555551</v>
      </c>
      <c r="AL472" s="521"/>
      <c r="AM472">
        <v>5.5</v>
      </c>
      <c r="AN472" s="303">
        <v>42244</v>
      </c>
      <c r="AO472">
        <v>145</v>
      </c>
      <c r="AP472" s="303">
        <v>42170</v>
      </c>
      <c r="AQ472" s="302"/>
      <c r="AR472" s="303"/>
      <c r="AS472" s="302"/>
      <c r="AT472" s="303"/>
      <c r="AU472">
        <v>108</v>
      </c>
      <c r="AV472" s="303"/>
      <c r="AW472" s="302"/>
      <c r="AX472" s="302"/>
      <c r="AY472" s="302"/>
      <c r="AZ472" s="303"/>
      <c r="BA472" s="302"/>
      <c r="BB472" s="302"/>
      <c r="BC472" s="302"/>
      <c r="BD472" s="302"/>
      <c r="BE472" s="302"/>
      <c r="BF472" s="302"/>
      <c r="BG472" s="302"/>
      <c r="BH472" s="302"/>
      <c r="BI472" s="302"/>
      <c r="BJ472" s="302"/>
      <c r="BM472">
        <v>2.5</v>
      </c>
      <c r="BS472">
        <v>57.1</v>
      </c>
      <c r="BY472">
        <v>52.3</v>
      </c>
      <c r="CA472">
        <v>17</v>
      </c>
      <c r="CC472">
        <v>18.2</v>
      </c>
      <c r="CI472">
        <v>6</v>
      </c>
      <c r="CO472" t="s">
        <v>8698</v>
      </c>
      <c r="CR472">
        <v>3</v>
      </c>
      <c r="CT472" s="304" t="s">
        <v>11678</v>
      </c>
    </row>
    <row r="473" spans="1:98" s="304" customFormat="1">
      <c r="A473" s="304" t="s">
        <v>8506</v>
      </c>
      <c r="B473" s="463">
        <v>81</v>
      </c>
      <c r="C473" s="296" t="s">
        <v>7699</v>
      </c>
      <c r="D473" s="296" t="s">
        <v>7528</v>
      </c>
      <c r="E473" s="296" t="s">
        <v>7699</v>
      </c>
      <c r="F473" s="296"/>
      <c r="G473" s="296" t="s">
        <v>8506</v>
      </c>
      <c r="H473" s="297" t="s">
        <v>8697</v>
      </c>
      <c r="I473" s="297">
        <v>4</v>
      </c>
      <c r="J473" s="297">
        <v>4188</v>
      </c>
      <c r="K473" s="299"/>
      <c r="L473" s="299"/>
      <c r="M473" s="299">
        <v>79</v>
      </c>
      <c r="N473" s="299">
        <v>10</v>
      </c>
      <c r="O473" s="300">
        <v>50</v>
      </c>
      <c r="P473" s="301">
        <v>42090</v>
      </c>
      <c r="Q473" s="302"/>
      <c r="R473" s="303"/>
      <c r="S473" s="289">
        <v>5.55</v>
      </c>
      <c r="T473" s="303">
        <v>42208</v>
      </c>
      <c r="U473" s="302"/>
      <c r="V473" s="303"/>
      <c r="W473" s="302"/>
      <c r="X473" s="303"/>
      <c r="Y473" s="302">
        <v>21.59</v>
      </c>
      <c r="Z473" s="303">
        <v>42208</v>
      </c>
      <c r="AA473">
        <v>14.4</v>
      </c>
      <c r="AB473" s="303"/>
      <c r="AC473" s="302"/>
      <c r="AD473" s="303"/>
      <c r="AE473" s="302"/>
      <c r="AF473" s="303"/>
      <c r="AG473">
        <v>82305.281007751939</v>
      </c>
      <c r="AH473" s="521">
        <f>(AK473*10000)/AM473</f>
        <v>82305.281007751939</v>
      </c>
      <c r="AI473" s="302"/>
      <c r="AJ473" s="303"/>
      <c r="AK473">
        <v>35.39127083333333</v>
      </c>
      <c r="AL473" s="521"/>
      <c r="AM473">
        <v>4.3</v>
      </c>
      <c r="AN473" s="303">
        <v>42244</v>
      </c>
      <c r="AO473">
        <v>130</v>
      </c>
      <c r="AP473" s="303">
        <v>42170</v>
      </c>
      <c r="AQ473" s="302"/>
      <c r="AR473" s="303"/>
      <c r="AS473" s="302"/>
      <c r="AT473" s="303"/>
      <c r="AU473">
        <v>105</v>
      </c>
      <c r="AV473" s="303"/>
      <c r="AW473" s="302"/>
      <c r="AX473" s="302"/>
      <c r="AY473" s="302"/>
      <c r="AZ473" s="303"/>
      <c r="BA473" s="302"/>
      <c r="BB473" s="302"/>
      <c r="BC473" s="302"/>
      <c r="BD473" s="302"/>
      <c r="BE473" s="302"/>
      <c r="BF473" s="302"/>
      <c r="BG473" s="302"/>
      <c r="BH473" s="302"/>
      <c r="BI473" s="302"/>
      <c r="BJ473" s="302"/>
      <c r="BM473">
        <v>-5.2</v>
      </c>
      <c r="BS473">
        <v>63.5</v>
      </c>
      <c r="BY473">
        <v>54.4</v>
      </c>
      <c r="CA473">
        <v>15.5</v>
      </c>
      <c r="CC473">
        <v>12.8</v>
      </c>
      <c r="CI473">
        <v>6.3</v>
      </c>
      <c r="CO473" t="s">
        <v>8698</v>
      </c>
      <c r="CR473">
        <v>1</v>
      </c>
      <c r="CT473" s="304" t="s">
        <v>11678</v>
      </c>
    </row>
    <row r="474" spans="1:98" s="304" customFormat="1">
      <c r="A474" s="304" t="s">
        <v>8506</v>
      </c>
      <c r="B474" s="463">
        <v>93</v>
      </c>
      <c r="C474" s="296" t="s">
        <v>7711</v>
      </c>
      <c r="D474" s="296" t="s">
        <v>7539</v>
      </c>
      <c r="E474" s="296" t="s">
        <v>7711</v>
      </c>
      <c r="F474" s="296"/>
      <c r="G474" s="296" t="s">
        <v>8506</v>
      </c>
      <c r="H474" s="297" t="s">
        <v>8696</v>
      </c>
      <c r="I474" s="297">
        <v>3</v>
      </c>
      <c r="J474" s="297">
        <v>308</v>
      </c>
      <c r="K474" s="299"/>
      <c r="L474" s="299"/>
      <c r="M474" s="299">
        <v>79</v>
      </c>
      <c r="N474" s="299">
        <v>1</v>
      </c>
      <c r="O474" s="300">
        <v>64</v>
      </c>
      <c r="P474" s="301">
        <v>42090</v>
      </c>
      <c r="Q474" s="302"/>
      <c r="R474" s="303"/>
      <c r="S474" s="289">
        <v>5.5</v>
      </c>
      <c r="T474" s="303">
        <v>42208</v>
      </c>
      <c r="U474" s="302"/>
      <c r="V474" s="303"/>
      <c r="W474" s="302"/>
      <c r="X474" s="303"/>
      <c r="Y474" s="302">
        <v>19.77</v>
      </c>
      <c r="Z474" s="303">
        <v>42208</v>
      </c>
      <c r="AA474">
        <v>14.4</v>
      </c>
      <c r="AB474" s="303"/>
      <c r="AC474" s="302"/>
      <c r="AD474" s="303"/>
      <c r="AE474" s="302"/>
      <c r="AF474" s="303"/>
      <c r="AG474">
        <v>78354.62962962962</v>
      </c>
      <c r="AH474" s="521">
        <f>(AK474*10000)/AM474</f>
        <v>78354.62962962962</v>
      </c>
      <c r="AI474" s="302"/>
      <c r="AJ474" s="303"/>
      <c r="AK474">
        <v>35.259583333333332</v>
      </c>
      <c r="AL474" s="521"/>
      <c r="AM474">
        <v>4.5</v>
      </c>
      <c r="AN474" s="303">
        <v>42244</v>
      </c>
      <c r="AO474">
        <v>150</v>
      </c>
      <c r="AP474" s="303">
        <v>42170</v>
      </c>
      <c r="AQ474" s="302"/>
      <c r="AR474" s="303"/>
      <c r="AS474" s="302"/>
      <c r="AT474" s="303"/>
      <c r="AU474">
        <v>112</v>
      </c>
      <c r="AV474" s="303"/>
      <c r="AW474" s="302"/>
      <c r="AX474" s="302"/>
      <c r="AY474" s="302"/>
      <c r="AZ474" s="303"/>
      <c r="BA474" s="302"/>
      <c r="BB474" s="302"/>
      <c r="BC474" s="302"/>
      <c r="BD474" s="302"/>
      <c r="BE474" s="302"/>
      <c r="BF474" s="302"/>
      <c r="BG474" s="302"/>
      <c r="BH474" s="302"/>
      <c r="BI474" s="302"/>
      <c r="BJ474" s="302"/>
      <c r="BM474">
        <v>-4.8</v>
      </c>
      <c r="BS474">
        <v>65.400000000000006</v>
      </c>
      <c r="BY474">
        <v>50</v>
      </c>
      <c r="CA474">
        <v>17.7</v>
      </c>
      <c r="CC474">
        <v>22</v>
      </c>
      <c r="CI474">
        <v>5.8</v>
      </c>
      <c r="CO474" t="s">
        <v>8709</v>
      </c>
      <c r="CR474">
        <v>1</v>
      </c>
      <c r="CT474" s="304" t="s">
        <v>11678</v>
      </c>
    </row>
    <row r="475" spans="1:98" s="304" customFormat="1">
      <c r="A475" s="304" t="s">
        <v>8506</v>
      </c>
      <c r="B475" s="463">
        <v>113</v>
      </c>
      <c r="C475" s="296" t="s">
        <v>7732</v>
      </c>
      <c r="D475" s="296" t="s">
        <v>7558</v>
      </c>
      <c r="E475" s="296" t="s">
        <v>7732</v>
      </c>
      <c r="F475" s="296"/>
      <c r="G475" s="296" t="s">
        <v>8506</v>
      </c>
      <c r="H475" s="297" t="s">
        <v>8696</v>
      </c>
      <c r="I475" s="297">
        <v>3</v>
      </c>
      <c r="J475" s="297">
        <v>3308</v>
      </c>
      <c r="K475" s="299"/>
      <c r="L475" s="299"/>
      <c r="M475" s="299">
        <v>79</v>
      </c>
      <c r="N475" s="299">
        <v>6</v>
      </c>
      <c r="O475" s="300">
        <v>53</v>
      </c>
      <c r="P475" s="301">
        <v>42090</v>
      </c>
      <c r="Q475" s="302"/>
      <c r="R475" s="303"/>
      <c r="S475" s="289">
        <v>6.65</v>
      </c>
      <c r="T475" s="303">
        <v>42208</v>
      </c>
      <c r="U475" s="302"/>
      <c r="V475" s="303"/>
      <c r="W475" s="302"/>
      <c r="X475" s="303"/>
      <c r="Y475" s="302">
        <v>23.68</v>
      </c>
      <c r="Z475" s="303">
        <v>42208</v>
      </c>
      <c r="AA475">
        <v>14.4</v>
      </c>
      <c r="AB475" s="303"/>
      <c r="AC475" s="302"/>
      <c r="AD475" s="303"/>
      <c r="AE475" s="302"/>
      <c r="AF475" s="303"/>
      <c r="AG475">
        <v>83326.021241830094</v>
      </c>
      <c r="AH475" s="521">
        <f>(AK475*10000)/AM475</f>
        <v>83326.021241830094</v>
      </c>
      <c r="AI475" s="302"/>
      <c r="AJ475" s="303"/>
      <c r="AK475">
        <v>42.496270833333341</v>
      </c>
      <c r="AL475" s="521"/>
      <c r="AM475">
        <v>5.0999999999999996</v>
      </c>
      <c r="AN475" s="303">
        <v>42244</v>
      </c>
      <c r="AO475">
        <v>155</v>
      </c>
      <c r="AP475" s="303">
        <v>42170</v>
      </c>
      <c r="AQ475" s="302"/>
      <c r="AR475" s="303"/>
      <c r="AS475" s="302"/>
      <c r="AT475" s="303"/>
      <c r="AU475">
        <v>108</v>
      </c>
      <c r="AV475" s="303"/>
      <c r="AW475" s="302"/>
      <c r="AX475" s="302"/>
      <c r="AY475" s="302"/>
      <c r="AZ475" s="303"/>
      <c r="BA475" s="302"/>
      <c r="BB475" s="302"/>
      <c r="BC475" s="302"/>
      <c r="BD475" s="302"/>
      <c r="BE475" s="302"/>
      <c r="BF475" s="302"/>
      <c r="BG475" s="302"/>
      <c r="BH475" s="302"/>
      <c r="BI475" s="302"/>
      <c r="BJ475" s="302"/>
      <c r="BM475">
        <v>0.4</v>
      </c>
      <c r="BS475">
        <v>54.7</v>
      </c>
      <c r="BY475">
        <v>49.7</v>
      </c>
      <c r="CA475">
        <v>19.2</v>
      </c>
      <c r="CC475">
        <v>18.899999999999999</v>
      </c>
      <c r="CI475">
        <v>6.1</v>
      </c>
      <c r="CO475" t="s">
        <v>8698</v>
      </c>
      <c r="CR475">
        <v>2</v>
      </c>
      <c r="CT475" s="304" t="s">
        <v>11678</v>
      </c>
    </row>
    <row r="476" spans="1:98" s="304" customFormat="1">
      <c r="A476" s="304" t="s">
        <v>8506</v>
      </c>
      <c r="B476" s="463">
        <v>129</v>
      </c>
      <c r="C476" s="296" t="s">
        <v>7757</v>
      </c>
      <c r="D476" s="296" t="s">
        <v>8687</v>
      </c>
      <c r="E476" s="296" t="s">
        <v>7757</v>
      </c>
      <c r="F476" s="296"/>
      <c r="G476" s="296" t="s">
        <v>8506</v>
      </c>
      <c r="H476" s="297" t="s">
        <v>8697</v>
      </c>
      <c r="I476" s="297">
        <v>4</v>
      </c>
      <c r="J476" s="297">
        <v>4248</v>
      </c>
      <c r="K476" s="299"/>
      <c r="L476" s="299"/>
      <c r="M476" s="299">
        <v>79</v>
      </c>
      <c r="N476" s="299">
        <v>11</v>
      </c>
      <c r="O476" s="300">
        <v>52</v>
      </c>
      <c r="P476" s="301">
        <v>42090</v>
      </c>
      <c r="Q476" s="302"/>
      <c r="R476" s="303"/>
      <c r="S476" s="289">
        <v>5.7</v>
      </c>
      <c r="T476" s="303">
        <v>42208</v>
      </c>
      <c r="U476" s="302"/>
      <c r="V476" s="303"/>
      <c r="W476" s="302"/>
      <c r="X476" s="303"/>
      <c r="Y476" s="302">
        <v>21.41</v>
      </c>
      <c r="Z476" s="303">
        <v>42208</v>
      </c>
      <c r="AA476">
        <v>14.4</v>
      </c>
      <c r="AB476" s="303"/>
      <c r="AC476" s="302"/>
      <c r="AD476" s="303"/>
      <c r="AE476" s="302"/>
      <c r="AF476" s="303"/>
      <c r="AG476">
        <v>70197.996794871782</v>
      </c>
      <c r="AH476" s="521">
        <f>(AK476*10000)/AM476</f>
        <v>70197.996794871782</v>
      </c>
      <c r="AI476" s="302"/>
      <c r="AJ476" s="303"/>
      <c r="AK476">
        <v>36.502958333333332</v>
      </c>
      <c r="AL476" s="521"/>
      <c r="AM476">
        <v>5.2</v>
      </c>
      <c r="AN476" s="303">
        <v>42244</v>
      </c>
      <c r="AO476">
        <v>115</v>
      </c>
      <c r="AP476" s="303">
        <v>42170</v>
      </c>
      <c r="AQ476" s="302"/>
      <c r="AR476" s="303"/>
      <c r="AS476" s="302"/>
      <c r="AT476" s="303"/>
      <c r="AU476">
        <v>110</v>
      </c>
      <c r="AV476" s="303"/>
      <c r="AW476" s="302"/>
      <c r="AX476" s="302"/>
      <c r="AY476" s="302"/>
      <c r="AZ476" s="303"/>
      <c r="BA476" s="302"/>
      <c r="BB476" s="302"/>
      <c r="BC476" s="302"/>
      <c r="BD476" s="302"/>
      <c r="BE476" s="302"/>
      <c r="BF476" s="302"/>
      <c r="BG476" s="302"/>
      <c r="BH476" s="302"/>
      <c r="BI476" s="302"/>
      <c r="BJ476" s="302"/>
      <c r="BM476">
        <v>-1.9</v>
      </c>
      <c r="BS476">
        <v>60.3</v>
      </c>
      <c r="BY476">
        <v>52.3</v>
      </c>
      <c r="CA476">
        <v>15.6</v>
      </c>
      <c r="CC476">
        <v>22.9</v>
      </c>
      <c r="CI476">
        <v>5.9</v>
      </c>
      <c r="CO476" t="s">
        <v>8698</v>
      </c>
      <c r="CR476">
        <v>2</v>
      </c>
      <c r="CT476" s="304" t="s">
        <v>11678</v>
      </c>
    </row>
    <row r="477" spans="1:98" s="304" customFormat="1">
      <c r="A477" s="304" t="s">
        <v>8506</v>
      </c>
      <c r="B477" s="463">
        <v>134</v>
      </c>
      <c r="C477" s="296" t="s">
        <v>7762</v>
      </c>
      <c r="D477" s="296" t="s">
        <v>7837</v>
      </c>
      <c r="E477" s="296" t="s">
        <v>7762</v>
      </c>
      <c r="F477" s="296"/>
      <c r="G477" s="296" t="s">
        <v>8506</v>
      </c>
      <c r="H477" s="297" t="s">
        <v>8697</v>
      </c>
      <c r="I477" s="297">
        <v>4</v>
      </c>
      <c r="J477" s="297">
        <v>4308</v>
      </c>
      <c r="K477" s="299"/>
      <c r="L477" s="299"/>
      <c r="M477" s="299">
        <v>79</v>
      </c>
      <c r="N477" s="299">
        <v>12</v>
      </c>
      <c r="O477" s="300">
        <v>52</v>
      </c>
      <c r="P477" s="301">
        <v>42090</v>
      </c>
      <c r="Q477" s="302"/>
      <c r="R477" s="303"/>
      <c r="S477" s="289">
        <v>5.9</v>
      </c>
      <c r="T477" s="303">
        <v>42208</v>
      </c>
      <c r="U477" s="302"/>
      <c r="V477" s="303"/>
      <c r="W477" s="302"/>
      <c r="X477" s="303"/>
      <c r="Y477" s="302">
        <v>22.38</v>
      </c>
      <c r="Z477" s="303">
        <v>42208</v>
      </c>
      <c r="AA477">
        <v>14.4</v>
      </c>
      <c r="AB477" s="303"/>
      <c r="AC477" s="302"/>
      <c r="AD477" s="303"/>
      <c r="AE477" s="302"/>
      <c r="AF477" s="303"/>
      <c r="AG477">
        <v>70118.647119341549</v>
      </c>
      <c r="AH477" s="521">
        <f>(AK477*10000)/AM477</f>
        <v>70118.647119341549</v>
      </c>
      <c r="AI477" s="302"/>
      <c r="AJ477" s="303"/>
      <c r="AK477">
        <v>37.864069444444439</v>
      </c>
      <c r="AL477" s="521"/>
      <c r="AM477">
        <v>5.4</v>
      </c>
      <c r="AN477" s="303">
        <v>42244</v>
      </c>
      <c r="AO477">
        <v>125</v>
      </c>
      <c r="AP477" s="303">
        <v>42170</v>
      </c>
      <c r="AQ477" s="302"/>
      <c r="AR477" s="303"/>
      <c r="AS477" s="302"/>
      <c r="AT477" s="303"/>
      <c r="AU477">
        <v>107</v>
      </c>
      <c r="AV477" s="303"/>
      <c r="AW477" s="302"/>
      <c r="AX477" s="302"/>
      <c r="AY477" s="302"/>
      <c r="AZ477" s="303"/>
      <c r="BA477" s="302"/>
      <c r="BB477" s="302"/>
      <c r="BC477" s="302"/>
      <c r="BD477" s="302"/>
      <c r="BE477" s="302"/>
      <c r="BF477" s="302"/>
      <c r="BG477" s="302"/>
      <c r="BH477" s="302"/>
      <c r="BI477" s="302"/>
      <c r="BJ477" s="302"/>
      <c r="BM477">
        <v>1.8</v>
      </c>
      <c r="BS477">
        <v>61.4</v>
      </c>
      <c r="BY477">
        <v>52.7</v>
      </c>
      <c r="CA477">
        <v>16.600000000000001</v>
      </c>
      <c r="CC477">
        <v>21.8</v>
      </c>
      <c r="CI477">
        <v>5.7</v>
      </c>
      <c r="CO477" t="s">
        <v>8698</v>
      </c>
      <c r="CR477">
        <v>2</v>
      </c>
      <c r="CT477" s="304" t="s">
        <v>11678</v>
      </c>
    </row>
    <row r="478" spans="1:98" s="304" customFormat="1">
      <c r="A478" s="304" t="s">
        <v>8506</v>
      </c>
      <c r="B478" s="463">
        <v>5</v>
      </c>
      <c r="C478" s="296" t="s">
        <v>7612</v>
      </c>
      <c r="D478" s="296" t="s">
        <v>7811</v>
      </c>
      <c r="E478" s="296" t="s">
        <v>7612</v>
      </c>
      <c r="F478" s="296"/>
      <c r="G478" s="296" t="s">
        <v>8506</v>
      </c>
      <c r="H478" s="297" t="s">
        <v>8697</v>
      </c>
      <c r="I478" s="297">
        <v>4</v>
      </c>
      <c r="J478" s="308">
        <v>4189</v>
      </c>
      <c r="K478" s="299"/>
      <c r="L478" s="299"/>
      <c r="M478" s="299">
        <v>80</v>
      </c>
      <c r="N478" s="299">
        <v>10</v>
      </c>
      <c r="O478" s="300">
        <v>39</v>
      </c>
      <c r="P478" s="301">
        <v>42090</v>
      </c>
      <c r="Q478" s="306"/>
      <c r="R478" s="303"/>
      <c r="S478" s="289">
        <v>3.05</v>
      </c>
      <c r="T478" s="303">
        <v>42208</v>
      </c>
      <c r="U478" s="307"/>
      <c r="V478" s="303"/>
      <c r="W478" s="306"/>
      <c r="X478" s="303"/>
      <c r="Y478" s="306">
        <v>10.86</v>
      </c>
      <c r="Z478" s="303">
        <v>42208</v>
      </c>
      <c r="AA478">
        <v>14.4</v>
      </c>
      <c r="AB478" s="303"/>
      <c r="AC478" s="306"/>
      <c r="AD478" s="303"/>
      <c r="AE478" s="302"/>
      <c r="AF478" s="303"/>
      <c r="AG478">
        <v>35550.984848484848</v>
      </c>
      <c r="AH478" s="521">
        <f>(AK478*10000)/AM478</f>
        <v>35550.984848484848</v>
      </c>
      <c r="AI478" s="302"/>
      <c r="AJ478" s="303"/>
      <c r="AK478">
        <v>19.553041666666665</v>
      </c>
      <c r="AL478" s="521"/>
      <c r="AM478">
        <v>5.5</v>
      </c>
      <c r="AN478" s="303">
        <v>42244</v>
      </c>
      <c r="AO478">
        <v>115</v>
      </c>
      <c r="AP478" s="303">
        <v>42170</v>
      </c>
      <c r="AQ478" s="306"/>
      <c r="AR478" s="303"/>
      <c r="AS478" s="306"/>
      <c r="AT478" s="303"/>
      <c r="AU478">
        <v>99</v>
      </c>
      <c r="AV478" s="303"/>
      <c r="AW478" s="302"/>
      <c r="AX478" s="302"/>
      <c r="AY478" s="302"/>
      <c r="AZ478" s="303"/>
      <c r="BA478" s="302"/>
      <c r="BB478" s="302"/>
      <c r="BC478" s="302"/>
      <c r="BD478" s="302"/>
      <c r="BE478" s="302"/>
      <c r="BF478" s="302"/>
      <c r="BG478" s="302"/>
      <c r="BH478" s="302"/>
      <c r="BI478" s="302"/>
      <c r="BJ478" s="302"/>
      <c r="BM478">
        <v>43.6</v>
      </c>
      <c r="BS478">
        <v>10.6</v>
      </c>
      <c r="BY478">
        <v>49.5</v>
      </c>
      <c r="CA478">
        <v>18.5</v>
      </c>
      <c r="CC478">
        <v>64.099999999999994</v>
      </c>
      <c r="CI478">
        <v>5.8</v>
      </c>
      <c r="CO478" t="s">
        <v>8698</v>
      </c>
      <c r="CR478">
        <v>3</v>
      </c>
      <c r="CT478" s="304" t="s">
        <v>11678</v>
      </c>
    </row>
    <row r="479" spans="1:98" s="304" customFormat="1">
      <c r="A479" s="304" t="s">
        <v>8506</v>
      </c>
      <c r="B479" s="463">
        <v>72</v>
      </c>
      <c r="C479" s="296" t="s">
        <v>7690</v>
      </c>
      <c r="D479" s="296" t="s">
        <v>7519</v>
      </c>
      <c r="E479" s="296" t="s">
        <v>7690</v>
      </c>
      <c r="F479" s="296"/>
      <c r="G479" s="296" t="s">
        <v>8506</v>
      </c>
      <c r="H479" s="297" t="s">
        <v>8696</v>
      </c>
      <c r="I479" s="297">
        <v>3</v>
      </c>
      <c r="J479" s="308">
        <v>369</v>
      </c>
      <c r="K479" s="299"/>
      <c r="L479" s="299"/>
      <c r="M479" s="299">
        <v>80</v>
      </c>
      <c r="N479" s="299">
        <v>2</v>
      </c>
      <c r="O479" s="300">
        <v>36</v>
      </c>
      <c r="P479" s="301">
        <v>42090</v>
      </c>
      <c r="Q479" s="306"/>
      <c r="R479" s="303"/>
      <c r="S479" s="289">
        <v>4.75</v>
      </c>
      <c r="T479" s="303">
        <v>42208</v>
      </c>
      <c r="U479" s="307"/>
      <c r="V479" s="303"/>
      <c r="W479" s="306"/>
      <c r="X479" s="303"/>
      <c r="Y479" s="306">
        <v>17.55</v>
      </c>
      <c r="Z479" s="303">
        <v>42208</v>
      </c>
      <c r="AA479">
        <v>14.4</v>
      </c>
      <c r="AB479" s="303"/>
      <c r="AC479" s="306"/>
      <c r="AD479" s="303"/>
      <c r="AE479" s="302"/>
      <c r="AF479" s="303"/>
      <c r="AG479">
        <v>72503.472222222234</v>
      </c>
      <c r="AH479" s="521">
        <f>(AK479*10000)/AM479</f>
        <v>72503.472222222234</v>
      </c>
      <c r="AI479" s="302"/>
      <c r="AJ479" s="303"/>
      <c r="AK479">
        <v>30.451458333333335</v>
      </c>
      <c r="AL479" s="521"/>
      <c r="AM479">
        <v>4.2</v>
      </c>
      <c r="AN479" s="303">
        <v>42244</v>
      </c>
      <c r="AO479">
        <v>110</v>
      </c>
      <c r="AP479" s="303">
        <v>42170</v>
      </c>
      <c r="AQ479" s="306"/>
      <c r="AR479" s="303"/>
      <c r="AS479" s="306"/>
      <c r="AT479" s="303"/>
      <c r="AU479">
        <v>106</v>
      </c>
      <c r="AV479" s="303"/>
      <c r="AW479" s="302"/>
      <c r="AX479" s="302"/>
      <c r="AY479" s="302"/>
      <c r="AZ479" s="303"/>
      <c r="BA479" s="302"/>
      <c r="BB479" s="302"/>
      <c r="BC479" s="302"/>
      <c r="BD479" s="302"/>
      <c r="BE479" s="302"/>
      <c r="BF479" s="302"/>
      <c r="BG479" s="302"/>
      <c r="BH479" s="302"/>
      <c r="BI479" s="302"/>
      <c r="BJ479" s="302"/>
      <c r="BM479">
        <v>-3.8</v>
      </c>
      <c r="BS479">
        <v>62.9</v>
      </c>
      <c r="BY479">
        <v>51.4</v>
      </c>
      <c r="CA479">
        <v>19</v>
      </c>
      <c r="CC479">
        <v>17.899999999999999</v>
      </c>
      <c r="CI479">
        <v>5.8</v>
      </c>
      <c r="CO479" t="s">
        <v>8699</v>
      </c>
      <c r="CR479">
        <v>2</v>
      </c>
      <c r="CT479" s="304" t="s">
        <v>11678</v>
      </c>
    </row>
    <row r="480" spans="1:98" s="304" customFormat="1">
      <c r="A480" s="304" t="s">
        <v>8506</v>
      </c>
      <c r="B480" s="463">
        <v>132</v>
      </c>
      <c r="C480" s="296" t="s">
        <v>7760</v>
      </c>
      <c r="D480" s="296" t="s">
        <v>7835</v>
      </c>
      <c r="E480" s="296" t="s">
        <v>7760</v>
      </c>
      <c r="F480" s="296"/>
      <c r="G480" s="296" t="s">
        <v>8506</v>
      </c>
      <c r="H480" s="297" t="s">
        <v>8696</v>
      </c>
      <c r="I480" s="297">
        <v>3</v>
      </c>
      <c r="J480" s="297">
        <v>3189</v>
      </c>
      <c r="K480" s="299"/>
      <c r="L480" s="299"/>
      <c r="M480" s="299">
        <v>80</v>
      </c>
      <c r="N480" s="299">
        <v>4</v>
      </c>
      <c r="O480" s="300">
        <v>20</v>
      </c>
      <c r="P480" s="301">
        <v>42090</v>
      </c>
      <c r="Q480" s="302"/>
      <c r="R480" s="303"/>
      <c r="S480" s="289">
        <v>5.6</v>
      </c>
      <c r="T480" s="303">
        <v>42208</v>
      </c>
      <c r="U480" s="302"/>
      <c r="V480" s="303"/>
      <c r="W480" s="302"/>
      <c r="X480" s="303"/>
      <c r="Y480" s="302">
        <v>20.94</v>
      </c>
      <c r="Z480" s="303">
        <v>42208</v>
      </c>
      <c r="AA480">
        <v>14.4</v>
      </c>
      <c r="AB480" s="303"/>
      <c r="AC480" s="302"/>
      <c r="AD480" s="303"/>
      <c r="AE480" s="302"/>
      <c r="AF480" s="303"/>
      <c r="AG480">
        <v>73266.666666666672</v>
      </c>
      <c r="AH480" s="521">
        <f>(AK480*10000)/AM480</f>
        <v>73266.666666666672</v>
      </c>
      <c r="AI480" s="302"/>
      <c r="AJ480" s="303"/>
      <c r="AK480">
        <v>35.900666666666666</v>
      </c>
      <c r="AL480" s="521"/>
      <c r="AM480">
        <v>4.9000000000000004</v>
      </c>
      <c r="AN480" s="303">
        <v>42244</v>
      </c>
      <c r="AO480">
        <v>140</v>
      </c>
      <c r="AP480" s="303">
        <v>42170</v>
      </c>
      <c r="AQ480" s="302"/>
      <c r="AR480" s="303"/>
      <c r="AS480" s="302"/>
      <c r="AT480" s="303"/>
      <c r="AU480">
        <v>103</v>
      </c>
      <c r="AV480" s="303"/>
      <c r="AW480" s="302"/>
      <c r="AX480" s="302"/>
      <c r="AY480" s="302"/>
      <c r="AZ480" s="303"/>
      <c r="BA480" s="302"/>
      <c r="BB480" s="302"/>
      <c r="BC480" s="302"/>
      <c r="BD480" s="302"/>
      <c r="BE480" s="302"/>
      <c r="BF480" s="302"/>
      <c r="BG480" s="302"/>
      <c r="BH480" s="302"/>
      <c r="BI480" s="302"/>
      <c r="BJ480" s="302"/>
      <c r="BM480">
        <v>-1.4</v>
      </c>
      <c r="BS480">
        <v>64.900000000000006</v>
      </c>
      <c r="BY480">
        <v>52</v>
      </c>
      <c r="CA480">
        <v>18.2</v>
      </c>
      <c r="CC480">
        <v>14.1</v>
      </c>
      <c r="CI480">
        <v>5.8</v>
      </c>
      <c r="CO480" t="s">
        <v>8698</v>
      </c>
      <c r="CR480">
        <v>2</v>
      </c>
      <c r="CT480" s="304" t="s">
        <v>11678</v>
      </c>
    </row>
    <row r="481" spans="1:98" s="304" customFormat="1">
      <c r="A481" s="304" t="s">
        <v>8506</v>
      </c>
      <c r="B481" s="463">
        <v>145</v>
      </c>
      <c r="C481" s="296" t="s">
        <v>7773</v>
      </c>
      <c r="D481" s="296" t="s">
        <v>7574</v>
      </c>
      <c r="E481" s="296" t="s">
        <v>7773</v>
      </c>
      <c r="F481" s="296"/>
      <c r="G481" s="296" t="s">
        <v>8506</v>
      </c>
      <c r="H481" s="297" t="s">
        <v>8697</v>
      </c>
      <c r="I481" s="297">
        <v>4</v>
      </c>
      <c r="J481" s="297">
        <v>469</v>
      </c>
      <c r="K481" s="299"/>
      <c r="L481" s="299"/>
      <c r="M481" s="299">
        <v>80</v>
      </c>
      <c r="N481" s="299">
        <v>8</v>
      </c>
      <c r="O481" s="300">
        <v>19</v>
      </c>
      <c r="P481" s="301">
        <v>42090</v>
      </c>
      <c r="Q481" s="302"/>
      <c r="R481" s="303"/>
      <c r="S481" s="289">
        <v>4.4000000000000004</v>
      </c>
      <c r="T481" s="303">
        <v>42208</v>
      </c>
      <c r="U481" s="302"/>
      <c r="V481" s="303"/>
      <c r="W481" s="302"/>
      <c r="X481" s="303"/>
      <c r="Y481" s="302">
        <v>16.489999999999998</v>
      </c>
      <c r="Z481" s="303">
        <v>42208</v>
      </c>
      <c r="AA481">
        <v>14.4</v>
      </c>
      <c r="AB481" s="303"/>
      <c r="AC481" s="302"/>
      <c r="AD481" s="303"/>
      <c r="AE481" s="302"/>
      <c r="AF481" s="303"/>
      <c r="AG481">
        <v>50424.305555555562</v>
      </c>
      <c r="AH481" s="521">
        <f>(AK481*10000)/AM481</f>
        <v>50424.305555555562</v>
      </c>
      <c r="AI481" s="302"/>
      <c r="AJ481" s="303"/>
      <c r="AK481">
        <v>28.237611111111111</v>
      </c>
      <c r="AL481" s="521"/>
      <c r="AM481">
        <v>5.6</v>
      </c>
      <c r="AN481" s="303">
        <v>42244</v>
      </c>
      <c r="AO481">
        <v>145</v>
      </c>
      <c r="AP481" s="303">
        <v>42170</v>
      </c>
      <c r="AQ481" s="302"/>
      <c r="AR481" s="303"/>
      <c r="AS481" s="302"/>
      <c r="AT481" s="303"/>
      <c r="AU481">
        <v>105</v>
      </c>
      <c r="AV481" s="303"/>
      <c r="AW481" s="302"/>
      <c r="AX481" s="302"/>
      <c r="AY481" s="302"/>
      <c r="AZ481" s="303"/>
      <c r="BA481" s="302"/>
      <c r="BB481" s="302"/>
      <c r="BC481" s="302"/>
      <c r="BD481" s="302"/>
      <c r="BE481" s="302"/>
      <c r="BF481" s="302"/>
      <c r="BG481" s="302"/>
      <c r="BH481" s="302"/>
      <c r="BI481" s="302"/>
      <c r="BJ481" s="302"/>
      <c r="BM481">
        <v>-5.2</v>
      </c>
      <c r="BS481">
        <v>63.1</v>
      </c>
      <c r="BY481">
        <v>52.1</v>
      </c>
      <c r="CA481">
        <v>15.7</v>
      </c>
      <c r="CC481">
        <v>18.8</v>
      </c>
      <c r="CI481">
        <v>5.7</v>
      </c>
      <c r="CO481" t="s">
        <v>8698</v>
      </c>
      <c r="CR481">
        <v>2</v>
      </c>
      <c r="CT481" s="304" t="s">
        <v>11678</v>
      </c>
    </row>
    <row r="482" spans="1:98" s="304" customFormat="1">
      <c r="A482" s="304" t="s">
        <v>8506</v>
      </c>
      <c r="B482" s="463">
        <v>148</v>
      </c>
      <c r="C482" s="296" t="s">
        <v>7776</v>
      </c>
      <c r="D482" s="296" t="s">
        <v>7577</v>
      </c>
      <c r="E482" s="296" t="s">
        <v>7776</v>
      </c>
      <c r="F482" s="296"/>
      <c r="G482" s="296" t="s">
        <v>8506</v>
      </c>
      <c r="H482" s="297" t="s">
        <v>8696</v>
      </c>
      <c r="I482" s="297">
        <v>3</v>
      </c>
      <c r="J482" s="297">
        <v>3249</v>
      </c>
      <c r="K482" s="299"/>
      <c r="L482" s="299"/>
      <c r="M482" s="299">
        <v>80</v>
      </c>
      <c r="N482" s="299">
        <v>5</v>
      </c>
      <c r="O482" s="300">
        <v>65</v>
      </c>
      <c r="P482" s="301">
        <v>42090</v>
      </c>
      <c r="Q482" s="302"/>
      <c r="R482" s="303"/>
      <c r="S482" s="289">
        <v>5.75</v>
      </c>
      <c r="T482" s="303">
        <v>42208</v>
      </c>
      <c r="U482" s="302"/>
      <c r="V482" s="303"/>
      <c r="W482" s="302"/>
      <c r="X482" s="303"/>
      <c r="Y482" s="302">
        <v>20.239999999999998</v>
      </c>
      <c r="Z482" s="303">
        <v>42208</v>
      </c>
      <c r="AA482">
        <v>14.4</v>
      </c>
      <c r="AB482" s="303"/>
      <c r="AC482" s="302"/>
      <c r="AD482" s="303"/>
      <c r="AE482" s="302"/>
      <c r="AF482" s="303"/>
      <c r="AG482">
        <v>70286.992521367516</v>
      </c>
      <c r="AH482" s="521">
        <f>(AK482*10000)/AM482</f>
        <v>70286.992521367516</v>
      </c>
      <c r="AI482" s="302"/>
      <c r="AJ482" s="303"/>
      <c r="AK482">
        <v>36.549236111111114</v>
      </c>
      <c r="AL482" s="521"/>
      <c r="AM482">
        <v>5.2</v>
      </c>
      <c r="AN482" s="303">
        <v>42244</v>
      </c>
      <c r="AO482">
        <v>125</v>
      </c>
      <c r="AP482" s="303">
        <v>42170</v>
      </c>
      <c r="AQ482" s="302"/>
      <c r="AR482" s="303"/>
      <c r="AS482" s="302"/>
      <c r="AT482" s="303"/>
      <c r="AU482">
        <v>108</v>
      </c>
      <c r="AV482" s="303"/>
      <c r="AW482" s="302"/>
      <c r="AX482" s="302"/>
      <c r="AY482" s="302"/>
      <c r="AZ482" s="303"/>
      <c r="BA482" s="302"/>
      <c r="BB482" s="302"/>
      <c r="BC482" s="302"/>
      <c r="BD482" s="302"/>
      <c r="BE482" s="302"/>
      <c r="BF482" s="302"/>
      <c r="BG482" s="302"/>
      <c r="BH482" s="302"/>
      <c r="BI482" s="302"/>
      <c r="BJ482" s="302"/>
      <c r="BM482">
        <v>3.1</v>
      </c>
      <c r="BS482">
        <v>58.8</v>
      </c>
      <c r="BY482">
        <v>49.4</v>
      </c>
      <c r="CA482">
        <v>18.8</v>
      </c>
      <c r="CC482">
        <v>15.9</v>
      </c>
      <c r="CI482">
        <v>6.6</v>
      </c>
      <c r="CO482" t="s">
        <v>8698</v>
      </c>
      <c r="CR482">
        <v>2</v>
      </c>
      <c r="CT482" s="304" t="s">
        <v>11678</v>
      </c>
    </row>
    <row r="483" spans="1:98" s="304" customFormat="1">
      <c r="A483" s="304" t="s">
        <v>8506</v>
      </c>
      <c r="B483" s="463">
        <v>149</v>
      </c>
      <c r="C483" s="296" t="s">
        <v>7777</v>
      </c>
      <c r="D483" s="296" t="s">
        <v>7578</v>
      </c>
      <c r="E483" s="296" t="s">
        <v>7777</v>
      </c>
      <c r="F483" s="296"/>
      <c r="G483" s="296" t="s">
        <v>8506</v>
      </c>
      <c r="H483" s="297" t="s">
        <v>8697</v>
      </c>
      <c r="I483" s="297">
        <v>4</v>
      </c>
      <c r="J483" s="308">
        <v>4249</v>
      </c>
      <c r="K483" s="299"/>
      <c r="L483" s="299"/>
      <c r="M483" s="299">
        <v>80</v>
      </c>
      <c r="N483" s="299">
        <v>11</v>
      </c>
      <c r="O483" s="300">
        <v>18</v>
      </c>
      <c r="P483" s="301">
        <v>42090</v>
      </c>
      <c r="Q483" s="306"/>
      <c r="R483" s="303"/>
      <c r="S483" s="289">
        <v>4.3</v>
      </c>
      <c r="T483" s="303">
        <v>42208</v>
      </c>
      <c r="U483" s="307"/>
      <c r="V483" s="303"/>
      <c r="W483" s="306"/>
      <c r="X483" s="303"/>
      <c r="Y483" s="306">
        <v>16.079999999999998</v>
      </c>
      <c r="Z483" s="303">
        <v>42208</v>
      </c>
      <c r="AA483">
        <v>14.4</v>
      </c>
      <c r="AB483" s="303"/>
      <c r="AC483" s="306"/>
      <c r="AD483" s="303"/>
      <c r="AE483" s="302"/>
      <c r="AF483" s="303"/>
      <c r="AG483">
        <v>52122.851153039839</v>
      </c>
      <c r="AH483" s="521">
        <f>(AK483*10000)/AM483</f>
        <v>52122.851153039839</v>
      </c>
      <c r="AI483" s="302"/>
      <c r="AJ483" s="303"/>
      <c r="AK483">
        <v>27.62511111111111</v>
      </c>
      <c r="AL483" s="521"/>
      <c r="AM483">
        <v>5.3</v>
      </c>
      <c r="AN483" s="303">
        <v>42244</v>
      </c>
      <c r="AO483">
        <v>125</v>
      </c>
      <c r="AP483" s="303">
        <v>42170</v>
      </c>
      <c r="AQ483" s="306"/>
      <c r="AR483" s="303"/>
      <c r="AS483" s="306"/>
      <c r="AT483" s="303"/>
      <c r="AU483">
        <v>107</v>
      </c>
      <c r="AV483" s="303"/>
      <c r="AW483" s="302"/>
      <c r="AX483" s="302"/>
      <c r="AY483" s="302"/>
      <c r="AZ483" s="303"/>
      <c r="BA483" s="302"/>
      <c r="BB483" s="302"/>
      <c r="BC483" s="302"/>
      <c r="BD483" s="302"/>
      <c r="BE483" s="302"/>
      <c r="BF483" s="302"/>
      <c r="BG483" s="302"/>
      <c r="BH483" s="302"/>
      <c r="BI483" s="302"/>
      <c r="BJ483" s="302"/>
      <c r="BM483">
        <v>-0.7</v>
      </c>
      <c r="BS483">
        <v>64.099999999999994</v>
      </c>
      <c r="BY483">
        <v>51.9</v>
      </c>
      <c r="CA483">
        <v>16.5</v>
      </c>
      <c r="CC483">
        <v>18.399999999999999</v>
      </c>
      <c r="CI483">
        <v>5.6</v>
      </c>
      <c r="CO483" t="s">
        <v>8698</v>
      </c>
      <c r="CR483">
        <v>2</v>
      </c>
      <c r="CT483" s="304" t="s">
        <v>11678</v>
      </c>
    </row>
    <row r="484" spans="1:98" s="304" customFormat="1">
      <c r="A484" s="304" t="s">
        <v>8506</v>
      </c>
      <c r="B484" s="463">
        <v>160</v>
      </c>
      <c r="C484" s="296" t="s">
        <v>7788</v>
      </c>
      <c r="D484" s="296" t="s">
        <v>7589</v>
      </c>
      <c r="E484" s="296" t="s">
        <v>7788</v>
      </c>
      <c r="F484" s="296"/>
      <c r="G484" s="296" t="s">
        <v>8506</v>
      </c>
      <c r="H484" s="297" t="s">
        <v>8697</v>
      </c>
      <c r="I484" s="297">
        <v>4</v>
      </c>
      <c r="J484" s="297">
        <v>4309</v>
      </c>
      <c r="K484" s="299"/>
      <c r="L484" s="299"/>
      <c r="M484" s="299">
        <v>80</v>
      </c>
      <c r="N484" s="299">
        <v>12</v>
      </c>
      <c r="O484" s="300">
        <v>43</v>
      </c>
      <c r="P484" s="301">
        <v>42090</v>
      </c>
      <c r="Q484" s="302"/>
      <c r="R484" s="303"/>
      <c r="S484" s="289">
        <v>4</v>
      </c>
      <c r="T484" s="303">
        <v>42208</v>
      </c>
      <c r="U484" s="302"/>
      <c r="V484" s="303"/>
      <c r="W484" s="302"/>
      <c r="X484" s="303"/>
      <c r="Y484" s="302">
        <v>14.86</v>
      </c>
      <c r="Z484" s="303">
        <v>42208</v>
      </c>
      <c r="AA484">
        <v>14.4</v>
      </c>
      <c r="AB484" s="303"/>
      <c r="AC484" s="302"/>
      <c r="AD484" s="303"/>
      <c r="AE484" s="302"/>
      <c r="AF484" s="303"/>
      <c r="AG484">
        <v>45597.222222222226</v>
      </c>
      <c r="AH484" s="521">
        <f>(AK484*10000)/AM484</f>
        <v>45597.222222222226</v>
      </c>
      <c r="AI484" s="302"/>
      <c r="AJ484" s="303"/>
      <c r="AK484">
        <v>25.534444444444443</v>
      </c>
      <c r="AL484" s="521"/>
      <c r="AM484">
        <v>5.6</v>
      </c>
      <c r="AN484" s="303">
        <v>42244</v>
      </c>
      <c r="AO484">
        <v>120</v>
      </c>
      <c r="AP484" s="303">
        <v>42170</v>
      </c>
      <c r="AQ484" s="302"/>
      <c r="AR484" s="303"/>
      <c r="AS484" s="302"/>
      <c r="AT484" s="303"/>
      <c r="AU484">
        <v>108</v>
      </c>
      <c r="AV484" s="303"/>
      <c r="AW484" s="302"/>
      <c r="AX484" s="302"/>
      <c r="AY484" s="302"/>
      <c r="AZ484" s="303"/>
      <c r="BA484" s="302"/>
      <c r="BB484" s="302"/>
      <c r="BC484" s="302"/>
      <c r="BD484" s="302"/>
      <c r="BE484" s="302"/>
      <c r="BF484" s="302"/>
      <c r="BG484" s="302"/>
      <c r="BH484" s="302"/>
      <c r="BI484" s="302"/>
      <c r="BJ484" s="302"/>
      <c r="BM484">
        <v>-2.7</v>
      </c>
      <c r="BS484">
        <v>63.8</v>
      </c>
      <c r="BY484">
        <v>51.9</v>
      </c>
      <c r="CA484">
        <v>15.6</v>
      </c>
      <c r="CC484">
        <v>13.4</v>
      </c>
      <c r="CI484">
        <v>6.2</v>
      </c>
      <c r="CO484" t="s">
        <v>8698</v>
      </c>
      <c r="CR484">
        <v>2</v>
      </c>
      <c r="CT484" s="304" t="s">
        <v>11678</v>
      </c>
    </row>
    <row r="485" spans="1:98" s="304" customFormat="1">
      <c r="A485" s="304" t="s">
        <v>8506</v>
      </c>
      <c r="B485" s="463">
        <v>33</v>
      </c>
      <c r="C485" s="296" t="s">
        <v>7647</v>
      </c>
      <c r="D485" s="296" t="s">
        <v>7482</v>
      </c>
      <c r="E485" s="296" t="s">
        <v>7647</v>
      </c>
      <c r="F485" s="296"/>
      <c r="G485" s="296" t="s">
        <v>8506</v>
      </c>
      <c r="H485" s="297" t="s">
        <v>8696</v>
      </c>
      <c r="I485" s="297">
        <v>3</v>
      </c>
      <c r="J485" s="297">
        <v>3130</v>
      </c>
      <c r="K485" s="299"/>
      <c r="L485" s="299"/>
      <c r="M485" s="299">
        <v>81</v>
      </c>
      <c r="N485" s="299">
        <v>3</v>
      </c>
      <c r="O485" s="300">
        <v>38</v>
      </c>
      <c r="P485" s="301">
        <v>42090</v>
      </c>
      <c r="Q485" s="302"/>
      <c r="R485" s="303"/>
      <c r="S485" s="289">
        <v>5</v>
      </c>
      <c r="T485" s="303">
        <v>42208</v>
      </c>
      <c r="U485" s="302"/>
      <c r="V485" s="303"/>
      <c r="W485" s="302"/>
      <c r="X485" s="303"/>
      <c r="Y485" s="302">
        <v>16.09</v>
      </c>
      <c r="Z485" s="303">
        <v>42208</v>
      </c>
      <c r="AA485">
        <v>14.4</v>
      </c>
      <c r="AB485" s="303"/>
      <c r="AC485" s="302"/>
      <c r="AD485" s="303"/>
      <c r="AE485" s="302"/>
      <c r="AF485" s="303"/>
      <c r="AG485">
        <v>69461.05072463768</v>
      </c>
      <c r="AH485" s="521">
        <f>(AK485*10000)/AM485</f>
        <v>69461.05072463768</v>
      </c>
      <c r="AI485" s="302"/>
      <c r="AJ485" s="303"/>
      <c r="AK485">
        <v>31.952083333333331</v>
      </c>
      <c r="AL485" s="521"/>
      <c r="AM485">
        <v>4.5999999999999996</v>
      </c>
      <c r="AN485" s="303">
        <v>42244</v>
      </c>
      <c r="AO485">
        <v>145</v>
      </c>
      <c r="AP485" s="303">
        <v>42170</v>
      </c>
      <c r="AQ485" s="302"/>
      <c r="AR485" s="303"/>
      <c r="AS485" s="302"/>
      <c r="AT485" s="303"/>
      <c r="AU485">
        <v>110</v>
      </c>
      <c r="AV485" s="303"/>
      <c r="AW485" s="302"/>
      <c r="AX485" s="302"/>
      <c r="AY485" s="302"/>
      <c r="AZ485" s="303"/>
      <c r="BA485" s="302"/>
      <c r="BB485" s="302"/>
      <c r="BC485" s="302"/>
      <c r="BD485" s="302"/>
      <c r="BE485" s="302"/>
      <c r="BF485" s="302"/>
      <c r="BG485" s="302"/>
      <c r="BH485" s="302"/>
      <c r="BI485" s="302"/>
      <c r="BJ485" s="302"/>
      <c r="BM485">
        <v>6</v>
      </c>
      <c r="BS485">
        <v>51.8</v>
      </c>
      <c r="BY485">
        <v>44.9</v>
      </c>
      <c r="CA485">
        <v>22.3</v>
      </c>
      <c r="CC485">
        <v>65</v>
      </c>
      <c r="CI485">
        <v>6.1</v>
      </c>
      <c r="CO485" t="s">
        <v>8699</v>
      </c>
      <c r="CR485">
        <v>2</v>
      </c>
      <c r="CT485" s="304" t="s">
        <v>11678</v>
      </c>
    </row>
    <row r="486" spans="1:98" s="304" customFormat="1">
      <c r="A486" s="304" t="s">
        <v>8506</v>
      </c>
      <c r="B486" s="463">
        <v>67</v>
      </c>
      <c r="C486" s="296" t="s">
        <v>7685</v>
      </c>
      <c r="D486" s="296" t="s">
        <v>7515</v>
      </c>
      <c r="E486" s="296" t="s">
        <v>7685</v>
      </c>
      <c r="F486" s="296"/>
      <c r="G486" s="296" t="s">
        <v>8506</v>
      </c>
      <c r="H486" s="297" t="s">
        <v>8696</v>
      </c>
      <c r="I486" s="297">
        <v>3</v>
      </c>
      <c r="J486" s="308">
        <v>310</v>
      </c>
      <c r="K486" s="299"/>
      <c r="L486" s="299"/>
      <c r="M486" s="299">
        <v>81</v>
      </c>
      <c r="N486" s="299">
        <v>1</v>
      </c>
      <c r="O486" s="300">
        <v>36</v>
      </c>
      <c r="P486" s="301">
        <v>42090</v>
      </c>
      <c r="Q486" s="306"/>
      <c r="R486" s="303"/>
      <c r="S486" s="289">
        <v>6.65</v>
      </c>
      <c r="T486" s="303">
        <v>42208</v>
      </c>
      <c r="U486" s="307"/>
      <c r="V486" s="303"/>
      <c r="W486" s="306"/>
      <c r="X486" s="303"/>
      <c r="Y486" s="306">
        <v>22.68</v>
      </c>
      <c r="Z486" s="303">
        <v>42208</v>
      </c>
      <c r="AA486">
        <v>14.4</v>
      </c>
      <c r="AB486" s="303"/>
      <c r="AC486" s="306"/>
      <c r="AD486" s="303"/>
      <c r="AE486" s="302"/>
      <c r="AF486" s="303"/>
      <c r="AG486">
        <v>81723.59775641028</v>
      </c>
      <c r="AH486" s="521">
        <f>(AK486*10000)/AM486</f>
        <v>81723.59775641028</v>
      </c>
      <c r="AI486" s="302"/>
      <c r="AJ486" s="303"/>
      <c r="AK486">
        <v>42.496270833333341</v>
      </c>
      <c r="AL486" s="521"/>
      <c r="AM486">
        <v>5.2</v>
      </c>
      <c r="AN486" s="303">
        <v>42244</v>
      </c>
      <c r="AO486">
        <v>125</v>
      </c>
      <c r="AP486" s="303">
        <v>42170</v>
      </c>
      <c r="AQ486" s="306"/>
      <c r="AR486" s="303"/>
      <c r="AS486" s="306"/>
      <c r="AT486" s="303"/>
      <c r="AU486">
        <v>107</v>
      </c>
      <c r="AV486" s="303"/>
      <c r="AW486" s="302"/>
      <c r="AX486" s="302"/>
      <c r="AY486" s="302"/>
      <c r="AZ486" s="303"/>
      <c r="BA486" s="302"/>
      <c r="BB486" s="302"/>
      <c r="BC486" s="302"/>
      <c r="BD486" s="302"/>
      <c r="BE486" s="302"/>
      <c r="BF486" s="302"/>
      <c r="BG486" s="302"/>
      <c r="BH486" s="302"/>
      <c r="BI486" s="302"/>
      <c r="BJ486" s="302"/>
      <c r="BM486">
        <v>3.6</v>
      </c>
      <c r="BS486">
        <v>58.7</v>
      </c>
      <c r="BY486">
        <v>47.6</v>
      </c>
      <c r="CA486">
        <v>20.7</v>
      </c>
      <c r="CC486">
        <v>19.2</v>
      </c>
      <c r="CI486">
        <v>6.1</v>
      </c>
      <c r="CO486" t="s">
        <v>8699</v>
      </c>
      <c r="CR486">
        <v>2</v>
      </c>
      <c r="CT486" s="304" t="s">
        <v>11678</v>
      </c>
    </row>
    <row r="487" spans="1:98" s="304" customFormat="1">
      <c r="A487" s="304" t="s">
        <v>8506</v>
      </c>
      <c r="B487" s="463">
        <v>83</v>
      </c>
      <c r="C487" s="296" t="s">
        <v>7701</v>
      </c>
      <c r="D487" s="296" t="s">
        <v>7530</v>
      </c>
      <c r="E487" s="296" t="s">
        <v>7701</v>
      </c>
      <c r="F487" s="296"/>
      <c r="G487" s="296" t="s">
        <v>8506</v>
      </c>
      <c r="H487" s="297" t="s">
        <v>8696</v>
      </c>
      <c r="I487" s="297">
        <v>3</v>
      </c>
      <c r="J487" s="297">
        <v>3310</v>
      </c>
      <c r="K487" s="299"/>
      <c r="L487" s="299"/>
      <c r="M487" s="299">
        <v>81</v>
      </c>
      <c r="N487" s="299">
        <v>6</v>
      </c>
      <c r="O487" s="300">
        <v>39</v>
      </c>
      <c r="P487" s="301">
        <v>42090</v>
      </c>
      <c r="Q487" s="302"/>
      <c r="R487" s="303"/>
      <c r="S487" s="289">
        <v>5.2</v>
      </c>
      <c r="T487" s="303">
        <v>42208</v>
      </c>
      <c r="U487" s="302"/>
      <c r="V487" s="303"/>
      <c r="W487" s="302"/>
      <c r="X487" s="303"/>
      <c r="Y487" s="302">
        <v>18.13</v>
      </c>
      <c r="Z487" s="303">
        <v>42208</v>
      </c>
      <c r="AA487">
        <v>14.4</v>
      </c>
      <c r="AB487" s="303"/>
      <c r="AC487" s="302"/>
      <c r="AD487" s="303"/>
      <c r="AE487" s="302"/>
      <c r="AF487" s="303"/>
      <c r="AG487">
        <v>62765.199161425568</v>
      </c>
      <c r="AH487" s="521">
        <f>(AK487*10000)/AM487</f>
        <v>62765.199161425568</v>
      </c>
      <c r="AI487" s="302"/>
      <c r="AJ487" s="303"/>
      <c r="AK487">
        <v>33.265555555555551</v>
      </c>
      <c r="AL487" s="521"/>
      <c r="AM487">
        <v>5.3</v>
      </c>
      <c r="AN487" s="303">
        <v>42244</v>
      </c>
      <c r="AO487">
        <v>130</v>
      </c>
      <c r="AP487" s="303">
        <v>42170</v>
      </c>
      <c r="AQ487" s="302"/>
      <c r="AR487" s="303"/>
      <c r="AS487" s="302"/>
      <c r="AT487" s="303"/>
      <c r="AU487">
        <v>110</v>
      </c>
      <c r="AV487" s="303"/>
      <c r="AW487" s="302"/>
      <c r="AX487" s="302"/>
      <c r="AY487" s="302"/>
      <c r="AZ487" s="303"/>
      <c r="BA487" s="302"/>
      <c r="BB487" s="302"/>
      <c r="BC487" s="302"/>
      <c r="BD487" s="302"/>
      <c r="BE487" s="302"/>
      <c r="BF487" s="302"/>
      <c r="BG487" s="302"/>
      <c r="BH487" s="302"/>
      <c r="BI487" s="302"/>
      <c r="BJ487" s="302"/>
      <c r="BM487">
        <v>0.9</v>
      </c>
      <c r="BS487">
        <v>60.8</v>
      </c>
      <c r="BY487">
        <v>48.6</v>
      </c>
      <c r="CA487">
        <v>19.899999999999999</v>
      </c>
      <c r="CC487">
        <v>19</v>
      </c>
      <c r="CI487">
        <v>6</v>
      </c>
      <c r="CO487" t="s">
        <v>8698</v>
      </c>
      <c r="CR487">
        <v>3</v>
      </c>
      <c r="CT487" s="304" t="s">
        <v>11678</v>
      </c>
    </row>
    <row r="488" spans="1:98" s="304" customFormat="1">
      <c r="A488" s="304" t="s">
        <v>8506</v>
      </c>
      <c r="B488" s="463">
        <v>95</v>
      </c>
      <c r="C488" s="296" t="s">
        <v>7713</v>
      </c>
      <c r="D488" s="296" t="s">
        <v>7540</v>
      </c>
      <c r="E488" s="296" t="s">
        <v>7713</v>
      </c>
      <c r="F488" s="296"/>
      <c r="G488" s="296" t="s">
        <v>8506</v>
      </c>
      <c r="H488" s="297" t="s">
        <v>8697</v>
      </c>
      <c r="I488" s="297">
        <v>4</v>
      </c>
      <c r="J488" s="297">
        <v>4310</v>
      </c>
      <c r="K488" s="299"/>
      <c r="L488" s="299"/>
      <c r="M488" s="299">
        <v>81</v>
      </c>
      <c r="N488" s="299">
        <v>12</v>
      </c>
      <c r="O488" s="300">
        <v>54</v>
      </c>
      <c r="P488" s="301">
        <v>42090</v>
      </c>
      <c r="Q488" s="302"/>
      <c r="R488" s="303"/>
      <c r="S488" s="289">
        <v>4.3</v>
      </c>
      <c r="T488" s="303">
        <v>42208</v>
      </c>
      <c r="U488" s="302"/>
      <c r="V488" s="303"/>
      <c r="W488" s="302"/>
      <c r="X488" s="303"/>
      <c r="Y488" s="302">
        <v>15.75</v>
      </c>
      <c r="Z488" s="303">
        <v>42208</v>
      </c>
      <c r="AA488">
        <v>14.4</v>
      </c>
      <c r="AB488" s="303"/>
      <c r="AC488" s="302"/>
      <c r="AD488" s="303"/>
      <c r="AE488" s="302"/>
      <c r="AF488" s="303"/>
      <c r="AG488">
        <v>59990.972222222219</v>
      </c>
      <c r="AH488" s="521">
        <f>(AK488*10000)/AM488</f>
        <v>59990.972222222219</v>
      </c>
      <c r="AI488" s="302"/>
      <c r="AJ488" s="303"/>
      <c r="AK488">
        <v>27.595847222222218</v>
      </c>
      <c r="AL488" s="521"/>
      <c r="AM488">
        <v>4.5999999999999996</v>
      </c>
      <c r="AN488" s="303">
        <v>42244</v>
      </c>
      <c r="AO488">
        <v>115</v>
      </c>
      <c r="AP488" s="303">
        <v>42170</v>
      </c>
      <c r="AQ488" s="302"/>
      <c r="AR488" s="303"/>
      <c r="AS488" s="302"/>
      <c r="AT488" s="303"/>
      <c r="AU488">
        <v>108</v>
      </c>
      <c r="AV488" s="303"/>
      <c r="AW488" s="302"/>
      <c r="AX488" s="302"/>
      <c r="AY488" s="302"/>
      <c r="AZ488" s="303"/>
      <c r="BA488" s="302"/>
      <c r="BB488" s="302"/>
      <c r="BC488" s="302"/>
      <c r="BD488" s="302"/>
      <c r="BE488" s="302"/>
      <c r="BF488" s="302"/>
      <c r="BG488" s="302"/>
      <c r="BH488" s="302"/>
      <c r="BI488" s="302"/>
      <c r="BJ488" s="302"/>
      <c r="BM488">
        <v>-0.5</v>
      </c>
      <c r="BS488">
        <v>59.8</v>
      </c>
      <c r="BY488">
        <v>50.9</v>
      </c>
      <c r="CA488">
        <v>17.8</v>
      </c>
      <c r="CC488">
        <v>19.399999999999999</v>
      </c>
      <c r="CI488">
        <v>5.7</v>
      </c>
      <c r="CO488" t="s">
        <v>8698</v>
      </c>
      <c r="CR488">
        <v>3</v>
      </c>
      <c r="CT488" s="304" t="s">
        <v>11678</v>
      </c>
    </row>
    <row r="489" spans="1:98" s="304" customFormat="1">
      <c r="A489" s="304" t="s">
        <v>8506</v>
      </c>
      <c r="B489" s="463">
        <v>136</v>
      </c>
      <c r="C489" s="296" t="s">
        <v>7764</v>
      </c>
      <c r="D489" s="296" t="s">
        <v>7569</v>
      </c>
      <c r="E489" s="296" t="s">
        <v>7764</v>
      </c>
      <c r="F489" s="296"/>
      <c r="G489" s="296" t="s">
        <v>8506</v>
      </c>
      <c r="H489" s="297" t="s">
        <v>8697</v>
      </c>
      <c r="I489" s="297">
        <v>4</v>
      </c>
      <c r="J489" s="297">
        <v>4250</v>
      </c>
      <c r="K489" s="299"/>
      <c r="L489" s="299"/>
      <c r="M489" s="299">
        <v>81</v>
      </c>
      <c r="N489" s="299">
        <v>11</v>
      </c>
      <c r="O489" s="300">
        <v>30</v>
      </c>
      <c r="P489" s="301">
        <v>42090</v>
      </c>
      <c r="Q489" s="302"/>
      <c r="R489" s="303"/>
      <c r="S489" s="289">
        <v>4.8</v>
      </c>
      <c r="T489" s="303">
        <v>42208</v>
      </c>
      <c r="U489" s="302"/>
      <c r="V489" s="303"/>
      <c r="W489" s="302"/>
      <c r="X489" s="303"/>
      <c r="Y489" s="302">
        <v>18.05</v>
      </c>
      <c r="Z489" s="303">
        <v>42208</v>
      </c>
      <c r="AA489">
        <v>14.4</v>
      </c>
      <c r="AB489" s="303"/>
      <c r="AC489" s="302"/>
      <c r="AD489" s="303"/>
      <c r="AE489" s="302"/>
      <c r="AF489" s="303"/>
      <c r="AG489">
        <v>63768.055555555562</v>
      </c>
      <c r="AH489" s="521">
        <f>(AK489*10000)/AM489</f>
        <v>63768.055555555562</v>
      </c>
      <c r="AI489" s="302"/>
      <c r="AJ489" s="303"/>
      <c r="AK489">
        <v>30.608666666666668</v>
      </c>
      <c r="AL489" s="521"/>
      <c r="AM489">
        <v>4.8</v>
      </c>
      <c r="AN489" s="303">
        <v>42244</v>
      </c>
      <c r="AO489">
        <v>140</v>
      </c>
      <c r="AP489" s="303">
        <v>42170</v>
      </c>
      <c r="AQ489" s="302"/>
      <c r="AR489" s="303"/>
      <c r="AS489" s="302"/>
      <c r="AT489" s="303"/>
      <c r="AU489">
        <v>113</v>
      </c>
      <c r="AV489" s="303"/>
      <c r="AW489" s="302"/>
      <c r="AX489" s="302"/>
      <c r="AY489" s="302"/>
      <c r="AZ489" s="303"/>
      <c r="BA489" s="302"/>
      <c r="BB489" s="302"/>
      <c r="BC489" s="302"/>
      <c r="BD489" s="302"/>
      <c r="BE489" s="302"/>
      <c r="BF489" s="302"/>
      <c r="BG489" s="302"/>
      <c r="BH489" s="302"/>
      <c r="BI489" s="302"/>
      <c r="BJ489" s="302"/>
      <c r="BM489">
        <v>-2.1</v>
      </c>
      <c r="BS489">
        <v>64</v>
      </c>
      <c r="BY489">
        <v>52.6</v>
      </c>
      <c r="CA489">
        <v>15.4</v>
      </c>
      <c r="CC489">
        <v>15.4</v>
      </c>
      <c r="CI489">
        <v>6.3</v>
      </c>
      <c r="CO489" t="s">
        <v>8707</v>
      </c>
      <c r="CR489">
        <v>2</v>
      </c>
      <c r="CT489" s="304" t="s">
        <v>11678</v>
      </c>
    </row>
    <row r="490" spans="1:98" s="304" customFormat="1">
      <c r="A490" s="304" t="s">
        <v>8506</v>
      </c>
      <c r="B490" s="523">
        <v>358</v>
      </c>
      <c r="C490" s="296" t="s">
        <v>8510</v>
      </c>
      <c r="D490" s="296" t="s">
        <v>8299</v>
      </c>
      <c r="E490" s="296" t="s">
        <v>8299</v>
      </c>
      <c r="F490" s="296"/>
      <c r="G490" s="296" t="s">
        <v>8506</v>
      </c>
      <c r="H490" s="297" t="s">
        <v>8696</v>
      </c>
      <c r="I490" s="297">
        <v>3</v>
      </c>
      <c r="J490" s="297">
        <v>3190</v>
      </c>
      <c r="K490" s="299"/>
      <c r="L490" s="299"/>
      <c r="M490" s="299">
        <v>81</v>
      </c>
      <c r="N490" s="299">
        <v>4</v>
      </c>
      <c r="O490" s="300">
        <v>34</v>
      </c>
      <c r="P490" s="301">
        <v>42090</v>
      </c>
      <c r="Q490" s="302"/>
      <c r="R490" s="303"/>
      <c r="S490" s="289">
        <v>6.2</v>
      </c>
      <c r="T490" s="303">
        <v>42208</v>
      </c>
      <c r="U490" s="302"/>
      <c r="V490" s="303"/>
      <c r="W490" s="302"/>
      <c r="X490" s="303"/>
      <c r="Y490" s="302">
        <v>22.48</v>
      </c>
      <c r="Z490" s="303">
        <v>42208</v>
      </c>
      <c r="AA490">
        <v>14.4</v>
      </c>
      <c r="AB490" s="303"/>
      <c r="AC490" s="302"/>
      <c r="AD490" s="303"/>
      <c r="AE490" s="302"/>
      <c r="AF490" s="303"/>
      <c r="AG490">
        <v>74596.593291404628</v>
      </c>
      <c r="AH490" s="521">
        <f>(AK490*10000)/AM490</f>
        <v>74596.593291404628</v>
      </c>
      <c r="AI490" s="302"/>
      <c r="AJ490" s="303"/>
      <c r="AK490">
        <v>39.536194444444448</v>
      </c>
      <c r="AL490" s="521"/>
      <c r="AM490">
        <v>5.3</v>
      </c>
      <c r="AN490" s="303">
        <v>42244</v>
      </c>
      <c r="AO490">
        <v>135</v>
      </c>
      <c r="AP490" s="303">
        <v>42170</v>
      </c>
      <c r="AQ490" s="302"/>
      <c r="AR490" s="303"/>
      <c r="AS490" s="302"/>
      <c r="AT490" s="303"/>
      <c r="AU490">
        <v>108</v>
      </c>
      <c r="AV490" s="302"/>
      <c r="AW490" s="302"/>
      <c r="AX490" s="302"/>
      <c r="AY490" s="302"/>
      <c r="AZ490" s="302"/>
      <c r="BA490" s="302"/>
      <c r="BB490" s="302"/>
      <c r="BC490" s="302"/>
      <c r="BD490" s="302"/>
      <c r="BE490" s="302"/>
      <c r="BF490" s="302"/>
      <c r="BG490" s="302"/>
      <c r="BH490" s="302"/>
      <c r="BI490" s="302"/>
      <c r="BJ490" s="302"/>
      <c r="BM490">
        <v>-1.8</v>
      </c>
      <c r="BS490">
        <v>60.9</v>
      </c>
      <c r="BY490">
        <v>50.7</v>
      </c>
      <c r="CA490">
        <v>18.5</v>
      </c>
      <c r="CC490">
        <v>14.8</v>
      </c>
      <c r="CI490">
        <v>6.3</v>
      </c>
      <c r="CO490" t="s">
        <v>8698</v>
      </c>
      <c r="CR490">
        <v>2</v>
      </c>
      <c r="CT490" s="304" t="s">
        <v>11678</v>
      </c>
    </row>
    <row r="491" spans="1:98" s="304" customFormat="1">
      <c r="A491" s="304" t="s">
        <v>8506</v>
      </c>
      <c r="B491" s="463">
        <v>1</v>
      </c>
      <c r="C491" s="296" t="s">
        <v>7606</v>
      </c>
      <c r="D491" s="296" t="s">
        <v>7809</v>
      </c>
      <c r="E491" s="296" t="s">
        <v>7606</v>
      </c>
      <c r="F491" s="296"/>
      <c r="G491" s="296" t="s">
        <v>8506</v>
      </c>
      <c r="H491" s="297" t="s">
        <v>8696</v>
      </c>
      <c r="I491" s="297">
        <v>3</v>
      </c>
      <c r="J491" s="297">
        <v>3251</v>
      </c>
      <c r="K491" s="299"/>
      <c r="L491" s="299"/>
      <c r="M491" s="299">
        <v>82</v>
      </c>
      <c r="N491" s="299">
        <v>5</v>
      </c>
      <c r="O491" s="300">
        <v>72</v>
      </c>
      <c r="P491" s="301">
        <v>42090</v>
      </c>
      <c r="Q491" s="302"/>
      <c r="R491" s="303"/>
      <c r="S491" s="289">
        <v>4.45</v>
      </c>
      <c r="T491" s="303">
        <v>42208</v>
      </c>
      <c r="U491" s="302"/>
      <c r="V491" s="303"/>
      <c r="W491" s="302"/>
      <c r="X491" s="303"/>
      <c r="Y491" s="302">
        <v>15.2</v>
      </c>
      <c r="Z491" s="303">
        <v>42208</v>
      </c>
      <c r="AA491">
        <v>14.4</v>
      </c>
      <c r="AB491" s="303"/>
      <c r="AC491" s="302"/>
      <c r="AD491" s="303"/>
      <c r="AE491" s="302"/>
      <c r="AF491" s="303"/>
      <c r="AG491">
        <v>64836.837121212127</v>
      </c>
      <c r="AH491" s="521">
        <f>(AK491*10000)/AM491</f>
        <v>64836.837121212127</v>
      </c>
      <c r="AI491" s="302"/>
      <c r="AJ491" s="303"/>
      <c r="AK491">
        <v>28.528208333333339</v>
      </c>
      <c r="AL491" s="521"/>
      <c r="AM491">
        <v>4.4000000000000004</v>
      </c>
      <c r="AN491" s="303">
        <v>42244</v>
      </c>
      <c r="AO491">
        <v>125</v>
      </c>
      <c r="AP491" s="303">
        <v>42170</v>
      </c>
      <c r="AQ491" s="302"/>
      <c r="AR491" s="303"/>
      <c r="AS491" s="302"/>
      <c r="AT491" s="303"/>
      <c r="AU491">
        <v>113</v>
      </c>
      <c r="AV491" s="303"/>
      <c r="AW491" s="302"/>
      <c r="AX491" s="302"/>
      <c r="AY491" s="302"/>
      <c r="AZ491" s="303"/>
      <c r="BA491" s="302"/>
      <c r="BB491" s="302"/>
      <c r="BC491" s="302"/>
      <c r="BD491" s="302"/>
      <c r="BE491" s="302"/>
      <c r="BF491" s="302"/>
      <c r="BG491" s="302"/>
      <c r="BH491" s="302"/>
      <c r="BI491" s="302"/>
      <c r="BJ491" s="302"/>
      <c r="BM491">
        <v>49.3</v>
      </c>
      <c r="BS491">
        <v>5.2</v>
      </c>
      <c r="BY491">
        <v>47.5</v>
      </c>
      <c r="CA491">
        <v>21.1</v>
      </c>
      <c r="CC491">
        <v>61.4</v>
      </c>
      <c r="CI491">
        <v>5.8</v>
      </c>
      <c r="CO491" t="s">
        <v>8698</v>
      </c>
      <c r="CR491">
        <v>3</v>
      </c>
      <c r="CT491" s="304" t="s">
        <v>11678</v>
      </c>
    </row>
    <row r="492" spans="1:98" s="304" customFormat="1">
      <c r="A492" s="304" t="s">
        <v>8506</v>
      </c>
      <c r="B492" s="463">
        <v>13</v>
      </c>
      <c r="C492" s="296" t="s">
        <v>7622</v>
      </c>
      <c r="D492" s="296" t="s">
        <v>7813</v>
      </c>
      <c r="E492" s="296" t="s">
        <v>7622</v>
      </c>
      <c r="F492" s="296"/>
      <c r="G492" s="296" t="s">
        <v>8506</v>
      </c>
      <c r="H492" s="297" t="s">
        <v>8696</v>
      </c>
      <c r="I492" s="297">
        <v>3</v>
      </c>
      <c r="J492" s="297">
        <v>3191</v>
      </c>
      <c r="K492" s="299"/>
      <c r="L492" s="299"/>
      <c r="M492" s="299">
        <v>82</v>
      </c>
      <c r="N492" s="299">
        <v>4</v>
      </c>
      <c r="O492" s="300">
        <v>25</v>
      </c>
      <c r="P492" s="301">
        <v>42090</v>
      </c>
      <c r="Q492" s="302"/>
      <c r="R492" s="303"/>
      <c r="S492" s="289">
        <v>5.25</v>
      </c>
      <c r="T492" s="303">
        <v>42208</v>
      </c>
      <c r="U492" s="302"/>
      <c r="V492" s="303"/>
      <c r="W492" s="302"/>
      <c r="X492" s="303"/>
      <c r="Y492" s="302">
        <v>18.190000000000001</v>
      </c>
      <c r="Z492" s="303">
        <v>42208</v>
      </c>
      <c r="AA492">
        <v>14.4</v>
      </c>
      <c r="AB492" s="303"/>
      <c r="AC492" s="302"/>
      <c r="AD492" s="303"/>
      <c r="AE492" s="302"/>
      <c r="AF492" s="303"/>
      <c r="AG492">
        <v>59846.354166666679</v>
      </c>
      <c r="AH492" s="521">
        <f>(AK492*10000)/AM492</f>
        <v>59846.354166666679</v>
      </c>
      <c r="AI492" s="302"/>
      <c r="AJ492" s="303"/>
      <c r="AK492">
        <v>33.513958333333335</v>
      </c>
      <c r="AL492" s="521"/>
      <c r="AM492">
        <v>5.6</v>
      </c>
      <c r="AN492" s="303">
        <v>42244</v>
      </c>
      <c r="AO492">
        <v>135</v>
      </c>
      <c r="AP492" s="303">
        <v>42170</v>
      </c>
      <c r="AQ492" s="302"/>
      <c r="AR492" s="303"/>
      <c r="AS492" s="302"/>
      <c r="AT492" s="303"/>
      <c r="AU492">
        <v>106</v>
      </c>
      <c r="AV492" s="303"/>
      <c r="AW492" s="302"/>
      <c r="AX492" s="302"/>
      <c r="AY492" s="302"/>
      <c r="AZ492" s="303"/>
      <c r="BA492" s="302"/>
      <c r="BB492" s="302"/>
      <c r="BC492" s="302"/>
      <c r="BD492" s="302"/>
      <c r="BE492" s="302"/>
      <c r="BF492" s="302"/>
      <c r="BG492" s="302"/>
      <c r="BH492" s="302"/>
      <c r="BI492" s="302"/>
      <c r="BJ492" s="302"/>
      <c r="BM492">
        <v>23.3</v>
      </c>
      <c r="BS492">
        <v>33.200000000000003</v>
      </c>
      <c r="BY492">
        <v>48.4</v>
      </c>
      <c r="CA492">
        <v>20.5</v>
      </c>
      <c r="CC492">
        <v>47.4</v>
      </c>
      <c r="CI492">
        <v>6.2</v>
      </c>
      <c r="CO492" t="s">
        <v>8698</v>
      </c>
      <c r="CR492">
        <v>3</v>
      </c>
      <c r="CT492" s="304" t="s">
        <v>11678</v>
      </c>
    </row>
    <row r="493" spans="1:98" s="304" customFormat="1">
      <c r="A493" s="304" t="s">
        <v>8506</v>
      </c>
      <c r="B493" s="463">
        <v>47</v>
      </c>
      <c r="C493" s="296" t="s">
        <v>7664</v>
      </c>
      <c r="D493" s="296" t="s">
        <v>7497</v>
      </c>
      <c r="E493" s="296" t="s">
        <v>7664</v>
      </c>
      <c r="F493" s="296"/>
      <c r="G493" s="296" t="s">
        <v>8506</v>
      </c>
      <c r="H493" s="297" t="s">
        <v>8697</v>
      </c>
      <c r="I493" s="297">
        <v>4</v>
      </c>
      <c r="J493" s="297">
        <v>471</v>
      </c>
      <c r="K493" s="299"/>
      <c r="L493" s="299"/>
      <c r="M493" s="299">
        <v>82</v>
      </c>
      <c r="N493" s="299">
        <v>8</v>
      </c>
      <c r="O493" s="300">
        <v>34</v>
      </c>
      <c r="P493" s="301">
        <v>42090</v>
      </c>
      <c r="Q493" s="302"/>
      <c r="R493" s="303"/>
      <c r="S493" s="289">
        <v>4.8499999999999996</v>
      </c>
      <c r="T493" s="303">
        <v>42208</v>
      </c>
      <c r="U493" s="302"/>
      <c r="V493" s="303"/>
      <c r="W493" s="302"/>
      <c r="X493" s="303"/>
      <c r="Y493" s="302">
        <v>18.690000000000001</v>
      </c>
      <c r="Z493" s="303">
        <v>42208</v>
      </c>
      <c r="AA493">
        <v>14.4</v>
      </c>
      <c r="AB493" s="303"/>
      <c r="AC493" s="302"/>
      <c r="AD493" s="303"/>
      <c r="AE493" s="302"/>
      <c r="AF493" s="303"/>
      <c r="AG493">
        <v>61095.206971677566</v>
      </c>
      <c r="AH493" s="521">
        <f>(AK493*10000)/AM493</f>
        <v>61095.206971677566</v>
      </c>
      <c r="AI493" s="302"/>
      <c r="AJ493" s="303"/>
      <c r="AK493">
        <v>31.158555555555555</v>
      </c>
      <c r="AL493" s="521"/>
      <c r="AM493">
        <v>5.0999999999999996</v>
      </c>
      <c r="AN493" s="303">
        <v>42244</v>
      </c>
      <c r="AO493">
        <v>120</v>
      </c>
      <c r="AP493" s="303">
        <v>42170</v>
      </c>
      <c r="AQ493" s="302"/>
      <c r="AR493" s="303"/>
      <c r="AS493" s="302"/>
      <c r="AT493" s="303"/>
      <c r="AU493">
        <v>106</v>
      </c>
      <c r="AV493" s="303"/>
      <c r="AW493" s="302"/>
      <c r="AX493" s="302"/>
      <c r="AY493" s="302"/>
      <c r="AZ493" s="303"/>
      <c r="BA493" s="302"/>
      <c r="BB493" s="302"/>
      <c r="BC493" s="302"/>
      <c r="BD493" s="302"/>
      <c r="BE493" s="302"/>
      <c r="BF493" s="302"/>
      <c r="BG493" s="302"/>
      <c r="BH493" s="302"/>
      <c r="BI493" s="302"/>
      <c r="BJ493" s="302"/>
      <c r="BM493">
        <v>-2.2000000000000002</v>
      </c>
      <c r="BS493">
        <v>63.7</v>
      </c>
      <c r="BY493">
        <v>53.5</v>
      </c>
      <c r="CA493">
        <v>16.2</v>
      </c>
      <c r="CC493">
        <v>21.6</v>
      </c>
      <c r="CI493">
        <v>5.6</v>
      </c>
      <c r="CO493" t="s">
        <v>8698</v>
      </c>
      <c r="CR493">
        <v>1</v>
      </c>
      <c r="CT493" s="304" t="s">
        <v>11678</v>
      </c>
    </row>
    <row r="494" spans="1:98" s="304" customFormat="1">
      <c r="A494" s="304" t="s">
        <v>8506</v>
      </c>
      <c r="B494" s="463">
        <v>105</v>
      </c>
      <c r="C494" s="296" t="s">
        <v>7723</v>
      </c>
      <c r="D494" s="296" t="s">
        <v>7550</v>
      </c>
      <c r="E494" s="296" t="s">
        <v>7723</v>
      </c>
      <c r="F494" s="296"/>
      <c r="G494" s="296" t="s">
        <v>8506</v>
      </c>
      <c r="H494" s="297" t="s">
        <v>8697</v>
      </c>
      <c r="I494" s="297">
        <v>4</v>
      </c>
      <c r="J494" s="297">
        <v>4311</v>
      </c>
      <c r="K494" s="299"/>
      <c r="L494" s="299"/>
      <c r="M494" s="299">
        <v>82</v>
      </c>
      <c r="N494" s="299">
        <v>12</v>
      </c>
      <c r="O494" s="300">
        <v>36</v>
      </c>
      <c r="P494" s="301">
        <v>42090</v>
      </c>
      <c r="Q494" s="302"/>
      <c r="R494" s="303"/>
      <c r="S494" s="289">
        <v>4.5</v>
      </c>
      <c r="T494" s="303">
        <v>42208</v>
      </c>
      <c r="U494" s="302"/>
      <c r="V494" s="303"/>
      <c r="W494" s="302"/>
      <c r="X494" s="303"/>
      <c r="Y494" s="302">
        <v>16.37</v>
      </c>
      <c r="Z494" s="303">
        <v>42208</v>
      </c>
      <c r="AA494">
        <v>14.4</v>
      </c>
      <c r="AB494" s="303"/>
      <c r="AC494" s="302"/>
      <c r="AD494" s="303"/>
      <c r="AE494" s="302"/>
      <c r="AF494" s="303"/>
      <c r="AG494">
        <v>56446.078431372553</v>
      </c>
      <c r="AH494" s="521">
        <f>(AK494*10000)/AM494</f>
        <v>56446.078431372553</v>
      </c>
      <c r="AI494" s="302"/>
      <c r="AJ494" s="303"/>
      <c r="AK494">
        <v>28.787499999999998</v>
      </c>
      <c r="AL494" s="521"/>
      <c r="AM494">
        <v>5.0999999999999996</v>
      </c>
      <c r="AN494" s="303">
        <v>42244</v>
      </c>
      <c r="AO494">
        <v>120</v>
      </c>
      <c r="AP494" s="303">
        <v>42170</v>
      </c>
      <c r="AQ494" s="302"/>
      <c r="AR494" s="303"/>
      <c r="AS494" s="302"/>
      <c r="AT494" s="303"/>
      <c r="AU494">
        <v>111</v>
      </c>
      <c r="AV494" s="303"/>
      <c r="AW494" s="302"/>
      <c r="AX494" s="302"/>
      <c r="AY494" s="302"/>
      <c r="AZ494" s="303"/>
      <c r="BA494" s="302"/>
      <c r="BB494" s="302"/>
      <c r="BC494" s="302"/>
      <c r="BD494" s="302"/>
      <c r="BE494" s="302"/>
      <c r="BF494" s="302"/>
      <c r="BG494" s="302"/>
      <c r="BH494" s="302"/>
      <c r="BI494" s="302"/>
      <c r="BJ494" s="302"/>
      <c r="BM494">
        <v>-0.3</v>
      </c>
      <c r="BS494">
        <v>60</v>
      </c>
      <c r="BY494">
        <v>50.7</v>
      </c>
      <c r="CA494">
        <v>17.5</v>
      </c>
      <c r="CC494">
        <v>16.8</v>
      </c>
      <c r="CI494">
        <v>6</v>
      </c>
      <c r="CO494" t="s">
        <v>8698</v>
      </c>
      <c r="CR494">
        <v>3</v>
      </c>
      <c r="CT494" s="304" t="s">
        <v>11678</v>
      </c>
    </row>
    <row r="495" spans="1:98" s="304" customFormat="1">
      <c r="A495" s="304" t="s">
        <v>8506</v>
      </c>
      <c r="B495" s="463">
        <v>108</v>
      </c>
      <c r="C495" s="296" t="s">
        <v>7726</v>
      </c>
      <c r="D495" s="296" t="s">
        <v>7552</v>
      </c>
      <c r="E495" s="296" t="s">
        <v>7726</v>
      </c>
      <c r="F495" s="296"/>
      <c r="G495" s="296" t="s">
        <v>8506</v>
      </c>
      <c r="H495" s="297" t="s">
        <v>8697</v>
      </c>
      <c r="I495" s="297">
        <v>4</v>
      </c>
      <c r="J495" s="297">
        <v>4191</v>
      </c>
      <c r="K495" s="299"/>
      <c r="L495" s="299"/>
      <c r="M495" s="299">
        <v>82</v>
      </c>
      <c r="N495" s="299">
        <v>10</v>
      </c>
      <c r="O495" s="300">
        <v>48</v>
      </c>
      <c r="P495" s="301">
        <v>42090</v>
      </c>
      <c r="Q495" s="302"/>
      <c r="R495" s="303"/>
      <c r="S495" s="289">
        <v>4.8</v>
      </c>
      <c r="T495" s="303">
        <v>42208</v>
      </c>
      <c r="U495" s="302"/>
      <c r="V495" s="303"/>
      <c r="W495" s="302"/>
      <c r="X495" s="303"/>
      <c r="Y495" s="302">
        <v>18.920000000000002</v>
      </c>
      <c r="Z495" s="303">
        <v>42208</v>
      </c>
      <c r="AA495">
        <v>14.4</v>
      </c>
      <c r="AB495" s="303"/>
      <c r="AC495" s="302"/>
      <c r="AD495" s="303"/>
      <c r="AE495" s="302"/>
      <c r="AF495" s="303"/>
      <c r="AG495">
        <v>64244.444444444445</v>
      </c>
      <c r="AH495" s="521">
        <f>(AK495*10000)/AM495</f>
        <v>64244.444444444445</v>
      </c>
      <c r="AI495" s="302"/>
      <c r="AJ495" s="303"/>
      <c r="AK495">
        <v>30.837333333333333</v>
      </c>
      <c r="AL495" s="521"/>
      <c r="AM495">
        <v>4.8</v>
      </c>
      <c r="AN495" s="303">
        <v>42244</v>
      </c>
      <c r="AO495">
        <v>145</v>
      </c>
      <c r="AP495" s="303">
        <v>42170</v>
      </c>
      <c r="AQ495" s="302"/>
      <c r="AR495" s="303"/>
      <c r="AS495" s="302"/>
      <c r="AT495" s="303"/>
      <c r="AU495">
        <v>107</v>
      </c>
      <c r="AV495" s="303"/>
      <c r="AW495" s="302"/>
      <c r="AX495" s="302"/>
      <c r="AY495" s="302"/>
      <c r="AZ495" s="303"/>
      <c r="BA495" s="302"/>
      <c r="BB495" s="302"/>
      <c r="BC495" s="302"/>
      <c r="BD495" s="302"/>
      <c r="BE495" s="302"/>
      <c r="BF495" s="302"/>
      <c r="BG495" s="302"/>
      <c r="BH495" s="302"/>
      <c r="BI495" s="302"/>
      <c r="BJ495" s="302"/>
      <c r="BM495">
        <v>-6.9</v>
      </c>
      <c r="BS495">
        <v>65.400000000000006</v>
      </c>
      <c r="BY495">
        <v>54.7</v>
      </c>
      <c r="CA495">
        <v>15.9</v>
      </c>
      <c r="CC495">
        <v>21.6</v>
      </c>
      <c r="CI495">
        <v>5.6</v>
      </c>
      <c r="CO495" t="s">
        <v>8698</v>
      </c>
      <c r="CR495">
        <v>1</v>
      </c>
      <c r="CT495" s="304" t="s">
        <v>11678</v>
      </c>
    </row>
    <row r="496" spans="1:98" s="304" customFormat="1">
      <c r="A496" s="304" t="s">
        <v>8506</v>
      </c>
      <c r="B496" s="463">
        <v>111</v>
      </c>
      <c r="C496" s="296" t="s">
        <v>7729</v>
      </c>
      <c r="D496" s="296" t="s">
        <v>7555</v>
      </c>
      <c r="E496" s="296" t="s">
        <v>7729</v>
      </c>
      <c r="F496" s="296"/>
      <c r="G496" s="296" t="s">
        <v>8506</v>
      </c>
      <c r="H496" s="297" t="s">
        <v>8697</v>
      </c>
      <c r="I496" s="297">
        <v>4</v>
      </c>
      <c r="J496" s="297">
        <v>4131</v>
      </c>
      <c r="K496" s="299"/>
      <c r="L496" s="299"/>
      <c r="M496" s="299">
        <v>82</v>
      </c>
      <c r="N496" s="299">
        <v>9</v>
      </c>
      <c r="O496" s="300">
        <v>64</v>
      </c>
      <c r="P496" s="301">
        <v>42090</v>
      </c>
      <c r="Q496" s="302"/>
      <c r="R496" s="303"/>
      <c r="S496" s="289">
        <v>5.2</v>
      </c>
      <c r="T496" s="303">
        <v>42208</v>
      </c>
      <c r="U496" s="302"/>
      <c r="V496" s="303"/>
      <c r="W496" s="302"/>
      <c r="X496" s="303"/>
      <c r="Y496" s="302">
        <v>19.45</v>
      </c>
      <c r="Z496" s="303">
        <v>42208</v>
      </c>
      <c r="AA496">
        <v>14.4</v>
      </c>
      <c r="AB496" s="303"/>
      <c r="AC496" s="302"/>
      <c r="AD496" s="303"/>
      <c r="AE496" s="302"/>
      <c r="AF496" s="303"/>
      <c r="AG496">
        <v>56322.316384180791</v>
      </c>
      <c r="AH496" s="521">
        <f>(AK496*10000)/AM496</f>
        <v>56322.316384180791</v>
      </c>
      <c r="AI496" s="302"/>
      <c r="AJ496" s="303"/>
      <c r="AK496">
        <v>33.230166666666669</v>
      </c>
      <c r="AL496" s="521"/>
      <c r="AM496">
        <v>5.9</v>
      </c>
      <c r="AN496" s="303">
        <v>42244</v>
      </c>
      <c r="AO496">
        <v>145</v>
      </c>
      <c r="AP496" s="303">
        <v>42170</v>
      </c>
      <c r="AQ496" s="302"/>
      <c r="AR496" s="303"/>
      <c r="AS496" s="302"/>
      <c r="AT496" s="303"/>
      <c r="AU496">
        <v>107</v>
      </c>
      <c r="AV496" s="303"/>
      <c r="AW496" s="302"/>
      <c r="AX496" s="302"/>
      <c r="AY496" s="302"/>
      <c r="AZ496" s="303"/>
      <c r="BA496" s="302"/>
      <c r="BB496" s="302"/>
      <c r="BC496" s="302"/>
      <c r="BD496" s="302"/>
      <c r="BE496" s="302"/>
      <c r="BF496" s="302"/>
      <c r="BG496" s="302"/>
      <c r="BH496" s="302"/>
      <c r="BI496" s="302"/>
      <c r="BJ496" s="302"/>
      <c r="BM496">
        <v>-1.6</v>
      </c>
      <c r="BS496">
        <v>60.7</v>
      </c>
      <c r="BY496">
        <v>52.2</v>
      </c>
      <c r="CA496">
        <v>15.8</v>
      </c>
      <c r="CC496">
        <v>17.899999999999999</v>
      </c>
      <c r="CI496">
        <v>6.1</v>
      </c>
      <c r="CO496" t="s">
        <v>8698</v>
      </c>
      <c r="CR496">
        <v>2</v>
      </c>
      <c r="CT496" s="304" t="s">
        <v>11678</v>
      </c>
    </row>
    <row r="497" spans="1:98" s="304" customFormat="1">
      <c r="A497" s="304" t="s">
        <v>8506</v>
      </c>
      <c r="B497" s="463">
        <v>112</v>
      </c>
      <c r="C497" s="296" t="s">
        <v>7730</v>
      </c>
      <c r="D497" s="296" t="s">
        <v>7556</v>
      </c>
      <c r="E497" s="296" t="s">
        <v>7730</v>
      </c>
      <c r="F497" s="296"/>
      <c r="G497" s="296" t="s">
        <v>8506</v>
      </c>
      <c r="H497" s="297" t="s">
        <v>8696</v>
      </c>
      <c r="I497" s="297">
        <v>3</v>
      </c>
      <c r="J497" s="308">
        <v>3311</v>
      </c>
      <c r="K497" s="299"/>
      <c r="L497" s="299"/>
      <c r="M497" s="299">
        <v>82</v>
      </c>
      <c r="N497" s="299">
        <v>6</v>
      </c>
      <c r="O497" s="300">
        <v>42</v>
      </c>
      <c r="P497" s="301">
        <v>42090</v>
      </c>
      <c r="Q497" s="306"/>
      <c r="R497" s="303"/>
      <c r="S497" s="289">
        <v>6.15</v>
      </c>
      <c r="T497" s="303">
        <v>42208</v>
      </c>
      <c r="U497" s="307"/>
      <c r="V497" s="303"/>
      <c r="W497" s="306"/>
      <c r="X497" s="303"/>
      <c r="Y497" s="306">
        <v>21.4</v>
      </c>
      <c r="Z497" s="303">
        <v>42208</v>
      </c>
      <c r="AA497">
        <v>14.4</v>
      </c>
      <c r="AB497" s="303"/>
      <c r="AC497" s="306"/>
      <c r="AD497" s="303"/>
      <c r="AE497" s="302"/>
      <c r="AF497" s="303"/>
      <c r="AG497">
        <v>83708.333333333328</v>
      </c>
      <c r="AH497" s="521">
        <f>(AK497*10000)/AM497</f>
        <v>83708.333333333328</v>
      </c>
      <c r="AI497" s="302"/>
      <c r="AJ497" s="303"/>
      <c r="AK497">
        <v>39.342916666666667</v>
      </c>
      <c r="AL497" s="521"/>
      <c r="AM497">
        <v>4.7</v>
      </c>
      <c r="AN497" s="303">
        <v>42244</v>
      </c>
      <c r="AO497">
        <v>135</v>
      </c>
      <c r="AP497" s="303">
        <v>42170</v>
      </c>
      <c r="AQ497" s="306"/>
      <c r="AR497" s="303"/>
      <c r="AS497" s="306"/>
      <c r="AT497" s="303"/>
      <c r="AU497">
        <v>107</v>
      </c>
      <c r="AV497" s="303"/>
      <c r="AW497" s="302"/>
      <c r="AX497" s="302"/>
      <c r="AY497" s="302"/>
      <c r="AZ497" s="303"/>
      <c r="BA497" s="302"/>
      <c r="BB497" s="302"/>
      <c r="BC497" s="302"/>
      <c r="BD497" s="302"/>
      <c r="BE497" s="302"/>
      <c r="BF497" s="302"/>
      <c r="BG497" s="302"/>
      <c r="BH497" s="302"/>
      <c r="BI497" s="302"/>
      <c r="BJ497" s="302"/>
      <c r="BM497">
        <v>-3</v>
      </c>
      <c r="BS497">
        <v>61.5</v>
      </c>
      <c r="BY497">
        <v>48.5</v>
      </c>
      <c r="CA497">
        <v>20</v>
      </c>
      <c r="CC497">
        <v>18.8</v>
      </c>
      <c r="CI497">
        <v>6</v>
      </c>
      <c r="CO497" t="s">
        <v>8698</v>
      </c>
      <c r="CR497">
        <v>2</v>
      </c>
      <c r="CT497" s="304" t="s">
        <v>11678</v>
      </c>
    </row>
    <row r="498" spans="1:98" s="304" customFormat="1">
      <c r="A498" s="304" t="s">
        <v>8506</v>
      </c>
      <c r="B498" s="463">
        <v>9</v>
      </c>
      <c r="C498" s="296" t="s">
        <v>7618</v>
      </c>
      <c r="D498" s="296" t="s">
        <v>7458</v>
      </c>
      <c r="E498" s="296" t="s">
        <v>7618</v>
      </c>
      <c r="F498" s="296"/>
      <c r="G498" s="296" t="s">
        <v>8506</v>
      </c>
      <c r="H498" s="297" t="s">
        <v>8697</v>
      </c>
      <c r="I498" s="297">
        <v>4</v>
      </c>
      <c r="J498" s="297">
        <v>4252</v>
      </c>
      <c r="K498" s="299"/>
      <c r="L498" s="299"/>
      <c r="M498" s="299">
        <v>83</v>
      </c>
      <c r="N498" s="299">
        <v>11</v>
      </c>
      <c r="O498" s="300">
        <v>50</v>
      </c>
      <c r="P498" s="301">
        <v>42090</v>
      </c>
      <c r="Q498" s="302"/>
      <c r="R498" s="303"/>
      <c r="S498" s="289">
        <v>3.5</v>
      </c>
      <c r="T498" s="303">
        <v>42208</v>
      </c>
      <c r="U498" s="302"/>
      <c r="V498" s="303"/>
      <c r="W498" s="302"/>
      <c r="X498" s="303"/>
      <c r="Y498" s="302">
        <v>12.81</v>
      </c>
      <c r="Z498" s="303">
        <v>42208</v>
      </c>
      <c r="AA498">
        <v>14.4</v>
      </c>
      <c r="AB498" s="303"/>
      <c r="AC498" s="302"/>
      <c r="AD498" s="303"/>
      <c r="AE498" s="302"/>
      <c r="AF498" s="303"/>
      <c r="AG498">
        <v>43995.915032679746</v>
      </c>
      <c r="AH498" s="521">
        <f>(AK498*10000)/AM498</f>
        <v>43995.915032679746</v>
      </c>
      <c r="AI498" s="302"/>
      <c r="AJ498" s="303"/>
      <c r="AK498">
        <v>22.43791666666667</v>
      </c>
      <c r="AL498" s="521"/>
      <c r="AM498">
        <v>5.0999999999999996</v>
      </c>
      <c r="AN498" s="303">
        <v>42244</v>
      </c>
      <c r="AO498">
        <v>110</v>
      </c>
      <c r="AP498" s="303">
        <v>42170</v>
      </c>
      <c r="AQ498" s="302"/>
      <c r="AR498" s="303"/>
      <c r="AS498" s="302"/>
      <c r="AT498" s="303"/>
      <c r="AU498">
        <v>108</v>
      </c>
      <c r="AV498" s="303"/>
      <c r="AW498" s="302"/>
      <c r="AX498" s="302"/>
      <c r="AY498" s="302"/>
      <c r="AZ498" s="303"/>
      <c r="BA498" s="302"/>
      <c r="BB498" s="302"/>
      <c r="BC498" s="302"/>
      <c r="BD498" s="302"/>
      <c r="BE498" s="302"/>
      <c r="BF498" s="302"/>
      <c r="BG498" s="302"/>
      <c r="BH498" s="302"/>
      <c r="BI498" s="302"/>
      <c r="BJ498" s="302"/>
      <c r="BM498">
        <v>41.6</v>
      </c>
      <c r="BS498">
        <v>12.6</v>
      </c>
      <c r="BY498">
        <v>50.9</v>
      </c>
      <c r="CA498">
        <v>18.8</v>
      </c>
      <c r="CC498">
        <v>67.2</v>
      </c>
      <c r="CI498">
        <v>5.8</v>
      </c>
      <c r="CO498" s="304" t="s">
        <v>11676</v>
      </c>
      <c r="CR498">
        <v>6</v>
      </c>
      <c r="CT498" s="304" t="s">
        <v>11678</v>
      </c>
    </row>
    <row r="499" spans="1:98" s="304" customFormat="1">
      <c r="A499" s="304" t="s">
        <v>8506</v>
      </c>
      <c r="B499" s="463">
        <v>46</v>
      </c>
      <c r="C499" s="296" t="s">
        <v>7663</v>
      </c>
      <c r="D499" s="296" t="s">
        <v>7496</v>
      </c>
      <c r="E499" s="296" t="s">
        <v>7663</v>
      </c>
      <c r="F499" s="296"/>
      <c r="G499" s="296" t="s">
        <v>8506</v>
      </c>
      <c r="H499" s="297" t="s">
        <v>8696</v>
      </c>
      <c r="I499" s="297">
        <v>3</v>
      </c>
      <c r="J499" s="297">
        <v>3252</v>
      </c>
      <c r="K499" s="299"/>
      <c r="L499" s="299"/>
      <c r="M499" s="299">
        <v>83</v>
      </c>
      <c r="N499" s="299">
        <v>5</v>
      </c>
      <c r="O499" s="300">
        <v>28</v>
      </c>
      <c r="P499" s="301">
        <v>42090</v>
      </c>
      <c r="Q499" s="302"/>
      <c r="R499" s="303"/>
      <c r="S499" s="289">
        <v>6.55</v>
      </c>
      <c r="T499" s="303">
        <v>42208</v>
      </c>
      <c r="U499" s="302"/>
      <c r="V499" s="303"/>
      <c r="W499" s="302"/>
      <c r="X499" s="303"/>
      <c r="Y499" s="302">
        <v>24.16</v>
      </c>
      <c r="Z499" s="303">
        <v>42208</v>
      </c>
      <c r="AA499">
        <v>14.4</v>
      </c>
      <c r="AB499" s="303"/>
      <c r="AC499" s="302"/>
      <c r="AD499" s="303"/>
      <c r="AE499" s="302"/>
      <c r="AF499" s="303"/>
      <c r="AG499">
        <v>85695.833333333328</v>
      </c>
      <c r="AH499" s="521">
        <f>(AK499*10000)/AM499</f>
        <v>85695.833333333328</v>
      </c>
      <c r="AI499" s="302"/>
      <c r="AJ499" s="303"/>
      <c r="AK499">
        <v>41.990958333333339</v>
      </c>
      <c r="AL499" s="521"/>
      <c r="AM499">
        <v>4.9000000000000004</v>
      </c>
      <c r="AN499" s="303">
        <v>42244</v>
      </c>
      <c r="AO499">
        <v>110</v>
      </c>
      <c r="AP499" s="303">
        <v>42170</v>
      </c>
      <c r="AQ499" s="302"/>
      <c r="AR499" s="303"/>
      <c r="AS499" s="302"/>
      <c r="AT499" s="303"/>
      <c r="AU499">
        <v>105</v>
      </c>
      <c r="AV499" s="303"/>
      <c r="AW499" s="302"/>
      <c r="AX499" s="302"/>
      <c r="AY499" s="302"/>
      <c r="AZ499" s="303"/>
      <c r="BA499" s="302"/>
      <c r="BB499" s="302"/>
      <c r="BC499" s="302"/>
      <c r="BD499" s="302"/>
      <c r="BE499" s="302"/>
      <c r="BF499" s="302"/>
      <c r="BG499" s="302"/>
      <c r="BH499" s="302"/>
      <c r="BI499" s="302"/>
      <c r="BJ499" s="302"/>
      <c r="BM499">
        <v>0</v>
      </c>
      <c r="BS499">
        <v>62.5</v>
      </c>
      <c r="BY499">
        <v>51.3</v>
      </c>
      <c r="CA499">
        <v>18.3</v>
      </c>
      <c r="CC499">
        <v>19.100000000000001</v>
      </c>
      <c r="CI499">
        <v>5.8</v>
      </c>
      <c r="CO499" t="s">
        <v>8698</v>
      </c>
      <c r="CR499">
        <v>2</v>
      </c>
      <c r="CT499" s="304" t="s">
        <v>11678</v>
      </c>
    </row>
    <row r="500" spans="1:98" s="304" customFormat="1">
      <c r="A500" s="304" t="s">
        <v>8506</v>
      </c>
      <c r="B500" s="463">
        <v>82</v>
      </c>
      <c r="C500" s="296" t="s">
        <v>7700</v>
      </c>
      <c r="D500" s="296" t="s">
        <v>7529</v>
      </c>
      <c r="E500" s="296" t="s">
        <v>7700</v>
      </c>
      <c r="F500" s="296"/>
      <c r="G500" s="296" t="s">
        <v>8506</v>
      </c>
      <c r="H500" s="297" t="s">
        <v>8697</v>
      </c>
      <c r="I500" s="297">
        <v>4</v>
      </c>
      <c r="J500" s="297">
        <v>4312</v>
      </c>
      <c r="K500" s="299"/>
      <c r="L500" s="299"/>
      <c r="M500" s="299">
        <v>83</v>
      </c>
      <c r="N500" s="299">
        <v>12</v>
      </c>
      <c r="O500" s="300">
        <v>56</v>
      </c>
      <c r="P500" s="301">
        <v>42090</v>
      </c>
      <c r="Q500" s="302"/>
      <c r="R500" s="303"/>
      <c r="S500" s="289">
        <v>4.7</v>
      </c>
      <c r="T500" s="303">
        <v>42208</v>
      </c>
      <c r="U500" s="302"/>
      <c r="V500" s="303"/>
      <c r="W500" s="302"/>
      <c r="X500" s="303"/>
      <c r="Y500" s="302">
        <v>17.04</v>
      </c>
      <c r="Z500" s="303">
        <v>42208</v>
      </c>
      <c r="AA500">
        <v>14.4</v>
      </c>
      <c r="AB500" s="303"/>
      <c r="AC500" s="302"/>
      <c r="AD500" s="303"/>
      <c r="AE500" s="302"/>
      <c r="AF500" s="303"/>
      <c r="AG500">
        <v>57882.558760683758</v>
      </c>
      <c r="AH500" s="521">
        <f>(AK500*10000)/AM500</f>
        <v>57882.558760683758</v>
      </c>
      <c r="AI500" s="302"/>
      <c r="AJ500" s="303"/>
      <c r="AK500">
        <v>30.098930555555555</v>
      </c>
      <c r="AL500" s="521"/>
      <c r="AM500">
        <v>5.2</v>
      </c>
      <c r="AN500" s="303">
        <v>42244</v>
      </c>
      <c r="AO500">
        <v>130</v>
      </c>
      <c r="AP500" s="303">
        <v>42170</v>
      </c>
      <c r="AQ500" s="302"/>
      <c r="AR500" s="303"/>
      <c r="AS500" s="302"/>
      <c r="AT500" s="303"/>
      <c r="AU500">
        <v>109</v>
      </c>
      <c r="AV500" s="303"/>
      <c r="AW500" s="302"/>
      <c r="AX500" s="302"/>
      <c r="AY500" s="302"/>
      <c r="AZ500" s="303"/>
      <c r="BA500" s="302"/>
      <c r="BB500" s="302"/>
      <c r="BC500" s="302"/>
      <c r="BD500" s="302"/>
      <c r="BE500" s="302"/>
      <c r="BF500" s="302"/>
      <c r="BG500" s="302"/>
      <c r="BH500" s="302"/>
      <c r="BI500" s="302"/>
      <c r="BJ500" s="302"/>
      <c r="BM500">
        <v>2.5</v>
      </c>
      <c r="BS500">
        <v>60.2</v>
      </c>
      <c r="BY500">
        <v>50.5</v>
      </c>
      <c r="CA500">
        <v>18.100000000000001</v>
      </c>
      <c r="CC500">
        <v>16.3</v>
      </c>
      <c r="CI500">
        <v>5.9</v>
      </c>
      <c r="CO500" t="s">
        <v>8698</v>
      </c>
      <c r="CR500">
        <v>3</v>
      </c>
      <c r="CT500" s="304" t="s">
        <v>11678</v>
      </c>
    </row>
    <row r="501" spans="1:98" s="304" customFormat="1">
      <c r="A501" s="304" t="s">
        <v>8506</v>
      </c>
      <c r="B501" s="523">
        <v>357</v>
      </c>
      <c r="C501" s="296" t="s">
        <v>8509</v>
      </c>
      <c r="D501" s="296" t="s">
        <v>8086</v>
      </c>
      <c r="E501" s="296" t="s">
        <v>8086</v>
      </c>
      <c r="F501" s="296"/>
      <c r="G501" s="296" t="s">
        <v>8506</v>
      </c>
      <c r="H501" s="297" t="s">
        <v>8697</v>
      </c>
      <c r="I501" s="297">
        <v>4</v>
      </c>
      <c r="J501" s="297">
        <v>412</v>
      </c>
      <c r="K501" s="299"/>
      <c r="L501" s="299"/>
      <c r="M501" s="299">
        <v>83</v>
      </c>
      <c r="N501" s="299">
        <v>7</v>
      </c>
      <c r="O501" s="300">
        <v>51</v>
      </c>
      <c r="P501" s="301">
        <v>42090</v>
      </c>
      <c r="Q501" s="302"/>
      <c r="R501" s="303"/>
      <c r="S501" s="289">
        <v>5.65</v>
      </c>
      <c r="T501" s="303">
        <v>42208</v>
      </c>
      <c r="U501" s="302"/>
      <c r="V501" s="303"/>
      <c r="W501" s="302"/>
      <c r="X501" s="303"/>
      <c r="Y501" s="302">
        <v>21.95</v>
      </c>
      <c r="Z501" s="303">
        <v>42208</v>
      </c>
      <c r="AA501">
        <v>14.4</v>
      </c>
      <c r="AB501" s="303"/>
      <c r="AC501" s="302"/>
      <c r="AD501" s="303"/>
      <c r="AE501" s="302"/>
      <c r="AF501" s="303"/>
      <c r="AG501">
        <v>80406.126543209844</v>
      </c>
      <c r="AH501" s="521">
        <f>(AK501*10000)/AM501</f>
        <v>80406.126543209844</v>
      </c>
      <c r="AI501" s="302"/>
      <c r="AJ501" s="303"/>
      <c r="AK501">
        <v>36.182756944444435</v>
      </c>
      <c r="AL501" s="521"/>
      <c r="AM501">
        <v>4.5</v>
      </c>
      <c r="AN501" s="303">
        <v>42244</v>
      </c>
      <c r="AO501">
        <v>115</v>
      </c>
      <c r="AP501" s="303">
        <v>42170</v>
      </c>
      <c r="AQ501" s="302"/>
      <c r="AR501" s="303"/>
      <c r="AS501" s="302"/>
      <c r="AT501" s="303"/>
      <c r="AU501">
        <v>105</v>
      </c>
      <c r="AV501" s="302"/>
      <c r="AW501" s="302"/>
      <c r="AX501" s="302"/>
      <c r="AY501" s="302"/>
      <c r="AZ501" s="302"/>
      <c r="BA501" s="302"/>
      <c r="BB501" s="302"/>
      <c r="BC501" s="302"/>
      <c r="BD501" s="302"/>
      <c r="BE501" s="302"/>
      <c r="BF501" s="302"/>
      <c r="BG501" s="302"/>
      <c r="BH501" s="302"/>
      <c r="BI501" s="302"/>
      <c r="BJ501" s="302"/>
      <c r="BM501">
        <v>-4.0999999999999996</v>
      </c>
      <c r="BS501">
        <v>62.8</v>
      </c>
      <c r="BY501">
        <v>54.1</v>
      </c>
      <c r="CA501">
        <v>14.2</v>
      </c>
      <c r="CC501">
        <v>15.3</v>
      </c>
      <c r="CI501">
        <v>5.9</v>
      </c>
      <c r="CO501" t="s">
        <v>8698</v>
      </c>
      <c r="CR501">
        <v>2</v>
      </c>
      <c r="CT501" s="304" t="s">
        <v>11678</v>
      </c>
    </row>
    <row r="502" spans="1:98" s="304" customFormat="1">
      <c r="A502" s="304" t="s">
        <v>8506</v>
      </c>
      <c r="B502" s="463">
        <v>14</v>
      </c>
      <c r="C502" s="296" t="s">
        <v>7623</v>
      </c>
      <c r="D502" s="296" t="s">
        <v>7461</v>
      </c>
      <c r="E502" s="296" t="s">
        <v>7623</v>
      </c>
      <c r="F502" s="296"/>
      <c r="G502" s="296" t="s">
        <v>8506</v>
      </c>
      <c r="H502" s="297" t="s">
        <v>8696</v>
      </c>
      <c r="I502" s="297">
        <v>3</v>
      </c>
      <c r="J502" s="297">
        <v>3253</v>
      </c>
      <c r="K502" s="299"/>
      <c r="L502" s="299"/>
      <c r="M502" s="299">
        <v>84</v>
      </c>
      <c r="N502" s="299">
        <v>5</v>
      </c>
      <c r="O502" s="300">
        <v>74</v>
      </c>
      <c r="P502" s="301">
        <v>42090</v>
      </c>
      <c r="Q502" s="302"/>
      <c r="R502" s="303"/>
      <c r="S502" s="289">
        <v>4.8499999999999996</v>
      </c>
      <c r="T502" s="303">
        <v>42208</v>
      </c>
      <c r="U502" s="302"/>
      <c r="V502" s="303"/>
      <c r="W502" s="302"/>
      <c r="X502" s="303"/>
      <c r="Y502" s="302">
        <v>17.52</v>
      </c>
      <c r="Z502" s="303">
        <v>42208</v>
      </c>
      <c r="AA502">
        <v>14.4</v>
      </c>
      <c r="AB502" s="303"/>
      <c r="AC502" s="302"/>
      <c r="AD502" s="303"/>
      <c r="AE502" s="302"/>
      <c r="AF502" s="303"/>
      <c r="AG502">
        <v>60901.048474945521</v>
      </c>
      <c r="AH502" s="521">
        <f>(AK502*10000)/AM502</f>
        <v>60901.048474945521</v>
      </c>
      <c r="AI502" s="302"/>
      <c r="AJ502" s="303"/>
      <c r="AK502">
        <v>31.059534722222214</v>
      </c>
      <c r="AL502" s="521"/>
      <c r="AM502">
        <v>5.0999999999999996</v>
      </c>
      <c r="AN502" s="303">
        <v>42244</v>
      </c>
      <c r="AO502">
        <v>105</v>
      </c>
      <c r="AP502" s="303">
        <v>42170</v>
      </c>
      <c r="AQ502" s="302"/>
      <c r="AR502" s="303"/>
      <c r="AS502" s="302"/>
      <c r="AT502" s="303"/>
      <c r="AU502">
        <v>106</v>
      </c>
      <c r="AV502" s="303"/>
      <c r="AW502" s="302"/>
      <c r="AX502" s="302"/>
      <c r="AY502" s="302"/>
      <c r="AZ502" s="303"/>
      <c r="BA502" s="302"/>
      <c r="BB502" s="302"/>
      <c r="BC502" s="302"/>
      <c r="BD502" s="302"/>
      <c r="BE502" s="302"/>
      <c r="BF502" s="302"/>
      <c r="BG502" s="302"/>
      <c r="BH502" s="302"/>
      <c r="BI502" s="302"/>
      <c r="BJ502" s="302"/>
      <c r="BM502">
        <v>37.6</v>
      </c>
      <c r="BS502">
        <v>18.100000000000001</v>
      </c>
      <c r="BY502">
        <v>50.3</v>
      </c>
      <c r="CA502">
        <v>20.3</v>
      </c>
      <c r="CC502">
        <v>56</v>
      </c>
      <c r="CI502">
        <v>5.9</v>
      </c>
      <c r="CO502" t="s">
        <v>8698</v>
      </c>
      <c r="CR502">
        <v>2</v>
      </c>
      <c r="CT502" s="304" t="s">
        <v>11678</v>
      </c>
    </row>
    <row r="503" spans="1:98" s="304" customFormat="1">
      <c r="A503" s="304" t="s">
        <v>8506</v>
      </c>
      <c r="B503" s="463">
        <v>19</v>
      </c>
      <c r="C503" s="296" t="s">
        <v>7628</v>
      </c>
      <c r="D503" s="296" t="s">
        <v>7465</v>
      </c>
      <c r="E503" s="296" t="s">
        <v>7628</v>
      </c>
      <c r="F503" s="296"/>
      <c r="G503" s="296" t="s">
        <v>8506</v>
      </c>
      <c r="H503" s="297" t="s">
        <v>8697</v>
      </c>
      <c r="I503" s="297">
        <v>4</v>
      </c>
      <c r="J503" s="297">
        <v>4253</v>
      </c>
      <c r="K503" s="299"/>
      <c r="L503" s="299"/>
      <c r="M503" s="299">
        <v>84</v>
      </c>
      <c r="N503" s="299">
        <v>11</v>
      </c>
      <c r="O503" s="300">
        <v>26</v>
      </c>
      <c r="P503" s="301">
        <v>42090</v>
      </c>
      <c r="Q503" s="302"/>
      <c r="R503" s="303"/>
      <c r="S503" s="289">
        <v>2.75</v>
      </c>
      <c r="T503" s="303">
        <v>42208</v>
      </c>
      <c r="U503" s="302"/>
      <c r="V503" s="303"/>
      <c r="W503" s="302"/>
      <c r="X503" s="303"/>
      <c r="Y503" s="302">
        <v>9.92</v>
      </c>
      <c r="Z503" s="303">
        <v>42208</v>
      </c>
      <c r="AA503">
        <v>14.4</v>
      </c>
      <c r="AB503" s="303"/>
      <c r="AC503" s="302"/>
      <c r="AD503" s="303"/>
      <c r="AE503" s="302"/>
      <c r="AF503" s="303"/>
      <c r="AG503">
        <v>38325.634057971016</v>
      </c>
      <c r="AH503" s="521">
        <f>(AK503*10000)/AM503</f>
        <v>38325.634057971016</v>
      </c>
      <c r="AI503" s="302"/>
      <c r="AJ503" s="303"/>
      <c r="AK503">
        <v>17.629791666666666</v>
      </c>
      <c r="AL503" s="521"/>
      <c r="AM503">
        <v>4.5999999999999996</v>
      </c>
      <c r="AN503" s="303">
        <v>42244</v>
      </c>
      <c r="AO503">
        <v>140</v>
      </c>
      <c r="AP503" s="303">
        <v>42170</v>
      </c>
      <c r="AQ503" s="302"/>
      <c r="AR503" s="303"/>
      <c r="AS503" s="302"/>
      <c r="AT503" s="303"/>
      <c r="AU503">
        <v>113</v>
      </c>
      <c r="AV503" s="303"/>
      <c r="AW503" s="302"/>
      <c r="AX503" s="302"/>
      <c r="AY503" s="302"/>
      <c r="AZ503" s="303"/>
      <c r="BA503" s="302"/>
      <c r="BB503" s="302"/>
      <c r="BC503" s="302"/>
      <c r="BD503" s="302"/>
      <c r="BE503" s="302"/>
      <c r="BF503" s="302"/>
      <c r="BG503" s="302"/>
      <c r="BH503" s="302"/>
      <c r="BI503" s="302"/>
      <c r="BJ503" s="302"/>
      <c r="BM503">
        <v>33.1</v>
      </c>
      <c r="BS503">
        <v>17.8</v>
      </c>
      <c r="BY503">
        <v>50.2</v>
      </c>
      <c r="CA503">
        <v>18</v>
      </c>
      <c r="CC503">
        <v>65.099999999999994</v>
      </c>
      <c r="CI503">
        <v>5.8</v>
      </c>
      <c r="CO503" t="s">
        <v>8698</v>
      </c>
      <c r="CR503">
        <v>4</v>
      </c>
      <c r="CT503" s="304" t="s">
        <v>11678</v>
      </c>
    </row>
    <row r="504" spans="1:98" s="304" customFormat="1">
      <c r="A504" s="304" t="s">
        <v>8506</v>
      </c>
      <c r="B504" s="463">
        <v>23</v>
      </c>
      <c r="C504" s="296" t="s">
        <v>7635</v>
      </c>
      <c r="D504" s="296" t="s">
        <v>7471</v>
      </c>
      <c r="E504" s="296" t="s">
        <v>7635</v>
      </c>
      <c r="F504" s="296"/>
      <c r="G504" s="296" t="s">
        <v>8506</v>
      </c>
      <c r="H504" s="297" t="s">
        <v>8697</v>
      </c>
      <c r="I504" s="297">
        <v>4</v>
      </c>
      <c r="J504" s="297">
        <v>4193</v>
      </c>
      <c r="K504" s="299"/>
      <c r="L504" s="299"/>
      <c r="M504" s="299">
        <v>84</v>
      </c>
      <c r="N504" s="299">
        <v>10</v>
      </c>
      <c r="O504" s="300">
        <v>34</v>
      </c>
      <c r="P504" s="301">
        <v>42090</v>
      </c>
      <c r="Q504" s="302"/>
      <c r="R504" s="303"/>
      <c r="S504" s="289">
        <v>3.9</v>
      </c>
      <c r="T504" s="303">
        <v>42208</v>
      </c>
      <c r="U504" s="302"/>
      <c r="V504" s="303"/>
      <c r="W504" s="302"/>
      <c r="X504" s="303"/>
      <c r="Y504" s="302">
        <v>15.85</v>
      </c>
      <c r="Z504" s="303">
        <v>42208</v>
      </c>
      <c r="AA504">
        <v>14.4</v>
      </c>
      <c r="AB504" s="303"/>
      <c r="AC504" s="302"/>
      <c r="AD504" s="303"/>
      <c r="AE504" s="302"/>
      <c r="AF504" s="303"/>
      <c r="AG504">
        <v>50970.833333333321</v>
      </c>
      <c r="AH504" s="521">
        <f>(AK504*10000)/AM504</f>
        <v>50970.833333333321</v>
      </c>
      <c r="AI504" s="302"/>
      <c r="AJ504" s="303"/>
      <c r="AK504">
        <v>24.97570833333333</v>
      </c>
      <c r="AL504" s="521"/>
      <c r="AM504">
        <v>4.9000000000000004</v>
      </c>
      <c r="AN504" s="303">
        <v>42244</v>
      </c>
      <c r="AO504">
        <v>140</v>
      </c>
      <c r="AP504" s="303">
        <v>42170</v>
      </c>
      <c r="AQ504" s="302"/>
      <c r="AR504" s="303"/>
      <c r="AS504" s="302"/>
      <c r="AT504" s="303"/>
      <c r="AU504">
        <v>110</v>
      </c>
      <c r="AV504" s="303"/>
      <c r="AW504" s="302"/>
      <c r="AX504" s="302"/>
      <c r="AY504" s="302"/>
      <c r="AZ504" s="303"/>
      <c r="BA504" s="302"/>
      <c r="BB504" s="302"/>
      <c r="BC504" s="302"/>
      <c r="BD504" s="302"/>
      <c r="BE504" s="302"/>
      <c r="BF504" s="302"/>
      <c r="BG504" s="302"/>
      <c r="BH504" s="302"/>
      <c r="BI504" s="302"/>
      <c r="BJ504" s="302"/>
      <c r="BM504">
        <v>37.799999999999997</v>
      </c>
      <c r="BS504">
        <v>18</v>
      </c>
      <c r="BY504">
        <v>56.6</v>
      </c>
      <c r="CA504">
        <v>15</v>
      </c>
      <c r="CC504">
        <v>46</v>
      </c>
      <c r="CI504">
        <v>5.9</v>
      </c>
      <c r="CO504" t="s">
        <v>8698</v>
      </c>
      <c r="CR504">
        <v>4</v>
      </c>
      <c r="CT504" s="304" t="s">
        <v>11678</v>
      </c>
    </row>
    <row r="505" spans="1:98" s="304" customFormat="1">
      <c r="A505" s="304" t="s">
        <v>8506</v>
      </c>
      <c r="B505" s="463">
        <v>31</v>
      </c>
      <c r="C505" s="296" t="s">
        <v>7643</v>
      </c>
      <c r="D505" s="296" t="s">
        <v>7478</v>
      </c>
      <c r="E505" s="296" t="s">
        <v>7643</v>
      </c>
      <c r="F505" s="296"/>
      <c r="G505" s="296" t="s">
        <v>8506</v>
      </c>
      <c r="H505" s="297" t="s">
        <v>8697</v>
      </c>
      <c r="I505" s="297">
        <v>4</v>
      </c>
      <c r="J505" s="297">
        <v>413</v>
      </c>
      <c r="K505" s="299"/>
      <c r="L505" s="299"/>
      <c r="M505" s="299">
        <v>84</v>
      </c>
      <c r="N505" s="299">
        <v>7</v>
      </c>
      <c r="O505" s="300">
        <v>48</v>
      </c>
      <c r="P505" s="301">
        <v>42090</v>
      </c>
      <c r="Q505" s="302"/>
      <c r="R505" s="303"/>
      <c r="S505" s="289">
        <v>4.25</v>
      </c>
      <c r="T505" s="303">
        <v>42208</v>
      </c>
      <c r="U505" s="302"/>
      <c r="V505" s="303"/>
      <c r="W505" s="302"/>
      <c r="X505" s="303"/>
      <c r="Y505" s="302">
        <v>15.03</v>
      </c>
      <c r="Z505" s="303">
        <v>42208</v>
      </c>
      <c r="AA505">
        <v>14.4</v>
      </c>
      <c r="AB505" s="303"/>
      <c r="AC505" s="302"/>
      <c r="AD505" s="303"/>
      <c r="AE505" s="302"/>
      <c r="AF505" s="303"/>
      <c r="AG505">
        <v>50455.632716049382</v>
      </c>
      <c r="AH505" s="521">
        <f>(AK505*10000)/AM505</f>
        <v>50455.632716049382</v>
      </c>
      <c r="AI505" s="302"/>
      <c r="AJ505" s="303"/>
      <c r="AK505">
        <v>27.24604166666667</v>
      </c>
      <c r="AL505" s="521"/>
      <c r="AM505">
        <v>5.4</v>
      </c>
      <c r="AN505" s="303">
        <v>42244</v>
      </c>
      <c r="AO505">
        <v>130</v>
      </c>
      <c r="AP505" s="303">
        <v>42170</v>
      </c>
      <c r="AQ505" s="302"/>
      <c r="AR505" s="303"/>
      <c r="AS505" s="302"/>
      <c r="AT505" s="303"/>
      <c r="AU505">
        <v>106</v>
      </c>
      <c r="AV505" s="303"/>
      <c r="AW505" s="302"/>
      <c r="AX505" s="302"/>
      <c r="AY505" s="302"/>
      <c r="AZ505" s="303"/>
      <c r="BA505" s="302"/>
      <c r="BB505" s="302"/>
      <c r="BC505" s="302"/>
      <c r="BD505" s="302"/>
      <c r="BE505" s="302"/>
      <c r="BF505" s="302"/>
      <c r="BG505" s="302"/>
      <c r="BH505" s="302"/>
      <c r="BI505" s="302"/>
      <c r="BJ505" s="302"/>
      <c r="BM505">
        <v>13.5</v>
      </c>
      <c r="BS505">
        <v>47.5</v>
      </c>
      <c r="BY505">
        <v>49.2</v>
      </c>
      <c r="CA505">
        <v>18.5</v>
      </c>
      <c r="CC505">
        <v>54.3</v>
      </c>
      <c r="CI505">
        <v>5.8</v>
      </c>
      <c r="CO505" t="s">
        <v>8698</v>
      </c>
      <c r="CR505">
        <v>2</v>
      </c>
      <c r="CT505" s="304" t="s">
        <v>11678</v>
      </c>
    </row>
    <row r="506" spans="1:98" s="304" customFormat="1">
      <c r="A506" s="304" t="s">
        <v>8506</v>
      </c>
      <c r="B506" s="463">
        <v>57</v>
      </c>
      <c r="C506" s="296" t="s">
        <v>7675</v>
      </c>
      <c r="D506" s="296" t="s">
        <v>7507</v>
      </c>
      <c r="E506" s="296" t="s">
        <v>7675</v>
      </c>
      <c r="F506" s="296"/>
      <c r="G506" s="296" t="s">
        <v>8506</v>
      </c>
      <c r="H506" s="297" t="s">
        <v>8696</v>
      </c>
      <c r="I506" s="297">
        <v>3</v>
      </c>
      <c r="J506" s="297">
        <v>313</v>
      </c>
      <c r="K506" s="299"/>
      <c r="L506" s="299"/>
      <c r="M506" s="299">
        <v>84</v>
      </c>
      <c r="N506" s="299">
        <v>1</v>
      </c>
      <c r="O506" s="300">
        <v>54</v>
      </c>
      <c r="P506" s="301">
        <v>42090</v>
      </c>
      <c r="Q506" s="302"/>
      <c r="R506" s="303"/>
      <c r="S506" s="289">
        <v>5.8</v>
      </c>
      <c r="T506" s="303">
        <v>42208</v>
      </c>
      <c r="U506" s="302"/>
      <c r="V506" s="303"/>
      <c r="W506" s="302"/>
      <c r="X506" s="303"/>
      <c r="Y506" s="302">
        <v>20.8</v>
      </c>
      <c r="Z506" s="303">
        <v>42208</v>
      </c>
      <c r="AA506">
        <v>14.4</v>
      </c>
      <c r="AB506" s="303"/>
      <c r="AC506" s="302"/>
      <c r="AD506" s="303"/>
      <c r="AE506" s="302"/>
      <c r="AF506" s="303"/>
      <c r="AG506">
        <v>74365.666666666672</v>
      </c>
      <c r="AH506" s="521">
        <f>(AK506*10000)/AM506</f>
        <v>74365.666666666672</v>
      </c>
      <c r="AI506" s="302"/>
      <c r="AJ506" s="303"/>
      <c r="AK506">
        <v>37.182833333333335</v>
      </c>
      <c r="AL506" s="521"/>
      <c r="AM506">
        <v>5</v>
      </c>
      <c r="AN506" s="303">
        <v>42244</v>
      </c>
      <c r="AO506">
        <v>130</v>
      </c>
      <c r="AP506" s="303">
        <v>42170</v>
      </c>
      <c r="AQ506" s="302"/>
      <c r="AR506" s="303"/>
      <c r="AS506" s="302"/>
      <c r="AT506" s="303"/>
      <c r="AU506">
        <v>111</v>
      </c>
      <c r="AV506" s="303"/>
      <c r="AW506" s="302"/>
      <c r="AX506" s="302"/>
      <c r="AY506" s="302"/>
      <c r="AZ506" s="303"/>
      <c r="BA506" s="302"/>
      <c r="BB506" s="302"/>
      <c r="BC506" s="302"/>
      <c r="BD506" s="302"/>
      <c r="BE506" s="302"/>
      <c r="BF506" s="302"/>
      <c r="BG506" s="302"/>
      <c r="BH506" s="302"/>
      <c r="BI506" s="302"/>
      <c r="BJ506" s="302"/>
      <c r="BM506">
        <v>7.9</v>
      </c>
      <c r="BS506">
        <v>54.3</v>
      </c>
      <c r="BY506">
        <v>49.9</v>
      </c>
      <c r="CA506">
        <v>19.2</v>
      </c>
      <c r="CC506">
        <v>20.3</v>
      </c>
      <c r="CI506">
        <v>5.8</v>
      </c>
      <c r="CO506" t="s">
        <v>8699</v>
      </c>
      <c r="CR506">
        <v>2</v>
      </c>
      <c r="CT506" s="304" t="s">
        <v>11678</v>
      </c>
    </row>
    <row r="507" spans="1:98" s="304" customFormat="1">
      <c r="A507" s="304" t="s">
        <v>8506</v>
      </c>
      <c r="B507" s="463">
        <v>63</v>
      </c>
      <c r="C507" s="296" t="s">
        <v>7681</v>
      </c>
      <c r="D507" s="296" t="s">
        <v>7511</v>
      </c>
      <c r="E507" s="296" t="s">
        <v>7681</v>
      </c>
      <c r="F507" s="296"/>
      <c r="G507" s="296" t="s">
        <v>8506</v>
      </c>
      <c r="H507" s="297" t="s">
        <v>8697</v>
      </c>
      <c r="I507" s="297">
        <v>4</v>
      </c>
      <c r="J507" s="297">
        <v>4313</v>
      </c>
      <c r="K507" s="299"/>
      <c r="L507" s="299"/>
      <c r="M507" s="299">
        <v>84</v>
      </c>
      <c r="N507" s="299">
        <v>12</v>
      </c>
      <c r="O507" s="300">
        <v>47</v>
      </c>
      <c r="P507" s="301">
        <v>42090</v>
      </c>
      <c r="Q507" s="302"/>
      <c r="R507" s="303"/>
      <c r="S507" s="289">
        <v>4.8499999999999996</v>
      </c>
      <c r="T507" s="303">
        <v>42208</v>
      </c>
      <c r="U507" s="302"/>
      <c r="V507" s="303"/>
      <c r="W507" s="302"/>
      <c r="X507" s="303"/>
      <c r="Y507" s="302">
        <v>18.649999999999999</v>
      </c>
      <c r="Z507" s="303">
        <v>42208</v>
      </c>
      <c r="AA507">
        <v>14.4</v>
      </c>
      <c r="AB507" s="303"/>
      <c r="AC507" s="302"/>
      <c r="AD507" s="303"/>
      <c r="AE507" s="302"/>
      <c r="AF507" s="303"/>
      <c r="AG507">
        <v>63454.166666666664</v>
      </c>
      <c r="AH507" s="521">
        <f>(AK507*10000)/AM507</f>
        <v>63454.166666666664</v>
      </c>
      <c r="AI507" s="302"/>
      <c r="AJ507" s="303"/>
      <c r="AK507">
        <v>31.092541666666669</v>
      </c>
      <c r="AL507" s="521"/>
      <c r="AM507">
        <v>4.9000000000000004</v>
      </c>
      <c r="AN507" s="303">
        <v>42244</v>
      </c>
      <c r="AO507">
        <v>145</v>
      </c>
      <c r="AP507" s="303">
        <v>42170</v>
      </c>
      <c r="AQ507" s="302"/>
      <c r="AR507" s="303"/>
      <c r="AS507" s="302"/>
      <c r="AT507" s="303"/>
      <c r="AU507">
        <v>108</v>
      </c>
      <c r="AV507" s="303"/>
      <c r="AW507" s="302"/>
      <c r="AX507" s="302"/>
      <c r="AY507" s="302"/>
      <c r="AZ507" s="303"/>
      <c r="BA507" s="302"/>
      <c r="BB507" s="302"/>
      <c r="BC507" s="302"/>
      <c r="BD507" s="302"/>
      <c r="BE507" s="302"/>
      <c r="BF507" s="302"/>
      <c r="BG507" s="302"/>
      <c r="BH507" s="302"/>
      <c r="BI507" s="302"/>
      <c r="BJ507" s="302"/>
      <c r="BM507">
        <v>-0.7</v>
      </c>
      <c r="BS507">
        <v>58.8</v>
      </c>
      <c r="BY507">
        <v>53.5</v>
      </c>
      <c r="CA507">
        <v>16.8</v>
      </c>
      <c r="CC507">
        <v>14.1</v>
      </c>
      <c r="CI507">
        <v>5.8</v>
      </c>
      <c r="CO507" t="s">
        <v>8698</v>
      </c>
      <c r="CR507">
        <v>2</v>
      </c>
      <c r="CT507" s="304" t="s">
        <v>11678</v>
      </c>
    </row>
    <row r="508" spans="1:98" s="304" customFormat="1">
      <c r="A508" s="304" t="s">
        <v>8506</v>
      </c>
      <c r="B508" s="463">
        <v>75</v>
      </c>
      <c r="C508" s="296" t="s">
        <v>7693</v>
      </c>
      <c r="D508" s="296" t="s">
        <v>7522</v>
      </c>
      <c r="E508" s="296" t="s">
        <v>7693</v>
      </c>
      <c r="F508" s="296"/>
      <c r="G508" s="296" t="s">
        <v>8506</v>
      </c>
      <c r="H508" s="297" t="s">
        <v>8696</v>
      </c>
      <c r="I508" s="297">
        <v>3</v>
      </c>
      <c r="J508" s="297">
        <v>3193</v>
      </c>
      <c r="K508" s="299"/>
      <c r="L508" s="299"/>
      <c r="M508" s="299">
        <v>84</v>
      </c>
      <c r="N508" s="299">
        <v>4</v>
      </c>
      <c r="O508" s="300">
        <v>25</v>
      </c>
      <c r="P508" s="301">
        <v>42090</v>
      </c>
      <c r="Q508" s="302"/>
      <c r="R508" s="303"/>
      <c r="S508" s="289">
        <v>4.95</v>
      </c>
      <c r="T508" s="303">
        <v>42208</v>
      </c>
      <c r="U508" s="302"/>
      <c r="V508" s="303"/>
      <c r="W508" s="302"/>
      <c r="X508" s="303"/>
      <c r="Y508" s="302">
        <v>17.420000000000002</v>
      </c>
      <c r="Z508" s="303">
        <v>42208</v>
      </c>
      <c r="AA508">
        <v>14.4</v>
      </c>
      <c r="AB508" s="303"/>
      <c r="AC508" s="302"/>
      <c r="AD508" s="303"/>
      <c r="AE508" s="302"/>
      <c r="AF508" s="303"/>
      <c r="AG508">
        <v>62156.740196078434</v>
      </c>
      <c r="AH508" s="521">
        <f>(AK508*10000)/AM508</f>
        <v>62156.740196078434</v>
      </c>
      <c r="AI508" s="302"/>
      <c r="AJ508" s="303"/>
      <c r="AK508">
        <v>31.699937499999997</v>
      </c>
      <c r="AL508" s="521"/>
      <c r="AM508">
        <v>5.0999999999999996</v>
      </c>
      <c r="AN508" s="303">
        <v>42244</v>
      </c>
      <c r="AO508">
        <v>135</v>
      </c>
      <c r="AP508" s="303">
        <v>42170</v>
      </c>
      <c r="AQ508" s="302"/>
      <c r="AR508" s="303"/>
      <c r="AS508" s="302"/>
      <c r="AT508" s="303"/>
      <c r="AU508">
        <v>108</v>
      </c>
      <c r="AV508" s="303"/>
      <c r="AW508" s="302"/>
      <c r="AX508" s="302"/>
      <c r="AY508" s="302"/>
      <c r="AZ508" s="303"/>
      <c r="BA508" s="302"/>
      <c r="BB508" s="302"/>
      <c r="BC508" s="302"/>
      <c r="BD508" s="302"/>
      <c r="BE508" s="302"/>
      <c r="BF508" s="302"/>
      <c r="BG508" s="302"/>
      <c r="BH508" s="302"/>
      <c r="BI508" s="302"/>
      <c r="BJ508" s="302"/>
      <c r="BM508">
        <v>-0.8</v>
      </c>
      <c r="BS508">
        <v>61.3</v>
      </c>
      <c r="BY508">
        <v>49</v>
      </c>
      <c r="CA508">
        <v>19.7</v>
      </c>
      <c r="CC508">
        <v>17.3</v>
      </c>
      <c r="CI508">
        <v>5.9</v>
      </c>
      <c r="CO508" t="s">
        <v>8698</v>
      </c>
      <c r="CR508">
        <v>2</v>
      </c>
      <c r="CT508" s="304" t="s">
        <v>11678</v>
      </c>
    </row>
    <row r="509" spans="1:98" s="304" customFormat="1">
      <c r="A509" s="304" t="s">
        <v>8506</v>
      </c>
      <c r="B509" s="463">
        <v>151</v>
      </c>
      <c r="C509" s="296" t="s">
        <v>7779</v>
      </c>
      <c r="D509" s="296" t="s">
        <v>7580</v>
      </c>
      <c r="E509" s="296" t="s">
        <v>7779</v>
      </c>
      <c r="F509" s="296"/>
      <c r="G509" s="296" t="s">
        <v>8506</v>
      </c>
      <c r="H509" s="297" t="s">
        <v>8696</v>
      </c>
      <c r="I509" s="297">
        <v>3</v>
      </c>
      <c r="J509" s="297">
        <v>3133</v>
      </c>
      <c r="K509" s="299"/>
      <c r="L509" s="299"/>
      <c r="M509" s="299">
        <v>84</v>
      </c>
      <c r="N509" s="299">
        <v>3</v>
      </c>
      <c r="O509" s="300">
        <v>28</v>
      </c>
      <c r="P509" s="301">
        <v>42090</v>
      </c>
      <c r="Q509" s="302"/>
      <c r="R509" s="303"/>
      <c r="S509" s="289">
        <v>5.6</v>
      </c>
      <c r="T509" s="303">
        <v>42208</v>
      </c>
      <c r="U509" s="302"/>
      <c r="V509" s="303"/>
      <c r="W509" s="302"/>
      <c r="X509" s="303"/>
      <c r="Y509" s="302">
        <v>19.7</v>
      </c>
      <c r="Z509" s="303">
        <v>42208</v>
      </c>
      <c r="AA509">
        <v>14.4</v>
      </c>
      <c r="AB509" s="303"/>
      <c r="AC509" s="302"/>
      <c r="AD509" s="303"/>
      <c r="AE509" s="302"/>
      <c r="AF509" s="303"/>
      <c r="AG509">
        <v>68966.45299145297</v>
      </c>
      <c r="AH509" s="521">
        <f>(AK509*10000)/AM509</f>
        <v>68966.45299145297</v>
      </c>
      <c r="AI509" s="302"/>
      <c r="AJ509" s="303"/>
      <c r="AK509">
        <v>35.862555555555545</v>
      </c>
      <c r="AL509" s="521"/>
      <c r="AM509">
        <v>5.2</v>
      </c>
      <c r="AN509" s="303">
        <v>42244</v>
      </c>
      <c r="AO509">
        <v>125</v>
      </c>
      <c r="AP509" s="303">
        <v>42170</v>
      </c>
      <c r="AQ509" s="302"/>
      <c r="AR509" s="303"/>
      <c r="AS509" s="302"/>
      <c r="AT509" s="303"/>
      <c r="AU509">
        <v>107</v>
      </c>
      <c r="AV509" s="303"/>
      <c r="AW509" s="302"/>
      <c r="AX509" s="302"/>
      <c r="AY509" s="302"/>
      <c r="AZ509" s="303"/>
      <c r="BA509" s="302"/>
      <c r="BB509" s="302"/>
      <c r="BC509" s="302"/>
      <c r="BD509" s="302"/>
      <c r="BE509" s="302"/>
      <c r="BF509" s="302"/>
      <c r="BG509" s="302"/>
      <c r="BH509" s="302"/>
      <c r="BI509" s="302"/>
      <c r="BJ509" s="302"/>
      <c r="BM509">
        <v>-0.9</v>
      </c>
      <c r="BS509">
        <v>62.7</v>
      </c>
      <c r="BY509">
        <v>49</v>
      </c>
      <c r="CA509">
        <v>20.2</v>
      </c>
      <c r="CC509">
        <v>15.9</v>
      </c>
      <c r="CI509">
        <v>5.9</v>
      </c>
      <c r="CO509" t="s">
        <v>8699</v>
      </c>
      <c r="CR509">
        <v>2</v>
      </c>
      <c r="CT509" s="304" t="s">
        <v>11678</v>
      </c>
    </row>
    <row r="510" spans="1:98" s="304" customFormat="1">
      <c r="A510" s="304" t="s">
        <v>8506</v>
      </c>
      <c r="B510" s="463">
        <v>157</v>
      </c>
      <c r="C510" s="296" t="s">
        <v>7785</v>
      </c>
      <c r="D510" s="296" t="s">
        <v>7586</v>
      </c>
      <c r="E510" s="296" t="s">
        <v>7785</v>
      </c>
      <c r="F510" s="296"/>
      <c r="G510" s="296" t="s">
        <v>8506</v>
      </c>
      <c r="H510" s="297" t="s">
        <v>8697</v>
      </c>
      <c r="I510" s="297">
        <v>4</v>
      </c>
      <c r="J510" s="297">
        <v>473</v>
      </c>
      <c r="K510" s="299"/>
      <c r="L510" s="299"/>
      <c r="M510" s="299">
        <v>84</v>
      </c>
      <c r="N510" s="299">
        <v>8</v>
      </c>
      <c r="O510" s="300">
        <v>28</v>
      </c>
      <c r="P510" s="301">
        <v>42090</v>
      </c>
      <c r="Q510" s="302"/>
      <c r="R510" s="303"/>
      <c r="S510" s="289">
        <v>4.5</v>
      </c>
      <c r="T510" s="303">
        <v>42208</v>
      </c>
      <c r="U510" s="302"/>
      <c r="V510" s="303"/>
      <c r="W510" s="302"/>
      <c r="X510" s="303"/>
      <c r="Y510" s="302">
        <v>17.579999999999998</v>
      </c>
      <c r="Z510" s="303">
        <v>42208</v>
      </c>
      <c r="AA510">
        <v>14.4</v>
      </c>
      <c r="AB510" s="303"/>
      <c r="AC510" s="302"/>
      <c r="AD510" s="303"/>
      <c r="AE510" s="302"/>
      <c r="AF510" s="303"/>
      <c r="AG510">
        <v>54373.820754716973</v>
      </c>
      <c r="AH510" s="521">
        <f>(AK510*10000)/AM510</f>
        <v>54373.820754716973</v>
      </c>
      <c r="AI510" s="302"/>
      <c r="AJ510" s="303"/>
      <c r="AK510">
        <v>28.818124999999995</v>
      </c>
      <c r="AL510" s="521"/>
      <c r="AM510">
        <v>5.3</v>
      </c>
      <c r="AN510" s="303">
        <v>42244</v>
      </c>
      <c r="AO510">
        <v>135</v>
      </c>
      <c r="AP510" s="303">
        <v>42170</v>
      </c>
      <c r="AQ510" s="302"/>
      <c r="AR510" s="303"/>
      <c r="AS510" s="302"/>
      <c r="AT510" s="303"/>
      <c r="AU510">
        <v>108</v>
      </c>
      <c r="AV510" s="303"/>
      <c r="AW510" s="302"/>
      <c r="AX510" s="302"/>
      <c r="AY510" s="302"/>
      <c r="AZ510" s="303"/>
      <c r="BA510" s="302"/>
      <c r="BB510" s="302"/>
      <c r="BC510" s="302"/>
      <c r="BD510" s="302"/>
      <c r="BE510" s="302"/>
      <c r="BF510" s="302"/>
      <c r="BG510" s="302"/>
      <c r="BH510" s="302"/>
      <c r="BI510" s="302"/>
      <c r="BJ510" s="302"/>
      <c r="BM510">
        <v>-6.4</v>
      </c>
      <c r="BS510">
        <v>63.6</v>
      </c>
      <c r="BY510">
        <v>54.4</v>
      </c>
      <c r="CA510">
        <v>15.6</v>
      </c>
      <c r="CC510">
        <v>15.3</v>
      </c>
      <c r="CI510">
        <v>5.9</v>
      </c>
      <c r="CO510" t="s">
        <v>8698</v>
      </c>
      <c r="CR510">
        <v>3</v>
      </c>
      <c r="CT510" s="304" t="s">
        <v>11678</v>
      </c>
    </row>
    <row r="511" spans="1:98" s="304" customFormat="1">
      <c r="A511" s="304" t="s">
        <v>8506</v>
      </c>
      <c r="B511" s="463">
        <v>39</v>
      </c>
      <c r="C511" s="296" t="s">
        <v>7656</v>
      </c>
      <c r="D511" s="296" t="s">
        <v>7489</v>
      </c>
      <c r="E511" s="296" t="s">
        <v>7656</v>
      </c>
      <c r="F511" s="296"/>
      <c r="G511" s="296" t="s">
        <v>8506</v>
      </c>
      <c r="H511" s="297" t="s">
        <v>8697</v>
      </c>
      <c r="I511" s="297">
        <v>4</v>
      </c>
      <c r="J511" s="297">
        <v>4134</v>
      </c>
      <c r="K511" s="299"/>
      <c r="L511" s="299"/>
      <c r="M511" s="299">
        <v>85</v>
      </c>
      <c r="N511" s="299">
        <v>9</v>
      </c>
      <c r="O511" s="300">
        <v>60</v>
      </c>
      <c r="P511" s="301">
        <v>42090</v>
      </c>
      <c r="Q511" s="302"/>
      <c r="R511" s="303"/>
      <c r="S511" s="289">
        <v>5.95</v>
      </c>
      <c r="T511" s="303">
        <v>42208</v>
      </c>
      <c r="U511" s="302"/>
      <c r="V511" s="303"/>
      <c r="W511" s="302"/>
      <c r="X511" s="303"/>
      <c r="Y511" s="302">
        <v>23.52</v>
      </c>
      <c r="Z511" s="303">
        <v>42208</v>
      </c>
      <c r="AA511">
        <v>14.4</v>
      </c>
      <c r="AB511" s="303"/>
      <c r="AC511" s="302"/>
      <c r="AD511" s="303"/>
      <c r="AE511" s="302"/>
      <c r="AF511" s="303"/>
      <c r="AG511">
        <v>70637.885802469144</v>
      </c>
      <c r="AH511" s="521">
        <f>(AK511*10000)/AM511</f>
        <v>70637.885802469144</v>
      </c>
      <c r="AI511" s="302"/>
      <c r="AJ511" s="303"/>
      <c r="AK511">
        <v>38.14445833333334</v>
      </c>
      <c r="AL511" s="521"/>
      <c r="AM511">
        <v>5.4</v>
      </c>
      <c r="AN511" s="303">
        <v>42244</v>
      </c>
      <c r="AO511">
        <v>135</v>
      </c>
      <c r="AP511" s="303">
        <v>42170</v>
      </c>
      <c r="AQ511" s="302"/>
      <c r="AR511" s="303"/>
      <c r="AS511" s="302"/>
      <c r="AT511" s="303"/>
      <c r="AU511">
        <v>108</v>
      </c>
      <c r="AV511" s="303"/>
      <c r="AW511" s="302"/>
      <c r="AX511" s="302"/>
      <c r="AY511" s="302"/>
      <c r="AZ511" s="303"/>
      <c r="BA511" s="302"/>
      <c r="BB511" s="302"/>
      <c r="BC511" s="302"/>
      <c r="BD511" s="302"/>
      <c r="BE511" s="302"/>
      <c r="BF511" s="302"/>
      <c r="BG511" s="302"/>
      <c r="BH511" s="302"/>
      <c r="BI511" s="302"/>
      <c r="BJ511" s="302"/>
      <c r="BM511">
        <v>-7.2</v>
      </c>
      <c r="BS511">
        <v>68.400000000000006</v>
      </c>
      <c r="BY511">
        <v>55</v>
      </c>
      <c r="CA511">
        <v>14.2</v>
      </c>
      <c r="CC511">
        <v>16.5</v>
      </c>
      <c r="CI511">
        <v>5.8</v>
      </c>
      <c r="CO511" t="s">
        <v>8698</v>
      </c>
      <c r="CR511">
        <v>3</v>
      </c>
      <c r="CT511" s="304" t="s">
        <v>11678</v>
      </c>
    </row>
    <row r="512" spans="1:98" s="304" customFormat="1">
      <c r="A512" s="304" t="s">
        <v>8506</v>
      </c>
      <c r="B512" s="463">
        <v>56</v>
      </c>
      <c r="C512" s="296" t="s">
        <v>7674</v>
      </c>
      <c r="D512" s="296" t="s">
        <v>7506</v>
      </c>
      <c r="E512" s="296" t="s">
        <v>7674</v>
      </c>
      <c r="F512" s="296"/>
      <c r="G512" s="296" t="s">
        <v>8506</v>
      </c>
      <c r="H512" s="297" t="s">
        <v>8696</v>
      </c>
      <c r="I512" s="297">
        <v>3</v>
      </c>
      <c r="J512" s="297">
        <v>374</v>
      </c>
      <c r="K512" s="299"/>
      <c r="L512" s="299"/>
      <c r="M512" s="299">
        <v>85</v>
      </c>
      <c r="N512" s="299">
        <v>2</v>
      </c>
      <c r="O512" s="300">
        <v>38</v>
      </c>
      <c r="P512" s="301">
        <v>42090</v>
      </c>
      <c r="Q512" s="302"/>
      <c r="R512" s="303"/>
      <c r="S512" s="289">
        <v>5.3</v>
      </c>
      <c r="T512" s="303">
        <v>42208</v>
      </c>
      <c r="U512" s="302"/>
      <c r="V512" s="303"/>
      <c r="W512" s="302"/>
      <c r="X512" s="303"/>
      <c r="Y512" s="302">
        <v>19.010000000000002</v>
      </c>
      <c r="Z512" s="303">
        <v>42208</v>
      </c>
      <c r="AA512">
        <v>14.4</v>
      </c>
      <c r="AB512" s="303"/>
      <c r="AC512" s="302"/>
      <c r="AD512" s="303"/>
      <c r="AE512" s="302"/>
      <c r="AF512" s="303"/>
      <c r="AG512">
        <v>67810.555555555533</v>
      </c>
      <c r="AH512" s="521">
        <f>(AK512*10000)/AM512</f>
        <v>67810.555555555533</v>
      </c>
      <c r="AI512" s="302"/>
      <c r="AJ512" s="303"/>
      <c r="AK512">
        <v>33.905277777777769</v>
      </c>
      <c r="AL512" s="521"/>
      <c r="AM512">
        <v>5</v>
      </c>
      <c r="AN512" s="303">
        <v>42244</v>
      </c>
      <c r="AO512">
        <v>120</v>
      </c>
      <c r="AP512" s="303">
        <v>42170</v>
      </c>
      <c r="AQ512" s="302"/>
      <c r="AR512" s="303"/>
      <c r="AS512" s="302"/>
      <c r="AT512" s="303"/>
      <c r="AU512">
        <v>108</v>
      </c>
      <c r="AV512" s="303"/>
      <c r="AW512" s="302"/>
      <c r="AX512" s="302"/>
      <c r="AY512" s="302"/>
      <c r="AZ512" s="303"/>
      <c r="BA512" s="302"/>
      <c r="BB512" s="302"/>
      <c r="BC512" s="302"/>
      <c r="BD512" s="302"/>
      <c r="BE512" s="302"/>
      <c r="BF512" s="302"/>
      <c r="BG512" s="302"/>
      <c r="BH512" s="302"/>
      <c r="BI512" s="302"/>
      <c r="BJ512" s="302"/>
      <c r="BM512">
        <v>-2.1</v>
      </c>
      <c r="BS512">
        <v>59.1</v>
      </c>
      <c r="BY512">
        <v>50</v>
      </c>
      <c r="CA512">
        <v>17.7</v>
      </c>
      <c r="CC512">
        <v>17.600000000000001</v>
      </c>
      <c r="CI512">
        <v>6</v>
      </c>
      <c r="CO512" t="s">
        <v>8699</v>
      </c>
      <c r="CR512">
        <v>2</v>
      </c>
      <c r="CT512" s="304" t="s">
        <v>11678</v>
      </c>
    </row>
    <row r="513" spans="1:98" s="304" customFormat="1">
      <c r="A513" s="304" t="s">
        <v>8506</v>
      </c>
      <c r="B513" s="463">
        <v>60</v>
      </c>
      <c r="C513" s="296" t="s">
        <v>7678</v>
      </c>
      <c r="D513" s="296" t="s">
        <v>261</v>
      </c>
      <c r="E513" s="296" t="s">
        <v>7678</v>
      </c>
      <c r="F513" s="296"/>
      <c r="G513" s="296" t="s">
        <v>8506</v>
      </c>
      <c r="H513" s="297" t="s">
        <v>8697</v>
      </c>
      <c r="I513" s="297">
        <v>4</v>
      </c>
      <c r="J513" s="308">
        <v>4314</v>
      </c>
      <c r="K513" s="299"/>
      <c r="L513" s="299"/>
      <c r="M513" s="299">
        <v>85</v>
      </c>
      <c r="N513" s="299">
        <v>12</v>
      </c>
      <c r="O513" s="300">
        <v>44</v>
      </c>
      <c r="P513" s="301">
        <v>42090</v>
      </c>
      <c r="Q513" s="306"/>
      <c r="R513" s="303"/>
      <c r="S513" s="289">
        <v>4.1500000000000004</v>
      </c>
      <c r="T513" s="303">
        <v>42208</v>
      </c>
      <c r="U513" s="307"/>
      <c r="V513" s="303"/>
      <c r="W513" s="306"/>
      <c r="X513" s="303"/>
      <c r="Y513" s="306">
        <v>14.9</v>
      </c>
      <c r="Z513" s="303">
        <v>42208</v>
      </c>
      <c r="AA513">
        <v>14.4</v>
      </c>
      <c r="AB513" s="303"/>
      <c r="AC513" s="306"/>
      <c r="AD513" s="303"/>
      <c r="AE513" s="302"/>
      <c r="AF513" s="303"/>
      <c r="AG513">
        <v>50251.323375262051</v>
      </c>
      <c r="AH513" s="521">
        <f>(AK513*10000)/AM513</f>
        <v>50251.323375262051</v>
      </c>
      <c r="AI513" s="302"/>
      <c r="AJ513" s="303"/>
      <c r="AK513">
        <v>26.633201388888889</v>
      </c>
      <c r="AL513" s="521"/>
      <c r="AM513">
        <v>5.3</v>
      </c>
      <c r="AN513" s="303">
        <v>42244</v>
      </c>
      <c r="AO513">
        <v>140</v>
      </c>
      <c r="AP513" s="303">
        <v>42170</v>
      </c>
      <c r="AQ513" s="306"/>
      <c r="AR513" s="303"/>
      <c r="AS513" s="306"/>
      <c r="AT513" s="303"/>
      <c r="AU513">
        <v>112</v>
      </c>
      <c r="AV513" s="303"/>
      <c r="AW513" s="302"/>
      <c r="AX513" s="302"/>
      <c r="AY513" s="302"/>
      <c r="AZ513" s="303"/>
      <c r="BA513" s="302"/>
      <c r="BB513" s="302"/>
      <c r="BC513" s="302"/>
      <c r="BD513" s="302"/>
      <c r="BE513" s="302"/>
      <c r="BF513" s="302"/>
      <c r="BG513" s="302"/>
      <c r="BH513" s="302"/>
      <c r="BI513" s="302"/>
      <c r="BJ513" s="302"/>
      <c r="BM513">
        <v>-3.5</v>
      </c>
      <c r="BS513">
        <v>68.599999999999994</v>
      </c>
      <c r="BY513">
        <v>49.9</v>
      </c>
      <c r="CA513">
        <v>19.100000000000001</v>
      </c>
      <c r="CC513">
        <v>20.9</v>
      </c>
      <c r="CI513">
        <v>5.7</v>
      </c>
      <c r="CO513" t="s">
        <v>8700</v>
      </c>
      <c r="CR513">
        <v>1</v>
      </c>
      <c r="CT513" s="304" t="s">
        <v>11678</v>
      </c>
    </row>
    <row r="514" spans="1:98" s="304" customFormat="1">
      <c r="A514" s="304" t="s">
        <v>8506</v>
      </c>
      <c r="B514" s="463">
        <v>84</v>
      </c>
      <c r="C514" s="296" t="s">
        <v>7702</v>
      </c>
      <c r="D514" s="296" t="s">
        <v>7531</v>
      </c>
      <c r="E514" s="296" t="s">
        <v>7702</v>
      </c>
      <c r="F514" s="296"/>
      <c r="G514" s="296" t="s">
        <v>8506</v>
      </c>
      <c r="H514" s="297" t="s">
        <v>8696</v>
      </c>
      <c r="I514" s="297">
        <v>3</v>
      </c>
      <c r="J514" s="297">
        <v>3134</v>
      </c>
      <c r="K514" s="299"/>
      <c r="L514" s="299"/>
      <c r="M514" s="299">
        <v>85</v>
      </c>
      <c r="N514" s="299">
        <v>3</v>
      </c>
      <c r="O514" s="300">
        <v>46</v>
      </c>
      <c r="P514" s="301">
        <v>42090</v>
      </c>
      <c r="Q514" s="302"/>
      <c r="R514" s="303"/>
      <c r="S514" s="289">
        <v>6.35</v>
      </c>
      <c r="T514" s="303">
        <v>42208</v>
      </c>
      <c r="U514" s="302"/>
      <c r="V514" s="303"/>
      <c r="W514" s="302"/>
      <c r="X514" s="303"/>
      <c r="Y514" s="302">
        <v>22.18</v>
      </c>
      <c r="Z514" s="303">
        <v>42208</v>
      </c>
      <c r="AA514">
        <v>14.4</v>
      </c>
      <c r="AB514" s="303"/>
      <c r="AC514" s="302"/>
      <c r="AD514" s="303"/>
      <c r="AE514" s="302"/>
      <c r="AF514" s="303"/>
      <c r="AG514">
        <v>84629.918981481474</v>
      </c>
      <c r="AH514" s="521">
        <f>(AK514*10000)/AM514</f>
        <v>84629.918981481474</v>
      </c>
      <c r="AI514" s="302"/>
      <c r="AJ514" s="303"/>
      <c r="AK514">
        <v>40.622361111111104</v>
      </c>
      <c r="AL514" s="521"/>
      <c r="AM514">
        <v>4.8</v>
      </c>
      <c r="AN514" s="303">
        <v>42244</v>
      </c>
      <c r="AO514">
        <v>130</v>
      </c>
      <c r="AP514" s="303">
        <v>42170</v>
      </c>
      <c r="AQ514" s="302"/>
      <c r="AR514" s="303"/>
      <c r="AS514" s="302"/>
      <c r="AT514" s="303"/>
      <c r="AU514">
        <v>110</v>
      </c>
      <c r="AV514" s="303"/>
      <c r="AW514" s="302"/>
      <c r="AX514" s="302"/>
      <c r="AY514" s="302"/>
      <c r="AZ514" s="303"/>
      <c r="BA514" s="302"/>
      <c r="BB514" s="302"/>
      <c r="BC514" s="302"/>
      <c r="BD514" s="302"/>
      <c r="BE514" s="302"/>
      <c r="BF514" s="302"/>
      <c r="BG514" s="302"/>
      <c r="BH514" s="302"/>
      <c r="BI514" s="302"/>
      <c r="BJ514" s="302"/>
      <c r="BM514">
        <v>-4.5999999999999996</v>
      </c>
      <c r="BS514">
        <v>62.3</v>
      </c>
      <c r="BY514">
        <v>48.7</v>
      </c>
      <c r="CA514">
        <v>17.8</v>
      </c>
      <c r="CC514">
        <v>17.399999999999999</v>
      </c>
      <c r="CI514">
        <v>6</v>
      </c>
      <c r="CO514" t="s">
        <v>8699</v>
      </c>
      <c r="CR514">
        <v>2</v>
      </c>
      <c r="CT514" s="304" t="s">
        <v>11678</v>
      </c>
    </row>
    <row r="515" spans="1:98" s="304" customFormat="1">
      <c r="A515" s="304" t="s">
        <v>8506</v>
      </c>
      <c r="B515" s="463">
        <v>104</v>
      </c>
      <c r="C515" s="296" t="s">
        <v>7722</v>
      </c>
      <c r="D515" s="296" t="s">
        <v>7549</v>
      </c>
      <c r="E515" s="296" t="s">
        <v>7722</v>
      </c>
      <c r="F515" s="296"/>
      <c r="G515" s="296" t="s">
        <v>8506</v>
      </c>
      <c r="H515" s="297" t="s">
        <v>8697</v>
      </c>
      <c r="I515" s="297">
        <v>4</v>
      </c>
      <c r="J515" s="297">
        <v>4194</v>
      </c>
      <c r="K515" s="299"/>
      <c r="L515" s="299"/>
      <c r="M515" s="299">
        <v>85</v>
      </c>
      <c r="N515" s="299">
        <v>10</v>
      </c>
      <c r="O515" s="300">
        <v>54</v>
      </c>
      <c r="P515" s="301">
        <v>42090</v>
      </c>
      <c r="Q515" s="302"/>
      <c r="R515" s="303"/>
      <c r="S515" s="289">
        <v>5.5</v>
      </c>
      <c r="T515" s="303">
        <v>42208</v>
      </c>
      <c r="U515" s="302"/>
      <c r="V515" s="303"/>
      <c r="W515" s="302"/>
      <c r="X515" s="303"/>
      <c r="Y515" s="302">
        <v>20.66</v>
      </c>
      <c r="Z515" s="303">
        <v>42208</v>
      </c>
      <c r="AA515">
        <v>14.4</v>
      </c>
      <c r="AB515" s="303"/>
      <c r="AC515" s="302"/>
      <c r="AD515" s="303"/>
      <c r="AE515" s="302"/>
      <c r="AF515" s="303"/>
      <c r="AG515">
        <v>78437.808641975294</v>
      </c>
      <c r="AH515" s="521">
        <f>(AK515*10000)/AM515</f>
        <v>78437.808641975294</v>
      </c>
      <c r="AI515" s="302"/>
      <c r="AJ515" s="303"/>
      <c r="AK515">
        <v>35.297013888888884</v>
      </c>
      <c r="AL515" s="521"/>
      <c r="AM515">
        <v>4.5</v>
      </c>
      <c r="AN515" s="303">
        <v>42244</v>
      </c>
      <c r="AO515">
        <v>140</v>
      </c>
      <c r="AP515" s="303">
        <v>42170</v>
      </c>
      <c r="AQ515" s="302"/>
      <c r="AR515" s="303"/>
      <c r="AS515" s="302"/>
      <c r="AT515" s="303"/>
      <c r="AU515">
        <v>108</v>
      </c>
      <c r="AV515" s="303"/>
      <c r="AW515" s="302"/>
      <c r="AX515" s="302"/>
      <c r="AY515" s="302"/>
      <c r="AZ515" s="303"/>
      <c r="BA515" s="302"/>
      <c r="BB515" s="302"/>
      <c r="BC515" s="302"/>
      <c r="BD515" s="302"/>
      <c r="BE515" s="302"/>
      <c r="BF515" s="302"/>
      <c r="BG515" s="302"/>
      <c r="BH515" s="302"/>
      <c r="BI515" s="302"/>
      <c r="BJ515" s="302"/>
      <c r="BM515">
        <v>-2.1</v>
      </c>
      <c r="BS515">
        <v>60.7</v>
      </c>
      <c r="BY515">
        <v>52.2</v>
      </c>
      <c r="CA515">
        <v>16.100000000000001</v>
      </c>
      <c r="CC515">
        <v>19.8</v>
      </c>
      <c r="CI515">
        <v>5.7</v>
      </c>
      <c r="CO515" t="s">
        <v>8698</v>
      </c>
      <c r="CR515">
        <v>3</v>
      </c>
      <c r="CT515" s="304" t="s">
        <v>11678</v>
      </c>
    </row>
    <row r="516" spans="1:98" s="304" customFormat="1">
      <c r="A516" s="304" t="s">
        <v>8506</v>
      </c>
      <c r="B516" s="463">
        <v>116</v>
      </c>
      <c r="C516" s="296" t="s">
        <v>7735</v>
      </c>
      <c r="D516" s="296" t="s">
        <v>7819</v>
      </c>
      <c r="E516" s="296" t="s">
        <v>7735</v>
      </c>
      <c r="F516" s="296"/>
      <c r="G516" s="296" t="s">
        <v>8506</v>
      </c>
      <c r="H516" s="297" t="s">
        <v>8697</v>
      </c>
      <c r="I516" s="297">
        <v>4</v>
      </c>
      <c r="J516" s="297">
        <v>414</v>
      </c>
      <c r="K516" s="299"/>
      <c r="L516" s="299"/>
      <c r="M516" s="299">
        <v>85</v>
      </c>
      <c r="N516" s="299">
        <v>7</v>
      </c>
      <c r="O516" s="300">
        <v>74</v>
      </c>
      <c r="P516" s="301">
        <v>42090</v>
      </c>
      <c r="Q516" s="302"/>
      <c r="R516" s="303"/>
      <c r="S516" s="289">
        <v>3.8</v>
      </c>
      <c r="T516" s="303">
        <v>42208</v>
      </c>
      <c r="U516" s="302"/>
      <c r="V516" s="303"/>
      <c r="W516" s="302"/>
      <c r="X516" s="303"/>
      <c r="Y516" s="302">
        <v>13.59</v>
      </c>
      <c r="Z516" s="303">
        <v>42208</v>
      </c>
      <c r="AA516">
        <v>14.4</v>
      </c>
      <c r="AB516" s="303"/>
      <c r="AC516" s="302"/>
      <c r="AD516" s="303"/>
      <c r="AE516" s="302"/>
      <c r="AF516" s="303"/>
      <c r="AG516">
        <v>50806.307870370372</v>
      </c>
      <c r="AH516" s="521">
        <f>(AK516*10000)/AM516</f>
        <v>50806.307870370372</v>
      </c>
      <c r="AI516" s="302"/>
      <c r="AJ516" s="303"/>
      <c r="AK516">
        <v>24.387027777777778</v>
      </c>
      <c r="AL516" s="521"/>
      <c r="AM516">
        <v>4.8</v>
      </c>
      <c r="AN516" s="303">
        <v>42244</v>
      </c>
      <c r="AO516">
        <v>135</v>
      </c>
      <c r="AP516" s="303">
        <v>42170</v>
      </c>
      <c r="AQ516" s="302"/>
      <c r="AR516" s="303"/>
      <c r="AS516" s="302"/>
      <c r="AT516" s="303"/>
      <c r="AU516">
        <v>113</v>
      </c>
      <c r="AV516" s="303"/>
      <c r="AW516" s="302"/>
      <c r="AX516" s="302"/>
      <c r="AY516" s="302"/>
      <c r="AZ516" s="303"/>
      <c r="BA516" s="302"/>
      <c r="BB516" s="302"/>
      <c r="BC516" s="302"/>
      <c r="BD516" s="302"/>
      <c r="BE516" s="302"/>
      <c r="BF516" s="302"/>
      <c r="BG516" s="302"/>
      <c r="BH516" s="302"/>
      <c r="BI516" s="302"/>
      <c r="BJ516" s="302"/>
      <c r="BM516">
        <v>45.2</v>
      </c>
      <c r="BS516">
        <v>13.9</v>
      </c>
      <c r="BY516">
        <v>49.7</v>
      </c>
      <c r="CA516">
        <v>18.3</v>
      </c>
      <c r="CC516">
        <v>65.400000000000006</v>
      </c>
      <c r="CI516">
        <v>5.7</v>
      </c>
      <c r="CO516" t="s">
        <v>8698</v>
      </c>
      <c r="CR516">
        <v>3</v>
      </c>
      <c r="CT516" s="304" t="s">
        <v>11678</v>
      </c>
    </row>
    <row r="517" spans="1:98" s="304" customFormat="1">
      <c r="A517" s="304" t="s">
        <v>8506</v>
      </c>
      <c r="B517" s="463">
        <v>143</v>
      </c>
      <c r="C517" s="296" t="s">
        <v>7771</v>
      </c>
      <c r="D517" s="296" t="s">
        <v>7572</v>
      </c>
      <c r="E517" s="296" t="s">
        <v>7771</v>
      </c>
      <c r="F517" s="296"/>
      <c r="G517" s="296" t="s">
        <v>8506</v>
      </c>
      <c r="H517" s="297" t="s">
        <v>8696</v>
      </c>
      <c r="I517" s="297">
        <v>3</v>
      </c>
      <c r="J517" s="297">
        <v>3194</v>
      </c>
      <c r="K517" s="299"/>
      <c r="L517" s="299"/>
      <c r="M517" s="299">
        <v>85</v>
      </c>
      <c r="N517" s="299">
        <v>4</v>
      </c>
      <c r="O517" s="300">
        <v>20</v>
      </c>
      <c r="P517" s="301">
        <v>42090</v>
      </c>
      <c r="Q517" s="302"/>
      <c r="R517" s="303"/>
      <c r="S517" s="289">
        <v>6.15</v>
      </c>
      <c r="T517" s="303">
        <v>42208</v>
      </c>
      <c r="U517" s="302"/>
      <c r="V517" s="303"/>
      <c r="W517" s="302"/>
      <c r="X517" s="303"/>
      <c r="Y517" s="302">
        <v>22.43</v>
      </c>
      <c r="Z517" s="303">
        <v>42208</v>
      </c>
      <c r="AA517">
        <v>14.4</v>
      </c>
      <c r="AB517" s="303"/>
      <c r="AC517" s="302"/>
      <c r="AD517" s="303"/>
      <c r="AE517" s="302"/>
      <c r="AF517" s="303"/>
      <c r="AG517">
        <v>83619.281914893625</v>
      </c>
      <c r="AH517" s="521">
        <f>(AK517*10000)/AM517</f>
        <v>83619.281914893625</v>
      </c>
      <c r="AI517" s="302"/>
      <c r="AJ517" s="303"/>
      <c r="AK517">
        <v>39.301062500000008</v>
      </c>
      <c r="AL517" s="521"/>
      <c r="AM517">
        <v>4.7</v>
      </c>
      <c r="AN517" s="303">
        <v>42244</v>
      </c>
      <c r="AO517">
        <v>135</v>
      </c>
      <c r="AP517" s="303">
        <v>42170</v>
      </c>
      <c r="AQ517" s="302"/>
      <c r="AR517" s="303"/>
      <c r="AS517" s="302"/>
      <c r="AT517" s="303"/>
      <c r="AU517">
        <v>109</v>
      </c>
      <c r="AV517" s="303"/>
      <c r="AW517" s="302"/>
      <c r="AX517" s="302"/>
      <c r="AY517" s="302"/>
      <c r="AZ517" s="303"/>
      <c r="BA517" s="302"/>
      <c r="BB517" s="302"/>
      <c r="BC517" s="302"/>
      <c r="BD517" s="302"/>
      <c r="BE517" s="302"/>
      <c r="BF517" s="302"/>
      <c r="BG517" s="302"/>
      <c r="BH517" s="302"/>
      <c r="BI517" s="302"/>
      <c r="BJ517" s="302"/>
      <c r="BM517">
        <v>-0.2</v>
      </c>
      <c r="BS517">
        <v>59.9</v>
      </c>
      <c r="BY517">
        <v>50.9</v>
      </c>
      <c r="CA517">
        <v>17.399999999999999</v>
      </c>
      <c r="CC517">
        <v>17.899999999999999</v>
      </c>
      <c r="CI517">
        <v>6.1</v>
      </c>
      <c r="CO517" t="s">
        <v>8698</v>
      </c>
      <c r="CR517">
        <v>2</v>
      </c>
      <c r="CT517" s="304" t="s">
        <v>11678</v>
      </c>
    </row>
    <row r="518" spans="1:98" s="304" customFormat="1">
      <c r="A518" s="304" t="s">
        <v>8506</v>
      </c>
      <c r="B518" s="463">
        <v>12</v>
      </c>
      <c r="C518" s="296" t="s">
        <v>7621</v>
      </c>
      <c r="D518" s="296" t="s">
        <v>7460</v>
      </c>
      <c r="E518" s="296" t="s">
        <v>7621</v>
      </c>
      <c r="F518" s="296"/>
      <c r="G518" s="296" t="s">
        <v>8506</v>
      </c>
      <c r="H518" s="297" t="s">
        <v>8696</v>
      </c>
      <c r="I518" s="297">
        <v>3</v>
      </c>
      <c r="J518" s="297">
        <v>3315</v>
      </c>
      <c r="K518" s="299"/>
      <c r="L518" s="299"/>
      <c r="M518" s="299">
        <v>86</v>
      </c>
      <c r="N518" s="299">
        <v>6</v>
      </c>
      <c r="O518" s="300">
        <v>43</v>
      </c>
      <c r="P518" s="301">
        <v>42090</v>
      </c>
      <c r="Q518" s="302"/>
      <c r="R518" s="303"/>
      <c r="S518" s="289">
        <v>4.95</v>
      </c>
      <c r="T518" s="303">
        <v>42208</v>
      </c>
      <c r="U518" s="302"/>
      <c r="V518" s="303"/>
      <c r="W518" s="302"/>
      <c r="X518" s="303"/>
      <c r="Y518" s="302">
        <v>16.62</v>
      </c>
      <c r="Z518" s="303">
        <v>42208</v>
      </c>
      <c r="AA518">
        <v>14.4</v>
      </c>
      <c r="AB518" s="303"/>
      <c r="AC518" s="302"/>
      <c r="AD518" s="303"/>
      <c r="AE518" s="302"/>
      <c r="AF518" s="303"/>
      <c r="AG518">
        <v>58641.203703703686</v>
      </c>
      <c r="AH518" s="521">
        <f>(AK518*10000)/AM518</f>
        <v>58641.203703703686</v>
      </c>
      <c r="AI518" s="302"/>
      <c r="AJ518" s="303"/>
      <c r="AK518">
        <v>31.666249999999994</v>
      </c>
      <c r="AL518" s="521"/>
      <c r="AM518">
        <v>5.4</v>
      </c>
      <c r="AN518" s="303">
        <v>42244</v>
      </c>
      <c r="AO518">
        <v>140</v>
      </c>
      <c r="AP518" s="303">
        <v>42170</v>
      </c>
      <c r="AQ518" s="302"/>
      <c r="AR518" s="303"/>
      <c r="AS518" s="302"/>
      <c r="AT518" s="303"/>
      <c r="AU518">
        <v>107</v>
      </c>
      <c r="AV518" s="303"/>
      <c r="AW518" s="302"/>
      <c r="AX518" s="302"/>
      <c r="AY518" s="302"/>
      <c r="AZ518" s="303"/>
      <c r="BA518" s="302"/>
      <c r="BB518" s="302"/>
      <c r="BC518" s="302"/>
      <c r="BD518" s="302"/>
      <c r="BE518" s="302"/>
      <c r="BF518" s="302"/>
      <c r="BG518" s="302"/>
      <c r="BH518" s="302"/>
      <c r="BI518" s="302"/>
      <c r="BJ518" s="302"/>
      <c r="BM518">
        <v>43.3</v>
      </c>
      <c r="BS518">
        <v>14.5</v>
      </c>
      <c r="BY518">
        <v>46.8</v>
      </c>
      <c r="CA518">
        <v>22.6</v>
      </c>
      <c r="CC518">
        <v>68.5</v>
      </c>
      <c r="CI518">
        <v>6</v>
      </c>
      <c r="CO518" t="s">
        <v>8698</v>
      </c>
      <c r="CR518">
        <v>4</v>
      </c>
      <c r="CT518" s="304" t="s">
        <v>11678</v>
      </c>
    </row>
    <row r="519" spans="1:98" s="304" customFormat="1">
      <c r="A519" s="304" t="s">
        <v>8506</v>
      </c>
      <c r="B519" s="463">
        <v>28</v>
      </c>
      <c r="C519" s="296" t="s">
        <v>7640</v>
      </c>
      <c r="D519" s="296" t="s">
        <v>7475</v>
      </c>
      <c r="E519" s="296" t="s">
        <v>7640</v>
      </c>
      <c r="F519" s="296"/>
      <c r="G519" s="296" t="s">
        <v>8506</v>
      </c>
      <c r="H519" s="297" t="s">
        <v>8696</v>
      </c>
      <c r="I519" s="297">
        <v>3</v>
      </c>
      <c r="J519" s="297">
        <v>3135</v>
      </c>
      <c r="K519" s="299"/>
      <c r="L519" s="299"/>
      <c r="M519" s="299">
        <v>86</v>
      </c>
      <c r="N519" s="299">
        <v>3</v>
      </c>
      <c r="O519" s="300">
        <v>30</v>
      </c>
      <c r="P519" s="301">
        <v>42090</v>
      </c>
      <c r="Q519" s="302"/>
      <c r="R519" s="303"/>
      <c r="S519" s="289">
        <v>4.8499999999999996</v>
      </c>
      <c r="T519" s="303">
        <v>42208</v>
      </c>
      <c r="U519" s="302"/>
      <c r="V519" s="303"/>
      <c r="W519" s="302"/>
      <c r="X519" s="303"/>
      <c r="Y519" s="302">
        <v>17.239999999999998</v>
      </c>
      <c r="Z519" s="303">
        <v>42208</v>
      </c>
      <c r="AA519">
        <v>14.4</v>
      </c>
      <c r="AB519" s="303"/>
      <c r="AC519" s="302"/>
      <c r="AD519" s="303"/>
      <c r="AE519" s="302"/>
      <c r="AF519" s="303"/>
      <c r="AG519">
        <v>62119.069444444423</v>
      </c>
      <c r="AH519" s="521">
        <f>(AK519*10000)/AM519</f>
        <v>62119.069444444423</v>
      </c>
      <c r="AI519" s="302"/>
      <c r="AJ519" s="303"/>
      <c r="AK519">
        <v>31.059534722222214</v>
      </c>
      <c r="AL519" s="521"/>
      <c r="AM519">
        <v>5</v>
      </c>
      <c r="AN519" s="303">
        <v>42244</v>
      </c>
      <c r="AO519">
        <v>115</v>
      </c>
      <c r="AP519" s="303">
        <v>42170</v>
      </c>
      <c r="AQ519" s="302"/>
      <c r="AR519" s="303"/>
      <c r="AS519" s="302"/>
      <c r="AT519" s="303"/>
      <c r="AU519">
        <v>106</v>
      </c>
      <c r="AV519" s="303"/>
      <c r="AW519" s="302"/>
      <c r="AX519" s="302"/>
      <c r="AY519" s="302"/>
      <c r="AZ519" s="303"/>
      <c r="BA519" s="302"/>
      <c r="BB519" s="302"/>
      <c r="BC519" s="302"/>
      <c r="BD519" s="302"/>
      <c r="BE519" s="302"/>
      <c r="BF519" s="302"/>
      <c r="BG519" s="302"/>
      <c r="BH519" s="302"/>
      <c r="BI519" s="302"/>
      <c r="BJ519" s="302"/>
      <c r="BM519">
        <v>2</v>
      </c>
      <c r="BS519">
        <v>55.5</v>
      </c>
      <c r="BY519">
        <v>49.5</v>
      </c>
      <c r="CA519">
        <v>18.899999999999999</v>
      </c>
      <c r="CC519">
        <v>61.5</v>
      </c>
      <c r="CI519">
        <v>5.9</v>
      </c>
      <c r="CO519" t="s">
        <v>8699</v>
      </c>
      <c r="CR519">
        <v>1</v>
      </c>
      <c r="CT519" s="304" t="s">
        <v>11678</v>
      </c>
    </row>
    <row r="520" spans="1:98" s="304" customFormat="1">
      <c r="A520" s="304" t="s">
        <v>8506</v>
      </c>
      <c r="B520" s="463">
        <v>138</v>
      </c>
      <c r="C520" s="296" t="s">
        <v>7766</v>
      </c>
      <c r="D520" s="296" t="s">
        <v>7840</v>
      </c>
      <c r="E520" s="296" t="s">
        <v>7766</v>
      </c>
      <c r="F520" s="296"/>
      <c r="G520" s="296" t="s">
        <v>8506</v>
      </c>
      <c r="H520" s="297" t="s">
        <v>8696</v>
      </c>
      <c r="I520" s="297">
        <v>3</v>
      </c>
      <c r="J520" s="297">
        <v>315</v>
      </c>
      <c r="K520" s="299"/>
      <c r="L520" s="299"/>
      <c r="M520" s="299">
        <v>86</v>
      </c>
      <c r="N520" s="299">
        <v>1</v>
      </c>
      <c r="O520" s="300">
        <v>24</v>
      </c>
      <c r="P520" s="301">
        <v>42090</v>
      </c>
      <c r="Q520" s="302"/>
      <c r="R520" s="303"/>
      <c r="S520" s="289">
        <v>5.45</v>
      </c>
      <c r="T520" s="303">
        <v>42208</v>
      </c>
      <c r="U520" s="302"/>
      <c r="V520" s="303"/>
      <c r="W520" s="302"/>
      <c r="X520" s="303"/>
      <c r="Y520" s="302">
        <v>19.3</v>
      </c>
      <c r="Z520" s="303">
        <v>42208</v>
      </c>
      <c r="AA520">
        <v>14.4</v>
      </c>
      <c r="AB520" s="303"/>
      <c r="AC520" s="302"/>
      <c r="AD520" s="303"/>
      <c r="AE520" s="302"/>
      <c r="AF520" s="303"/>
      <c r="AG520">
        <v>79322.616792929271</v>
      </c>
      <c r="AH520" s="521">
        <f>(AK520*10000)/AM520</f>
        <v>79322.616792929271</v>
      </c>
      <c r="AI520" s="302"/>
      <c r="AJ520" s="303"/>
      <c r="AK520">
        <v>34.901951388888882</v>
      </c>
      <c r="AL520" s="521"/>
      <c r="AM520">
        <v>4.4000000000000004</v>
      </c>
      <c r="AN520" s="303">
        <v>42244</v>
      </c>
      <c r="AO520">
        <v>120</v>
      </c>
      <c r="AP520" s="303">
        <v>42170</v>
      </c>
      <c r="AQ520" s="302"/>
      <c r="AR520" s="303"/>
      <c r="AS520" s="302"/>
      <c r="AT520" s="303"/>
      <c r="AU520">
        <v>105</v>
      </c>
      <c r="AV520" s="303"/>
      <c r="AW520" s="302"/>
      <c r="AX520" s="302"/>
      <c r="AY520" s="302"/>
      <c r="AZ520" s="303"/>
      <c r="BA520" s="302"/>
      <c r="BB520" s="302"/>
      <c r="BC520" s="302"/>
      <c r="BD520" s="302"/>
      <c r="BE520" s="302"/>
      <c r="BF520" s="302"/>
      <c r="BG520" s="302"/>
      <c r="BH520" s="302"/>
      <c r="BI520" s="302"/>
      <c r="BJ520" s="302"/>
      <c r="BM520">
        <v>1</v>
      </c>
      <c r="BS520">
        <v>65.2</v>
      </c>
      <c r="BY520">
        <v>49.3</v>
      </c>
      <c r="CA520">
        <v>18.899999999999999</v>
      </c>
      <c r="CC520">
        <v>13.8</v>
      </c>
      <c r="CI520">
        <v>5.9</v>
      </c>
      <c r="CO520" t="s">
        <v>8699</v>
      </c>
      <c r="CR520">
        <v>2</v>
      </c>
      <c r="CT520" s="304" t="s">
        <v>11678</v>
      </c>
    </row>
    <row r="521" spans="1:98" s="304" customFormat="1">
      <c r="A521" s="304" t="s">
        <v>8506</v>
      </c>
      <c r="B521" s="463">
        <v>4</v>
      </c>
      <c r="C521" s="296" t="s">
        <v>7611</v>
      </c>
      <c r="D521" s="296" t="s">
        <v>7453</v>
      </c>
      <c r="E521" s="296" t="s">
        <v>7611</v>
      </c>
      <c r="F521" s="296"/>
      <c r="G521" s="296" t="s">
        <v>8506</v>
      </c>
      <c r="H521" s="297" t="s">
        <v>8697</v>
      </c>
      <c r="I521" s="297">
        <v>4</v>
      </c>
      <c r="J521" s="297">
        <v>476</v>
      </c>
      <c r="K521" s="299"/>
      <c r="L521" s="299"/>
      <c r="M521" s="299">
        <v>87</v>
      </c>
      <c r="N521" s="299">
        <v>8</v>
      </c>
      <c r="O521" s="300">
        <v>64</v>
      </c>
      <c r="P521" s="301">
        <v>42090</v>
      </c>
      <c r="Q521" s="302"/>
      <c r="R521" s="303"/>
      <c r="S521" s="289">
        <v>2.4</v>
      </c>
      <c r="T521" s="303">
        <v>42208</v>
      </c>
      <c r="U521" s="302"/>
      <c r="V521" s="303"/>
      <c r="W521" s="302"/>
      <c r="X521" s="303"/>
      <c r="Y521" s="302">
        <v>8.4600000000000009</v>
      </c>
      <c r="Z521" s="303">
        <v>42208</v>
      </c>
      <c r="AA521">
        <v>14.4</v>
      </c>
      <c r="AB521" s="303"/>
      <c r="AC521" s="302"/>
      <c r="AD521" s="303"/>
      <c r="AE521" s="302"/>
      <c r="AF521" s="303"/>
      <c r="AG521">
        <v>28004.24242424242</v>
      </c>
      <c r="AH521" s="521">
        <f>(AK521*10000)/AM521</f>
        <v>28004.24242424242</v>
      </c>
      <c r="AI521" s="302"/>
      <c r="AJ521" s="303"/>
      <c r="AK521">
        <v>15.402333333333331</v>
      </c>
      <c r="AL521" s="521"/>
      <c r="AM521">
        <v>5.5</v>
      </c>
      <c r="AN521" s="303">
        <v>42244</v>
      </c>
      <c r="AO521">
        <v>145</v>
      </c>
      <c r="AP521" s="303">
        <v>42170</v>
      </c>
      <c r="AQ521" s="302"/>
      <c r="AR521" s="303"/>
      <c r="AS521" s="302"/>
      <c r="AT521" s="303"/>
      <c r="AU521">
        <v>108</v>
      </c>
      <c r="AV521" s="303"/>
      <c r="AW521" s="302"/>
      <c r="AX521" s="302"/>
      <c r="AY521" s="302"/>
      <c r="AZ521" s="303"/>
      <c r="BA521" s="302"/>
      <c r="BB521" s="302"/>
      <c r="BC521" s="302"/>
      <c r="BD521" s="302"/>
      <c r="BE521" s="302"/>
      <c r="BF521" s="302"/>
      <c r="BG521" s="302"/>
      <c r="BH521" s="302"/>
      <c r="BI521" s="302"/>
      <c r="BJ521" s="302"/>
      <c r="BM521">
        <v>41.9</v>
      </c>
      <c r="BS521">
        <v>12.1</v>
      </c>
      <c r="BY521">
        <v>49</v>
      </c>
      <c r="CA521">
        <v>21</v>
      </c>
      <c r="CC521">
        <v>74.2</v>
      </c>
      <c r="CI521">
        <v>5.7</v>
      </c>
      <c r="CO521" t="s">
        <v>8698</v>
      </c>
      <c r="CR521">
        <v>1</v>
      </c>
      <c r="CT521" s="304" t="s">
        <v>11678</v>
      </c>
    </row>
    <row r="522" spans="1:98" s="304" customFormat="1">
      <c r="A522" s="304" t="s">
        <v>8506</v>
      </c>
      <c r="B522" s="463">
        <v>41</v>
      </c>
      <c r="C522" s="296" t="s">
        <v>7658</v>
      </c>
      <c r="D522" s="296" t="s">
        <v>7491</v>
      </c>
      <c r="E522" s="296" t="s">
        <v>7658</v>
      </c>
      <c r="F522" s="296"/>
      <c r="G522" s="296" t="s">
        <v>8506</v>
      </c>
      <c r="H522" s="297" t="s">
        <v>8696</v>
      </c>
      <c r="I522" s="297">
        <v>3</v>
      </c>
      <c r="J522" s="297">
        <v>3196</v>
      </c>
      <c r="K522" s="299"/>
      <c r="L522" s="299"/>
      <c r="M522" s="299">
        <v>87</v>
      </c>
      <c r="N522" s="299">
        <v>4</v>
      </c>
      <c r="O522" s="300">
        <v>45</v>
      </c>
      <c r="P522" s="301">
        <v>42090</v>
      </c>
      <c r="Q522" s="302"/>
      <c r="R522" s="303"/>
      <c r="S522" s="289">
        <v>6.15</v>
      </c>
      <c r="T522" s="303">
        <v>42208</v>
      </c>
      <c r="U522" s="302"/>
      <c r="V522" s="303"/>
      <c r="W522" s="302"/>
      <c r="X522" s="303"/>
      <c r="Y522" s="302">
        <v>21.7</v>
      </c>
      <c r="Z522" s="303">
        <v>42208</v>
      </c>
      <c r="AA522">
        <v>14.4</v>
      </c>
      <c r="AB522" s="303"/>
      <c r="AC522" s="302"/>
      <c r="AD522" s="303"/>
      <c r="AE522" s="302"/>
      <c r="AF522" s="303"/>
      <c r="AG522">
        <v>85164.130434782608</v>
      </c>
      <c r="AH522" s="521">
        <f>(AK522*10000)/AM522</f>
        <v>85164.130434782608</v>
      </c>
      <c r="AI522" s="302"/>
      <c r="AJ522" s="303"/>
      <c r="AK522">
        <v>39.1755</v>
      </c>
      <c r="AL522" s="521"/>
      <c r="AM522">
        <v>4.5999999999999996</v>
      </c>
      <c r="AN522" s="303">
        <v>42244</v>
      </c>
      <c r="AO522">
        <v>125</v>
      </c>
      <c r="AP522" s="303">
        <v>42170</v>
      </c>
      <c r="AQ522" s="302"/>
      <c r="AR522" s="303"/>
      <c r="AS522" s="302"/>
      <c r="AT522" s="303"/>
      <c r="AU522">
        <v>110</v>
      </c>
      <c r="AV522" s="303"/>
      <c r="AW522" s="302"/>
      <c r="AX522" s="302"/>
      <c r="AY522" s="302"/>
      <c r="AZ522" s="303"/>
      <c r="BA522" s="302"/>
      <c r="BB522" s="302"/>
      <c r="BC522" s="302"/>
      <c r="BD522" s="302"/>
      <c r="BE522" s="302"/>
      <c r="BF522" s="302"/>
      <c r="BG522" s="302"/>
      <c r="BH522" s="302"/>
      <c r="BI522" s="302"/>
      <c r="BJ522" s="302"/>
      <c r="BM522">
        <v>1.1000000000000001</v>
      </c>
      <c r="BS522">
        <v>59.5</v>
      </c>
      <c r="BY522">
        <v>49.4</v>
      </c>
      <c r="CA522">
        <v>18.100000000000001</v>
      </c>
      <c r="CC522">
        <v>18.2</v>
      </c>
      <c r="CI522">
        <v>6.4</v>
      </c>
      <c r="CO522" t="s">
        <v>8698</v>
      </c>
      <c r="CR522">
        <v>2</v>
      </c>
      <c r="CT522" s="304" t="s">
        <v>11678</v>
      </c>
    </row>
    <row r="523" spans="1:98" s="304" customFormat="1">
      <c r="A523" s="304" t="s">
        <v>8506</v>
      </c>
      <c r="B523" s="463">
        <v>42</v>
      </c>
      <c r="C523" s="296" t="s">
        <v>7659</v>
      </c>
      <c r="D523" s="296" t="s">
        <v>7492</v>
      </c>
      <c r="E523" s="296" t="s">
        <v>7659</v>
      </c>
      <c r="F523" s="296"/>
      <c r="G523" s="296" t="s">
        <v>8506</v>
      </c>
      <c r="H523" s="297" t="s">
        <v>8696</v>
      </c>
      <c r="I523" s="297">
        <v>3</v>
      </c>
      <c r="J523" s="297">
        <v>316</v>
      </c>
      <c r="K523" s="299"/>
      <c r="L523" s="299"/>
      <c r="M523" s="299">
        <v>87</v>
      </c>
      <c r="N523" s="299">
        <v>1</v>
      </c>
      <c r="O523" s="300">
        <v>70</v>
      </c>
      <c r="P523" s="301">
        <v>42090</v>
      </c>
      <c r="Q523" s="302"/>
      <c r="R523" s="303"/>
      <c r="S523" s="289">
        <v>6.7</v>
      </c>
      <c r="T523" s="303">
        <v>42208</v>
      </c>
      <c r="U523" s="302"/>
      <c r="V523" s="303"/>
      <c r="W523" s="302"/>
      <c r="X523" s="303"/>
      <c r="Y523" s="302">
        <v>24.45</v>
      </c>
      <c r="Z523" s="303">
        <v>42208</v>
      </c>
      <c r="AA523">
        <v>14.4</v>
      </c>
      <c r="AB523" s="303"/>
      <c r="AC523" s="302"/>
      <c r="AD523" s="303"/>
      <c r="AE523" s="302"/>
      <c r="AF523" s="303"/>
      <c r="AG523">
        <v>89959.519675925927</v>
      </c>
      <c r="AH523" s="521">
        <f>(AK523*10000)/AM523</f>
        <v>89959.519675925927</v>
      </c>
      <c r="AI523" s="302"/>
      <c r="AJ523" s="303"/>
      <c r="AK523">
        <v>43.180569444444444</v>
      </c>
      <c r="AL523" s="521"/>
      <c r="AM523">
        <v>4.8</v>
      </c>
      <c r="AN523" s="303">
        <v>42244</v>
      </c>
      <c r="AO523">
        <v>135</v>
      </c>
      <c r="AP523" s="303">
        <v>42170</v>
      </c>
      <c r="AQ523" s="302"/>
      <c r="AR523" s="303"/>
      <c r="AS523" s="302"/>
      <c r="AT523" s="303"/>
      <c r="AU523">
        <v>111</v>
      </c>
      <c r="AV523" s="303"/>
      <c r="AW523" s="302"/>
      <c r="AX523" s="302"/>
      <c r="AY523" s="302"/>
      <c r="AZ523" s="303"/>
      <c r="BA523" s="302"/>
      <c r="BB523" s="302"/>
      <c r="BC523" s="302"/>
      <c r="BD523" s="302"/>
      <c r="BE523" s="302"/>
      <c r="BF523" s="302"/>
      <c r="BG523" s="302"/>
      <c r="BH523" s="302"/>
      <c r="BI523" s="302"/>
      <c r="BJ523" s="302"/>
      <c r="BM523">
        <v>-2.2000000000000002</v>
      </c>
      <c r="BS523">
        <v>61.6</v>
      </c>
      <c r="BY523">
        <v>50.5</v>
      </c>
      <c r="CA523">
        <v>17.8</v>
      </c>
      <c r="CC523">
        <v>15.3</v>
      </c>
      <c r="CI523">
        <v>5.3</v>
      </c>
      <c r="CO523" t="s">
        <v>8699</v>
      </c>
      <c r="CR523">
        <v>4</v>
      </c>
      <c r="CT523" s="304" t="s">
        <v>11678</v>
      </c>
    </row>
    <row r="524" spans="1:98" s="304" customFormat="1">
      <c r="A524" s="304" t="s">
        <v>8506</v>
      </c>
      <c r="B524" s="463">
        <v>44</v>
      </c>
      <c r="C524" s="296" t="s">
        <v>7661</v>
      </c>
      <c r="D524" s="296" t="s">
        <v>7494</v>
      </c>
      <c r="E524" s="296" t="s">
        <v>7661</v>
      </c>
      <c r="F524" s="296"/>
      <c r="G524" s="296" t="s">
        <v>8506</v>
      </c>
      <c r="H524" s="297" t="s">
        <v>8697</v>
      </c>
      <c r="I524" s="297">
        <v>4</v>
      </c>
      <c r="J524" s="297">
        <v>4136</v>
      </c>
      <c r="K524" s="299"/>
      <c r="L524" s="299"/>
      <c r="M524" s="299">
        <v>87</v>
      </c>
      <c r="N524" s="299">
        <v>9</v>
      </c>
      <c r="O524" s="300">
        <v>84</v>
      </c>
      <c r="P524" s="301">
        <v>42090</v>
      </c>
      <c r="Q524" s="302"/>
      <c r="R524" s="303"/>
      <c r="S524" s="289">
        <v>5</v>
      </c>
      <c r="T524" s="303">
        <v>42208</v>
      </c>
      <c r="U524" s="302"/>
      <c r="V524" s="303"/>
      <c r="W524" s="302"/>
      <c r="X524" s="303"/>
      <c r="Y524" s="302">
        <v>17.86</v>
      </c>
      <c r="Z524" s="303">
        <v>42208</v>
      </c>
      <c r="AA524">
        <v>14.4</v>
      </c>
      <c r="AB524" s="303"/>
      <c r="AC524" s="302"/>
      <c r="AD524" s="303"/>
      <c r="AE524" s="302"/>
      <c r="AF524" s="303"/>
      <c r="AG524">
        <v>69535.024154589351</v>
      </c>
      <c r="AH524" s="521">
        <f>(AK524*10000)/AM524</f>
        <v>69535.024154589351</v>
      </c>
      <c r="AI524" s="302"/>
      <c r="AJ524" s="303"/>
      <c r="AK524">
        <v>31.986111111111104</v>
      </c>
      <c r="AL524" s="521"/>
      <c r="AM524">
        <v>4.5999999999999996</v>
      </c>
      <c r="AN524" s="303">
        <v>42244</v>
      </c>
      <c r="AO524">
        <v>145</v>
      </c>
      <c r="AP524" s="303">
        <v>42170</v>
      </c>
      <c r="AQ524" s="302"/>
      <c r="AR524" s="303"/>
      <c r="AS524" s="302"/>
      <c r="AT524" s="303"/>
      <c r="AU524">
        <v>116</v>
      </c>
      <c r="AV524" s="303"/>
      <c r="AW524" s="302"/>
      <c r="AX524" s="302"/>
      <c r="AY524" s="302"/>
      <c r="AZ524" s="303"/>
      <c r="BA524" s="302"/>
      <c r="BB524" s="302"/>
      <c r="BC524" s="302"/>
      <c r="BD524" s="302"/>
      <c r="BE524" s="302"/>
      <c r="BF524" s="302"/>
      <c r="BG524" s="302"/>
      <c r="BH524" s="302"/>
      <c r="BI524" s="302"/>
      <c r="BJ524" s="302"/>
      <c r="BM524">
        <v>-0.9</v>
      </c>
      <c r="BS524">
        <v>59.8</v>
      </c>
      <c r="BY524">
        <v>49.8</v>
      </c>
      <c r="CA524">
        <v>18</v>
      </c>
      <c r="CC524">
        <v>21.4</v>
      </c>
      <c r="CI524">
        <v>6</v>
      </c>
      <c r="CO524" t="s">
        <v>8698</v>
      </c>
      <c r="CR524">
        <v>3</v>
      </c>
      <c r="CT524" s="304" t="s">
        <v>11678</v>
      </c>
    </row>
    <row r="525" spans="1:98" s="304" customFormat="1">
      <c r="A525" s="304" t="s">
        <v>8506</v>
      </c>
      <c r="B525" s="463">
        <v>52</v>
      </c>
      <c r="C525" s="296" t="s">
        <v>7670</v>
      </c>
      <c r="D525" s="296" t="s">
        <v>7502</v>
      </c>
      <c r="E525" s="296" t="s">
        <v>7670</v>
      </c>
      <c r="F525" s="296"/>
      <c r="G525" s="296" t="s">
        <v>8506</v>
      </c>
      <c r="H525" s="297" t="s">
        <v>8697</v>
      </c>
      <c r="I525" s="297">
        <v>4</v>
      </c>
      <c r="J525" s="308">
        <v>4256</v>
      </c>
      <c r="K525" s="299"/>
      <c r="L525" s="299"/>
      <c r="M525" s="299">
        <v>87</v>
      </c>
      <c r="N525" s="299">
        <v>11</v>
      </c>
      <c r="O525" s="300">
        <v>43</v>
      </c>
      <c r="P525" s="301">
        <v>42090</v>
      </c>
      <c r="Q525" s="306"/>
      <c r="R525" s="303"/>
      <c r="S525" s="289">
        <v>5.15</v>
      </c>
      <c r="T525" s="303">
        <v>42208</v>
      </c>
      <c r="U525" s="307"/>
      <c r="V525" s="303"/>
      <c r="W525" s="306"/>
      <c r="X525" s="303"/>
      <c r="Y525" s="306">
        <v>19.84</v>
      </c>
      <c r="Z525" s="303">
        <v>42208</v>
      </c>
      <c r="AA525">
        <v>14.4</v>
      </c>
      <c r="AB525" s="303"/>
      <c r="AC525" s="306"/>
      <c r="AD525" s="303"/>
      <c r="AE525" s="302"/>
      <c r="AF525" s="303"/>
      <c r="AG525">
        <v>68782.899305555577</v>
      </c>
      <c r="AH525" s="521">
        <f>(AK525*10000)/AM525</f>
        <v>68782.899305555577</v>
      </c>
      <c r="AI525" s="302"/>
      <c r="AJ525" s="303"/>
      <c r="AK525">
        <v>33.015791666666672</v>
      </c>
      <c r="AL525" s="521"/>
      <c r="AM525">
        <v>4.8</v>
      </c>
      <c r="AN525" s="303">
        <v>42244</v>
      </c>
      <c r="AO525">
        <v>135</v>
      </c>
      <c r="AP525" s="303">
        <v>42170</v>
      </c>
      <c r="AQ525" s="306"/>
      <c r="AR525" s="303"/>
      <c r="AS525" s="306"/>
      <c r="AT525" s="303"/>
      <c r="AU525">
        <v>110</v>
      </c>
      <c r="AV525" s="303"/>
      <c r="AW525" s="302"/>
      <c r="AX525" s="302"/>
      <c r="AY525" s="302"/>
      <c r="AZ525" s="303"/>
      <c r="BA525" s="302"/>
      <c r="BB525" s="302"/>
      <c r="BC525" s="302"/>
      <c r="BD525" s="302"/>
      <c r="BE525" s="302"/>
      <c r="BF525" s="302"/>
      <c r="BG525" s="302"/>
      <c r="BH525" s="302"/>
      <c r="BI525" s="302"/>
      <c r="BJ525" s="302"/>
      <c r="BM525">
        <v>0.9</v>
      </c>
      <c r="BS525">
        <v>64.099999999999994</v>
      </c>
      <c r="BY525">
        <v>53.6</v>
      </c>
      <c r="CA525">
        <v>15.4</v>
      </c>
      <c r="CC525">
        <v>12.5</v>
      </c>
      <c r="CI525">
        <v>5.8</v>
      </c>
      <c r="CO525" t="s">
        <v>8698</v>
      </c>
      <c r="CR525">
        <v>1</v>
      </c>
      <c r="CT525" s="304" t="s">
        <v>11678</v>
      </c>
    </row>
    <row r="526" spans="1:98" s="304" customFormat="1">
      <c r="A526" s="304" t="s">
        <v>8506</v>
      </c>
      <c r="B526" s="463">
        <v>68</v>
      </c>
      <c r="C526" s="296" t="s">
        <v>7686</v>
      </c>
      <c r="D526" s="296" t="s">
        <v>262</v>
      </c>
      <c r="E526" s="296" t="s">
        <v>7686</v>
      </c>
      <c r="F526" s="296"/>
      <c r="G526" s="296" t="s">
        <v>8506</v>
      </c>
      <c r="H526" s="297" t="s">
        <v>8697</v>
      </c>
      <c r="I526" s="297">
        <v>4</v>
      </c>
      <c r="J526" s="297">
        <v>4196</v>
      </c>
      <c r="K526" s="299"/>
      <c r="L526" s="299"/>
      <c r="M526" s="299">
        <v>87</v>
      </c>
      <c r="N526" s="299">
        <v>10</v>
      </c>
      <c r="O526" s="300">
        <v>80</v>
      </c>
      <c r="P526" s="301">
        <v>42090</v>
      </c>
      <c r="Q526" s="302"/>
      <c r="R526" s="303"/>
      <c r="S526" s="289">
        <v>5.3</v>
      </c>
      <c r="T526" s="303">
        <v>42208</v>
      </c>
      <c r="U526" s="302"/>
      <c r="V526" s="303"/>
      <c r="W526" s="302"/>
      <c r="X526" s="303"/>
      <c r="Y526" s="302">
        <v>20.48</v>
      </c>
      <c r="Z526" s="303">
        <v>42208</v>
      </c>
      <c r="AA526">
        <v>14.4</v>
      </c>
      <c r="AB526" s="303"/>
      <c r="AC526" s="302"/>
      <c r="AD526" s="303"/>
      <c r="AE526" s="302"/>
      <c r="AF526" s="303"/>
      <c r="AG526">
        <v>78933.365633074936</v>
      </c>
      <c r="AH526" s="521">
        <f>(AK526*10000)/AM526</f>
        <v>78933.365633074936</v>
      </c>
      <c r="AI526" s="302"/>
      <c r="AJ526" s="303"/>
      <c r="AK526">
        <v>33.94134722222222</v>
      </c>
      <c r="AL526" s="521"/>
      <c r="AM526">
        <v>4.3</v>
      </c>
      <c r="AN526" s="303">
        <v>42244</v>
      </c>
      <c r="AO526">
        <v>130</v>
      </c>
      <c r="AP526" s="303">
        <v>42170</v>
      </c>
      <c r="AQ526" s="302"/>
      <c r="AR526" s="303"/>
      <c r="AS526" s="302"/>
      <c r="AT526" s="303"/>
      <c r="AU526">
        <v>103</v>
      </c>
      <c r="AV526" s="303"/>
      <c r="AW526" s="302"/>
      <c r="AX526" s="302"/>
      <c r="AY526" s="302"/>
      <c r="AZ526" s="303"/>
      <c r="BA526" s="302"/>
      <c r="BB526" s="302"/>
      <c r="BC526" s="302"/>
      <c r="BD526" s="302"/>
      <c r="BE526" s="302"/>
      <c r="BF526" s="302"/>
      <c r="BG526" s="302"/>
      <c r="BH526" s="302"/>
      <c r="BI526" s="302"/>
      <c r="BJ526" s="302"/>
      <c r="BM526">
        <v>-4.0999999999999996</v>
      </c>
      <c r="BS526">
        <v>64.400000000000006</v>
      </c>
      <c r="BY526">
        <v>53.8</v>
      </c>
      <c r="CA526">
        <v>15</v>
      </c>
      <c r="CC526">
        <v>15.4</v>
      </c>
      <c r="CI526">
        <v>5.9</v>
      </c>
      <c r="CO526" t="s">
        <v>8698</v>
      </c>
      <c r="CR526">
        <v>1</v>
      </c>
      <c r="CT526" s="304" t="s">
        <v>11678</v>
      </c>
    </row>
    <row r="527" spans="1:98" s="304" customFormat="1">
      <c r="A527" s="304" t="s">
        <v>8506</v>
      </c>
      <c r="B527" s="463">
        <v>124</v>
      </c>
      <c r="C527" s="296" t="s">
        <v>7751</v>
      </c>
      <c r="D527" s="296" t="s">
        <v>7562</v>
      </c>
      <c r="E527" s="296" t="s">
        <v>7751</v>
      </c>
      <c r="F527" s="296"/>
      <c r="G527" s="296" t="s">
        <v>8506</v>
      </c>
      <c r="H527" s="297" t="s">
        <v>8697</v>
      </c>
      <c r="I527" s="297">
        <v>4</v>
      </c>
      <c r="J527" s="297">
        <v>4316</v>
      </c>
      <c r="K527" s="299"/>
      <c r="L527" s="299"/>
      <c r="M527" s="299">
        <v>87</v>
      </c>
      <c r="N527" s="299">
        <v>12</v>
      </c>
      <c r="O527" s="300">
        <v>32</v>
      </c>
      <c r="P527" s="301">
        <v>42090</v>
      </c>
      <c r="Q527" s="302"/>
      <c r="R527" s="303"/>
      <c r="S527" s="289">
        <v>5.65</v>
      </c>
      <c r="T527" s="303">
        <v>42208</v>
      </c>
      <c r="U527" s="302"/>
      <c r="V527" s="303"/>
      <c r="W527" s="302"/>
      <c r="X527" s="303"/>
      <c r="Y527" s="302">
        <v>21.6</v>
      </c>
      <c r="Z527" s="303">
        <v>42208</v>
      </c>
      <c r="AA527">
        <v>14.4</v>
      </c>
      <c r="AB527" s="303"/>
      <c r="AC527" s="302"/>
      <c r="AD527" s="303"/>
      <c r="AE527" s="302"/>
      <c r="AF527" s="303"/>
      <c r="AG527">
        <v>69508.279914529907</v>
      </c>
      <c r="AH527" s="521">
        <f>(AK527*10000)/AM527</f>
        <v>69508.279914529907</v>
      </c>
      <c r="AI527" s="302"/>
      <c r="AJ527" s="303"/>
      <c r="AK527">
        <v>36.144305555555547</v>
      </c>
      <c r="AL527" s="521"/>
      <c r="AM527">
        <v>5.2</v>
      </c>
      <c r="AN527" s="303">
        <v>42244</v>
      </c>
      <c r="AO527">
        <v>125</v>
      </c>
      <c r="AP527" s="303">
        <v>42170</v>
      </c>
      <c r="AQ527" s="302"/>
      <c r="AR527" s="303"/>
      <c r="AS527" s="302"/>
      <c r="AT527" s="303"/>
      <c r="AU527">
        <v>107</v>
      </c>
      <c r="AV527" s="303"/>
      <c r="AW527" s="302"/>
      <c r="AX527" s="302"/>
      <c r="AY527" s="302"/>
      <c r="AZ527" s="303"/>
      <c r="BA527" s="302"/>
      <c r="BB527" s="302"/>
      <c r="BC527" s="302"/>
      <c r="BD527" s="302"/>
      <c r="BE527" s="302"/>
      <c r="BF527" s="302"/>
      <c r="BG527" s="302"/>
      <c r="BH527" s="302"/>
      <c r="BI527" s="302"/>
      <c r="BJ527" s="302"/>
      <c r="BM527">
        <v>-3.2</v>
      </c>
      <c r="BS527">
        <v>60.9</v>
      </c>
      <c r="BY527">
        <v>53.3</v>
      </c>
      <c r="CA527">
        <v>16.100000000000001</v>
      </c>
      <c r="CC527">
        <v>17.600000000000001</v>
      </c>
      <c r="CI527">
        <v>6</v>
      </c>
      <c r="CO527" t="s">
        <v>8698</v>
      </c>
      <c r="CR527">
        <v>2</v>
      </c>
      <c r="CT527" s="304" t="s">
        <v>11678</v>
      </c>
    </row>
    <row r="528" spans="1:98" s="304" customFormat="1">
      <c r="A528" s="304" t="s">
        <v>8506</v>
      </c>
      <c r="B528" s="463">
        <v>130</v>
      </c>
      <c r="C528" s="296" t="s">
        <v>7758</v>
      </c>
      <c r="D528" s="296" t="s">
        <v>7568</v>
      </c>
      <c r="E528" s="296" t="s">
        <v>7758</v>
      </c>
      <c r="F528" s="296"/>
      <c r="G528" s="296" t="s">
        <v>8506</v>
      </c>
      <c r="H528" s="297" t="s">
        <v>8697</v>
      </c>
      <c r="I528" s="297">
        <v>4</v>
      </c>
      <c r="J528" s="297">
        <v>416</v>
      </c>
      <c r="K528" s="299"/>
      <c r="L528" s="299"/>
      <c r="M528" s="299">
        <v>87</v>
      </c>
      <c r="N528" s="299">
        <v>7</v>
      </c>
      <c r="O528" s="300">
        <v>41</v>
      </c>
      <c r="P528" s="301">
        <v>42090</v>
      </c>
      <c r="Q528" s="302"/>
      <c r="R528" s="303"/>
      <c r="S528" s="289">
        <v>5.25</v>
      </c>
      <c r="T528" s="303">
        <v>42208</v>
      </c>
      <c r="U528" s="302"/>
      <c r="V528" s="303"/>
      <c r="W528" s="302"/>
      <c r="X528" s="303"/>
      <c r="Y528" s="302">
        <v>20.079999999999998</v>
      </c>
      <c r="Z528" s="303">
        <v>42208</v>
      </c>
      <c r="AA528">
        <v>14.4</v>
      </c>
      <c r="AB528" s="303"/>
      <c r="AC528" s="302"/>
      <c r="AD528" s="303"/>
      <c r="AE528" s="302"/>
      <c r="AF528" s="303"/>
      <c r="AG528">
        <v>62327.546296296292</v>
      </c>
      <c r="AH528" s="521">
        <f>(AK528*10000)/AM528</f>
        <v>62327.546296296292</v>
      </c>
      <c r="AI528" s="302"/>
      <c r="AJ528" s="303"/>
      <c r="AK528">
        <v>33.656874999999999</v>
      </c>
      <c r="AL528" s="521"/>
      <c r="AM528">
        <v>5.4</v>
      </c>
      <c r="AN528" s="303">
        <v>42244</v>
      </c>
      <c r="AO528">
        <v>130</v>
      </c>
      <c r="AP528" s="303">
        <v>42170</v>
      </c>
      <c r="AQ528" s="302"/>
      <c r="AR528" s="303"/>
      <c r="AS528" s="302"/>
      <c r="AT528" s="303"/>
      <c r="AU528">
        <v>106</v>
      </c>
      <c r="AV528" s="303"/>
      <c r="AW528" s="302"/>
      <c r="AX528" s="302"/>
      <c r="AY528" s="302"/>
      <c r="AZ528" s="303"/>
      <c r="BA528" s="302"/>
      <c r="BB528" s="302"/>
      <c r="BC528" s="302"/>
      <c r="BD528" s="302"/>
      <c r="BE528" s="302"/>
      <c r="BF528" s="302"/>
      <c r="BG528" s="302"/>
      <c r="BH528" s="302"/>
      <c r="BI528" s="302"/>
      <c r="BJ528" s="302"/>
      <c r="BM528">
        <v>1.1000000000000001</v>
      </c>
      <c r="BS528">
        <v>57.6</v>
      </c>
      <c r="BY528">
        <v>53.2</v>
      </c>
      <c r="CA528">
        <v>15.4</v>
      </c>
      <c r="CC528">
        <v>19.399999999999999</v>
      </c>
      <c r="CI528">
        <v>5.8</v>
      </c>
      <c r="CO528" t="s">
        <v>8698</v>
      </c>
      <c r="CR528">
        <v>2</v>
      </c>
      <c r="CT528" s="304" t="s">
        <v>11678</v>
      </c>
    </row>
    <row r="529" spans="1:98" s="304" customFormat="1">
      <c r="A529" s="304" t="s">
        <v>8506</v>
      </c>
      <c r="B529" s="523">
        <v>356</v>
      </c>
      <c r="C529" s="296" t="s">
        <v>8510</v>
      </c>
      <c r="D529" s="296" t="s">
        <v>8086</v>
      </c>
      <c r="E529" s="296" t="s">
        <v>8086</v>
      </c>
      <c r="F529" s="296"/>
      <c r="G529" s="296" t="s">
        <v>8506</v>
      </c>
      <c r="H529" s="297" t="s">
        <v>8696</v>
      </c>
      <c r="I529" s="297">
        <v>3</v>
      </c>
      <c r="J529" s="297">
        <v>3316</v>
      </c>
      <c r="K529" s="299"/>
      <c r="L529" s="299"/>
      <c r="M529" s="299">
        <v>87</v>
      </c>
      <c r="N529" s="299">
        <v>6</v>
      </c>
      <c r="O529" s="300">
        <v>36</v>
      </c>
      <c r="P529" s="301">
        <v>42090</v>
      </c>
      <c r="Q529" s="302"/>
      <c r="R529" s="303"/>
      <c r="S529" s="289">
        <v>8</v>
      </c>
      <c r="T529" s="303">
        <v>42208</v>
      </c>
      <c r="U529" s="302"/>
      <c r="V529" s="303"/>
      <c r="W529" s="302"/>
      <c r="X529" s="303"/>
      <c r="Y529" s="302">
        <v>28.67</v>
      </c>
      <c r="Z529" s="303">
        <v>42208</v>
      </c>
      <c r="AA529">
        <v>14.4</v>
      </c>
      <c r="AB529" s="303"/>
      <c r="AC529" s="302"/>
      <c r="AD529" s="303"/>
      <c r="AE529" s="302"/>
      <c r="AF529" s="303"/>
      <c r="AG529">
        <v>109004.72813238771</v>
      </c>
      <c r="AH529" s="521">
        <f>(AK529*10000)/AM529</f>
        <v>109004.72813238771</v>
      </c>
      <c r="AI529" s="302"/>
      <c r="AJ529" s="303"/>
      <c r="AK529">
        <v>51.232222222222227</v>
      </c>
      <c r="AL529" s="521"/>
      <c r="AM529">
        <v>4.7</v>
      </c>
      <c r="AN529" s="303">
        <v>42244</v>
      </c>
      <c r="AO529">
        <v>160</v>
      </c>
      <c r="AP529" s="303">
        <v>42170</v>
      </c>
      <c r="AQ529" s="302"/>
      <c r="AR529" s="303"/>
      <c r="AS529" s="302"/>
      <c r="AT529" s="303"/>
      <c r="AU529">
        <v>107</v>
      </c>
      <c r="AV529" s="302"/>
      <c r="AW529" s="302"/>
      <c r="AX529" s="302"/>
      <c r="AY529" s="302"/>
      <c r="AZ529" s="302"/>
      <c r="BA529" s="302"/>
      <c r="BB529" s="302"/>
      <c r="BC529" s="302"/>
      <c r="BD529" s="302"/>
      <c r="BE529" s="302"/>
      <c r="BF529" s="302"/>
      <c r="BG529" s="302"/>
      <c r="BH529" s="302"/>
      <c r="BI529" s="302"/>
      <c r="BJ529" s="302"/>
      <c r="BM529">
        <v>1.4</v>
      </c>
      <c r="BS529">
        <v>60.7</v>
      </c>
      <c r="BY529">
        <v>49.9</v>
      </c>
      <c r="CA529">
        <v>19.5</v>
      </c>
      <c r="CC529">
        <v>17.399999999999999</v>
      </c>
      <c r="CI529">
        <v>5.9</v>
      </c>
      <c r="CO529" t="s">
        <v>8698</v>
      </c>
      <c r="CR529">
        <v>2</v>
      </c>
      <c r="CT529" s="304" t="s">
        <v>11678</v>
      </c>
    </row>
    <row r="530" spans="1:98" s="304" customFormat="1">
      <c r="A530" s="304" t="s">
        <v>8506</v>
      </c>
      <c r="B530" s="463">
        <v>48</v>
      </c>
      <c r="C530" s="296" t="s">
        <v>7665</v>
      </c>
      <c r="D530" s="296" t="s">
        <v>7816</v>
      </c>
      <c r="E530" s="296" t="s">
        <v>7665</v>
      </c>
      <c r="F530" s="296"/>
      <c r="G530" s="296" t="s">
        <v>8506</v>
      </c>
      <c r="H530" s="297" t="s">
        <v>8697</v>
      </c>
      <c r="I530" s="297">
        <v>4</v>
      </c>
      <c r="J530" s="297">
        <v>4257</v>
      </c>
      <c r="K530" s="299"/>
      <c r="L530" s="299"/>
      <c r="M530" s="299">
        <v>88</v>
      </c>
      <c r="N530" s="299">
        <v>11</v>
      </c>
      <c r="O530" s="300">
        <v>36</v>
      </c>
      <c r="P530" s="301">
        <v>42090</v>
      </c>
      <c r="Q530" s="302"/>
      <c r="R530" s="303"/>
      <c r="S530" s="289"/>
      <c r="T530" s="303"/>
      <c r="U530" s="302"/>
      <c r="V530" s="303"/>
      <c r="W530" s="302"/>
      <c r="X530" s="303"/>
      <c r="Y530" s="302"/>
      <c r="Z530" s="303"/>
      <c r="AA530"/>
      <c r="AB530" s="303"/>
      <c r="AC530" s="302"/>
      <c r="AD530" s="303"/>
      <c r="AE530" s="302"/>
      <c r="AF530" s="303"/>
      <c r="AG530" t="e">
        <v>#DIV/0!</v>
      </c>
      <c r="AH530" s="521" t="e">
        <f>(AK530*10000)/AM530</f>
        <v>#DIV/0!</v>
      </c>
      <c r="AI530" s="302"/>
      <c r="AJ530" s="303"/>
      <c r="AK530" t="e">
        <v>#DIV/0!</v>
      </c>
      <c r="AL530" s="521"/>
      <c r="AM530"/>
      <c r="AN530" s="303"/>
      <c r="AO530"/>
      <c r="AP530" s="303"/>
      <c r="AQ530" s="302"/>
      <c r="AR530" s="303"/>
      <c r="AS530" s="302"/>
      <c r="AT530" s="303"/>
      <c r="AU530"/>
      <c r="AV530" s="303"/>
      <c r="AW530" s="302"/>
      <c r="AX530" s="302"/>
      <c r="AY530" s="302"/>
      <c r="AZ530" s="303"/>
      <c r="BA530" s="302"/>
      <c r="BB530" s="302"/>
      <c r="BC530" s="302"/>
      <c r="BD530" s="302"/>
      <c r="BE530" s="302"/>
      <c r="BF530" s="302"/>
      <c r="BG530" s="302"/>
      <c r="BH530" s="302"/>
      <c r="BI530" s="302"/>
      <c r="BJ530" s="302"/>
      <c r="BM530"/>
      <c r="BS530"/>
      <c r="BY530"/>
      <c r="CA530"/>
      <c r="CC530"/>
      <c r="CI530"/>
      <c r="CO530" t="s">
        <v>8701</v>
      </c>
      <c r="CR530"/>
      <c r="CT530" s="304" t="s">
        <v>11677</v>
      </c>
    </row>
    <row r="531" spans="1:98" s="304" customFormat="1">
      <c r="A531" s="304" t="s">
        <v>8506</v>
      </c>
      <c r="B531" s="463">
        <v>79</v>
      </c>
      <c r="C531" s="296" t="s">
        <v>7697</v>
      </c>
      <c r="D531" s="296" t="s">
        <v>7526</v>
      </c>
      <c r="E531" s="296" t="s">
        <v>7697</v>
      </c>
      <c r="F531" s="296"/>
      <c r="G531" s="296" t="s">
        <v>8506</v>
      </c>
      <c r="H531" s="297" t="s">
        <v>8696</v>
      </c>
      <c r="I531" s="297">
        <v>3</v>
      </c>
      <c r="J531" s="297">
        <v>3137</v>
      </c>
      <c r="K531" s="299"/>
      <c r="L531" s="299"/>
      <c r="M531" s="299">
        <v>88</v>
      </c>
      <c r="N531" s="299">
        <v>3</v>
      </c>
      <c r="O531" s="300">
        <v>26</v>
      </c>
      <c r="P531" s="301">
        <v>42090</v>
      </c>
      <c r="Q531" s="302"/>
      <c r="R531" s="303"/>
      <c r="S531" s="289">
        <v>5.0999999999999996</v>
      </c>
      <c r="T531" s="303">
        <v>42208</v>
      </c>
      <c r="U531" s="302"/>
      <c r="V531" s="303"/>
      <c r="W531" s="302"/>
      <c r="X531" s="303"/>
      <c r="Y531" s="302">
        <v>18.2</v>
      </c>
      <c r="Z531" s="303">
        <v>42208</v>
      </c>
      <c r="AA531">
        <v>14.4</v>
      </c>
      <c r="AB531" s="303"/>
      <c r="AC531" s="302"/>
      <c r="AD531" s="303"/>
      <c r="AE531" s="302"/>
      <c r="AF531" s="303"/>
      <c r="AG531">
        <v>68042.795138888891</v>
      </c>
      <c r="AH531" s="521">
        <f>(AK531*10000)/AM531</f>
        <v>68042.795138888891</v>
      </c>
      <c r="AI531" s="302"/>
      <c r="AJ531" s="303"/>
      <c r="AK531">
        <v>32.66054166666666</v>
      </c>
      <c r="AL531" s="521"/>
      <c r="AM531">
        <v>4.8</v>
      </c>
      <c r="AN531" s="303">
        <v>42244</v>
      </c>
      <c r="AO531">
        <v>130</v>
      </c>
      <c r="AP531" s="303">
        <v>42170</v>
      </c>
      <c r="AQ531" s="302"/>
      <c r="AR531" s="303"/>
      <c r="AS531" s="302"/>
      <c r="AT531" s="303"/>
      <c r="AU531">
        <v>110</v>
      </c>
      <c r="AV531" s="303"/>
      <c r="AW531" s="302"/>
      <c r="AX531" s="302"/>
      <c r="AY531" s="302"/>
      <c r="AZ531" s="303"/>
      <c r="BA531" s="302"/>
      <c r="BB531" s="302"/>
      <c r="BC531" s="302"/>
      <c r="BD531" s="302"/>
      <c r="BE531" s="302"/>
      <c r="BF531" s="302"/>
      <c r="BG531" s="302"/>
      <c r="BH531" s="302"/>
      <c r="BI531" s="302"/>
      <c r="BJ531" s="302"/>
      <c r="BM531">
        <v>1.6</v>
      </c>
      <c r="BS531">
        <v>57.8</v>
      </c>
      <c r="BY531">
        <v>49.7</v>
      </c>
      <c r="CA531">
        <v>19.8</v>
      </c>
      <c r="CC531">
        <v>21.3</v>
      </c>
      <c r="CI531">
        <v>5.9</v>
      </c>
      <c r="CO531" t="s">
        <v>8699</v>
      </c>
      <c r="CR531">
        <v>1</v>
      </c>
      <c r="CT531" s="304" t="s">
        <v>11678</v>
      </c>
    </row>
    <row r="532" spans="1:98" s="304" customFormat="1">
      <c r="A532" s="304" t="s">
        <v>8506</v>
      </c>
      <c r="B532" s="463">
        <v>86</v>
      </c>
      <c r="C532" s="296" t="s">
        <v>7704</v>
      </c>
      <c r="D532" s="296" t="s">
        <v>7533</v>
      </c>
      <c r="E532" s="296" t="s">
        <v>7704</v>
      </c>
      <c r="F532" s="296"/>
      <c r="G532" s="296" t="s">
        <v>8506</v>
      </c>
      <c r="H532" s="297" t="s">
        <v>8697</v>
      </c>
      <c r="I532" s="297">
        <v>4</v>
      </c>
      <c r="J532" s="297">
        <v>417</v>
      </c>
      <c r="K532" s="299"/>
      <c r="L532" s="299"/>
      <c r="M532" s="299">
        <v>88</v>
      </c>
      <c r="N532" s="299">
        <v>7</v>
      </c>
      <c r="O532" s="300">
        <v>45</v>
      </c>
      <c r="P532" s="301">
        <v>42090</v>
      </c>
      <c r="Q532" s="302"/>
      <c r="R532" s="303"/>
      <c r="S532" s="289">
        <v>4.5999999999999996</v>
      </c>
      <c r="T532" s="303">
        <v>42208</v>
      </c>
      <c r="U532" s="302"/>
      <c r="V532" s="303"/>
      <c r="W532" s="302"/>
      <c r="X532" s="303"/>
      <c r="Y532" s="302">
        <v>17.559999999999999</v>
      </c>
      <c r="Z532" s="303">
        <v>42208</v>
      </c>
      <c r="AA532">
        <v>14.4</v>
      </c>
      <c r="AB532" s="303"/>
      <c r="AC532" s="302"/>
      <c r="AD532" s="303"/>
      <c r="AE532" s="302"/>
      <c r="AF532" s="303"/>
      <c r="AG532">
        <v>68581.007751937985</v>
      </c>
      <c r="AH532" s="521">
        <f>(AK532*10000)/AM532</f>
        <v>68581.007751937985</v>
      </c>
      <c r="AI532" s="302"/>
      <c r="AJ532" s="303"/>
      <c r="AK532">
        <v>29.489833333333333</v>
      </c>
      <c r="AL532" s="521"/>
      <c r="AM532">
        <v>4.3</v>
      </c>
      <c r="AN532" s="303">
        <v>42244</v>
      </c>
      <c r="AO532">
        <v>130</v>
      </c>
      <c r="AP532" s="303">
        <v>42170</v>
      </c>
      <c r="AQ532" s="302"/>
      <c r="AR532" s="303"/>
      <c r="AS532" s="302"/>
      <c r="AT532" s="303"/>
      <c r="AU532">
        <v>108</v>
      </c>
      <c r="AV532" s="303"/>
      <c r="AW532" s="302"/>
      <c r="AX532" s="302"/>
      <c r="AY532" s="302"/>
      <c r="AZ532" s="303"/>
      <c r="BA532" s="302"/>
      <c r="BB532" s="302"/>
      <c r="BC532" s="302"/>
      <c r="BD532" s="302"/>
      <c r="BE532" s="302"/>
      <c r="BF532" s="302"/>
      <c r="BG532" s="302"/>
      <c r="BH532" s="302"/>
      <c r="BI532" s="302"/>
      <c r="BJ532" s="302"/>
      <c r="BM532">
        <v>-4.8</v>
      </c>
      <c r="BS532">
        <v>62.5</v>
      </c>
      <c r="BY532">
        <v>53.1</v>
      </c>
      <c r="CA532">
        <v>15.4</v>
      </c>
      <c r="CC532">
        <v>19.5</v>
      </c>
      <c r="CI532">
        <v>5.8</v>
      </c>
      <c r="CO532" t="s">
        <v>8698</v>
      </c>
      <c r="CR532">
        <v>1</v>
      </c>
      <c r="CT532" s="304" t="s">
        <v>11678</v>
      </c>
    </row>
    <row r="533" spans="1:98" s="304" customFormat="1">
      <c r="A533" s="304" t="s">
        <v>8506</v>
      </c>
      <c r="B533" s="463">
        <v>115</v>
      </c>
      <c r="C533" s="296" t="s">
        <v>7734</v>
      </c>
      <c r="D533" s="296" t="s">
        <v>7560</v>
      </c>
      <c r="E533" s="296" t="s">
        <v>7734</v>
      </c>
      <c r="F533" s="296"/>
      <c r="G533" s="296" t="s">
        <v>8506</v>
      </c>
      <c r="H533" s="297" t="s">
        <v>8696</v>
      </c>
      <c r="I533" s="297">
        <v>3</v>
      </c>
      <c r="J533" s="297">
        <v>377</v>
      </c>
      <c r="K533" s="299"/>
      <c r="L533" s="299"/>
      <c r="M533" s="299">
        <v>88</v>
      </c>
      <c r="N533" s="299">
        <v>2</v>
      </c>
      <c r="O533" s="300">
        <v>54</v>
      </c>
      <c r="P533" s="301">
        <v>42090</v>
      </c>
      <c r="Q533" s="302"/>
      <c r="R533" s="303"/>
      <c r="S533" s="289">
        <v>3.65</v>
      </c>
      <c r="T533" s="303">
        <v>42208</v>
      </c>
      <c r="U533" s="302"/>
      <c r="V533" s="303"/>
      <c r="W533" s="302"/>
      <c r="X533" s="303"/>
      <c r="Y533" s="302">
        <v>13.03</v>
      </c>
      <c r="Z533" s="303">
        <v>42208</v>
      </c>
      <c r="AA533">
        <v>14.4</v>
      </c>
      <c r="AB533" s="303"/>
      <c r="AC533" s="302"/>
      <c r="AD533" s="303"/>
      <c r="AE533" s="302"/>
      <c r="AF533" s="303"/>
      <c r="AG533">
        <v>48904.296875</v>
      </c>
      <c r="AH533" s="521">
        <f>(AK533*10000)/AM533</f>
        <v>48904.296875</v>
      </c>
      <c r="AI533" s="302"/>
      <c r="AJ533" s="303"/>
      <c r="AK533">
        <v>23.474062499999999</v>
      </c>
      <c r="AL533" s="521"/>
      <c r="AM533">
        <v>4.8</v>
      </c>
      <c r="AN533" s="303">
        <v>42244</v>
      </c>
      <c r="AO533">
        <v>130</v>
      </c>
      <c r="AP533" s="303">
        <v>42170</v>
      </c>
      <c r="AQ533" s="302"/>
      <c r="AR533" s="303"/>
      <c r="AS533" s="302"/>
      <c r="AT533" s="303"/>
      <c r="AU533">
        <v>110</v>
      </c>
      <c r="AV533" s="303"/>
      <c r="AW533" s="302"/>
      <c r="AX533" s="302"/>
      <c r="AY533" s="302"/>
      <c r="AZ533" s="303"/>
      <c r="BA533" s="302"/>
      <c r="BB533" s="302"/>
      <c r="BC533" s="302"/>
      <c r="BD533" s="302"/>
      <c r="BE533" s="302"/>
      <c r="BF533" s="302"/>
      <c r="BG533" s="302"/>
      <c r="BH533" s="302"/>
      <c r="BI533" s="302"/>
      <c r="BJ533" s="302"/>
      <c r="BM533">
        <v>44.7</v>
      </c>
      <c r="BS533">
        <v>10.4</v>
      </c>
      <c r="BY533">
        <v>49.5</v>
      </c>
      <c r="CA533">
        <v>19.7</v>
      </c>
      <c r="CC533">
        <v>66.3</v>
      </c>
      <c r="CI533">
        <v>5.5</v>
      </c>
      <c r="CO533" t="s">
        <v>8699</v>
      </c>
      <c r="CR533">
        <v>2</v>
      </c>
      <c r="CT533" s="304" t="s">
        <v>11678</v>
      </c>
    </row>
    <row r="534" spans="1:98" s="304" customFormat="1">
      <c r="A534" s="304" t="s">
        <v>8506</v>
      </c>
      <c r="B534" s="463">
        <v>174</v>
      </c>
      <c r="C534" s="296" t="s">
        <v>7802</v>
      </c>
      <c r="D534" s="296" t="s">
        <v>7843</v>
      </c>
      <c r="E534" s="296" t="s">
        <v>7802</v>
      </c>
      <c r="F534" s="296"/>
      <c r="G534" s="296" t="s">
        <v>8506</v>
      </c>
      <c r="H534" s="297" t="s">
        <v>8697</v>
      </c>
      <c r="I534" s="297">
        <v>4</v>
      </c>
      <c r="J534" s="297">
        <v>4197</v>
      </c>
      <c r="K534" s="299"/>
      <c r="L534" s="299"/>
      <c r="M534" s="299">
        <v>88</v>
      </c>
      <c r="N534" s="299">
        <v>10</v>
      </c>
      <c r="O534" s="300">
        <v>27</v>
      </c>
      <c r="P534" s="301">
        <v>42090</v>
      </c>
      <c r="Q534" s="302"/>
      <c r="R534" s="303"/>
      <c r="S534" s="289">
        <v>5.0999999999999996</v>
      </c>
      <c r="T534" s="303">
        <v>42208</v>
      </c>
      <c r="U534" s="302"/>
      <c r="V534" s="303"/>
      <c r="W534" s="302"/>
      <c r="X534" s="303"/>
      <c r="Y534" s="302">
        <v>20.25</v>
      </c>
      <c r="Z534" s="303">
        <v>42208</v>
      </c>
      <c r="AA534">
        <v>14.4</v>
      </c>
      <c r="AB534" s="303"/>
      <c r="AC534" s="302"/>
      <c r="AD534" s="303"/>
      <c r="AE534" s="302"/>
      <c r="AF534" s="303"/>
      <c r="AG534">
        <v>72964.629629629606</v>
      </c>
      <c r="AH534" s="521">
        <f>(AK534*10000)/AM534</f>
        <v>72964.629629629606</v>
      </c>
      <c r="AI534" s="302"/>
      <c r="AJ534" s="303"/>
      <c r="AK534">
        <v>32.834083333333325</v>
      </c>
      <c r="AL534" s="521"/>
      <c r="AM534">
        <v>4.5</v>
      </c>
      <c r="AN534" s="303">
        <v>42244</v>
      </c>
      <c r="AO534">
        <v>145</v>
      </c>
      <c r="AP534" s="303">
        <v>42170</v>
      </c>
      <c r="AQ534" s="302"/>
      <c r="AR534" s="303"/>
      <c r="AS534" s="302"/>
      <c r="AT534" s="303"/>
      <c r="AU534">
        <v>107</v>
      </c>
      <c r="AV534" s="303"/>
      <c r="AW534" s="302"/>
      <c r="AX534" s="302"/>
      <c r="AY534" s="302"/>
      <c r="AZ534" s="303"/>
      <c r="BA534" s="302"/>
      <c r="BB534" s="302"/>
      <c r="BC534" s="302"/>
      <c r="BD534" s="302"/>
      <c r="BE534" s="302"/>
      <c r="BF534" s="302"/>
      <c r="BG534" s="302"/>
      <c r="BH534" s="302"/>
      <c r="BI534" s="302"/>
      <c r="BJ534" s="302"/>
      <c r="BM534">
        <v>-5.5</v>
      </c>
      <c r="BS534">
        <v>64.400000000000006</v>
      </c>
      <c r="BY534">
        <v>55</v>
      </c>
      <c r="CA534">
        <v>13.5</v>
      </c>
      <c r="CC534">
        <v>15.1</v>
      </c>
      <c r="CI534">
        <v>5.4</v>
      </c>
      <c r="CO534" t="s">
        <v>8698</v>
      </c>
      <c r="CR534">
        <v>1</v>
      </c>
      <c r="CT534" s="304" t="s">
        <v>11678</v>
      </c>
    </row>
    <row r="535" spans="1:98" s="304" customFormat="1">
      <c r="A535" s="304" t="s">
        <v>8506</v>
      </c>
      <c r="B535" s="463">
        <v>66</v>
      </c>
      <c r="C535" s="296" t="s">
        <v>7684</v>
      </c>
      <c r="D535" s="296" t="s">
        <v>7514</v>
      </c>
      <c r="E535" s="296" t="s">
        <v>7684</v>
      </c>
      <c r="F535" s="296"/>
      <c r="G535" s="296" t="s">
        <v>8506</v>
      </c>
      <c r="H535" s="297" t="s">
        <v>8697</v>
      </c>
      <c r="I535" s="297">
        <v>4</v>
      </c>
      <c r="J535" s="297">
        <v>4318</v>
      </c>
      <c r="K535" s="299"/>
      <c r="L535" s="299"/>
      <c r="M535" s="299">
        <v>89</v>
      </c>
      <c r="N535" s="299">
        <v>12</v>
      </c>
      <c r="O535" s="300">
        <v>67</v>
      </c>
      <c r="P535" s="301">
        <v>42090</v>
      </c>
      <c r="Q535" s="302"/>
      <c r="R535" s="303"/>
      <c r="S535" s="289">
        <v>5.25</v>
      </c>
      <c r="T535" s="303">
        <v>42208</v>
      </c>
      <c r="U535" s="302"/>
      <c r="V535" s="303"/>
      <c r="W535" s="302"/>
      <c r="X535" s="303"/>
      <c r="Y535" s="302">
        <v>19.079999999999998</v>
      </c>
      <c r="Z535" s="303">
        <v>42208</v>
      </c>
      <c r="AA535">
        <v>14.4</v>
      </c>
      <c r="AB535" s="303"/>
      <c r="AC535" s="302"/>
      <c r="AD535" s="303"/>
      <c r="AE535" s="302"/>
      <c r="AF535" s="303"/>
      <c r="AG535">
        <v>59109.831871345021</v>
      </c>
      <c r="AH535" s="521">
        <f>(AK535*10000)/AM535</f>
        <v>59109.831871345021</v>
      </c>
      <c r="AI535" s="302"/>
      <c r="AJ535" s="303"/>
      <c r="AK535">
        <v>33.692604166666662</v>
      </c>
      <c r="AL535" s="521"/>
      <c r="AM535">
        <v>5.7</v>
      </c>
      <c r="AN535" s="303">
        <v>42244</v>
      </c>
      <c r="AO535">
        <v>120</v>
      </c>
      <c r="AP535" s="303">
        <v>42170</v>
      </c>
      <c r="AQ535" s="302"/>
      <c r="AR535" s="303"/>
      <c r="AS535" s="302"/>
      <c r="AT535" s="303"/>
      <c r="AU535">
        <v>109</v>
      </c>
      <c r="AV535" s="303"/>
      <c r="AW535" s="302"/>
      <c r="AX535" s="302"/>
      <c r="AY535" s="302"/>
      <c r="AZ535" s="303"/>
      <c r="BA535" s="302"/>
      <c r="BB535" s="302"/>
      <c r="BC535" s="302"/>
      <c r="BD535" s="302"/>
      <c r="BE535" s="302"/>
      <c r="BF535" s="302"/>
      <c r="BG535" s="302"/>
      <c r="BH535" s="302"/>
      <c r="BI535" s="302"/>
      <c r="BJ535" s="302"/>
      <c r="BM535">
        <v>-1.8</v>
      </c>
      <c r="BS535">
        <v>60.4</v>
      </c>
      <c r="BY535">
        <v>50.5</v>
      </c>
      <c r="CA535">
        <v>18.100000000000001</v>
      </c>
      <c r="CC535">
        <v>17.100000000000001</v>
      </c>
      <c r="CI535">
        <v>5.7</v>
      </c>
      <c r="CO535" t="s">
        <v>8698</v>
      </c>
      <c r="CR535">
        <v>2</v>
      </c>
      <c r="CT535" s="304" t="s">
        <v>11678</v>
      </c>
    </row>
    <row r="536" spans="1:98" s="304" customFormat="1">
      <c r="A536" s="304" t="s">
        <v>8506</v>
      </c>
      <c r="B536" s="463">
        <v>146</v>
      </c>
      <c r="C536" s="296" t="s">
        <v>7774</v>
      </c>
      <c r="D536" s="296" t="s">
        <v>7575</v>
      </c>
      <c r="E536" s="296" t="s">
        <v>7774</v>
      </c>
      <c r="F536" s="296"/>
      <c r="G536" s="296" t="s">
        <v>8506</v>
      </c>
      <c r="H536" s="297" t="s">
        <v>8697</v>
      </c>
      <c r="I536" s="297">
        <v>4</v>
      </c>
      <c r="J536" s="297">
        <v>4138</v>
      </c>
      <c r="K536" s="299"/>
      <c r="L536" s="299"/>
      <c r="M536" s="299">
        <v>89</v>
      </c>
      <c r="N536" s="299">
        <v>9</v>
      </c>
      <c r="O536" s="300">
        <v>58</v>
      </c>
      <c r="P536" s="301">
        <v>42090</v>
      </c>
      <c r="Q536" s="302"/>
      <c r="R536" s="303"/>
      <c r="S536" s="289">
        <v>5.6</v>
      </c>
      <c r="T536" s="303">
        <v>42208</v>
      </c>
      <c r="U536" s="302"/>
      <c r="V536" s="303"/>
      <c r="W536" s="302"/>
      <c r="X536" s="303"/>
      <c r="Y536" s="302">
        <v>20.94</v>
      </c>
      <c r="Z536" s="303">
        <v>42208</v>
      </c>
      <c r="AA536">
        <v>14.4</v>
      </c>
      <c r="AB536" s="303"/>
      <c r="AC536" s="302"/>
      <c r="AD536" s="303"/>
      <c r="AE536" s="302"/>
      <c r="AF536" s="303"/>
      <c r="AG536">
        <v>69186.324786324782</v>
      </c>
      <c r="AH536" s="521">
        <f>(AK536*10000)/AM536</f>
        <v>69186.324786324782</v>
      </c>
      <c r="AI536" s="302"/>
      <c r="AJ536" s="303"/>
      <c r="AK536">
        <v>35.976888888888887</v>
      </c>
      <c r="AL536" s="521"/>
      <c r="AM536">
        <v>5.2</v>
      </c>
      <c r="AN536" s="303">
        <v>42244</v>
      </c>
      <c r="AO536">
        <v>135</v>
      </c>
      <c r="AP536" s="303">
        <v>42170</v>
      </c>
      <c r="AQ536" s="302"/>
      <c r="AR536" s="303"/>
      <c r="AS536" s="302"/>
      <c r="AT536" s="303"/>
      <c r="AU536">
        <v>104</v>
      </c>
      <c r="AV536" s="303"/>
      <c r="AW536" s="302"/>
      <c r="AX536" s="302"/>
      <c r="AY536" s="302"/>
      <c r="AZ536" s="303"/>
      <c r="BA536" s="302"/>
      <c r="BB536" s="302"/>
      <c r="BC536" s="302"/>
      <c r="BD536" s="302"/>
      <c r="BE536" s="302"/>
      <c r="BF536" s="302"/>
      <c r="BG536" s="302"/>
      <c r="BH536" s="302"/>
      <c r="BI536" s="302"/>
      <c r="BJ536" s="302"/>
      <c r="BM536">
        <v>-4.3</v>
      </c>
      <c r="BS536">
        <v>64.3</v>
      </c>
      <c r="BY536">
        <v>51.9</v>
      </c>
      <c r="CA536">
        <v>16.7</v>
      </c>
      <c r="CC536">
        <v>14</v>
      </c>
      <c r="CI536">
        <v>5.6</v>
      </c>
      <c r="CO536" t="s">
        <v>8698</v>
      </c>
      <c r="CR536">
        <v>1</v>
      </c>
      <c r="CT536" s="304" t="s">
        <v>11678</v>
      </c>
    </row>
    <row r="537" spans="1:98" s="304" customFormat="1">
      <c r="A537" s="304" t="s">
        <v>8506</v>
      </c>
      <c r="B537" s="463">
        <v>169</v>
      </c>
      <c r="C537" s="296" t="s">
        <v>7797</v>
      </c>
      <c r="D537" s="296" t="s">
        <v>7598</v>
      </c>
      <c r="E537" s="296" t="s">
        <v>7797</v>
      </c>
      <c r="F537" s="296"/>
      <c r="G537" s="296" t="s">
        <v>8506</v>
      </c>
      <c r="H537" s="297" t="s">
        <v>8696</v>
      </c>
      <c r="I537" s="297">
        <v>3</v>
      </c>
      <c r="J537" s="308">
        <v>3138</v>
      </c>
      <c r="K537" s="299"/>
      <c r="L537" s="299"/>
      <c r="M537" s="299">
        <v>89</v>
      </c>
      <c r="N537" s="299">
        <v>3</v>
      </c>
      <c r="O537" s="300">
        <v>46</v>
      </c>
      <c r="P537" s="301">
        <v>42090</v>
      </c>
      <c r="Q537" s="306"/>
      <c r="R537" s="303"/>
      <c r="S537" s="289">
        <v>6.65</v>
      </c>
      <c r="T537" s="303">
        <v>42208</v>
      </c>
      <c r="U537" s="307"/>
      <c r="V537" s="303"/>
      <c r="W537" s="306"/>
      <c r="X537" s="303"/>
      <c r="Y537" s="306">
        <v>23.68</v>
      </c>
      <c r="Z537" s="303">
        <v>42208</v>
      </c>
      <c r="AA537">
        <v>14.4</v>
      </c>
      <c r="AB537" s="303"/>
      <c r="AC537" s="306"/>
      <c r="AD537" s="303"/>
      <c r="AE537" s="302"/>
      <c r="AF537" s="303"/>
      <c r="AG537">
        <v>80352.424004192872</v>
      </c>
      <c r="AH537" s="521">
        <f>(AK537*10000)/AM537</f>
        <v>80352.424004192872</v>
      </c>
      <c r="AI537" s="302"/>
      <c r="AJ537" s="303"/>
      <c r="AK537">
        <v>42.58678472222222</v>
      </c>
      <c r="AL537" s="521"/>
      <c r="AM537">
        <v>5.3</v>
      </c>
      <c r="AN537" s="303">
        <v>42244</v>
      </c>
      <c r="AO537">
        <v>145</v>
      </c>
      <c r="AP537" s="303">
        <v>42170</v>
      </c>
      <c r="AQ537" s="306"/>
      <c r="AR537" s="303"/>
      <c r="AS537" s="306"/>
      <c r="AT537" s="303"/>
      <c r="AU537">
        <v>108</v>
      </c>
      <c r="AV537" s="303"/>
      <c r="AW537" s="302"/>
      <c r="AX537" s="302"/>
      <c r="AY537" s="302"/>
      <c r="AZ537" s="303"/>
      <c r="BA537" s="302"/>
      <c r="BB537" s="302"/>
      <c r="BC537" s="302"/>
      <c r="BD537" s="302"/>
      <c r="BE537" s="302"/>
      <c r="BF537" s="302"/>
      <c r="BG537" s="302"/>
      <c r="BH537" s="302"/>
      <c r="BI537" s="302"/>
      <c r="BJ537" s="302"/>
      <c r="BM537">
        <v>-1.3</v>
      </c>
      <c r="BS537">
        <v>61.9</v>
      </c>
      <c r="BY537">
        <v>49.6</v>
      </c>
      <c r="CA537">
        <v>17.899999999999999</v>
      </c>
      <c r="CC537">
        <v>18.7</v>
      </c>
      <c r="CI537">
        <v>5.9</v>
      </c>
      <c r="CO537" t="s">
        <v>8699</v>
      </c>
      <c r="CR537">
        <v>2</v>
      </c>
      <c r="CT537" s="304" t="s">
        <v>11678</v>
      </c>
    </row>
    <row r="538" spans="1:98" s="304" customFormat="1">
      <c r="A538" s="304" t="s">
        <v>8506</v>
      </c>
      <c r="B538" s="463">
        <v>7</v>
      </c>
      <c r="C538" s="296" t="s">
        <v>7616</v>
      </c>
      <c r="D538" s="296" t="s">
        <v>7456</v>
      </c>
      <c r="E538" s="296" t="s">
        <v>7616</v>
      </c>
      <c r="F538" s="296"/>
      <c r="G538" s="296" t="s">
        <v>8506</v>
      </c>
      <c r="H538" s="297" t="s">
        <v>8697</v>
      </c>
      <c r="I538" s="297">
        <v>4</v>
      </c>
      <c r="J538" s="297">
        <v>4259</v>
      </c>
      <c r="K538" s="299"/>
      <c r="L538" s="299"/>
      <c r="M538" s="299">
        <v>90</v>
      </c>
      <c r="N538" s="299">
        <v>11</v>
      </c>
      <c r="O538" s="300">
        <v>44</v>
      </c>
      <c r="P538" s="301">
        <v>42090</v>
      </c>
      <c r="Q538" s="302"/>
      <c r="R538" s="303"/>
      <c r="S538" s="289">
        <v>3.75</v>
      </c>
      <c r="T538" s="303">
        <v>42208</v>
      </c>
      <c r="U538" s="302"/>
      <c r="V538" s="303"/>
      <c r="W538" s="302"/>
      <c r="X538" s="303"/>
      <c r="Y538" s="302">
        <v>14.22</v>
      </c>
      <c r="Z538" s="303">
        <v>42208</v>
      </c>
      <c r="AA538">
        <v>14.4</v>
      </c>
      <c r="AB538" s="303"/>
      <c r="AC538" s="302"/>
      <c r="AD538" s="303"/>
      <c r="AE538" s="302"/>
      <c r="AF538" s="303"/>
      <c r="AG538">
        <v>46281.04967948718</v>
      </c>
      <c r="AH538" s="521">
        <f>(AK538*10000)/AM538</f>
        <v>46281.04967948718</v>
      </c>
      <c r="AI538" s="302"/>
      <c r="AJ538" s="303"/>
      <c r="AK538">
        <v>24.066145833333334</v>
      </c>
      <c r="AL538" s="521"/>
      <c r="AM538">
        <v>5.2</v>
      </c>
      <c r="AN538" s="303">
        <v>42244</v>
      </c>
      <c r="AO538">
        <v>130</v>
      </c>
      <c r="AP538" s="303">
        <v>42170</v>
      </c>
      <c r="AQ538" s="302"/>
      <c r="AR538" s="303"/>
      <c r="AS538" s="302"/>
      <c r="AT538" s="303"/>
      <c r="AU538">
        <v>108</v>
      </c>
      <c r="AV538" s="303"/>
      <c r="AW538" s="302"/>
      <c r="AX538" s="302"/>
      <c r="AY538" s="302"/>
      <c r="AZ538" s="303"/>
      <c r="BA538" s="302"/>
      <c r="BB538" s="302"/>
      <c r="BC538" s="302"/>
      <c r="BD538" s="302"/>
      <c r="BE538" s="302"/>
      <c r="BF538" s="302"/>
      <c r="BG538" s="302"/>
      <c r="BH538" s="302"/>
      <c r="BI538" s="302"/>
      <c r="BJ538" s="302"/>
      <c r="BM538">
        <v>39.700000000000003</v>
      </c>
      <c r="BS538">
        <v>14.4</v>
      </c>
      <c r="BY538">
        <v>52.7</v>
      </c>
      <c r="CA538">
        <v>16.899999999999999</v>
      </c>
      <c r="CC538">
        <v>65.7</v>
      </c>
      <c r="CI538">
        <v>5.7</v>
      </c>
      <c r="CO538" t="s">
        <v>8698</v>
      </c>
      <c r="CR538">
        <v>2</v>
      </c>
      <c r="CT538" s="304" t="s">
        <v>11678</v>
      </c>
    </row>
    <row r="539" spans="1:98" s="304" customFormat="1">
      <c r="A539" s="304" t="s">
        <v>8506</v>
      </c>
      <c r="B539" s="463">
        <v>22</v>
      </c>
      <c r="C539" s="296" t="s">
        <v>7634</v>
      </c>
      <c r="D539" s="296" t="s">
        <v>7470</v>
      </c>
      <c r="E539" s="296" t="s">
        <v>7634</v>
      </c>
      <c r="F539" s="296"/>
      <c r="G539" s="296" t="s">
        <v>8506</v>
      </c>
      <c r="H539" s="297" t="s">
        <v>8696</v>
      </c>
      <c r="I539" s="297">
        <v>3</v>
      </c>
      <c r="J539" s="297">
        <v>3199</v>
      </c>
      <c r="K539" s="299"/>
      <c r="L539" s="299"/>
      <c r="M539" s="299">
        <v>90</v>
      </c>
      <c r="N539" s="299">
        <v>4</v>
      </c>
      <c r="O539" s="300">
        <v>24</v>
      </c>
      <c r="P539" s="301">
        <v>42090</v>
      </c>
      <c r="Q539" s="302"/>
      <c r="R539" s="303"/>
      <c r="S539" s="289">
        <v>5.4</v>
      </c>
      <c r="T539" s="303">
        <v>42208</v>
      </c>
      <c r="U539" s="302"/>
      <c r="V539" s="303"/>
      <c r="W539" s="302"/>
      <c r="X539" s="303"/>
      <c r="Y539" s="302">
        <v>20.81</v>
      </c>
      <c r="Z539" s="303">
        <v>42208</v>
      </c>
      <c r="AA539">
        <v>14.4</v>
      </c>
      <c r="AB539" s="303"/>
      <c r="AC539" s="302"/>
      <c r="AD539" s="303"/>
      <c r="AE539" s="302"/>
      <c r="AF539" s="303"/>
      <c r="AG539">
        <v>59687.068965517254</v>
      </c>
      <c r="AH539" s="521">
        <f>(AK539*10000)/AM539</f>
        <v>59687.068965517254</v>
      </c>
      <c r="AI539" s="302"/>
      <c r="AJ539" s="303"/>
      <c r="AK539">
        <v>34.618500000000004</v>
      </c>
      <c r="AL539" s="521"/>
      <c r="AM539">
        <v>5.8</v>
      </c>
      <c r="AN539" s="303">
        <v>42244</v>
      </c>
      <c r="AO539">
        <v>145</v>
      </c>
      <c r="AP539" s="303">
        <v>42170</v>
      </c>
      <c r="AQ539" s="302"/>
      <c r="AR539" s="303"/>
      <c r="AS539" s="302"/>
      <c r="AT539" s="303"/>
      <c r="AU539">
        <v>108</v>
      </c>
      <c r="AV539" s="303"/>
      <c r="AW539" s="302"/>
      <c r="AX539" s="302"/>
      <c r="AY539" s="302"/>
      <c r="AZ539" s="303"/>
      <c r="BA539" s="302"/>
      <c r="BB539" s="302"/>
      <c r="BC539" s="302"/>
      <c r="BD539" s="302"/>
      <c r="BE539" s="302"/>
      <c r="BF539" s="302"/>
      <c r="BG539" s="302"/>
      <c r="BH539" s="302"/>
      <c r="BI539" s="302"/>
      <c r="BJ539" s="302"/>
      <c r="BM539">
        <v>50.2</v>
      </c>
      <c r="BS539">
        <v>10.9</v>
      </c>
      <c r="BY539">
        <v>53.6</v>
      </c>
      <c r="CA539">
        <v>18.7</v>
      </c>
      <c r="CC539">
        <v>15.2</v>
      </c>
      <c r="CI539">
        <v>5.8</v>
      </c>
      <c r="CO539" t="s">
        <v>8698</v>
      </c>
      <c r="CR539">
        <v>4</v>
      </c>
      <c r="CT539" s="304" t="s">
        <v>11678</v>
      </c>
    </row>
    <row r="540" spans="1:98" s="304" customFormat="1">
      <c r="A540" s="304" t="s">
        <v>8506</v>
      </c>
      <c r="B540" s="463">
        <v>55</v>
      </c>
      <c r="C540" s="296" t="s">
        <v>7673</v>
      </c>
      <c r="D540" s="296" t="s">
        <v>7505</v>
      </c>
      <c r="E540" s="296" t="s">
        <v>7673</v>
      </c>
      <c r="F540" s="296"/>
      <c r="G540" s="296" t="s">
        <v>8506</v>
      </c>
      <c r="H540" s="297" t="s">
        <v>8696</v>
      </c>
      <c r="I540" s="297">
        <v>3</v>
      </c>
      <c r="J540" s="308">
        <v>3259</v>
      </c>
      <c r="K540" s="299"/>
      <c r="L540" s="299"/>
      <c r="M540" s="299">
        <v>90</v>
      </c>
      <c r="N540" s="299">
        <v>5</v>
      </c>
      <c r="O540" s="300">
        <v>26</v>
      </c>
      <c r="P540" s="301">
        <v>42090</v>
      </c>
      <c r="Q540" s="306"/>
      <c r="R540" s="303"/>
      <c r="S540" s="289">
        <v>5.45</v>
      </c>
      <c r="T540" s="303">
        <v>42208</v>
      </c>
      <c r="U540" s="307"/>
      <c r="V540" s="303"/>
      <c r="W540" s="306"/>
      <c r="X540" s="303"/>
      <c r="Y540" s="306">
        <v>20.399999999999999</v>
      </c>
      <c r="Z540" s="303">
        <v>42208</v>
      </c>
      <c r="AA540">
        <v>14.4</v>
      </c>
      <c r="AB540" s="303"/>
      <c r="AC540" s="306"/>
      <c r="AD540" s="303"/>
      <c r="AE540" s="302"/>
      <c r="AF540" s="303"/>
      <c r="AG540">
        <v>68726.102941176461</v>
      </c>
      <c r="AH540" s="521">
        <f>(AK540*10000)/AM540</f>
        <v>68726.102941176461</v>
      </c>
      <c r="AI540" s="302"/>
      <c r="AJ540" s="303"/>
      <c r="AK540">
        <v>35.050312499999997</v>
      </c>
      <c r="AL540" s="521"/>
      <c r="AM540">
        <v>5.0999999999999996</v>
      </c>
      <c r="AN540" s="303">
        <v>42244</v>
      </c>
      <c r="AO540">
        <v>125</v>
      </c>
      <c r="AP540" s="303">
        <v>42170</v>
      </c>
      <c r="AQ540" s="306"/>
      <c r="AR540" s="303"/>
      <c r="AS540" s="306"/>
      <c r="AT540" s="303"/>
      <c r="AU540">
        <v>110</v>
      </c>
      <c r="AV540" s="303"/>
      <c r="AW540" s="302"/>
      <c r="AX540" s="302"/>
      <c r="AY540" s="302"/>
      <c r="AZ540" s="303"/>
      <c r="BA540" s="302"/>
      <c r="BB540" s="302"/>
      <c r="BC540" s="302"/>
      <c r="BD540" s="302"/>
      <c r="BE540" s="302"/>
      <c r="BF540" s="302"/>
      <c r="BG540" s="302"/>
      <c r="BH540" s="302"/>
      <c r="BI540" s="302"/>
      <c r="BJ540" s="302"/>
      <c r="BM540">
        <v>-4.0999999999999996</v>
      </c>
      <c r="BS540">
        <v>62.3</v>
      </c>
      <c r="BY540">
        <v>51.9</v>
      </c>
      <c r="CA540">
        <v>17.100000000000001</v>
      </c>
      <c r="CC540">
        <v>17.5</v>
      </c>
      <c r="CI540">
        <v>5.5</v>
      </c>
      <c r="CO540" t="s">
        <v>8698</v>
      </c>
      <c r="CR540">
        <v>2</v>
      </c>
      <c r="CT540" s="304" t="s">
        <v>11678</v>
      </c>
    </row>
    <row r="541" spans="1:98" s="304" customFormat="1">
      <c r="A541" s="304" t="s">
        <v>8506</v>
      </c>
      <c r="B541" s="463">
        <v>59</v>
      </c>
      <c r="C541" s="296" t="s">
        <v>7677</v>
      </c>
      <c r="D541" s="296" t="s">
        <v>258</v>
      </c>
      <c r="E541" s="296" t="s">
        <v>7677</v>
      </c>
      <c r="F541" s="296"/>
      <c r="G541" s="296" t="s">
        <v>8506</v>
      </c>
      <c r="H541" s="297" t="s">
        <v>8696</v>
      </c>
      <c r="I541" s="297">
        <v>3</v>
      </c>
      <c r="J541" s="297">
        <v>3319</v>
      </c>
      <c r="K541" s="299"/>
      <c r="L541" s="299"/>
      <c r="M541" s="299">
        <v>90</v>
      </c>
      <c r="N541" s="299">
        <v>6</v>
      </c>
      <c r="O541" s="300">
        <v>32</v>
      </c>
      <c r="P541" s="301">
        <v>42090</v>
      </c>
      <c r="Q541" s="302"/>
      <c r="R541" s="303"/>
      <c r="S541" s="289">
        <v>5.4</v>
      </c>
      <c r="T541" s="303">
        <v>42208</v>
      </c>
      <c r="U541" s="302"/>
      <c r="V541" s="303"/>
      <c r="W541" s="302"/>
      <c r="X541" s="303"/>
      <c r="Y541" s="302">
        <v>18.28</v>
      </c>
      <c r="Z541" s="303">
        <v>42208</v>
      </c>
      <c r="AA541">
        <v>14.4</v>
      </c>
      <c r="AB541" s="303"/>
      <c r="AC541" s="302"/>
      <c r="AD541" s="303"/>
      <c r="AE541" s="302"/>
      <c r="AF541" s="303"/>
      <c r="AG541">
        <v>59687.068965517254</v>
      </c>
      <c r="AH541" s="521">
        <f>(AK541*10000)/AM541</f>
        <v>59687.068965517254</v>
      </c>
      <c r="AI541" s="302"/>
      <c r="AJ541" s="303"/>
      <c r="AK541">
        <v>34.618500000000004</v>
      </c>
      <c r="AL541" s="521"/>
      <c r="AM541">
        <v>5.8</v>
      </c>
      <c r="AN541" s="303">
        <v>42244</v>
      </c>
      <c r="AO541">
        <v>155</v>
      </c>
      <c r="AP541" s="303">
        <v>42170</v>
      </c>
      <c r="AQ541" s="302"/>
      <c r="AR541" s="303"/>
      <c r="AS541" s="302"/>
      <c r="AT541" s="303"/>
      <c r="AU541">
        <v>107</v>
      </c>
      <c r="AV541" s="303"/>
      <c r="AW541" s="302"/>
      <c r="AX541" s="302"/>
      <c r="AY541" s="302"/>
      <c r="AZ541" s="303"/>
      <c r="BA541" s="302"/>
      <c r="BB541" s="302"/>
      <c r="BC541" s="302"/>
      <c r="BD541" s="302"/>
      <c r="BE541" s="302"/>
      <c r="BF541" s="302"/>
      <c r="BG541" s="302"/>
      <c r="BH541" s="302"/>
      <c r="BI541" s="302"/>
      <c r="BJ541" s="302"/>
      <c r="BM541">
        <v>0.8</v>
      </c>
      <c r="BS541">
        <v>57.3</v>
      </c>
      <c r="BY541">
        <v>47.1</v>
      </c>
      <c r="CA541">
        <v>21.7</v>
      </c>
      <c r="CC541">
        <v>18.5</v>
      </c>
      <c r="CI541">
        <v>5.8</v>
      </c>
      <c r="CO541" t="s">
        <v>8698</v>
      </c>
      <c r="CR541">
        <v>2</v>
      </c>
      <c r="CT541" s="304" t="s">
        <v>11678</v>
      </c>
    </row>
    <row r="542" spans="1:98" s="304" customFormat="1">
      <c r="A542" s="304" t="s">
        <v>8506</v>
      </c>
      <c r="B542" s="463">
        <v>97</v>
      </c>
      <c r="C542" s="296" t="s">
        <v>7715</v>
      </c>
      <c r="D542" s="296" t="s">
        <v>7542</v>
      </c>
      <c r="E542" s="296" t="s">
        <v>7715</v>
      </c>
      <c r="F542" s="296"/>
      <c r="G542" s="296" t="s">
        <v>8506</v>
      </c>
      <c r="H542" s="297" t="s">
        <v>8697</v>
      </c>
      <c r="I542" s="297">
        <v>4</v>
      </c>
      <c r="J542" s="297">
        <v>4139</v>
      </c>
      <c r="K542" s="299"/>
      <c r="L542" s="299"/>
      <c r="M542" s="299">
        <v>90</v>
      </c>
      <c r="N542" s="299">
        <v>9</v>
      </c>
      <c r="O542" s="300">
        <v>27</v>
      </c>
      <c r="P542" s="301">
        <v>42090</v>
      </c>
      <c r="Q542" s="302"/>
      <c r="R542" s="303"/>
      <c r="S542" s="289">
        <v>5</v>
      </c>
      <c r="T542" s="303">
        <v>42208</v>
      </c>
      <c r="U542" s="302"/>
      <c r="V542" s="303"/>
      <c r="W542" s="302"/>
      <c r="X542" s="303"/>
      <c r="Y542" s="302">
        <v>18.66</v>
      </c>
      <c r="Z542" s="303">
        <v>42208</v>
      </c>
      <c r="AA542">
        <v>14.4</v>
      </c>
      <c r="AB542" s="303"/>
      <c r="AC542" s="302"/>
      <c r="AD542" s="303"/>
      <c r="AE542" s="302"/>
      <c r="AF542" s="303"/>
      <c r="AG542">
        <v>61904.380341880336</v>
      </c>
      <c r="AH542" s="521">
        <f>(AK542*10000)/AM542</f>
        <v>61904.380341880336</v>
      </c>
      <c r="AI542" s="302"/>
      <c r="AJ542" s="303"/>
      <c r="AK542">
        <v>32.190277777777773</v>
      </c>
      <c r="AL542" s="521"/>
      <c r="AM542">
        <v>5.2</v>
      </c>
      <c r="AN542" s="303">
        <v>42244</v>
      </c>
      <c r="AO542">
        <v>150</v>
      </c>
      <c r="AP542" s="303">
        <v>42170</v>
      </c>
      <c r="AQ542" s="302"/>
      <c r="AR542" s="303"/>
      <c r="AS542" s="302"/>
      <c r="AT542" s="303"/>
      <c r="AU542">
        <v>104</v>
      </c>
      <c r="AV542" s="303"/>
      <c r="AW542" s="302"/>
      <c r="AX542" s="302"/>
      <c r="AY542" s="302"/>
      <c r="AZ542" s="303"/>
      <c r="BA542" s="302"/>
      <c r="BB542" s="302"/>
      <c r="BC542" s="302"/>
      <c r="BD542" s="302"/>
      <c r="BE542" s="302"/>
      <c r="BF542" s="302"/>
      <c r="BG542" s="302"/>
      <c r="BH542" s="302"/>
      <c r="BI542" s="302"/>
      <c r="BJ542" s="302"/>
      <c r="BM542">
        <v>-3.5</v>
      </c>
      <c r="BS542">
        <v>59.1</v>
      </c>
      <c r="BY542">
        <v>51.7</v>
      </c>
      <c r="CA542">
        <v>15.6</v>
      </c>
      <c r="CC542">
        <v>12.1</v>
      </c>
      <c r="CI542">
        <v>5.4</v>
      </c>
      <c r="CO542" t="s">
        <v>8698</v>
      </c>
      <c r="CR542">
        <v>2</v>
      </c>
      <c r="CT542" s="304" t="s">
        <v>11678</v>
      </c>
    </row>
    <row r="543" spans="1:98" s="304" customFormat="1">
      <c r="A543" s="304" t="s">
        <v>8506</v>
      </c>
      <c r="B543" s="463">
        <v>103</v>
      </c>
      <c r="C543" s="296" t="s">
        <v>7721</v>
      </c>
      <c r="D543" s="296" t="s">
        <v>7548</v>
      </c>
      <c r="E543" s="296" t="s">
        <v>7721</v>
      </c>
      <c r="F543" s="296"/>
      <c r="G543" s="296" t="s">
        <v>8506</v>
      </c>
      <c r="H543" s="297" t="s">
        <v>8697</v>
      </c>
      <c r="I543" s="297">
        <v>4</v>
      </c>
      <c r="J543" s="297">
        <v>419</v>
      </c>
      <c r="K543" s="299"/>
      <c r="L543" s="299"/>
      <c r="M543" s="299">
        <v>90</v>
      </c>
      <c r="N543" s="299">
        <v>7</v>
      </c>
      <c r="O543" s="300">
        <v>22</v>
      </c>
      <c r="P543" s="301">
        <v>42090</v>
      </c>
      <c r="Q543" s="302"/>
      <c r="R543" s="303"/>
      <c r="S543" s="289">
        <v>4.5</v>
      </c>
      <c r="T543" s="303">
        <v>42208</v>
      </c>
      <c r="U543" s="302"/>
      <c r="V543" s="303"/>
      <c r="W543" s="302"/>
      <c r="X543" s="303"/>
      <c r="Y543" s="302">
        <v>17.28</v>
      </c>
      <c r="Z543" s="303">
        <v>42208</v>
      </c>
      <c r="AA543">
        <v>14.4</v>
      </c>
      <c r="AB543" s="303"/>
      <c r="AC543" s="302"/>
      <c r="AD543" s="303"/>
      <c r="AE543" s="302"/>
      <c r="AF543" s="303"/>
      <c r="AG543">
        <v>53537.037037037044</v>
      </c>
      <c r="AH543" s="521">
        <f>(AK543*10000)/AM543</f>
        <v>53537.037037037044</v>
      </c>
      <c r="AI543" s="302"/>
      <c r="AJ543" s="303"/>
      <c r="AK543">
        <v>28.910000000000004</v>
      </c>
      <c r="AL543" s="521"/>
      <c r="AM543">
        <v>5.4</v>
      </c>
      <c r="AN543" s="303">
        <v>42244</v>
      </c>
      <c r="AO543">
        <v>160</v>
      </c>
      <c r="AP543" s="303">
        <v>42170</v>
      </c>
      <c r="AQ543" s="302"/>
      <c r="AR543" s="303"/>
      <c r="AS543" s="302"/>
      <c r="AT543" s="303"/>
      <c r="AU543">
        <v>105</v>
      </c>
      <c r="AV543" s="303"/>
      <c r="AW543" s="302"/>
      <c r="AX543" s="302"/>
      <c r="AY543" s="302"/>
      <c r="AZ543" s="303"/>
      <c r="BA543" s="302"/>
      <c r="BB543" s="302"/>
      <c r="BC543" s="302"/>
      <c r="BD543" s="302"/>
      <c r="BE543" s="302"/>
      <c r="BF543" s="302"/>
      <c r="BG543" s="302"/>
      <c r="BH543" s="302"/>
      <c r="BI543" s="302"/>
      <c r="BJ543" s="302"/>
      <c r="BM543">
        <v>-1</v>
      </c>
      <c r="BS543">
        <v>61.3</v>
      </c>
      <c r="BY543">
        <v>53.3</v>
      </c>
      <c r="CA543">
        <v>15.2</v>
      </c>
      <c r="CC543">
        <v>11.2</v>
      </c>
      <c r="CI543">
        <v>5.6</v>
      </c>
      <c r="CO543" t="s">
        <v>8698</v>
      </c>
      <c r="CR543">
        <v>1</v>
      </c>
      <c r="CT543" s="304" t="s">
        <v>11678</v>
      </c>
    </row>
    <row r="544" spans="1:98" s="304" customFormat="1">
      <c r="A544" s="304" t="s">
        <v>8506</v>
      </c>
      <c r="B544" s="463">
        <v>156</v>
      </c>
      <c r="C544" s="296" t="s">
        <v>7784</v>
      </c>
      <c r="D544" s="296" t="s">
        <v>7585</v>
      </c>
      <c r="E544" s="296" t="s">
        <v>7784</v>
      </c>
      <c r="F544" s="296"/>
      <c r="G544" s="296" t="s">
        <v>8506</v>
      </c>
      <c r="H544" s="297" t="s">
        <v>8697</v>
      </c>
      <c r="I544" s="297">
        <v>4</v>
      </c>
      <c r="J544" s="297">
        <v>479</v>
      </c>
      <c r="K544" s="299"/>
      <c r="L544" s="299"/>
      <c r="M544" s="299">
        <v>90</v>
      </c>
      <c r="N544" s="299">
        <v>8</v>
      </c>
      <c r="O544" s="300">
        <v>32</v>
      </c>
      <c r="P544" s="301">
        <v>42090</v>
      </c>
      <c r="Q544" s="302"/>
      <c r="R544" s="303"/>
      <c r="S544" s="289">
        <v>4.9000000000000004</v>
      </c>
      <c r="T544" s="303">
        <v>42208</v>
      </c>
      <c r="U544" s="302"/>
      <c r="V544" s="303"/>
      <c r="W544" s="302"/>
      <c r="X544" s="303"/>
      <c r="Y544" s="302">
        <v>18.66</v>
      </c>
      <c r="Z544" s="303">
        <v>42208</v>
      </c>
      <c r="AA544">
        <v>14.4</v>
      </c>
      <c r="AB544" s="303"/>
      <c r="AC544" s="302"/>
      <c r="AD544" s="303"/>
      <c r="AE544" s="302"/>
      <c r="AF544" s="303"/>
      <c r="AG544">
        <v>55286.184210526313</v>
      </c>
      <c r="AH544" s="521">
        <f>(AK544*10000)/AM544</f>
        <v>55286.184210526313</v>
      </c>
      <c r="AI544" s="302"/>
      <c r="AJ544" s="303"/>
      <c r="AK544">
        <v>31.513124999999999</v>
      </c>
      <c r="AL544" s="521"/>
      <c r="AM544">
        <v>5.7</v>
      </c>
      <c r="AN544" s="303">
        <v>42244</v>
      </c>
      <c r="AO544">
        <v>135</v>
      </c>
      <c r="AP544" s="303">
        <v>42170</v>
      </c>
      <c r="AQ544" s="302"/>
      <c r="AR544" s="303"/>
      <c r="AS544" s="302"/>
      <c r="AT544" s="303"/>
      <c r="AU544">
        <v>104</v>
      </c>
      <c r="AV544" s="303"/>
      <c r="AW544" s="302"/>
      <c r="AX544" s="302"/>
      <c r="AY544" s="302"/>
      <c r="AZ544" s="303"/>
      <c r="BA544" s="302"/>
      <c r="BB544" s="302"/>
      <c r="BC544" s="302"/>
      <c r="BD544" s="302"/>
      <c r="BE544" s="302"/>
      <c r="BF544" s="302"/>
      <c r="BG544" s="302"/>
      <c r="BH544" s="302"/>
      <c r="BI544" s="302"/>
      <c r="BJ544" s="302"/>
      <c r="BM544">
        <v>-1.8</v>
      </c>
      <c r="BS544">
        <v>61</v>
      </c>
      <c r="BY544">
        <v>52.8</v>
      </c>
      <c r="CA544">
        <v>17.2</v>
      </c>
      <c r="CC544">
        <v>15.2</v>
      </c>
      <c r="CI544">
        <v>5.5</v>
      </c>
      <c r="CO544" t="s">
        <v>8698</v>
      </c>
      <c r="CR544">
        <v>1</v>
      </c>
      <c r="CT544" s="304" t="s">
        <v>11678</v>
      </c>
    </row>
    <row r="545" spans="1:98" s="304" customFormat="1">
      <c r="A545" s="304" t="s">
        <v>8506</v>
      </c>
      <c r="B545" s="463">
        <v>70</v>
      </c>
      <c r="C545" s="296" t="s">
        <v>7688</v>
      </c>
      <c r="D545" s="296" t="s">
        <v>7517</v>
      </c>
      <c r="E545" s="296" t="s">
        <v>7688</v>
      </c>
      <c r="F545" s="296"/>
      <c r="G545" s="296" t="s">
        <v>8506</v>
      </c>
      <c r="H545" s="297" t="s">
        <v>8697</v>
      </c>
      <c r="I545" s="297">
        <v>4</v>
      </c>
      <c r="J545" s="297">
        <v>4140</v>
      </c>
      <c r="K545" s="299"/>
      <c r="L545" s="299"/>
      <c r="M545" s="299">
        <v>91</v>
      </c>
      <c r="N545" s="299">
        <v>9</v>
      </c>
      <c r="O545" s="300">
        <v>86</v>
      </c>
      <c r="P545" s="301">
        <v>42090</v>
      </c>
      <c r="Q545" s="302"/>
      <c r="R545" s="303"/>
      <c r="S545" s="289">
        <v>4.9000000000000004</v>
      </c>
      <c r="T545" s="303">
        <v>42208</v>
      </c>
      <c r="U545" s="302"/>
      <c r="V545" s="303"/>
      <c r="W545" s="302"/>
      <c r="X545" s="303"/>
      <c r="Y545" s="302">
        <v>18.66</v>
      </c>
      <c r="Z545" s="303">
        <v>42208</v>
      </c>
      <c r="AA545">
        <v>14.4</v>
      </c>
      <c r="AB545" s="303"/>
      <c r="AC545" s="302"/>
      <c r="AD545" s="303"/>
      <c r="AE545" s="302"/>
      <c r="AF545" s="303"/>
      <c r="AG545">
        <v>65652.34375</v>
      </c>
      <c r="AH545" s="521">
        <f>(AK545*10000)/AM545</f>
        <v>65652.34375</v>
      </c>
      <c r="AI545" s="302"/>
      <c r="AJ545" s="303"/>
      <c r="AK545">
        <v>31.513124999999999</v>
      </c>
      <c r="AL545" s="521"/>
      <c r="AM545">
        <v>4.8</v>
      </c>
      <c r="AN545" s="303">
        <v>42244</v>
      </c>
      <c r="AO545">
        <v>140</v>
      </c>
      <c r="AP545" s="303">
        <v>42170</v>
      </c>
      <c r="AQ545" s="302"/>
      <c r="AR545" s="303"/>
      <c r="AS545" s="302"/>
      <c r="AT545" s="303"/>
      <c r="AU545">
        <v>112</v>
      </c>
      <c r="AV545" s="303"/>
      <c r="AW545" s="302"/>
      <c r="AX545" s="302"/>
      <c r="AY545" s="302"/>
      <c r="AZ545" s="303"/>
      <c r="BA545" s="302"/>
      <c r="BB545" s="302"/>
      <c r="BC545" s="302"/>
      <c r="BD545" s="302"/>
      <c r="BE545" s="302"/>
      <c r="BF545" s="302"/>
      <c r="BG545" s="302"/>
      <c r="BH545" s="302"/>
      <c r="BI545" s="302"/>
      <c r="BJ545" s="302"/>
      <c r="BM545">
        <v>-3.8</v>
      </c>
      <c r="BS545">
        <v>63.5</v>
      </c>
      <c r="BY545">
        <v>52.8</v>
      </c>
      <c r="CA545">
        <v>15.4</v>
      </c>
      <c r="CC545">
        <v>21.1</v>
      </c>
      <c r="CI545">
        <v>5.5</v>
      </c>
      <c r="CO545" t="s">
        <v>8698</v>
      </c>
      <c r="CR545">
        <v>2</v>
      </c>
      <c r="CT545" s="304" t="s">
        <v>11678</v>
      </c>
    </row>
    <row r="546" spans="1:98" s="304" customFormat="1">
      <c r="A546" s="304" t="s">
        <v>8506</v>
      </c>
      <c r="B546" s="463">
        <v>88</v>
      </c>
      <c r="C546" s="296" t="s">
        <v>7706</v>
      </c>
      <c r="D546" s="296" t="s">
        <v>7535</v>
      </c>
      <c r="E546" s="296" t="s">
        <v>7706</v>
      </c>
      <c r="F546" s="296"/>
      <c r="G546" s="296" t="s">
        <v>8506</v>
      </c>
      <c r="H546" s="297" t="s">
        <v>8696</v>
      </c>
      <c r="I546" s="297">
        <v>3</v>
      </c>
      <c r="J546" s="297">
        <v>3260</v>
      </c>
      <c r="K546" s="299"/>
      <c r="L546" s="299"/>
      <c r="M546" s="299">
        <v>91</v>
      </c>
      <c r="N546" s="299">
        <v>5</v>
      </c>
      <c r="O546" s="300">
        <v>42</v>
      </c>
      <c r="P546" s="301">
        <v>42090</v>
      </c>
      <c r="Q546" s="302"/>
      <c r="R546" s="303"/>
      <c r="S546" s="289">
        <v>5.25</v>
      </c>
      <c r="T546" s="303">
        <v>42208</v>
      </c>
      <c r="U546" s="302"/>
      <c r="V546" s="303"/>
      <c r="W546" s="302"/>
      <c r="X546" s="303"/>
      <c r="Y546" s="302">
        <v>18.7</v>
      </c>
      <c r="Z546" s="303">
        <v>42208</v>
      </c>
      <c r="AA546">
        <v>14.4</v>
      </c>
      <c r="AB546" s="303"/>
      <c r="AC546" s="302"/>
      <c r="AD546" s="303"/>
      <c r="AE546" s="302"/>
      <c r="AF546" s="303"/>
      <c r="AG546">
        <v>61389.204545454537</v>
      </c>
      <c r="AH546" s="521">
        <f>(AK546*10000)/AM546</f>
        <v>61389.204545454537</v>
      </c>
      <c r="AI546" s="302"/>
      <c r="AJ546" s="303"/>
      <c r="AK546">
        <v>33.764062499999994</v>
      </c>
      <c r="AL546" s="521"/>
      <c r="AM546">
        <v>5.5</v>
      </c>
      <c r="AN546" s="303">
        <v>42244</v>
      </c>
      <c r="AO546">
        <v>150</v>
      </c>
      <c r="AP546" s="303">
        <v>42170</v>
      </c>
      <c r="AQ546" s="302"/>
      <c r="AR546" s="303"/>
      <c r="AS546" s="302"/>
      <c r="AT546" s="303"/>
      <c r="AU546">
        <v>108</v>
      </c>
      <c r="AV546" s="303"/>
      <c r="AW546" s="302"/>
      <c r="AX546" s="302"/>
      <c r="AY546" s="302"/>
      <c r="AZ546" s="303"/>
      <c r="BA546" s="302"/>
      <c r="BB546" s="302"/>
      <c r="BC546" s="302"/>
      <c r="BD546" s="302"/>
      <c r="BE546" s="302"/>
      <c r="BF546" s="302"/>
      <c r="BG546" s="302"/>
      <c r="BH546" s="302"/>
      <c r="BI546" s="302"/>
      <c r="BJ546" s="302"/>
      <c r="BM546">
        <v>2.2000000000000002</v>
      </c>
      <c r="BS546">
        <v>59.2</v>
      </c>
      <c r="BY546">
        <v>49.4</v>
      </c>
      <c r="CA546">
        <v>19</v>
      </c>
      <c r="CC546">
        <v>15.8</v>
      </c>
      <c r="CI546">
        <v>5.5</v>
      </c>
      <c r="CO546" t="s">
        <v>8698</v>
      </c>
      <c r="CR546">
        <v>3</v>
      </c>
      <c r="CT546" s="304" t="s">
        <v>11678</v>
      </c>
    </row>
    <row r="547" spans="1:98" s="304" customFormat="1">
      <c r="A547" s="304" t="s">
        <v>8506</v>
      </c>
      <c r="B547" s="463">
        <v>107</v>
      </c>
      <c r="C547" s="296" t="s">
        <v>7725</v>
      </c>
      <c r="D547" s="296" t="s">
        <v>7551</v>
      </c>
      <c r="E547" s="296" t="s">
        <v>7725</v>
      </c>
      <c r="F547" s="296"/>
      <c r="G547" s="296" t="s">
        <v>8506</v>
      </c>
      <c r="H547" s="297" t="s">
        <v>8696</v>
      </c>
      <c r="I547" s="297">
        <v>3</v>
      </c>
      <c r="J547" s="297">
        <v>3200</v>
      </c>
      <c r="K547" s="299"/>
      <c r="L547" s="299"/>
      <c r="M547" s="299">
        <v>91</v>
      </c>
      <c r="N547" s="299">
        <v>4</v>
      </c>
      <c r="O547" s="300">
        <v>32</v>
      </c>
      <c r="P547" s="301">
        <v>42090</v>
      </c>
      <c r="Q547" s="302"/>
      <c r="R547" s="303"/>
      <c r="S547" s="289">
        <v>5.9</v>
      </c>
      <c r="T547" s="303">
        <v>42208</v>
      </c>
      <c r="U547" s="302"/>
      <c r="V547" s="303"/>
      <c r="W547" s="302"/>
      <c r="X547" s="303"/>
      <c r="Y547" s="302">
        <v>21.15</v>
      </c>
      <c r="Z547" s="303">
        <v>42208</v>
      </c>
      <c r="AA547">
        <v>14.4</v>
      </c>
      <c r="AB547" s="303"/>
      <c r="AC547" s="302"/>
      <c r="AD547" s="303"/>
      <c r="AE547" s="302"/>
      <c r="AF547" s="303"/>
      <c r="AG547">
        <v>65421.336206896543</v>
      </c>
      <c r="AH547" s="521">
        <f>(AK547*10000)/AM547</f>
        <v>65421.336206896543</v>
      </c>
      <c r="AI547" s="302"/>
      <c r="AJ547" s="303"/>
      <c r="AK547">
        <v>37.944374999999994</v>
      </c>
      <c r="AL547" s="521"/>
      <c r="AM547">
        <v>5.8</v>
      </c>
      <c r="AN547" s="303">
        <v>42244</v>
      </c>
      <c r="AO547">
        <v>140</v>
      </c>
      <c r="AP547" s="303">
        <v>42170</v>
      </c>
      <c r="AQ547" s="302"/>
      <c r="AR547" s="303"/>
      <c r="AS547" s="302"/>
      <c r="AT547" s="303"/>
      <c r="AU547">
        <v>110</v>
      </c>
      <c r="AV547" s="303"/>
      <c r="AW547" s="302"/>
      <c r="AX547" s="302"/>
      <c r="AY547" s="302"/>
      <c r="AZ547" s="303"/>
      <c r="BA547" s="302"/>
      <c r="BB547" s="302"/>
      <c r="BC547" s="302"/>
      <c r="BD547" s="302"/>
      <c r="BE547" s="302"/>
      <c r="BF547" s="302"/>
      <c r="BG547" s="302"/>
      <c r="BH547" s="302"/>
      <c r="BI547" s="302"/>
      <c r="BJ547" s="302"/>
      <c r="BM547">
        <v>5.2</v>
      </c>
      <c r="BS547">
        <v>55.2</v>
      </c>
      <c r="BY547">
        <v>49.7</v>
      </c>
      <c r="CA547">
        <v>19.100000000000001</v>
      </c>
      <c r="CC547">
        <v>15.2</v>
      </c>
      <c r="CI547">
        <v>5.5</v>
      </c>
      <c r="CO547" t="s">
        <v>8698</v>
      </c>
      <c r="CR547">
        <v>5</v>
      </c>
      <c r="CT547" s="304" t="s">
        <v>11678</v>
      </c>
    </row>
    <row r="548" spans="1:98" s="304" customFormat="1">
      <c r="A548" s="304" t="s">
        <v>8506</v>
      </c>
      <c r="B548" s="463">
        <v>117</v>
      </c>
      <c r="C548" s="296" t="s">
        <v>7736</v>
      </c>
      <c r="D548" s="296" t="s">
        <v>7820</v>
      </c>
      <c r="E548" s="296" t="s">
        <v>7736</v>
      </c>
      <c r="F548" s="296"/>
      <c r="G548" s="296" t="s">
        <v>8506</v>
      </c>
      <c r="H548" s="297" t="s">
        <v>8696</v>
      </c>
      <c r="I548" s="297">
        <v>3</v>
      </c>
      <c r="J548" s="308">
        <v>380</v>
      </c>
      <c r="K548" s="299"/>
      <c r="L548" s="299"/>
      <c r="M548" s="299">
        <v>91</v>
      </c>
      <c r="N548" s="299">
        <v>2</v>
      </c>
      <c r="O548" s="300">
        <v>72</v>
      </c>
      <c r="P548" s="301">
        <v>42090</v>
      </c>
      <c r="Q548" s="306"/>
      <c r="R548" s="303"/>
      <c r="S548" s="289">
        <v>2.85</v>
      </c>
      <c r="T548" s="303">
        <v>42208</v>
      </c>
      <c r="U548" s="307"/>
      <c r="V548" s="303"/>
      <c r="W548" s="306"/>
      <c r="X548" s="303"/>
      <c r="Y548" s="306">
        <v>9.7100000000000009</v>
      </c>
      <c r="Z548" s="303">
        <v>42208</v>
      </c>
      <c r="AA548">
        <v>14.4</v>
      </c>
      <c r="AB548" s="303"/>
      <c r="AC548" s="306"/>
      <c r="AD548" s="303"/>
      <c r="AE548" s="302"/>
      <c r="AF548" s="303"/>
      <c r="AG548">
        <v>34546.540880503147</v>
      </c>
      <c r="AH548" s="521">
        <f>(AK548*10000)/AM548</f>
        <v>34546.540880503147</v>
      </c>
      <c r="AI548" s="302"/>
      <c r="AJ548" s="303"/>
      <c r="AK548">
        <v>18.309666666666665</v>
      </c>
      <c r="AL548" s="521"/>
      <c r="AM548">
        <v>5.3</v>
      </c>
      <c r="AN548" s="303">
        <v>42244</v>
      </c>
      <c r="AO548">
        <v>140</v>
      </c>
      <c r="AP548" s="303">
        <v>42170</v>
      </c>
      <c r="AQ548" s="306"/>
      <c r="AR548" s="303"/>
      <c r="AS548" s="306"/>
      <c r="AT548" s="303"/>
      <c r="AU548"/>
      <c r="AV548" s="303"/>
      <c r="AW548" s="302"/>
      <c r="AX548" s="302"/>
      <c r="AY548" s="302"/>
      <c r="AZ548" s="303"/>
      <c r="BA548" s="302"/>
      <c r="BB548" s="302"/>
      <c r="BC548" s="302"/>
      <c r="BD548" s="302"/>
      <c r="BE548" s="302"/>
      <c r="BF548" s="302"/>
      <c r="BG548" s="302"/>
      <c r="BH548" s="302"/>
      <c r="BI548" s="302"/>
      <c r="BJ548" s="302"/>
      <c r="BM548">
        <v>30.5</v>
      </c>
      <c r="BS548">
        <v>23.7</v>
      </c>
      <c r="BY548">
        <v>47.3</v>
      </c>
      <c r="CA548">
        <v>22.2</v>
      </c>
      <c r="CC548">
        <v>63.8</v>
      </c>
      <c r="CI548">
        <v>5.6</v>
      </c>
      <c r="CO548" t="s">
        <v>8699</v>
      </c>
      <c r="CR548">
        <v>3</v>
      </c>
      <c r="CT548" s="304" t="s">
        <v>11678</v>
      </c>
    </row>
    <row r="549" spans="1:98" s="304" customFormat="1">
      <c r="A549" s="304" t="s">
        <v>8506</v>
      </c>
      <c r="B549" s="463">
        <v>125</v>
      </c>
      <c r="C549" s="296" t="s">
        <v>7752</v>
      </c>
      <c r="D549" s="296" t="s">
        <v>7563</v>
      </c>
      <c r="E549" s="296" t="s">
        <v>7752</v>
      </c>
      <c r="F549" s="296"/>
      <c r="G549" s="296" t="s">
        <v>8506</v>
      </c>
      <c r="H549" s="297" t="s">
        <v>8696</v>
      </c>
      <c r="I549" s="297">
        <v>3</v>
      </c>
      <c r="J549" s="297">
        <v>3140</v>
      </c>
      <c r="K549" s="299"/>
      <c r="L549" s="299"/>
      <c r="M549" s="299">
        <v>91</v>
      </c>
      <c r="N549" s="299">
        <v>3</v>
      </c>
      <c r="O549" s="300">
        <v>28</v>
      </c>
      <c r="P549" s="301">
        <v>42090</v>
      </c>
      <c r="Q549" s="302"/>
      <c r="R549" s="303"/>
      <c r="S549" s="289">
        <v>5.15</v>
      </c>
      <c r="T549" s="303">
        <v>42208</v>
      </c>
      <c r="U549" s="302"/>
      <c r="V549" s="303"/>
      <c r="W549" s="302"/>
      <c r="X549" s="303"/>
      <c r="Y549" s="302">
        <v>17.86</v>
      </c>
      <c r="Z549" s="303">
        <v>42208</v>
      </c>
      <c r="AA549">
        <v>14.4</v>
      </c>
      <c r="AB549" s="303"/>
      <c r="AC549" s="302"/>
      <c r="AD549" s="303"/>
      <c r="AE549" s="302"/>
      <c r="AF549" s="303"/>
      <c r="AG549">
        <v>66101.680555555547</v>
      </c>
      <c r="AH549" s="521">
        <f>(AK549*10000)/AM549</f>
        <v>66101.680555555547</v>
      </c>
      <c r="AI549" s="302"/>
      <c r="AJ549" s="303"/>
      <c r="AK549">
        <v>33.050840277777773</v>
      </c>
      <c r="AL549" s="521"/>
      <c r="AM549">
        <v>5</v>
      </c>
      <c r="AN549" s="303">
        <v>42244</v>
      </c>
      <c r="AO549">
        <v>135</v>
      </c>
      <c r="AP549" s="303">
        <v>42170</v>
      </c>
      <c r="AQ549" s="302"/>
      <c r="AR549" s="303"/>
      <c r="AS549" s="302"/>
      <c r="AT549" s="303"/>
      <c r="AU549">
        <v>112</v>
      </c>
      <c r="AV549" s="303"/>
      <c r="AW549" s="302"/>
      <c r="AX549" s="302"/>
      <c r="AY549" s="302"/>
      <c r="AZ549" s="303"/>
      <c r="BA549" s="302"/>
      <c r="BB549" s="302"/>
      <c r="BC549" s="302"/>
      <c r="BD549" s="302"/>
      <c r="BE549" s="302"/>
      <c r="BF549" s="302"/>
      <c r="BG549" s="302"/>
      <c r="BH549" s="302"/>
      <c r="BI549" s="302"/>
      <c r="BJ549" s="302"/>
      <c r="BM549">
        <v>-1.7</v>
      </c>
      <c r="BS549">
        <v>57.5</v>
      </c>
      <c r="BY549">
        <v>48.2</v>
      </c>
      <c r="CA549">
        <v>20.399999999999999</v>
      </c>
      <c r="CC549">
        <v>15.3</v>
      </c>
      <c r="CI549">
        <v>5.7</v>
      </c>
      <c r="CO549" t="s">
        <v>8699</v>
      </c>
      <c r="CR549">
        <v>2</v>
      </c>
      <c r="CT549" s="304" t="s">
        <v>11678</v>
      </c>
    </row>
    <row r="550" spans="1:98" s="304" customFormat="1">
      <c r="A550" s="304" t="s">
        <v>8506</v>
      </c>
      <c r="B550" s="463">
        <v>152</v>
      </c>
      <c r="C550" s="296" t="s">
        <v>7780</v>
      </c>
      <c r="D550" s="296" t="s">
        <v>7581</v>
      </c>
      <c r="E550" s="296" t="s">
        <v>7780</v>
      </c>
      <c r="F550" s="296"/>
      <c r="G550" s="296" t="s">
        <v>8506</v>
      </c>
      <c r="H550" s="297" t="s">
        <v>8696</v>
      </c>
      <c r="I550" s="297">
        <v>3</v>
      </c>
      <c r="J550" s="297">
        <v>320</v>
      </c>
      <c r="K550" s="299"/>
      <c r="L550" s="299"/>
      <c r="M550" s="299">
        <v>91</v>
      </c>
      <c r="N550" s="299">
        <v>1</v>
      </c>
      <c r="O550" s="300">
        <v>46</v>
      </c>
      <c r="P550" s="301">
        <v>42090</v>
      </c>
      <c r="Q550" s="302"/>
      <c r="R550" s="303"/>
      <c r="S550" s="289">
        <v>6.65</v>
      </c>
      <c r="T550" s="303">
        <v>42208</v>
      </c>
      <c r="U550" s="302"/>
      <c r="V550" s="303"/>
      <c r="W550" s="302"/>
      <c r="X550" s="303"/>
      <c r="Y550" s="302">
        <v>24.04</v>
      </c>
      <c r="Z550" s="303">
        <v>42208</v>
      </c>
      <c r="AA550">
        <v>14.4</v>
      </c>
      <c r="AB550" s="303"/>
      <c r="AC550" s="302"/>
      <c r="AD550" s="303"/>
      <c r="AE550" s="302"/>
      <c r="AF550" s="303"/>
      <c r="AG550">
        <v>78780.606995884766</v>
      </c>
      <c r="AH550" s="521">
        <f>(AK550*10000)/AM550</f>
        <v>78780.606995884766</v>
      </c>
      <c r="AI550" s="302"/>
      <c r="AJ550" s="303"/>
      <c r="AK550">
        <v>42.541527777777773</v>
      </c>
      <c r="AL550" s="521"/>
      <c r="AM550">
        <v>5.4</v>
      </c>
      <c r="AN550" s="303">
        <v>42244</v>
      </c>
      <c r="AO550">
        <v>120</v>
      </c>
      <c r="AP550" s="303">
        <v>42170</v>
      </c>
      <c r="AQ550" s="302"/>
      <c r="AR550" s="303"/>
      <c r="AS550" s="302"/>
      <c r="AT550" s="303"/>
      <c r="AU550">
        <v>109</v>
      </c>
      <c r="AV550" s="303"/>
      <c r="AW550" s="302"/>
      <c r="AX550" s="302"/>
      <c r="AY550" s="302"/>
      <c r="AZ550" s="303"/>
      <c r="BA550" s="302"/>
      <c r="BB550" s="302"/>
      <c r="BC550" s="302"/>
      <c r="BD550" s="302"/>
      <c r="BE550" s="302"/>
      <c r="BF550" s="302"/>
      <c r="BG550" s="302"/>
      <c r="BH550" s="302"/>
      <c r="BI550" s="302"/>
      <c r="BJ550" s="302"/>
      <c r="BM550">
        <v>-0.3</v>
      </c>
      <c r="BS550">
        <v>56.9</v>
      </c>
      <c r="BY550">
        <v>50.4</v>
      </c>
      <c r="CA550">
        <v>18.3</v>
      </c>
      <c r="CC550">
        <v>16.399999999999999</v>
      </c>
      <c r="CI550">
        <v>6</v>
      </c>
      <c r="CO550" t="s">
        <v>8699</v>
      </c>
      <c r="CR550">
        <v>3</v>
      </c>
      <c r="CT550" s="304" t="s">
        <v>11678</v>
      </c>
    </row>
    <row r="551" spans="1:98" s="304" customFormat="1">
      <c r="A551" s="304" t="s">
        <v>8506</v>
      </c>
      <c r="B551" s="523">
        <v>359</v>
      </c>
      <c r="C551" s="296" t="s">
        <v>8509</v>
      </c>
      <c r="D551" s="296" t="s">
        <v>8299</v>
      </c>
      <c r="E551" s="296" t="s">
        <v>8299</v>
      </c>
      <c r="F551" s="296"/>
      <c r="G551" s="296" t="s">
        <v>8506</v>
      </c>
      <c r="H551" s="297" t="s">
        <v>8696</v>
      </c>
      <c r="I551" s="297">
        <v>3</v>
      </c>
      <c r="J551" s="297">
        <v>3320</v>
      </c>
      <c r="K551" s="299"/>
      <c r="L551" s="299"/>
      <c r="M551" s="299">
        <v>91</v>
      </c>
      <c r="N551" s="299">
        <v>6</v>
      </c>
      <c r="O551" s="300">
        <v>34</v>
      </c>
      <c r="P551" s="301">
        <v>42090</v>
      </c>
      <c r="Q551" s="302"/>
      <c r="R551" s="303"/>
      <c r="S551" s="289">
        <v>6.4</v>
      </c>
      <c r="T551" s="303">
        <v>42208</v>
      </c>
      <c r="U551" s="302"/>
      <c r="V551" s="303"/>
      <c r="W551" s="302"/>
      <c r="X551" s="303"/>
      <c r="Y551" s="302">
        <v>22.79</v>
      </c>
      <c r="Z551" s="303">
        <v>42208</v>
      </c>
      <c r="AA551">
        <v>14.4</v>
      </c>
      <c r="AB551" s="303"/>
      <c r="AC551" s="302"/>
      <c r="AD551" s="303"/>
      <c r="AE551" s="302"/>
      <c r="AF551" s="303"/>
      <c r="AG551">
        <v>69319.774011299436</v>
      </c>
      <c r="AH551" s="521">
        <f>(AK551*10000)/AM551</f>
        <v>69319.774011299436</v>
      </c>
      <c r="AI551" s="302"/>
      <c r="AJ551" s="303"/>
      <c r="AK551">
        <v>40.898666666666671</v>
      </c>
      <c r="AL551" s="521"/>
      <c r="AM551">
        <v>5.9</v>
      </c>
      <c r="AN551" s="303">
        <v>42244</v>
      </c>
      <c r="AO551">
        <v>135</v>
      </c>
      <c r="AP551" s="303">
        <v>42170</v>
      </c>
      <c r="AQ551" s="302"/>
      <c r="AR551" s="303"/>
      <c r="AS551" s="302"/>
      <c r="AT551" s="303"/>
      <c r="AU551">
        <v>108</v>
      </c>
      <c r="AV551" s="302"/>
      <c r="AW551" s="302"/>
      <c r="AX551" s="302"/>
      <c r="AY551" s="302"/>
      <c r="AZ551" s="302"/>
      <c r="BA551" s="302"/>
      <c r="BB551" s="302"/>
      <c r="BC551" s="302"/>
      <c r="BD551" s="302"/>
      <c r="BE551" s="302"/>
      <c r="BF551" s="302"/>
      <c r="BG551" s="302"/>
      <c r="BH551" s="302"/>
      <c r="BI551" s="302"/>
      <c r="BJ551" s="302"/>
      <c r="BM551">
        <v>3.7</v>
      </c>
      <c r="BS551">
        <v>55.6</v>
      </c>
      <c r="BY551">
        <v>49.7</v>
      </c>
      <c r="CA551">
        <v>20.2</v>
      </c>
      <c r="CC551">
        <v>17.2</v>
      </c>
      <c r="CI551">
        <v>6.1</v>
      </c>
      <c r="CO551" t="s">
        <v>8698</v>
      </c>
      <c r="CR551">
        <v>1</v>
      </c>
      <c r="CT551" s="304" t="s">
        <v>11678</v>
      </c>
    </row>
    <row r="552" spans="1:98" s="304" customFormat="1">
      <c r="A552" s="304" t="s">
        <v>8506</v>
      </c>
      <c r="B552" s="463">
        <v>77</v>
      </c>
      <c r="C552" s="296" t="s">
        <v>7695</v>
      </c>
      <c r="D552" s="296" t="s">
        <v>7524</v>
      </c>
      <c r="E552" s="296" t="s">
        <v>7695</v>
      </c>
      <c r="F552" s="296"/>
      <c r="G552" s="296" t="s">
        <v>8506</v>
      </c>
      <c r="H552" s="297" t="s">
        <v>8697</v>
      </c>
      <c r="I552" s="297">
        <v>4</v>
      </c>
      <c r="J552" s="297">
        <v>4261</v>
      </c>
      <c r="K552" s="299"/>
      <c r="L552" s="299"/>
      <c r="M552" s="299">
        <v>92</v>
      </c>
      <c r="N552" s="299">
        <v>11</v>
      </c>
      <c r="O552" s="300">
        <v>32</v>
      </c>
      <c r="P552" s="301">
        <v>42090</v>
      </c>
      <c r="Q552" s="302"/>
      <c r="R552" s="303"/>
      <c r="S552" s="289"/>
      <c r="T552" s="303"/>
      <c r="U552" s="302"/>
      <c r="V552" s="303"/>
      <c r="W552" s="302"/>
      <c r="X552" s="303"/>
      <c r="Y552" s="302"/>
      <c r="Z552" s="303"/>
      <c r="AA552"/>
      <c r="AB552" s="303"/>
      <c r="AC552" s="302"/>
      <c r="AD552" s="303"/>
      <c r="AE552" s="302"/>
      <c r="AF552" s="303"/>
      <c r="AG552" t="e">
        <v>#DIV/0!</v>
      </c>
      <c r="AH552" s="521" t="e">
        <f>(AK552*10000)/AM552</f>
        <v>#DIV/0!</v>
      </c>
      <c r="AI552" s="302"/>
      <c r="AJ552" s="303"/>
      <c r="AK552" t="e">
        <v>#DIV/0!</v>
      </c>
      <c r="AL552" s="521"/>
      <c r="AM552"/>
      <c r="AN552" s="303"/>
      <c r="AO552"/>
      <c r="AP552" s="303"/>
      <c r="AQ552" s="302"/>
      <c r="AR552" s="303"/>
      <c r="AS552" s="302"/>
      <c r="AT552" s="303"/>
      <c r="AU552"/>
      <c r="AV552" s="303"/>
      <c r="AW552" s="302"/>
      <c r="AX552" s="302"/>
      <c r="AY552" s="302"/>
      <c r="AZ552" s="303"/>
      <c r="BA552" s="302"/>
      <c r="BB552" s="302"/>
      <c r="BC552" s="302"/>
      <c r="BD552" s="302"/>
      <c r="BE552" s="302"/>
      <c r="BF552" s="302"/>
      <c r="BG552" s="302"/>
      <c r="BH552" s="302"/>
      <c r="BI552" s="302"/>
      <c r="BJ552" s="302"/>
      <c r="BM552"/>
      <c r="BS552"/>
      <c r="BY552"/>
      <c r="CA552"/>
      <c r="CC552"/>
      <c r="CI552"/>
      <c r="CO552" t="s">
        <v>8706</v>
      </c>
      <c r="CR552"/>
      <c r="CT552" s="304" t="s">
        <v>11677</v>
      </c>
    </row>
    <row r="553" spans="1:98" s="304" customFormat="1">
      <c r="A553" s="304" t="s">
        <v>8506</v>
      </c>
      <c r="B553" s="463">
        <v>131</v>
      </c>
      <c r="C553" s="296" t="s">
        <v>7759</v>
      </c>
      <c r="D553" s="296" t="s">
        <v>7834</v>
      </c>
      <c r="E553" s="296" t="s">
        <v>7759</v>
      </c>
      <c r="F553" s="296"/>
      <c r="G553" s="296" t="s">
        <v>8506</v>
      </c>
      <c r="H553" s="297" t="s">
        <v>8696</v>
      </c>
      <c r="I553" s="297">
        <v>3</v>
      </c>
      <c r="J553" s="297">
        <v>3141</v>
      </c>
      <c r="K553" s="299"/>
      <c r="L553" s="299"/>
      <c r="M553" s="299">
        <v>92</v>
      </c>
      <c r="N553" s="299">
        <v>3</v>
      </c>
      <c r="O553" s="300">
        <v>30</v>
      </c>
      <c r="P553" s="301">
        <v>42090</v>
      </c>
      <c r="Q553" s="302"/>
      <c r="R553" s="303"/>
      <c r="S553" s="289">
        <v>6.5</v>
      </c>
      <c r="T553" s="303">
        <v>42208</v>
      </c>
      <c r="U553" s="302"/>
      <c r="V553" s="303"/>
      <c r="W553" s="302"/>
      <c r="X553" s="303"/>
      <c r="Y553" s="302">
        <v>23.39</v>
      </c>
      <c r="Z553" s="303">
        <v>42208</v>
      </c>
      <c r="AA553">
        <v>14.4</v>
      </c>
      <c r="AB553" s="303"/>
      <c r="AC553" s="302"/>
      <c r="AD553" s="303"/>
      <c r="AE553" s="302"/>
      <c r="AF553" s="303"/>
      <c r="AG553">
        <v>80050.347222222204</v>
      </c>
      <c r="AH553" s="521">
        <f>(AK553*10000)/AM553</f>
        <v>80050.347222222204</v>
      </c>
      <c r="AI553" s="302"/>
      <c r="AJ553" s="303"/>
      <c r="AK553">
        <v>41.62618055555555</v>
      </c>
      <c r="AL553" s="521"/>
      <c r="AM553">
        <v>5.2</v>
      </c>
      <c r="AN553" s="303">
        <v>42244</v>
      </c>
      <c r="AO553">
        <v>135</v>
      </c>
      <c r="AP553" s="303">
        <v>42170</v>
      </c>
      <c r="AQ553" s="302"/>
      <c r="AR553" s="303"/>
      <c r="AS553" s="302"/>
      <c r="AT553" s="303"/>
      <c r="AU553">
        <v>108</v>
      </c>
      <c r="AV553" s="303"/>
      <c r="AW553" s="302"/>
      <c r="AX553" s="302"/>
      <c r="AY553" s="302"/>
      <c r="AZ553" s="303"/>
      <c r="BA553" s="302"/>
      <c r="BB553" s="302"/>
      <c r="BC553" s="302"/>
      <c r="BD553" s="302"/>
      <c r="BE553" s="302"/>
      <c r="BF553" s="302"/>
      <c r="BG553" s="302"/>
      <c r="BH553" s="302"/>
      <c r="BI553" s="302"/>
      <c r="BJ553" s="302"/>
      <c r="BM553">
        <v>4</v>
      </c>
      <c r="BS553">
        <v>63.3</v>
      </c>
      <c r="BY553">
        <v>50.1</v>
      </c>
      <c r="CA553">
        <v>18.600000000000001</v>
      </c>
      <c r="CC553">
        <v>16.399999999999999</v>
      </c>
      <c r="CI553">
        <v>5.9</v>
      </c>
      <c r="CO553" t="s">
        <v>8699</v>
      </c>
      <c r="CR553">
        <v>2</v>
      </c>
      <c r="CT553" s="304" t="s">
        <v>11678</v>
      </c>
    </row>
    <row r="554" spans="1:98" s="304" customFormat="1">
      <c r="A554" s="304" t="s">
        <v>8506</v>
      </c>
      <c r="B554" s="463">
        <v>155</v>
      </c>
      <c r="C554" s="296" t="s">
        <v>7783</v>
      </c>
      <c r="D554" s="296" t="s">
        <v>7584</v>
      </c>
      <c r="E554" s="296" t="s">
        <v>7783</v>
      </c>
      <c r="F554" s="296"/>
      <c r="G554" s="296" t="s">
        <v>8506</v>
      </c>
      <c r="H554" s="297" t="s">
        <v>8696</v>
      </c>
      <c r="I554" s="297">
        <v>3</v>
      </c>
      <c r="J554" s="297">
        <v>381</v>
      </c>
      <c r="K554" s="299"/>
      <c r="L554" s="299"/>
      <c r="M554" s="299">
        <v>92</v>
      </c>
      <c r="N554" s="299">
        <v>2</v>
      </c>
      <c r="O554" s="300">
        <v>52</v>
      </c>
      <c r="P554" s="301">
        <v>42090</v>
      </c>
      <c r="Q554" s="302"/>
      <c r="R554" s="303"/>
      <c r="S554" s="289">
        <v>5.8</v>
      </c>
      <c r="T554" s="303">
        <v>42208</v>
      </c>
      <c r="U554" s="302"/>
      <c r="V554" s="303"/>
      <c r="W554" s="302"/>
      <c r="X554" s="303"/>
      <c r="Y554" s="302">
        <v>21.16</v>
      </c>
      <c r="Z554" s="303">
        <v>42208</v>
      </c>
      <c r="AA554">
        <v>14.4</v>
      </c>
      <c r="AB554" s="303"/>
      <c r="AC554" s="302"/>
      <c r="AD554" s="303"/>
      <c r="AE554" s="302"/>
      <c r="AF554" s="303"/>
      <c r="AG554">
        <v>77382.002314814788</v>
      </c>
      <c r="AH554" s="521">
        <f>(AK554*10000)/AM554</f>
        <v>77382.002314814788</v>
      </c>
      <c r="AI554" s="302"/>
      <c r="AJ554" s="303"/>
      <c r="AK554">
        <v>37.143361111111098</v>
      </c>
      <c r="AL554" s="521"/>
      <c r="AM554">
        <v>4.8</v>
      </c>
      <c r="AN554" s="303">
        <v>42244</v>
      </c>
      <c r="AO554">
        <v>115</v>
      </c>
      <c r="AP554" s="303">
        <v>42170</v>
      </c>
      <c r="AQ554" s="302"/>
      <c r="AR554" s="303"/>
      <c r="AS554" s="302"/>
      <c r="AT554" s="303"/>
      <c r="AU554">
        <v>109</v>
      </c>
      <c r="AV554" s="303"/>
      <c r="AW554" s="302"/>
      <c r="AX554" s="302"/>
      <c r="AY554" s="302"/>
      <c r="AZ554" s="303"/>
      <c r="BA554" s="302"/>
      <c r="BB554" s="302"/>
      <c r="BC554" s="302"/>
      <c r="BD554" s="302"/>
      <c r="BE554" s="302"/>
      <c r="BF554" s="302"/>
      <c r="BG554" s="302"/>
      <c r="BH554" s="302"/>
      <c r="BI554" s="302"/>
      <c r="BJ554" s="302"/>
      <c r="BM554">
        <v>-3.2</v>
      </c>
      <c r="BS554">
        <v>64.900000000000006</v>
      </c>
      <c r="BY554">
        <v>50.8</v>
      </c>
      <c r="CA554">
        <v>18</v>
      </c>
      <c r="CC554">
        <v>16.100000000000001</v>
      </c>
      <c r="CI554">
        <v>5.9</v>
      </c>
      <c r="CO554" t="s">
        <v>8699</v>
      </c>
      <c r="CR554">
        <v>2</v>
      </c>
      <c r="CT554" s="304" t="s">
        <v>11678</v>
      </c>
    </row>
    <row r="555" spans="1:98" s="304" customFormat="1">
      <c r="A555" s="304" t="s">
        <v>8506</v>
      </c>
      <c r="B555" s="523">
        <v>360</v>
      </c>
      <c r="C555" s="296" t="s">
        <v>8686</v>
      </c>
      <c r="D555" s="296" t="s">
        <v>8299</v>
      </c>
      <c r="E555" s="296" t="s">
        <v>8299</v>
      </c>
      <c r="F555" s="296"/>
      <c r="G555" s="296" t="s">
        <v>8506</v>
      </c>
      <c r="H555" s="297" t="s">
        <v>8696</v>
      </c>
      <c r="I555" s="297">
        <v>3</v>
      </c>
      <c r="J555" s="297">
        <v>3321</v>
      </c>
      <c r="K555" s="299"/>
      <c r="L555" s="299"/>
      <c r="M555" s="299">
        <v>92</v>
      </c>
      <c r="N555" s="299">
        <v>6</v>
      </c>
      <c r="O555" s="300">
        <v>23</v>
      </c>
      <c r="P555" s="301">
        <v>42090</v>
      </c>
      <c r="Q555" s="302"/>
      <c r="R555" s="303"/>
      <c r="S555" s="289">
        <v>6.3</v>
      </c>
      <c r="T555" s="303">
        <v>42208</v>
      </c>
      <c r="U555" s="302"/>
      <c r="V555" s="303"/>
      <c r="W555" s="302"/>
      <c r="X555" s="303"/>
      <c r="Y555" s="302">
        <v>22.58</v>
      </c>
      <c r="Z555" s="303">
        <v>42208</v>
      </c>
      <c r="AA555">
        <v>14.4</v>
      </c>
      <c r="AB555" s="303"/>
      <c r="AC555" s="302"/>
      <c r="AD555" s="303"/>
      <c r="AE555" s="302"/>
      <c r="AF555" s="303"/>
      <c r="AG555">
        <v>71082.236842105267</v>
      </c>
      <c r="AH555" s="521">
        <f>(AK555*10000)/AM555</f>
        <v>71082.236842105267</v>
      </c>
      <c r="AI555" s="302"/>
      <c r="AJ555" s="303"/>
      <c r="AK555">
        <v>40.516874999999999</v>
      </c>
      <c r="AL555" s="521"/>
      <c r="AM555">
        <v>5.7</v>
      </c>
      <c r="AN555" s="303">
        <v>42244</v>
      </c>
      <c r="AO555">
        <v>140</v>
      </c>
      <c r="AP555" s="303">
        <v>42170</v>
      </c>
      <c r="AQ555" s="302"/>
      <c r="AR555" s="303"/>
      <c r="AS555" s="302"/>
      <c r="AT555" s="303"/>
      <c r="AU555">
        <v>108</v>
      </c>
      <c r="AV555" s="302"/>
      <c r="AW555" s="302"/>
      <c r="AX555" s="302"/>
      <c r="AY555" s="302"/>
      <c r="AZ555" s="302"/>
      <c r="BA555" s="302"/>
      <c r="BB555" s="302"/>
      <c r="BC555" s="302"/>
      <c r="BD555" s="302"/>
      <c r="BE555" s="302"/>
      <c r="BF555" s="302"/>
      <c r="BG555" s="302"/>
      <c r="BH555" s="302"/>
      <c r="BI555" s="302"/>
      <c r="BJ555" s="302"/>
      <c r="BM555">
        <v>0</v>
      </c>
      <c r="BS555">
        <v>56.4</v>
      </c>
      <c r="BY555">
        <v>49.7</v>
      </c>
      <c r="CA555">
        <v>19.7</v>
      </c>
      <c r="CC555">
        <v>14.2</v>
      </c>
      <c r="CI555">
        <v>5.5</v>
      </c>
      <c r="CO555" t="s">
        <v>8698</v>
      </c>
      <c r="CR555">
        <v>1</v>
      </c>
      <c r="CT555" s="304" t="s">
        <v>11678</v>
      </c>
    </row>
    <row r="556" spans="1:98" s="304" customFormat="1">
      <c r="A556" s="304" t="s">
        <v>8506</v>
      </c>
      <c r="B556" s="463">
        <v>15</v>
      </c>
      <c r="C556" s="296" t="s">
        <v>7624</v>
      </c>
      <c r="D556" s="296" t="s">
        <v>7462</v>
      </c>
      <c r="E556" s="296" t="s">
        <v>7624</v>
      </c>
      <c r="F556" s="296"/>
      <c r="G556" s="296" t="s">
        <v>8506</v>
      </c>
      <c r="H556" s="297" t="s">
        <v>8696</v>
      </c>
      <c r="I556" s="297">
        <v>3</v>
      </c>
      <c r="J556" s="297">
        <v>3202</v>
      </c>
      <c r="K556" s="299"/>
      <c r="L556" s="299"/>
      <c r="M556" s="299">
        <v>93</v>
      </c>
      <c r="N556" s="299">
        <v>4</v>
      </c>
      <c r="O556" s="300">
        <v>30</v>
      </c>
      <c r="P556" s="301">
        <v>42090</v>
      </c>
      <c r="Q556" s="302"/>
      <c r="R556" s="303"/>
      <c r="S556" s="289">
        <v>3.5</v>
      </c>
      <c r="T556" s="303">
        <v>42208</v>
      </c>
      <c r="U556" s="302"/>
      <c r="V556" s="303"/>
      <c r="W556" s="302"/>
      <c r="X556" s="303"/>
      <c r="Y556" s="302">
        <v>11.31</v>
      </c>
      <c r="Z556" s="303">
        <v>42208</v>
      </c>
      <c r="AA556">
        <v>14.4</v>
      </c>
      <c r="AB556" s="303"/>
      <c r="AC556" s="302"/>
      <c r="AD556" s="303"/>
      <c r="AE556" s="302"/>
      <c r="AF556" s="303"/>
      <c r="AG556">
        <v>39406.554580896685</v>
      </c>
      <c r="AH556" s="521">
        <f>(AK556*10000)/AM556</f>
        <v>39406.554580896685</v>
      </c>
      <c r="AI556" s="302"/>
      <c r="AJ556" s="303"/>
      <c r="AK556">
        <v>22.461736111111112</v>
      </c>
      <c r="AL556" s="521"/>
      <c r="AM556">
        <v>5.7</v>
      </c>
      <c r="AN556" s="303">
        <v>42244</v>
      </c>
      <c r="AO556">
        <v>110</v>
      </c>
      <c r="AP556" s="303">
        <v>42170</v>
      </c>
      <c r="AQ556" s="302"/>
      <c r="AR556" s="303"/>
      <c r="AS556" s="302"/>
      <c r="AT556" s="303"/>
      <c r="AU556">
        <v>113</v>
      </c>
      <c r="AV556" s="303"/>
      <c r="AW556" s="302"/>
      <c r="AX556" s="302"/>
      <c r="AY556" s="302"/>
      <c r="AZ556" s="303"/>
      <c r="BA556" s="302"/>
      <c r="BB556" s="302"/>
      <c r="BC556" s="302"/>
      <c r="BD556" s="302"/>
      <c r="BE556" s="302"/>
      <c r="BF556" s="302"/>
      <c r="BG556" s="302"/>
      <c r="BH556" s="302"/>
      <c r="BI556" s="302"/>
      <c r="BJ556" s="302"/>
      <c r="BM556">
        <v>35.200000000000003</v>
      </c>
      <c r="BS556">
        <v>21.1</v>
      </c>
      <c r="BY556">
        <v>44.9</v>
      </c>
      <c r="CA556">
        <v>23.3</v>
      </c>
      <c r="CC556">
        <v>80</v>
      </c>
      <c r="CI556">
        <v>5.7</v>
      </c>
      <c r="CO556" t="s">
        <v>8698</v>
      </c>
      <c r="CR556">
        <v>2</v>
      </c>
      <c r="CT556" s="304" t="s">
        <v>11678</v>
      </c>
    </row>
    <row r="557" spans="1:98" s="304" customFormat="1">
      <c r="A557" s="304" t="s">
        <v>8506</v>
      </c>
      <c r="B557" s="463">
        <v>78</v>
      </c>
      <c r="C557" s="296" t="s">
        <v>7696</v>
      </c>
      <c r="D557" s="296" t="s">
        <v>7525</v>
      </c>
      <c r="E557" s="296" t="s">
        <v>7696</v>
      </c>
      <c r="F557" s="296"/>
      <c r="G557" s="296" t="s">
        <v>8506</v>
      </c>
      <c r="H557" s="297" t="s">
        <v>8696</v>
      </c>
      <c r="I557" s="297">
        <v>3</v>
      </c>
      <c r="J557" s="297">
        <v>382</v>
      </c>
      <c r="K557" s="299"/>
      <c r="L557" s="299"/>
      <c r="M557" s="299">
        <v>93</v>
      </c>
      <c r="N557" s="299">
        <v>2</v>
      </c>
      <c r="O557" s="300">
        <v>60</v>
      </c>
      <c r="P557" s="301">
        <v>42090</v>
      </c>
      <c r="Q557" s="302"/>
      <c r="R557" s="303"/>
      <c r="S557" s="289">
        <v>5.95</v>
      </c>
      <c r="T557" s="303">
        <v>42208</v>
      </c>
      <c r="U557" s="302"/>
      <c r="V557" s="303"/>
      <c r="W557" s="302"/>
      <c r="X557" s="303"/>
      <c r="Y557" s="302">
        <v>20.77</v>
      </c>
      <c r="Z557" s="303">
        <v>42208</v>
      </c>
      <c r="AA557">
        <v>14.4</v>
      </c>
      <c r="AB557" s="303"/>
      <c r="AC557" s="302"/>
      <c r="AD557" s="303"/>
      <c r="AE557" s="302"/>
      <c r="AF557" s="303"/>
      <c r="AG557">
        <v>72199.882075471702</v>
      </c>
      <c r="AH557" s="521">
        <f>(AK557*10000)/AM557</f>
        <v>72199.882075471702</v>
      </c>
      <c r="AI557" s="302"/>
      <c r="AJ557" s="303"/>
      <c r="AK557">
        <v>38.2659375</v>
      </c>
      <c r="AL557" s="521"/>
      <c r="AM557">
        <v>5.3</v>
      </c>
      <c r="AN557" s="303">
        <v>42244</v>
      </c>
      <c r="AO557">
        <v>100</v>
      </c>
      <c r="AP557" s="303">
        <v>42170</v>
      </c>
      <c r="AQ557" s="302"/>
      <c r="AR557" s="303"/>
      <c r="AS557" s="302"/>
      <c r="AT557" s="303"/>
      <c r="AU557">
        <v>108</v>
      </c>
      <c r="AV557" s="303"/>
      <c r="AW557" s="302"/>
      <c r="AX557" s="302"/>
      <c r="AY557" s="302"/>
      <c r="AZ557" s="303"/>
      <c r="BA557" s="302"/>
      <c r="BB557" s="302"/>
      <c r="BC557" s="302"/>
      <c r="BD557" s="302"/>
      <c r="BE557" s="302"/>
      <c r="BF557" s="302"/>
      <c r="BG557" s="302"/>
      <c r="BH557" s="302"/>
      <c r="BI557" s="302"/>
      <c r="BJ557" s="302"/>
      <c r="BM557">
        <v>4.7</v>
      </c>
      <c r="BS557">
        <v>58.2</v>
      </c>
      <c r="BY557">
        <v>48.4</v>
      </c>
      <c r="CA557">
        <v>18.399999999999999</v>
      </c>
      <c r="CC557">
        <v>19.899999999999999</v>
      </c>
      <c r="CI557">
        <v>5.5</v>
      </c>
      <c r="CO557" t="s">
        <v>8699</v>
      </c>
      <c r="CR557">
        <v>3</v>
      </c>
      <c r="CT557" s="304" t="s">
        <v>11678</v>
      </c>
    </row>
    <row r="558" spans="1:98" s="304" customFormat="1">
      <c r="A558" s="304" t="s">
        <v>8506</v>
      </c>
      <c r="B558" s="463">
        <v>121</v>
      </c>
      <c r="C558" s="296" t="s">
        <v>7742</v>
      </c>
      <c r="D558" s="296" t="s">
        <v>7826</v>
      </c>
      <c r="E558" s="296" t="s">
        <v>7742</v>
      </c>
      <c r="F558" s="296"/>
      <c r="G558" s="296" t="s">
        <v>8506</v>
      </c>
      <c r="H558" s="297" t="s">
        <v>8696</v>
      </c>
      <c r="I558" s="297">
        <v>3</v>
      </c>
      <c r="J558" s="297">
        <v>3142</v>
      </c>
      <c r="K558" s="299"/>
      <c r="L558" s="299"/>
      <c r="M558" s="299">
        <v>93</v>
      </c>
      <c r="N558" s="299">
        <v>3</v>
      </c>
      <c r="O558" s="300">
        <v>40</v>
      </c>
      <c r="P558" s="301">
        <v>42090</v>
      </c>
      <c r="Q558" s="302"/>
      <c r="R558" s="303"/>
      <c r="S558" s="289">
        <v>4.6500000000000004</v>
      </c>
      <c r="T558" s="303">
        <v>42208</v>
      </c>
      <c r="U558" s="302"/>
      <c r="V558" s="303"/>
      <c r="W558" s="302"/>
      <c r="X558" s="303"/>
      <c r="Y558" s="302">
        <v>15.96</v>
      </c>
      <c r="Z558" s="303">
        <v>42208</v>
      </c>
      <c r="AA558">
        <v>14.4</v>
      </c>
      <c r="AB558" s="303"/>
      <c r="AC558" s="302"/>
      <c r="AD558" s="303"/>
      <c r="AE558" s="302"/>
      <c r="AF558" s="303"/>
      <c r="AG558">
        <v>61031.249999999993</v>
      </c>
      <c r="AH558" s="521">
        <f>(AK558*10000)/AM558</f>
        <v>61031.249999999993</v>
      </c>
      <c r="AI558" s="302"/>
      <c r="AJ558" s="303"/>
      <c r="AK558">
        <v>29.905312499999997</v>
      </c>
      <c r="AL558" s="521"/>
      <c r="AM558">
        <v>4.9000000000000004</v>
      </c>
      <c r="AN558" s="303">
        <v>42244</v>
      </c>
      <c r="AO558">
        <v>150</v>
      </c>
      <c r="AP558" s="303">
        <v>42170</v>
      </c>
      <c r="AQ558" s="302"/>
      <c r="AR558" s="303"/>
      <c r="AS558" s="302"/>
      <c r="AT558" s="303"/>
      <c r="AU558">
        <v>113</v>
      </c>
      <c r="AV558" s="303"/>
      <c r="AW558" s="302"/>
      <c r="AX558" s="302"/>
      <c r="AY558" s="302"/>
      <c r="AZ558" s="303"/>
      <c r="BA558" s="302"/>
      <c r="BB558" s="302"/>
      <c r="BC558" s="302"/>
      <c r="BD558" s="302"/>
      <c r="BE558" s="302"/>
      <c r="BF558" s="302"/>
      <c r="BG558" s="302"/>
      <c r="BH558" s="302"/>
      <c r="BI558" s="302"/>
      <c r="BJ558" s="302"/>
      <c r="BM558">
        <v>46</v>
      </c>
      <c r="BS558">
        <v>8.1999999999999993</v>
      </c>
      <c r="BY558">
        <v>47.6</v>
      </c>
      <c r="CA558">
        <v>22.6</v>
      </c>
      <c r="CC558">
        <v>77.3</v>
      </c>
      <c r="CI558">
        <v>5.5</v>
      </c>
      <c r="CO558" t="s">
        <v>8699</v>
      </c>
      <c r="CR558">
        <v>4</v>
      </c>
      <c r="CT558" s="304" t="s">
        <v>11678</v>
      </c>
    </row>
    <row r="559" spans="1:98" s="304" customFormat="1">
      <c r="A559" s="304" t="s">
        <v>8506</v>
      </c>
      <c r="B559" s="463">
        <v>147</v>
      </c>
      <c r="C559" s="296" t="s">
        <v>7775</v>
      </c>
      <c r="D559" s="296" t="s">
        <v>7576</v>
      </c>
      <c r="E559" s="296" t="s">
        <v>7775</v>
      </c>
      <c r="F559" s="296"/>
      <c r="G559" s="296" t="s">
        <v>8506</v>
      </c>
      <c r="H559" s="297" t="s">
        <v>8697</v>
      </c>
      <c r="I559" s="297">
        <v>4</v>
      </c>
      <c r="J559" s="297">
        <v>4262</v>
      </c>
      <c r="K559" s="299"/>
      <c r="L559" s="299"/>
      <c r="M559" s="299">
        <v>93</v>
      </c>
      <c r="N559" s="299">
        <v>11</v>
      </c>
      <c r="O559" s="300">
        <v>31</v>
      </c>
      <c r="P559" s="301">
        <v>42090</v>
      </c>
      <c r="Q559" s="302"/>
      <c r="R559" s="303"/>
      <c r="S559" s="289">
        <v>5.4</v>
      </c>
      <c r="T559" s="303">
        <v>42208</v>
      </c>
      <c r="U559" s="302"/>
      <c r="V559" s="303"/>
      <c r="W559" s="302"/>
      <c r="X559" s="303"/>
      <c r="Y559" s="302">
        <v>19.989999999999998</v>
      </c>
      <c r="Z559" s="303">
        <v>42208</v>
      </c>
      <c r="AA559">
        <v>14.4</v>
      </c>
      <c r="AB559" s="303"/>
      <c r="AC559" s="302"/>
      <c r="AD559" s="303"/>
      <c r="AE559" s="302"/>
      <c r="AF559" s="303"/>
      <c r="AG559">
        <v>69237.000000000015</v>
      </c>
      <c r="AH559" s="521">
        <f>(AK559*10000)/AM559</f>
        <v>69237.000000000015</v>
      </c>
      <c r="AI559" s="302"/>
      <c r="AJ559" s="303"/>
      <c r="AK559">
        <v>34.618500000000004</v>
      </c>
      <c r="AL559" s="521"/>
      <c r="AM559">
        <v>5</v>
      </c>
      <c r="AN559" s="303">
        <v>42244</v>
      </c>
      <c r="AO559">
        <v>130</v>
      </c>
      <c r="AP559" s="303">
        <v>42170</v>
      </c>
      <c r="AQ559" s="302"/>
      <c r="AR559" s="303"/>
      <c r="AS559" s="302"/>
      <c r="AT559" s="303"/>
      <c r="AU559">
        <v>110</v>
      </c>
      <c r="AV559" s="303"/>
      <c r="AW559" s="302"/>
      <c r="AX559" s="302"/>
      <c r="AY559" s="302"/>
      <c r="AZ559" s="303"/>
      <c r="BA559" s="302"/>
      <c r="BB559" s="302"/>
      <c r="BC559" s="302"/>
      <c r="BD559" s="302"/>
      <c r="BE559" s="302"/>
      <c r="BF559" s="302"/>
      <c r="BG559" s="302"/>
      <c r="BH559" s="302"/>
      <c r="BI559" s="302"/>
      <c r="BJ559" s="302"/>
      <c r="BM559">
        <v>-1.6</v>
      </c>
      <c r="BS559">
        <v>63.3</v>
      </c>
      <c r="BY559">
        <v>51.5</v>
      </c>
      <c r="CA559">
        <v>16.399999999999999</v>
      </c>
      <c r="CC559">
        <v>14.8</v>
      </c>
      <c r="CI559">
        <v>5.8</v>
      </c>
      <c r="CO559" t="s">
        <v>8698</v>
      </c>
      <c r="CR559">
        <v>2</v>
      </c>
      <c r="CT559" s="304" t="s">
        <v>11678</v>
      </c>
    </row>
    <row r="560" spans="1:98" s="304" customFormat="1">
      <c r="A560" s="304" t="s">
        <v>8506</v>
      </c>
      <c r="B560" s="463">
        <v>176</v>
      </c>
      <c r="C560" s="296" t="s">
        <v>7804</v>
      </c>
      <c r="D560" s="296" t="s">
        <v>7601</v>
      </c>
      <c r="E560" s="296" t="s">
        <v>7804</v>
      </c>
      <c r="F560" s="296"/>
      <c r="G560" s="296" t="s">
        <v>8506</v>
      </c>
      <c r="H560" s="297" t="s">
        <v>8696</v>
      </c>
      <c r="I560" s="297">
        <v>3</v>
      </c>
      <c r="J560" s="297">
        <v>3262</v>
      </c>
      <c r="K560" s="299"/>
      <c r="L560" s="299"/>
      <c r="M560" s="299">
        <v>93</v>
      </c>
      <c r="N560" s="299">
        <v>5</v>
      </c>
      <c r="O560" s="300">
        <v>41</v>
      </c>
      <c r="P560" s="301">
        <v>42090</v>
      </c>
      <c r="Q560" s="302"/>
      <c r="R560" s="303"/>
      <c r="S560" s="289">
        <v>6.75</v>
      </c>
      <c r="T560" s="303">
        <v>42208</v>
      </c>
      <c r="U560" s="302"/>
      <c r="V560" s="303"/>
      <c r="W560" s="302"/>
      <c r="X560" s="303"/>
      <c r="Y560" s="302">
        <v>23.93</v>
      </c>
      <c r="Z560" s="303">
        <v>42208</v>
      </c>
      <c r="AA560">
        <v>14.4</v>
      </c>
      <c r="AB560" s="303"/>
      <c r="AC560" s="302"/>
      <c r="AD560" s="303"/>
      <c r="AE560" s="302"/>
      <c r="AF560" s="303"/>
      <c r="AG560">
        <v>94471.467391304337</v>
      </c>
      <c r="AH560" s="521">
        <f>(AK560*10000)/AM560</f>
        <v>94471.467391304337</v>
      </c>
      <c r="AI560" s="302"/>
      <c r="AJ560" s="303"/>
      <c r="AK560">
        <v>43.456874999999997</v>
      </c>
      <c r="AL560" s="521"/>
      <c r="AM560">
        <v>4.5999999999999996</v>
      </c>
      <c r="AN560" s="303">
        <v>42244</v>
      </c>
      <c r="AO560">
        <v>120</v>
      </c>
      <c r="AP560" s="303">
        <v>42170</v>
      </c>
      <c r="AQ560" s="302"/>
      <c r="AR560" s="303"/>
      <c r="AS560" s="302"/>
      <c r="AT560" s="303"/>
      <c r="AU560">
        <v>108</v>
      </c>
      <c r="AV560" s="303"/>
      <c r="AW560" s="302"/>
      <c r="AX560" s="302"/>
      <c r="AY560" s="302"/>
      <c r="AZ560" s="303"/>
      <c r="BA560" s="302"/>
      <c r="BB560" s="302"/>
      <c r="BC560" s="302"/>
      <c r="BD560" s="302"/>
      <c r="BE560" s="302"/>
      <c r="BF560" s="302"/>
      <c r="BG560" s="302"/>
      <c r="BH560" s="302"/>
      <c r="BI560" s="302"/>
      <c r="BJ560" s="302"/>
      <c r="BM560">
        <v>-0.1</v>
      </c>
      <c r="BS560">
        <v>58.4</v>
      </c>
      <c r="BY560">
        <v>49.1</v>
      </c>
      <c r="CA560">
        <v>18.399999999999999</v>
      </c>
      <c r="CC560">
        <v>19</v>
      </c>
      <c r="CI560">
        <v>5.4</v>
      </c>
      <c r="CO560" t="s">
        <v>8698</v>
      </c>
      <c r="CR560">
        <v>2</v>
      </c>
      <c r="CT560" s="304" t="s">
        <v>11678</v>
      </c>
    </row>
    <row r="561" spans="1:98" s="304" customFormat="1">
      <c r="A561" s="304" t="s">
        <v>8506</v>
      </c>
      <c r="B561" s="463">
        <v>25</v>
      </c>
      <c r="C561" s="296" t="s">
        <v>7637</v>
      </c>
      <c r="D561" s="296" t="s">
        <v>7473</v>
      </c>
      <c r="E561" s="296" t="s">
        <v>7637</v>
      </c>
      <c r="F561" s="296"/>
      <c r="G561" s="296" t="s">
        <v>8506</v>
      </c>
      <c r="H561" s="297" t="s">
        <v>8697</v>
      </c>
      <c r="I561" s="297">
        <v>4</v>
      </c>
      <c r="J561" s="297">
        <v>4143</v>
      </c>
      <c r="K561" s="299"/>
      <c r="L561" s="299"/>
      <c r="M561" s="299">
        <v>94</v>
      </c>
      <c r="N561" s="299">
        <v>9</v>
      </c>
      <c r="O561" s="300">
        <v>30</v>
      </c>
      <c r="P561" s="301">
        <v>42090</v>
      </c>
      <c r="Q561" s="302"/>
      <c r="R561" s="303"/>
      <c r="S561" s="289">
        <v>3.7</v>
      </c>
      <c r="T561" s="303">
        <v>42208</v>
      </c>
      <c r="U561" s="302"/>
      <c r="V561" s="303"/>
      <c r="W561" s="302"/>
      <c r="X561" s="303"/>
      <c r="Y561" s="302">
        <v>12.76</v>
      </c>
      <c r="Z561" s="303">
        <v>42208</v>
      </c>
      <c r="AA561">
        <v>14.4</v>
      </c>
      <c r="AB561" s="303"/>
      <c r="AC561" s="302"/>
      <c r="AD561" s="303"/>
      <c r="AE561" s="302"/>
      <c r="AF561" s="303"/>
      <c r="AG561">
        <v>45087.447589098541</v>
      </c>
      <c r="AH561" s="521">
        <f>(AK561*10000)/AM561</f>
        <v>45087.447589098541</v>
      </c>
      <c r="AI561" s="302"/>
      <c r="AJ561" s="303"/>
      <c r="AK561">
        <v>23.896347222222229</v>
      </c>
      <c r="AL561" s="521"/>
      <c r="AM561">
        <v>5.3</v>
      </c>
      <c r="AN561" s="303">
        <v>42244</v>
      </c>
      <c r="AO561">
        <v>145</v>
      </c>
      <c r="AP561" s="303">
        <v>42170</v>
      </c>
      <c r="AQ561" s="302"/>
      <c r="AR561" s="303"/>
      <c r="AS561" s="302"/>
      <c r="AT561" s="303"/>
      <c r="AU561">
        <v>110</v>
      </c>
      <c r="AV561" s="303"/>
      <c r="AW561" s="302"/>
      <c r="AX561" s="302"/>
      <c r="AY561" s="302"/>
      <c r="AZ561" s="303"/>
      <c r="BA561" s="302"/>
      <c r="BB561" s="302"/>
      <c r="BC561" s="302"/>
      <c r="BD561" s="302"/>
      <c r="BE561" s="302"/>
      <c r="BF561" s="302"/>
      <c r="BG561" s="302"/>
      <c r="BH561" s="302"/>
      <c r="BI561" s="302"/>
      <c r="BJ561" s="302"/>
      <c r="BM561">
        <v>2.1</v>
      </c>
      <c r="BS561">
        <v>50</v>
      </c>
      <c r="BY561">
        <v>47.6</v>
      </c>
      <c r="CA561">
        <v>19.399999999999999</v>
      </c>
      <c r="CC561">
        <v>73.3</v>
      </c>
      <c r="CI561">
        <v>5.0999999999999996</v>
      </c>
      <c r="CO561" t="s">
        <v>8698</v>
      </c>
      <c r="CR561">
        <v>2</v>
      </c>
      <c r="CT561" s="304" t="s">
        <v>11678</v>
      </c>
    </row>
    <row r="562" spans="1:98" s="304" customFormat="1">
      <c r="A562" s="304" t="s">
        <v>8506</v>
      </c>
      <c r="B562" s="463">
        <v>64</v>
      </c>
      <c r="C562" s="296" t="s">
        <v>7682</v>
      </c>
      <c r="D562" s="296" t="s">
        <v>7512</v>
      </c>
      <c r="E562" s="296" t="s">
        <v>7682</v>
      </c>
      <c r="F562" s="296"/>
      <c r="G562" s="296" t="s">
        <v>8506</v>
      </c>
      <c r="H562" s="297" t="s">
        <v>8697</v>
      </c>
      <c r="I562" s="297">
        <v>4</v>
      </c>
      <c r="J562" s="297">
        <v>483</v>
      </c>
      <c r="K562" s="299"/>
      <c r="L562" s="299"/>
      <c r="M562" s="299">
        <v>94</v>
      </c>
      <c r="N562" s="299">
        <v>8</v>
      </c>
      <c r="O562" s="300">
        <v>34</v>
      </c>
      <c r="P562" s="301">
        <v>42090</v>
      </c>
      <c r="Q562" s="302"/>
      <c r="R562" s="303"/>
      <c r="S562" s="289">
        <v>5.15</v>
      </c>
      <c r="T562" s="303">
        <v>42208</v>
      </c>
      <c r="U562" s="302"/>
      <c r="V562" s="303"/>
      <c r="W562" s="302"/>
      <c r="X562" s="303"/>
      <c r="Y562" s="302">
        <v>19.829999999999998</v>
      </c>
      <c r="Z562" s="303">
        <v>42208</v>
      </c>
      <c r="AA562">
        <v>14.4</v>
      </c>
      <c r="AB562" s="303"/>
      <c r="AC562" s="302"/>
      <c r="AD562" s="303"/>
      <c r="AE562" s="302"/>
      <c r="AF562" s="303"/>
      <c r="AG562">
        <v>75274.857954545441</v>
      </c>
      <c r="AH562" s="521">
        <f>(AK562*10000)/AM562</f>
        <v>75274.857954545441</v>
      </c>
      <c r="AI562" s="302"/>
      <c r="AJ562" s="303"/>
      <c r="AK562">
        <v>33.120937499999997</v>
      </c>
      <c r="AL562" s="521"/>
      <c r="AM562">
        <v>4.4000000000000004</v>
      </c>
      <c r="AN562" s="303">
        <v>42244</v>
      </c>
      <c r="AO562">
        <v>125</v>
      </c>
      <c r="AP562" s="303">
        <v>42170</v>
      </c>
      <c r="AQ562" s="302"/>
      <c r="AR562" s="303"/>
      <c r="AS562" s="302"/>
      <c r="AT562" s="303"/>
      <c r="AU562">
        <v>103</v>
      </c>
      <c r="AV562" s="303"/>
      <c r="AW562" s="302"/>
      <c r="AX562" s="302"/>
      <c r="AY562" s="302"/>
      <c r="AZ562" s="303"/>
      <c r="BA562" s="302"/>
      <c r="BB562" s="302"/>
      <c r="BC562" s="302"/>
      <c r="BD562" s="302"/>
      <c r="BE562" s="302"/>
      <c r="BF562" s="302"/>
      <c r="BG562" s="302"/>
      <c r="BH562" s="302"/>
      <c r="BI562" s="302"/>
      <c r="BJ562" s="302"/>
      <c r="BM562">
        <v>-7.3</v>
      </c>
      <c r="BS562">
        <v>66</v>
      </c>
      <c r="BY562">
        <v>53.4</v>
      </c>
      <c r="CA562">
        <v>15.5</v>
      </c>
      <c r="CC562">
        <v>16.3</v>
      </c>
      <c r="CI562">
        <v>5.5</v>
      </c>
      <c r="CO562" t="s">
        <v>8698</v>
      </c>
      <c r="CR562">
        <v>2</v>
      </c>
      <c r="CT562" s="304" t="s">
        <v>11678</v>
      </c>
    </row>
    <row r="563" spans="1:98" s="304" customFormat="1">
      <c r="A563" s="304" t="s">
        <v>8506</v>
      </c>
      <c r="B563" s="463">
        <v>87</v>
      </c>
      <c r="C563" s="296" t="s">
        <v>7705</v>
      </c>
      <c r="D563" s="296" t="s">
        <v>7534</v>
      </c>
      <c r="E563" s="296" t="s">
        <v>7705</v>
      </c>
      <c r="F563" s="296"/>
      <c r="G563" s="296" t="s">
        <v>8506</v>
      </c>
      <c r="H563" s="297" t="s">
        <v>8697</v>
      </c>
      <c r="I563" s="297">
        <v>4</v>
      </c>
      <c r="J563" s="297">
        <v>4323</v>
      </c>
      <c r="K563" s="299"/>
      <c r="L563" s="299"/>
      <c r="M563" s="299">
        <v>94</v>
      </c>
      <c r="N563" s="299">
        <v>12</v>
      </c>
      <c r="O563" s="300">
        <v>39</v>
      </c>
      <c r="P563" s="301">
        <v>42090</v>
      </c>
      <c r="Q563" s="302"/>
      <c r="R563" s="303"/>
      <c r="S563" s="289">
        <v>2.6</v>
      </c>
      <c r="T563" s="303">
        <v>42208</v>
      </c>
      <c r="U563" s="302"/>
      <c r="V563" s="303"/>
      <c r="W563" s="302"/>
      <c r="X563" s="303"/>
      <c r="Y563" s="302">
        <v>9.58</v>
      </c>
      <c r="Z563" s="303">
        <v>42208</v>
      </c>
      <c r="AA563">
        <v>14.4</v>
      </c>
      <c r="AB563" s="303"/>
      <c r="AC563" s="302"/>
      <c r="AD563" s="303"/>
      <c r="AE563" s="302"/>
      <c r="AF563" s="303"/>
      <c r="AG563">
        <v>33513.277777777781</v>
      </c>
      <c r="AH563" s="521">
        <f>(AK563*10000)/AM563</f>
        <v>33513.277777777781</v>
      </c>
      <c r="AI563" s="302"/>
      <c r="AJ563" s="303"/>
      <c r="AK563">
        <v>16.75663888888889</v>
      </c>
      <c r="AL563" s="521"/>
      <c r="AM563">
        <v>5</v>
      </c>
      <c r="AN563" s="303">
        <v>42244</v>
      </c>
      <c r="AO563">
        <v>120</v>
      </c>
      <c r="AP563" s="303">
        <v>42170</v>
      </c>
      <c r="AQ563" s="302"/>
      <c r="AR563" s="303"/>
      <c r="AS563" s="302"/>
      <c r="AT563" s="303"/>
      <c r="AU563">
        <v>110</v>
      </c>
      <c r="AV563" s="303"/>
      <c r="AW563" s="302"/>
      <c r="AX563" s="302"/>
      <c r="AY563" s="302"/>
      <c r="AZ563" s="303"/>
      <c r="BA563" s="302"/>
      <c r="BB563" s="302"/>
      <c r="BC563" s="302"/>
      <c r="BD563" s="302"/>
      <c r="BE563" s="302"/>
      <c r="BF563" s="302"/>
      <c r="BG563" s="302"/>
      <c r="BH563" s="302"/>
      <c r="BI563" s="302"/>
      <c r="BJ563" s="302"/>
      <c r="BM563">
        <v>-1.3</v>
      </c>
      <c r="BS563">
        <v>59.5</v>
      </c>
      <c r="BY563">
        <v>51</v>
      </c>
      <c r="CA563">
        <v>18.100000000000001</v>
      </c>
      <c r="CC563">
        <v>19.5</v>
      </c>
      <c r="CI563">
        <v>5.3</v>
      </c>
      <c r="CO563" t="s">
        <v>8708</v>
      </c>
      <c r="CR563">
        <v>1</v>
      </c>
      <c r="CT563" s="304" t="s">
        <v>11678</v>
      </c>
    </row>
    <row r="564" spans="1:98" s="304" customFormat="1">
      <c r="A564" s="304" t="s">
        <v>8506</v>
      </c>
      <c r="B564" s="463">
        <v>91</v>
      </c>
      <c r="C564" s="296" t="s">
        <v>7709</v>
      </c>
      <c r="D564" s="296" t="s">
        <v>7817</v>
      </c>
      <c r="E564" s="296" t="s">
        <v>7709</v>
      </c>
      <c r="F564" s="296"/>
      <c r="G564" s="296" t="s">
        <v>8506</v>
      </c>
      <c r="H564" s="297" t="s">
        <v>8696</v>
      </c>
      <c r="I564" s="297">
        <v>3</v>
      </c>
      <c r="J564" s="297">
        <v>3263</v>
      </c>
      <c r="K564" s="299"/>
      <c r="L564" s="299"/>
      <c r="M564" s="299">
        <v>94</v>
      </c>
      <c r="N564" s="299">
        <v>5</v>
      </c>
      <c r="O564" s="300">
        <v>22</v>
      </c>
      <c r="P564" s="301">
        <v>42090</v>
      </c>
      <c r="Q564" s="302"/>
      <c r="R564" s="303"/>
      <c r="S564" s="289">
        <v>5.5</v>
      </c>
      <c r="T564" s="303">
        <v>42208</v>
      </c>
      <c r="U564" s="302"/>
      <c r="V564" s="303"/>
      <c r="W564" s="302"/>
      <c r="X564" s="303"/>
      <c r="Y564" s="302">
        <v>18.899999999999999</v>
      </c>
      <c r="Z564" s="303">
        <v>42208</v>
      </c>
      <c r="AA564">
        <v>14.4</v>
      </c>
      <c r="AB564" s="303"/>
      <c r="AC564" s="302"/>
      <c r="AD564" s="303"/>
      <c r="AE564" s="302"/>
      <c r="AF564" s="303"/>
      <c r="AG564">
        <v>82173.126614987079</v>
      </c>
      <c r="AH564" s="521">
        <f>(AK564*10000)/AM564</f>
        <v>82173.126614987079</v>
      </c>
      <c r="AI564" s="302"/>
      <c r="AJ564" s="303"/>
      <c r="AK564">
        <v>35.334444444444443</v>
      </c>
      <c r="AL564" s="521"/>
      <c r="AM564">
        <v>4.3</v>
      </c>
      <c r="AN564" s="303">
        <v>42244</v>
      </c>
      <c r="AO564">
        <v>135</v>
      </c>
      <c r="AP564" s="303">
        <v>42170</v>
      </c>
      <c r="AQ564" s="302"/>
      <c r="AR564" s="303"/>
      <c r="AS564" s="302"/>
      <c r="AT564" s="303"/>
      <c r="AU564">
        <v>107</v>
      </c>
      <c r="AV564" s="303"/>
      <c r="AW564" s="302"/>
      <c r="AX564" s="302"/>
      <c r="AY564" s="302"/>
      <c r="AZ564" s="303"/>
      <c r="BA564" s="302"/>
      <c r="BB564" s="302"/>
      <c r="BC564" s="302"/>
      <c r="BD564" s="302"/>
      <c r="BE564" s="302"/>
      <c r="BF564" s="302"/>
      <c r="BG564" s="302"/>
      <c r="BH564" s="302"/>
      <c r="BI564" s="302"/>
      <c r="BJ564" s="302"/>
      <c r="BM564">
        <v>-7.7</v>
      </c>
      <c r="BS564">
        <v>63.6</v>
      </c>
      <c r="BY564">
        <v>47.7</v>
      </c>
      <c r="CA564">
        <v>18.399999999999999</v>
      </c>
      <c r="CC564">
        <v>20.7</v>
      </c>
      <c r="CI564">
        <v>5.6</v>
      </c>
      <c r="CO564" t="s">
        <v>8698</v>
      </c>
      <c r="CR564">
        <v>1</v>
      </c>
      <c r="CT564" s="304" t="s">
        <v>11678</v>
      </c>
    </row>
    <row r="565" spans="1:98" s="304" customFormat="1">
      <c r="A565" s="304" t="s">
        <v>8506</v>
      </c>
      <c r="B565" s="463">
        <v>120</v>
      </c>
      <c r="C565" s="296" t="s">
        <v>7740</v>
      </c>
      <c r="D565" s="296" t="s">
        <v>7824</v>
      </c>
      <c r="E565" s="296" t="s">
        <v>7740</v>
      </c>
      <c r="F565" s="296"/>
      <c r="G565" s="296" t="s">
        <v>8506</v>
      </c>
      <c r="H565" s="297" t="s">
        <v>8696</v>
      </c>
      <c r="I565" s="297">
        <v>3</v>
      </c>
      <c r="J565" s="297">
        <v>3203</v>
      </c>
      <c r="K565" s="299"/>
      <c r="L565" s="299"/>
      <c r="M565" s="299">
        <v>94</v>
      </c>
      <c r="N565" s="299">
        <v>4</v>
      </c>
      <c r="O565" s="300">
        <v>38</v>
      </c>
      <c r="P565" s="301">
        <v>42090</v>
      </c>
      <c r="Q565" s="302"/>
      <c r="R565" s="303"/>
      <c r="S565" s="289">
        <v>4.1500000000000004</v>
      </c>
      <c r="T565" s="303">
        <v>42208</v>
      </c>
      <c r="U565" s="302"/>
      <c r="V565" s="303"/>
      <c r="W565" s="302"/>
      <c r="X565" s="303"/>
      <c r="Y565" s="302">
        <v>14.38</v>
      </c>
      <c r="Z565" s="303">
        <v>42208</v>
      </c>
      <c r="AA565">
        <v>14.4</v>
      </c>
      <c r="AB565" s="303"/>
      <c r="AC565" s="302"/>
      <c r="AD565" s="303"/>
      <c r="AE565" s="302"/>
      <c r="AF565" s="303"/>
      <c r="AG565">
        <v>49477.649176954728</v>
      </c>
      <c r="AH565" s="521">
        <f>(AK565*10000)/AM565</f>
        <v>49477.649176954728</v>
      </c>
      <c r="AI565" s="302"/>
      <c r="AJ565" s="303"/>
      <c r="AK565">
        <v>26.717930555555558</v>
      </c>
      <c r="AL565" s="521"/>
      <c r="AM565">
        <v>5.4</v>
      </c>
      <c r="AN565" s="303">
        <v>42244</v>
      </c>
      <c r="AO565">
        <v>115</v>
      </c>
      <c r="AP565" s="303">
        <v>42170</v>
      </c>
      <c r="AQ565" s="302"/>
      <c r="AR565" s="303"/>
      <c r="AS565" s="302"/>
      <c r="AT565" s="303"/>
      <c r="AU565">
        <v>105</v>
      </c>
      <c r="AV565" s="303"/>
      <c r="AW565" s="302"/>
      <c r="AX565" s="302"/>
      <c r="AY565" s="302"/>
      <c r="AZ565" s="303"/>
      <c r="BA565" s="302"/>
      <c r="BB565" s="302"/>
      <c r="BC565" s="302"/>
      <c r="BD565" s="302"/>
      <c r="BE565" s="302"/>
      <c r="BF565" s="302"/>
      <c r="BG565" s="302"/>
      <c r="BH565" s="302"/>
      <c r="BI565" s="302"/>
      <c r="BJ565" s="302"/>
      <c r="BM565">
        <v>49.2</v>
      </c>
      <c r="BS565">
        <v>3.8</v>
      </c>
      <c r="BY565">
        <v>48</v>
      </c>
      <c r="CA565">
        <v>21.4</v>
      </c>
      <c r="CC565">
        <v>84.4</v>
      </c>
      <c r="CI565">
        <v>5.4</v>
      </c>
      <c r="CO565" t="s">
        <v>8698</v>
      </c>
      <c r="CR565">
        <v>4</v>
      </c>
      <c r="CT565" s="304" t="s">
        <v>11678</v>
      </c>
    </row>
    <row r="566" spans="1:98" s="304" customFormat="1">
      <c r="A566" s="304" t="s">
        <v>8506</v>
      </c>
      <c r="B566" s="463">
        <v>154</v>
      </c>
      <c r="C566" s="296" t="s">
        <v>7782</v>
      </c>
      <c r="D566" s="296" t="s">
        <v>7583</v>
      </c>
      <c r="E566" s="296" t="s">
        <v>7782</v>
      </c>
      <c r="F566" s="296"/>
      <c r="G566" s="296" t="s">
        <v>8506</v>
      </c>
      <c r="H566" s="297" t="s">
        <v>8697</v>
      </c>
      <c r="I566" s="297">
        <v>4</v>
      </c>
      <c r="J566" s="297">
        <v>4263</v>
      </c>
      <c r="K566" s="299"/>
      <c r="L566" s="299"/>
      <c r="M566" s="299">
        <v>94</v>
      </c>
      <c r="N566" s="299">
        <v>11</v>
      </c>
      <c r="O566" s="300">
        <v>16</v>
      </c>
      <c r="P566" s="301">
        <v>42090</v>
      </c>
      <c r="Q566" s="302"/>
      <c r="R566" s="303"/>
      <c r="S566" s="289">
        <v>5.4</v>
      </c>
      <c r="T566" s="303">
        <v>42208</v>
      </c>
      <c r="U566" s="302"/>
      <c r="V566" s="303"/>
      <c r="W566" s="302"/>
      <c r="X566" s="303"/>
      <c r="Y566" s="302">
        <v>20.84</v>
      </c>
      <c r="Z566" s="303">
        <v>42208</v>
      </c>
      <c r="AA566">
        <v>14.4</v>
      </c>
      <c r="AB566" s="303"/>
      <c r="AC566" s="302"/>
      <c r="AD566" s="303"/>
      <c r="AE566" s="302"/>
      <c r="AF566" s="303"/>
      <c r="AG566">
        <v>66927.403846153844</v>
      </c>
      <c r="AH566" s="521">
        <f>(AK566*10000)/AM566</f>
        <v>66927.403846153844</v>
      </c>
      <c r="AI566" s="302"/>
      <c r="AJ566" s="303"/>
      <c r="AK566">
        <v>34.802250000000001</v>
      </c>
      <c r="AL566" s="521"/>
      <c r="AM566">
        <v>5.2</v>
      </c>
      <c r="AN566" s="303">
        <v>42244</v>
      </c>
      <c r="AO566">
        <v>145</v>
      </c>
      <c r="AP566" s="303">
        <v>42170</v>
      </c>
      <c r="AQ566" s="302"/>
      <c r="AR566" s="303"/>
      <c r="AS566" s="302"/>
      <c r="AT566" s="303"/>
      <c r="AU566">
        <v>110</v>
      </c>
      <c r="AV566" s="303"/>
      <c r="AW566" s="302"/>
      <c r="AX566" s="302"/>
      <c r="AY566" s="302"/>
      <c r="AZ566" s="303"/>
      <c r="BA566" s="302"/>
      <c r="BB566" s="302"/>
      <c r="BC566" s="302"/>
      <c r="BD566" s="302"/>
      <c r="BE566" s="302"/>
      <c r="BF566" s="302"/>
      <c r="BG566" s="302"/>
      <c r="BH566" s="302"/>
      <c r="BI566" s="302"/>
      <c r="BJ566" s="302"/>
      <c r="BM566">
        <v>-6.3</v>
      </c>
      <c r="BS566">
        <v>64.900000000000006</v>
      </c>
      <c r="BY566">
        <v>53.4</v>
      </c>
      <c r="CA566">
        <v>13.9</v>
      </c>
      <c r="CC566">
        <v>14.7</v>
      </c>
      <c r="CI566">
        <v>5.3</v>
      </c>
      <c r="CO566" t="s">
        <v>8698</v>
      </c>
      <c r="CR566">
        <v>1</v>
      </c>
      <c r="CT566" s="304" t="s">
        <v>11678</v>
      </c>
    </row>
    <row r="567" spans="1:98" s="304" customFormat="1">
      <c r="A567" s="304" t="s">
        <v>8506</v>
      </c>
      <c r="B567" s="463">
        <v>171</v>
      </c>
      <c r="C567" s="296" t="s">
        <v>7799</v>
      </c>
      <c r="D567" s="296" t="s">
        <v>7600</v>
      </c>
      <c r="E567" s="296" t="s">
        <v>7799</v>
      </c>
      <c r="F567" s="296"/>
      <c r="G567" s="296" t="s">
        <v>8506</v>
      </c>
      <c r="H567" s="297" t="s">
        <v>8696</v>
      </c>
      <c r="I567" s="297">
        <v>3</v>
      </c>
      <c r="J567" s="297">
        <v>3323</v>
      </c>
      <c r="K567" s="299"/>
      <c r="L567" s="299"/>
      <c r="M567" s="299">
        <v>94</v>
      </c>
      <c r="N567" s="299">
        <v>6</v>
      </c>
      <c r="O567" s="300">
        <v>34</v>
      </c>
      <c r="P567" s="301">
        <v>42090</v>
      </c>
      <c r="Q567" s="302"/>
      <c r="R567" s="303"/>
      <c r="S567" s="289">
        <v>6.75</v>
      </c>
      <c r="T567" s="303">
        <v>42208</v>
      </c>
      <c r="U567" s="302"/>
      <c r="V567" s="303"/>
      <c r="W567" s="302"/>
      <c r="X567" s="303"/>
      <c r="Y567" s="302">
        <v>24.88</v>
      </c>
      <c r="Z567" s="303">
        <v>42208</v>
      </c>
      <c r="AA567">
        <v>14.4</v>
      </c>
      <c r="AB567" s="303"/>
      <c r="AC567" s="302"/>
      <c r="AD567" s="303"/>
      <c r="AE567" s="302"/>
      <c r="AF567" s="303"/>
      <c r="AG567">
        <v>83482.572115384595</v>
      </c>
      <c r="AH567" s="521">
        <f>(AK567*10000)/AM567</f>
        <v>83482.572115384595</v>
      </c>
      <c r="AI567" s="302"/>
      <c r="AJ567" s="303"/>
      <c r="AK567">
        <v>43.410937499999996</v>
      </c>
      <c r="AL567" s="521"/>
      <c r="AM567">
        <v>5.2</v>
      </c>
      <c r="AN567" s="303">
        <v>42244</v>
      </c>
      <c r="AO567">
        <v>140</v>
      </c>
      <c r="AP567" s="303">
        <v>42170</v>
      </c>
      <c r="AQ567" s="302"/>
      <c r="AR567" s="303"/>
      <c r="AS567" s="302"/>
      <c r="AT567" s="303"/>
      <c r="AU567">
        <v>107</v>
      </c>
      <c r="AV567" s="303"/>
      <c r="AW567" s="302"/>
      <c r="AX567" s="302"/>
      <c r="AY567" s="302"/>
      <c r="AZ567" s="303"/>
      <c r="BA567" s="302"/>
      <c r="BB567" s="302"/>
      <c r="BC567" s="302"/>
      <c r="BD567" s="302"/>
      <c r="BE567" s="302"/>
      <c r="BF567" s="302"/>
      <c r="BG567" s="302"/>
      <c r="BH567" s="302"/>
      <c r="BI567" s="302"/>
      <c r="BJ567" s="302"/>
      <c r="BM567">
        <v>-2.8</v>
      </c>
      <c r="BS567">
        <v>62</v>
      </c>
      <c r="BY567">
        <v>51.1</v>
      </c>
      <c r="CA567">
        <v>18.7</v>
      </c>
      <c r="CC567">
        <v>13.7</v>
      </c>
      <c r="CI567">
        <v>5.5</v>
      </c>
      <c r="CO567" t="s">
        <v>8698</v>
      </c>
      <c r="CR567">
        <v>1</v>
      </c>
      <c r="CT567" s="304" t="s">
        <v>11678</v>
      </c>
    </row>
    <row r="568" spans="1:98" s="304" customFormat="1">
      <c r="A568" s="304" t="s">
        <v>8506</v>
      </c>
      <c r="B568" s="463">
        <v>10</v>
      </c>
      <c r="C568" s="296" t="s">
        <v>7619</v>
      </c>
      <c r="D568" s="296" t="s">
        <v>7459</v>
      </c>
      <c r="E568" s="296" t="s">
        <v>7619</v>
      </c>
      <c r="F568" s="296"/>
      <c r="G568" s="296" t="s">
        <v>8506</v>
      </c>
      <c r="H568" s="297" t="s">
        <v>8696</v>
      </c>
      <c r="I568" s="297">
        <v>3</v>
      </c>
      <c r="J568" s="297">
        <v>324</v>
      </c>
      <c r="K568" s="299"/>
      <c r="L568" s="299"/>
      <c r="M568" s="299">
        <v>95</v>
      </c>
      <c r="N568" s="299">
        <v>1</v>
      </c>
      <c r="O568" s="300">
        <v>48</v>
      </c>
      <c r="P568" s="301">
        <v>42090</v>
      </c>
      <c r="Q568" s="302"/>
      <c r="R568" s="303"/>
      <c r="S568" s="289">
        <v>5.5</v>
      </c>
      <c r="T568" s="303">
        <v>42208</v>
      </c>
      <c r="U568" s="302"/>
      <c r="V568" s="303"/>
      <c r="W568" s="302"/>
      <c r="X568" s="303"/>
      <c r="Y568" s="302">
        <v>19.7</v>
      </c>
      <c r="Z568" s="303">
        <v>42208</v>
      </c>
      <c r="AA568">
        <v>14.4</v>
      </c>
      <c r="AB568" s="303"/>
      <c r="AC568" s="302"/>
      <c r="AD568" s="303"/>
      <c r="AE568" s="302"/>
      <c r="AF568" s="303"/>
      <c r="AG568">
        <v>75498.226950354583</v>
      </c>
      <c r="AH568" s="521">
        <f>(AK568*10000)/AM568</f>
        <v>75498.226950354583</v>
      </c>
      <c r="AI568" s="302"/>
      <c r="AJ568" s="303"/>
      <c r="AK568">
        <v>35.48416666666666</v>
      </c>
      <c r="AL568" s="521"/>
      <c r="AM568">
        <v>4.7</v>
      </c>
      <c r="AN568" s="303">
        <v>42244</v>
      </c>
      <c r="AO568">
        <v>100</v>
      </c>
      <c r="AP568" s="303">
        <v>42170</v>
      </c>
      <c r="AQ568" s="302"/>
      <c r="AR568" s="303"/>
      <c r="AS568" s="302"/>
      <c r="AT568" s="303"/>
      <c r="AU568">
        <v>106</v>
      </c>
      <c r="AV568" s="303"/>
      <c r="AW568" s="302"/>
      <c r="AX568" s="302"/>
      <c r="AY568" s="302"/>
      <c r="AZ568" s="303"/>
      <c r="BA568" s="302"/>
      <c r="BB568" s="302"/>
      <c r="BC568" s="302"/>
      <c r="BD568" s="302"/>
      <c r="BE568" s="302"/>
      <c r="BF568" s="302"/>
      <c r="BG568" s="302"/>
      <c r="BH568" s="302"/>
      <c r="BI568" s="302"/>
      <c r="BJ568" s="302"/>
      <c r="BM568">
        <v>44</v>
      </c>
      <c r="BS568">
        <v>10.199999999999999</v>
      </c>
      <c r="BY568">
        <v>49.5</v>
      </c>
      <c r="CA568">
        <v>20.6</v>
      </c>
      <c r="CC568">
        <v>61.6</v>
      </c>
      <c r="CI568">
        <v>5.2</v>
      </c>
      <c r="CO568" t="s">
        <v>8699</v>
      </c>
      <c r="CR568">
        <v>3</v>
      </c>
      <c r="CT568" s="304" t="s">
        <v>11678</v>
      </c>
    </row>
    <row r="569" spans="1:98" s="304" customFormat="1">
      <c r="A569" s="304" t="s">
        <v>8506</v>
      </c>
      <c r="B569" s="463">
        <v>74</v>
      </c>
      <c r="C569" s="296" t="s">
        <v>7692</v>
      </c>
      <c r="D569" s="296" t="s">
        <v>7521</v>
      </c>
      <c r="E569" s="296" t="s">
        <v>7692</v>
      </c>
      <c r="F569" s="296"/>
      <c r="G569" s="296" t="s">
        <v>8506</v>
      </c>
      <c r="H569" s="297" t="s">
        <v>8696</v>
      </c>
      <c r="I569" s="297">
        <v>3</v>
      </c>
      <c r="J569" s="297">
        <v>384</v>
      </c>
      <c r="K569" s="299"/>
      <c r="L569" s="299"/>
      <c r="M569" s="299">
        <v>95</v>
      </c>
      <c r="N569" s="299">
        <v>2</v>
      </c>
      <c r="O569" s="300">
        <v>50</v>
      </c>
      <c r="P569" s="301">
        <v>42090</v>
      </c>
      <c r="Q569" s="302"/>
      <c r="R569" s="303"/>
      <c r="S569" s="289">
        <v>5.45</v>
      </c>
      <c r="T569" s="303">
        <v>42208</v>
      </c>
      <c r="U569" s="302"/>
      <c r="V569" s="303"/>
      <c r="W569" s="302"/>
      <c r="X569" s="303"/>
      <c r="Y569" s="302">
        <v>19.47</v>
      </c>
      <c r="Z569" s="303">
        <v>42208</v>
      </c>
      <c r="AA569">
        <v>14.4</v>
      </c>
      <c r="AB569" s="303"/>
      <c r="AC569" s="302"/>
      <c r="AD569" s="303"/>
      <c r="AE569" s="302"/>
      <c r="AF569" s="303"/>
      <c r="AG569">
        <v>62656.076388888876</v>
      </c>
      <c r="AH569" s="521">
        <f>(AK569*10000)/AM569</f>
        <v>62656.076388888876</v>
      </c>
      <c r="AI569" s="302"/>
      <c r="AJ569" s="303"/>
      <c r="AK569">
        <v>35.087402777777768</v>
      </c>
      <c r="AL569" s="521"/>
      <c r="AM569">
        <v>5.6</v>
      </c>
      <c r="AN569" s="303">
        <v>42244</v>
      </c>
      <c r="AO569">
        <v>110</v>
      </c>
      <c r="AP569" s="303">
        <v>42170</v>
      </c>
      <c r="AQ569" s="302"/>
      <c r="AR569" s="303"/>
      <c r="AS569" s="302"/>
      <c r="AT569" s="303"/>
      <c r="AU569">
        <v>109</v>
      </c>
      <c r="AV569" s="303"/>
      <c r="AW569" s="302"/>
      <c r="AX569" s="302"/>
      <c r="AY569" s="302"/>
      <c r="AZ569" s="303"/>
      <c r="BA569" s="302"/>
      <c r="BB569" s="302"/>
      <c r="BC569" s="302"/>
      <c r="BD569" s="302"/>
      <c r="BE569" s="302"/>
      <c r="BF569" s="302"/>
      <c r="BG569" s="302"/>
      <c r="BH569" s="302"/>
      <c r="BI569" s="302"/>
      <c r="BJ569" s="302"/>
      <c r="BM569">
        <v>-4.2</v>
      </c>
      <c r="BS569">
        <v>64.400000000000006</v>
      </c>
      <c r="BY569">
        <v>49.5</v>
      </c>
      <c r="CA569">
        <v>18.399999999999999</v>
      </c>
      <c r="CC569">
        <v>16.8</v>
      </c>
      <c r="CI569">
        <v>5.4</v>
      </c>
      <c r="CO569" t="s">
        <v>8699</v>
      </c>
      <c r="CR569">
        <v>2</v>
      </c>
      <c r="CT569" s="304" t="s">
        <v>11678</v>
      </c>
    </row>
    <row r="570" spans="1:98" s="304" customFormat="1">
      <c r="A570" s="304" t="s">
        <v>8506</v>
      </c>
      <c r="B570" s="463">
        <v>80</v>
      </c>
      <c r="C570" s="296" t="s">
        <v>7698</v>
      </c>
      <c r="D570" s="296" t="s">
        <v>7527</v>
      </c>
      <c r="E570" s="296" t="s">
        <v>7698</v>
      </c>
      <c r="F570" s="296"/>
      <c r="G570" s="296" t="s">
        <v>8506</v>
      </c>
      <c r="H570" s="297" t="s">
        <v>8697</v>
      </c>
      <c r="I570" s="297">
        <v>4</v>
      </c>
      <c r="J570" s="297">
        <v>4264</v>
      </c>
      <c r="K570" s="299"/>
      <c r="L570" s="299"/>
      <c r="M570" s="299">
        <v>95</v>
      </c>
      <c r="N570" s="299">
        <v>11</v>
      </c>
      <c r="O570" s="300">
        <v>46</v>
      </c>
      <c r="P570" s="301">
        <v>42090</v>
      </c>
      <c r="Q570" s="302"/>
      <c r="R570" s="303"/>
      <c r="S570" s="289">
        <v>4.7</v>
      </c>
      <c r="T570" s="303">
        <v>42208</v>
      </c>
      <c r="U570" s="302"/>
      <c r="V570" s="303"/>
      <c r="W570" s="302"/>
      <c r="X570" s="303"/>
      <c r="Y570" s="302">
        <v>17.71</v>
      </c>
      <c r="Z570" s="303">
        <v>42208</v>
      </c>
      <c r="AA570">
        <v>14.4</v>
      </c>
      <c r="AB570" s="303"/>
      <c r="AC570" s="302"/>
      <c r="AD570" s="303"/>
      <c r="AE570" s="302"/>
      <c r="AF570" s="303"/>
      <c r="AG570">
        <v>73646.070460704621</v>
      </c>
      <c r="AH570" s="521">
        <f>(AK570*10000)/AM570</f>
        <v>73646.070460704621</v>
      </c>
      <c r="AI570" s="302"/>
      <c r="AJ570" s="303"/>
      <c r="AK570">
        <v>30.194888888888894</v>
      </c>
      <c r="AL570" s="521"/>
      <c r="AM570">
        <v>4.0999999999999996</v>
      </c>
      <c r="AN570" s="303">
        <v>42244</v>
      </c>
      <c r="AO570">
        <v>125</v>
      </c>
      <c r="AP570" s="303">
        <v>42170</v>
      </c>
      <c r="AQ570" s="302"/>
      <c r="AR570" s="303"/>
      <c r="AS570" s="302"/>
      <c r="AT570" s="303"/>
      <c r="AU570">
        <v>116</v>
      </c>
      <c r="AV570" s="303"/>
      <c r="AW570" s="302"/>
      <c r="AX570" s="302"/>
      <c r="AY570" s="302"/>
      <c r="AZ570" s="303"/>
      <c r="BA570" s="302"/>
      <c r="BB570" s="302"/>
      <c r="BC570" s="302"/>
      <c r="BD570" s="302"/>
      <c r="BE570" s="302"/>
      <c r="BF570" s="302"/>
      <c r="BG570" s="302"/>
      <c r="BH570" s="302"/>
      <c r="BI570" s="302"/>
      <c r="BJ570" s="302"/>
      <c r="BM570">
        <v>-3.1</v>
      </c>
      <c r="BS570">
        <v>61.7</v>
      </c>
      <c r="BY570">
        <v>52.3</v>
      </c>
      <c r="CA570">
        <v>16.2</v>
      </c>
      <c r="CC570">
        <v>18.399999999999999</v>
      </c>
      <c r="CI570">
        <v>5.6</v>
      </c>
      <c r="CO570" t="s">
        <v>8698</v>
      </c>
      <c r="CR570">
        <v>1</v>
      </c>
      <c r="CT570" s="304" t="s">
        <v>11678</v>
      </c>
    </row>
    <row r="571" spans="1:98" s="304" customFormat="1">
      <c r="A571" s="304" t="s">
        <v>8506</v>
      </c>
      <c r="B571" s="463">
        <v>89</v>
      </c>
      <c r="C571" s="296" t="s">
        <v>7707</v>
      </c>
      <c r="D571" s="296" t="s">
        <v>7536</v>
      </c>
      <c r="E571" s="296" t="s">
        <v>7707</v>
      </c>
      <c r="F571" s="296"/>
      <c r="G571" s="296" t="s">
        <v>8506</v>
      </c>
      <c r="H571" s="297" t="s">
        <v>8696</v>
      </c>
      <c r="I571" s="297">
        <v>3</v>
      </c>
      <c r="J571" s="297">
        <v>3204</v>
      </c>
      <c r="K571" s="299"/>
      <c r="L571" s="299"/>
      <c r="M571" s="299">
        <v>95</v>
      </c>
      <c r="N571" s="299">
        <v>4</v>
      </c>
      <c r="O571" s="300">
        <v>37</v>
      </c>
      <c r="P571" s="301">
        <v>42090</v>
      </c>
      <c r="Q571" s="302"/>
      <c r="R571" s="303"/>
      <c r="S571" s="289">
        <v>6.05</v>
      </c>
      <c r="T571" s="303">
        <v>42208</v>
      </c>
      <c r="U571" s="302"/>
      <c r="V571" s="303"/>
      <c r="W571" s="302"/>
      <c r="X571" s="303"/>
      <c r="Y571" s="302">
        <v>22.5</v>
      </c>
      <c r="Z571" s="303">
        <v>42208</v>
      </c>
      <c r="AA571">
        <v>14.4</v>
      </c>
      <c r="AB571" s="303"/>
      <c r="AC571" s="302"/>
      <c r="AD571" s="303"/>
      <c r="AE571" s="302"/>
      <c r="AF571" s="303"/>
      <c r="AG571">
        <v>84674.426328502406</v>
      </c>
      <c r="AH571" s="521">
        <f>(AK571*10000)/AM571</f>
        <v>84674.426328502406</v>
      </c>
      <c r="AI571" s="302"/>
      <c r="AJ571" s="303"/>
      <c r="AK571">
        <v>38.950236111111103</v>
      </c>
      <c r="AL571" s="521"/>
      <c r="AM571">
        <v>4.5999999999999996</v>
      </c>
      <c r="AN571" s="303">
        <v>42244</v>
      </c>
      <c r="AO571">
        <v>130</v>
      </c>
      <c r="AP571" s="303">
        <v>42170</v>
      </c>
      <c r="AQ571" s="302"/>
      <c r="AR571" s="303"/>
      <c r="AS571" s="302"/>
      <c r="AT571" s="303"/>
      <c r="AU571">
        <v>105</v>
      </c>
      <c r="AV571" s="303"/>
      <c r="AW571" s="302"/>
      <c r="AX571" s="302"/>
      <c r="AY571" s="302"/>
      <c r="AZ571" s="303"/>
      <c r="BA571" s="302"/>
      <c r="BB571" s="302"/>
      <c r="BC571" s="302"/>
      <c r="BD571" s="302"/>
      <c r="BE571" s="302"/>
      <c r="BF571" s="302"/>
      <c r="BG571" s="302"/>
      <c r="BH571" s="302"/>
      <c r="BI571" s="302"/>
      <c r="BJ571" s="302"/>
      <c r="BM571">
        <v>-2.4</v>
      </c>
      <c r="BS571">
        <v>62.2</v>
      </c>
      <c r="BY571">
        <v>51.5</v>
      </c>
      <c r="CA571">
        <v>18.100000000000001</v>
      </c>
      <c r="CC571">
        <v>13.9</v>
      </c>
      <c r="CI571">
        <v>5.4</v>
      </c>
      <c r="CO571" t="s">
        <v>8698</v>
      </c>
      <c r="CR571">
        <v>3</v>
      </c>
      <c r="CT571" s="304" t="s">
        <v>11678</v>
      </c>
    </row>
    <row r="572" spans="1:98" s="304" customFormat="1">
      <c r="A572" s="304" t="s">
        <v>8506</v>
      </c>
      <c r="B572" s="463">
        <v>109</v>
      </c>
      <c r="C572" s="296" t="s">
        <v>7727</v>
      </c>
      <c r="D572" s="296" t="s">
        <v>7553</v>
      </c>
      <c r="E572" s="296" t="s">
        <v>7727</v>
      </c>
      <c r="F572" s="296"/>
      <c r="G572" s="296" t="s">
        <v>8506</v>
      </c>
      <c r="H572" s="297" t="s">
        <v>8696</v>
      </c>
      <c r="I572" s="297">
        <v>3</v>
      </c>
      <c r="J572" s="297">
        <v>3324</v>
      </c>
      <c r="K572" s="299"/>
      <c r="L572" s="299"/>
      <c r="M572" s="299">
        <v>95</v>
      </c>
      <c r="N572" s="299">
        <v>6</v>
      </c>
      <c r="O572" s="300">
        <v>50</v>
      </c>
      <c r="P572" s="301">
        <v>42090</v>
      </c>
      <c r="Q572" s="302"/>
      <c r="R572" s="303"/>
      <c r="S572" s="289">
        <v>5</v>
      </c>
      <c r="T572" s="303">
        <v>42208</v>
      </c>
      <c r="U572" s="302"/>
      <c r="V572" s="303"/>
      <c r="W572" s="302"/>
      <c r="X572" s="303"/>
      <c r="Y572" s="302">
        <v>17.22</v>
      </c>
      <c r="Z572" s="303">
        <v>42208</v>
      </c>
      <c r="AA572">
        <v>14.4</v>
      </c>
      <c r="AB572" s="303"/>
      <c r="AC572" s="302"/>
      <c r="AD572" s="303"/>
      <c r="AE572" s="302"/>
      <c r="AF572" s="303"/>
      <c r="AG572">
        <v>64380.555555555547</v>
      </c>
      <c r="AH572" s="521">
        <f>(AK572*10000)/AM572</f>
        <v>64380.555555555547</v>
      </c>
      <c r="AI572" s="302"/>
      <c r="AJ572" s="303"/>
      <c r="AK572">
        <v>32.190277777777773</v>
      </c>
      <c r="AL572" s="521"/>
      <c r="AM572">
        <v>5</v>
      </c>
      <c r="AN572" s="303">
        <v>42244</v>
      </c>
      <c r="AO572">
        <v>130</v>
      </c>
      <c r="AP572" s="303">
        <v>42170</v>
      </c>
      <c r="AQ572" s="302"/>
      <c r="AR572" s="303"/>
      <c r="AS572" s="302"/>
      <c r="AT572" s="303"/>
      <c r="AU572">
        <v>113</v>
      </c>
      <c r="AV572" s="303"/>
      <c r="AW572" s="302"/>
      <c r="AX572" s="302"/>
      <c r="AY572" s="302"/>
      <c r="AZ572" s="303"/>
      <c r="BA572" s="302"/>
      <c r="BB572" s="302"/>
      <c r="BC572" s="302"/>
      <c r="BD572" s="302"/>
      <c r="BE572" s="302"/>
      <c r="BF572" s="302"/>
      <c r="BG572" s="302"/>
      <c r="BH572" s="302"/>
      <c r="BI572" s="302"/>
      <c r="BJ572" s="302"/>
      <c r="BM572">
        <v>0.9</v>
      </c>
      <c r="BS572">
        <v>59.1</v>
      </c>
      <c r="BY572">
        <v>47.7</v>
      </c>
      <c r="CA572">
        <v>20.9</v>
      </c>
      <c r="CC572">
        <v>12.7</v>
      </c>
      <c r="CI572">
        <v>5.4</v>
      </c>
      <c r="CO572" t="s">
        <v>8698</v>
      </c>
      <c r="CR572">
        <v>2</v>
      </c>
      <c r="CT572" s="304" t="s">
        <v>11678</v>
      </c>
    </row>
    <row r="573" spans="1:98" s="304" customFormat="1">
      <c r="A573" s="304" t="s">
        <v>8506</v>
      </c>
      <c r="B573" s="463">
        <v>110</v>
      </c>
      <c r="C573" s="296" t="s">
        <v>7728</v>
      </c>
      <c r="D573" s="296" t="s">
        <v>7554</v>
      </c>
      <c r="E573" s="296" t="s">
        <v>7728</v>
      </c>
      <c r="F573" s="296"/>
      <c r="G573" s="296" t="s">
        <v>8506</v>
      </c>
      <c r="H573" s="297" t="s">
        <v>8696</v>
      </c>
      <c r="I573" s="297">
        <v>3</v>
      </c>
      <c r="J573" s="297">
        <v>3264</v>
      </c>
      <c r="K573" s="299"/>
      <c r="L573" s="299"/>
      <c r="M573" s="299">
        <v>95</v>
      </c>
      <c r="N573" s="299">
        <v>5</v>
      </c>
      <c r="O573" s="300">
        <v>26</v>
      </c>
      <c r="P573" s="301">
        <v>42090</v>
      </c>
      <c r="Q573" s="302"/>
      <c r="R573" s="303"/>
      <c r="S573" s="289">
        <v>6.15</v>
      </c>
      <c r="T573" s="303">
        <v>42208</v>
      </c>
      <c r="U573" s="302"/>
      <c r="V573" s="303"/>
      <c r="W573" s="302"/>
      <c r="X573" s="303"/>
      <c r="Y573" s="302">
        <v>22.42</v>
      </c>
      <c r="Z573" s="303">
        <v>42208</v>
      </c>
      <c r="AA573">
        <v>14.4</v>
      </c>
      <c r="AB573" s="303"/>
      <c r="AC573" s="302"/>
      <c r="AD573" s="303"/>
      <c r="AE573" s="302"/>
      <c r="AF573" s="303"/>
      <c r="AG573">
        <v>74705.738993710693</v>
      </c>
      <c r="AH573" s="521">
        <f>(AK573*10000)/AM573</f>
        <v>74705.738993710693</v>
      </c>
      <c r="AI573" s="302"/>
      <c r="AJ573" s="303"/>
      <c r="AK573">
        <v>39.594041666666669</v>
      </c>
      <c r="AL573" s="521"/>
      <c r="AM573">
        <v>5.3</v>
      </c>
      <c r="AN573" s="303">
        <v>42244</v>
      </c>
      <c r="AO573">
        <v>130</v>
      </c>
      <c r="AP573" s="303">
        <v>42170</v>
      </c>
      <c r="AQ573" s="302"/>
      <c r="AR573" s="303"/>
      <c r="AS573" s="302"/>
      <c r="AT573" s="303"/>
      <c r="AU573">
        <v>107</v>
      </c>
      <c r="AV573" s="303"/>
      <c r="AW573" s="302"/>
      <c r="AX573" s="302"/>
      <c r="AY573" s="302"/>
      <c r="AZ573" s="303"/>
      <c r="BA573" s="302"/>
      <c r="BB573" s="302"/>
      <c r="BC573" s="302"/>
      <c r="BD573" s="302"/>
      <c r="BE573" s="302"/>
      <c r="BF573" s="302"/>
      <c r="BG573" s="302"/>
      <c r="BH573" s="302"/>
      <c r="BI573" s="302"/>
      <c r="BJ573" s="302"/>
      <c r="BM573">
        <v>0.2</v>
      </c>
      <c r="BS573">
        <v>59</v>
      </c>
      <c r="BY573">
        <v>50.5</v>
      </c>
      <c r="CA573">
        <v>18.399999999999999</v>
      </c>
      <c r="CC573">
        <v>19.8</v>
      </c>
      <c r="CI573">
        <v>5.4</v>
      </c>
      <c r="CO573" t="s">
        <v>8698</v>
      </c>
      <c r="CR573">
        <v>2</v>
      </c>
      <c r="CT573" s="304" t="s">
        <v>11678</v>
      </c>
    </row>
    <row r="574" spans="1:98" s="304" customFormat="1">
      <c r="A574" s="304" t="s">
        <v>8506</v>
      </c>
      <c r="B574" s="463">
        <v>140</v>
      </c>
      <c r="C574" s="296" t="s">
        <v>7768</v>
      </c>
      <c r="D574" s="296" t="s">
        <v>7842</v>
      </c>
      <c r="E574" s="296" t="s">
        <v>7768</v>
      </c>
      <c r="F574" s="296"/>
      <c r="G574" s="296" t="s">
        <v>8506</v>
      </c>
      <c r="H574" s="297" t="s">
        <v>8696</v>
      </c>
      <c r="I574" s="297">
        <v>3</v>
      </c>
      <c r="J574" s="297">
        <v>3144</v>
      </c>
      <c r="K574" s="299"/>
      <c r="L574" s="299"/>
      <c r="M574" s="299">
        <v>95</v>
      </c>
      <c r="N574" s="299">
        <v>3</v>
      </c>
      <c r="O574" s="300">
        <v>28</v>
      </c>
      <c r="P574" s="301">
        <v>42090</v>
      </c>
      <c r="Q574" s="302"/>
      <c r="R574" s="303"/>
      <c r="S574" s="289">
        <v>6.75</v>
      </c>
      <c r="T574" s="303">
        <v>42208</v>
      </c>
      <c r="U574" s="302"/>
      <c r="V574" s="303"/>
      <c r="W574" s="302"/>
      <c r="X574" s="303"/>
      <c r="Y574" s="302">
        <v>24.29</v>
      </c>
      <c r="Z574" s="303">
        <v>42208</v>
      </c>
      <c r="AA574">
        <v>14.4</v>
      </c>
      <c r="AB574" s="303"/>
      <c r="AC574" s="302"/>
      <c r="AD574" s="303"/>
      <c r="AE574" s="302"/>
      <c r="AF574" s="303"/>
      <c r="AG574">
        <v>74846.443965517232</v>
      </c>
      <c r="AH574" s="521">
        <f>(AK574*10000)/AM574</f>
        <v>74846.443965517232</v>
      </c>
      <c r="AI574" s="302"/>
      <c r="AJ574" s="303"/>
      <c r="AK574">
        <v>43.410937499999996</v>
      </c>
      <c r="AL574" s="521"/>
      <c r="AM574">
        <v>5.8</v>
      </c>
      <c r="AN574" s="303">
        <v>42244</v>
      </c>
      <c r="AO574">
        <v>125</v>
      </c>
      <c r="AP574" s="303">
        <v>42170</v>
      </c>
      <c r="AQ574" s="302"/>
      <c r="AR574" s="303"/>
      <c r="AS574" s="302"/>
      <c r="AT574" s="303"/>
      <c r="AU574">
        <v>108</v>
      </c>
      <c r="AV574" s="303"/>
      <c r="AW574" s="302"/>
      <c r="AX574" s="302"/>
      <c r="AY574" s="302"/>
      <c r="AZ574" s="303"/>
      <c r="BA574" s="302"/>
      <c r="BB574" s="302"/>
      <c r="BC574" s="302"/>
      <c r="BD574" s="302"/>
      <c r="BE574" s="302"/>
      <c r="BF574" s="302"/>
      <c r="BG574" s="302"/>
      <c r="BH574" s="302"/>
      <c r="BI574" s="302"/>
      <c r="BJ574" s="302"/>
      <c r="BM574">
        <v>-1.6</v>
      </c>
      <c r="BS574">
        <v>59.7</v>
      </c>
      <c r="BY574">
        <v>49.9</v>
      </c>
      <c r="CA574">
        <v>19.100000000000001</v>
      </c>
      <c r="CC574">
        <v>15</v>
      </c>
      <c r="CI574">
        <v>5.5</v>
      </c>
      <c r="CO574" t="s">
        <v>8699</v>
      </c>
      <c r="CR574">
        <v>1</v>
      </c>
      <c r="CT574" s="304" t="s">
        <v>11678</v>
      </c>
    </row>
    <row r="575" spans="1:98" s="304" customFormat="1">
      <c r="A575" s="304" t="s">
        <v>8506</v>
      </c>
      <c r="B575" s="463">
        <v>158</v>
      </c>
      <c r="C575" s="296" t="s">
        <v>7786</v>
      </c>
      <c r="D575" s="296" t="s">
        <v>7587</v>
      </c>
      <c r="E575" s="296" t="s">
        <v>7786</v>
      </c>
      <c r="F575" s="296"/>
      <c r="G575" s="296" t="s">
        <v>8506</v>
      </c>
      <c r="H575" s="297" t="s">
        <v>8697</v>
      </c>
      <c r="I575" s="297">
        <v>4</v>
      </c>
      <c r="J575" s="297">
        <v>4204</v>
      </c>
      <c r="K575" s="299"/>
      <c r="L575" s="299"/>
      <c r="M575" s="299">
        <v>95</v>
      </c>
      <c r="N575" s="299">
        <v>10</v>
      </c>
      <c r="O575" s="300">
        <v>32</v>
      </c>
      <c r="P575" s="301">
        <v>42090</v>
      </c>
      <c r="Q575" s="302"/>
      <c r="R575" s="303"/>
      <c r="S575" s="289">
        <v>5.25</v>
      </c>
      <c r="T575" s="303">
        <v>42208</v>
      </c>
      <c r="U575" s="302"/>
      <c r="V575" s="303"/>
      <c r="W575" s="302"/>
      <c r="X575" s="303"/>
      <c r="Y575" s="302">
        <v>20.39</v>
      </c>
      <c r="Z575" s="303">
        <v>42208</v>
      </c>
      <c r="AA575">
        <v>14.4</v>
      </c>
      <c r="AB575" s="303"/>
      <c r="AC575" s="302"/>
      <c r="AD575" s="303"/>
      <c r="AE575" s="302"/>
      <c r="AF575" s="303"/>
      <c r="AG575">
        <v>62592.206790123448</v>
      </c>
      <c r="AH575" s="521">
        <f>(AK575*10000)/AM575</f>
        <v>62592.206790123448</v>
      </c>
      <c r="AI575" s="302"/>
      <c r="AJ575" s="303"/>
      <c r="AK575">
        <v>33.799791666666664</v>
      </c>
      <c r="AL575" s="521"/>
      <c r="AM575">
        <v>5.4</v>
      </c>
      <c r="AN575" s="303">
        <v>42244</v>
      </c>
      <c r="AO575">
        <v>120</v>
      </c>
      <c r="AP575" s="303">
        <v>42170</v>
      </c>
      <c r="AQ575" s="302"/>
      <c r="AR575" s="303"/>
      <c r="AS575" s="302"/>
      <c r="AT575" s="303"/>
      <c r="AU575">
        <v>109</v>
      </c>
      <c r="AV575" s="303"/>
      <c r="AW575" s="302"/>
      <c r="AX575" s="302"/>
      <c r="AY575" s="302"/>
      <c r="AZ575" s="303"/>
      <c r="BA575" s="302"/>
      <c r="BB575" s="302"/>
      <c r="BC575" s="302"/>
      <c r="BD575" s="302"/>
      <c r="BE575" s="302"/>
      <c r="BF575" s="302"/>
      <c r="BG575" s="302"/>
      <c r="BH575" s="302"/>
      <c r="BI575" s="302"/>
      <c r="BJ575" s="302"/>
      <c r="BM575">
        <v>-3.2</v>
      </c>
      <c r="BS575">
        <v>61.3</v>
      </c>
      <c r="BY575">
        <v>53.8</v>
      </c>
      <c r="CA575">
        <v>14</v>
      </c>
      <c r="CC575">
        <v>18.100000000000001</v>
      </c>
      <c r="CI575">
        <v>5.4</v>
      </c>
      <c r="CO575" t="s">
        <v>8698</v>
      </c>
      <c r="CR575">
        <v>1</v>
      </c>
      <c r="CT575" s="304" t="s">
        <v>11678</v>
      </c>
    </row>
    <row r="576" spans="1:98" s="304" customFormat="1">
      <c r="A576" s="304" t="s">
        <v>8506</v>
      </c>
      <c r="B576" s="463">
        <v>163</v>
      </c>
      <c r="C576" s="296" t="s">
        <v>7791</v>
      </c>
      <c r="D576" s="296" t="s">
        <v>7592</v>
      </c>
      <c r="E576" s="296" t="s">
        <v>7791</v>
      </c>
      <c r="F576" s="296"/>
      <c r="G576" s="296" t="s">
        <v>8506</v>
      </c>
      <c r="H576" s="297" t="s">
        <v>8697</v>
      </c>
      <c r="I576" s="297">
        <v>4</v>
      </c>
      <c r="J576" s="297">
        <v>4144</v>
      </c>
      <c r="K576" s="299"/>
      <c r="L576" s="299"/>
      <c r="M576" s="299">
        <v>95</v>
      </c>
      <c r="N576" s="299">
        <v>9</v>
      </c>
      <c r="O576" s="300">
        <v>70</v>
      </c>
      <c r="P576" s="301">
        <v>42090</v>
      </c>
      <c r="Q576" s="302"/>
      <c r="R576" s="303"/>
      <c r="S576" s="289">
        <v>5.2</v>
      </c>
      <c r="T576" s="303">
        <v>42208</v>
      </c>
      <c r="U576" s="302"/>
      <c r="V576" s="303"/>
      <c r="W576" s="302"/>
      <c r="X576" s="303"/>
      <c r="Y576" s="302">
        <v>20.04</v>
      </c>
      <c r="Z576" s="303">
        <v>42208</v>
      </c>
      <c r="AA576">
        <v>14.4</v>
      </c>
      <c r="AB576" s="303"/>
      <c r="AC576" s="302"/>
      <c r="AD576" s="303"/>
      <c r="AE576" s="302"/>
      <c r="AF576" s="303"/>
      <c r="AG576">
        <v>74080.740740740745</v>
      </c>
      <c r="AH576" s="521">
        <f>(AK576*10000)/AM576</f>
        <v>74080.740740740745</v>
      </c>
      <c r="AI576" s="302"/>
      <c r="AJ576" s="303"/>
      <c r="AK576">
        <v>33.336333333333336</v>
      </c>
      <c r="AL576" s="521"/>
      <c r="AM576">
        <v>4.5</v>
      </c>
      <c r="AN576" s="303">
        <v>42244</v>
      </c>
      <c r="AO576">
        <v>135</v>
      </c>
      <c r="AP576" s="303">
        <v>42170</v>
      </c>
      <c r="AQ576" s="302"/>
      <c r="AR576" s="303"/>
      <c r="AS576" s="302"/>
      <c r="AT576" s="303"/>
      <c r="AU576">
        <v>107</v>
      </c>
      <c r="AV576" s="303"/>
      <c r="AW576" s="302"/>
      <c r="AX576" s="302"/>
      <c r="AY576" s="302"/>
      <c r="AZ576" s="303"/>
      <c r="BA576" s="302"/>
      <c r="BB576" s="302"/>
      <c r="BC576" s="302"/>
      <c r="BD576" s="302"/>
      <c r="BE576" s="302"/>
      <c r="BF576" s="302"/>
      <c r="BG576" s="302"/>
      <c r="BH576" s="302"/>
      <c r="BI576" s="302"/>
      <c r="BJ576" s="302"/>
      <c r="BM576">
        <v>-7.3</v>
      </c>
      <c r="BS576">
        <v>64.2</v>
      </c>
      <c r="BY576">
        <v>53.6</v>
      </c>
      <c r="CA576">
        <v>14.8</v>
      </c>
      <c r="CC576">
        <v>21.3</v>
      </c>
      <c r="CI576">
        <v>5.8</v>
      </c>
      <c r="CO576" t="s">
        <v>8698</v>
      </c>
      <c r="CR576">
        <v>1</v>
      </c>
      <c r="CT576" s="304" t="s">
        <v>11678</v>
      </c>
    </row>
    <row r="577" spans="1:98" s="304" customFormat="1">
      <c r="A577" s="304" t="s">
        <v>8506</v>
      </c>
      <c r="B577" s="463">
        <v>175</v>
      </c>
      <c r="C577" s="296" t="s">
        <v>7803</v>
      </c>
      <c r="D577" s="296" t="s">
        <v>7844</v>
      </c>
      <c r="E577" s="296" t="s">
        <v>7803</v>
      </c>
      <c r="F577" s="296"/>
      <c r="G577" s="296" t="s">
        <v>8506</v>
      </c>
      <c r="H577" s="297" t="s">
        <v>8697</v>
      </c>
      <c r="I577" s="297">
        <v>4</v>
      </c>
      <c r="J577" s="297">
        <v>424</v>
      </c>
      <c r="K577" s="299"/>
      <c r="L577" s="299"/>
      <c r="M577" s="299">
        <v>95</v>
      </c>
      <c r="N577" s="299">
        <v>7</v>
      </c>
      <c r="O577" s="300">
        <v>68</v>
      </c>
      <c r="P577" s="301">
        <v>42090</v>
      </c>
      <c r="Q577" s="302"/>
      <c r="R577" s="303"/>
      <c r="S577" s="289">
        <v>5.3</v>
      </c>
      <c r="T577" s="303">
        <v>42208</v>
      </c>
      <c r="U577" s="302"/>
      <c r="V577" s="303"/>
      <c r="W577" s="302"/>
      <c r="X577" s="303"/>
      <c r="Y577" s="302">
        <v>20.32</v>
      </c>
      <c r="Z577" s="303">
        <v>42208</v>
      </c>
      <c r="AA577">
        <v>14.4</v>
      </c>
      <c r="AB577" s="303"/>
      <c r="AC577" s="302"/>
      <c r="AD577" s="303"/>
      <c r="AE577" s="302"/>
      <c r="AF577" s="303"/>
      <c r="AG577">
        <v>72599.349881796676</v>
      </c>
      <c r="AH577" s="521">
        <f>(AK577*10000)/AM577</f>
        <v>72599.349881796676</v>
      </c>
      <c r="AI577" s="302"/>
      <c r="AJ577" s="303"/>
      <c r="AK577">
        <v>34.121694444444437</v>
      </c>
      <c r="AL577" s="521"/>
      <c r="AM577">
        <v>4.7</v>
      </c>
      <c r="AN577" s="303">
        <v>42244</v>
      </c>
      <c r="AO577">
        <v>130</v>
      </c>
      <c r="AP577" s="303">
        <v>42170</v>
      </c>
      <c r="AQ577" s="302"/>
      <c r="AR577" s="303"/>
      <c r="AS577" s="302"/>
      <c r="AT577" s="303"/>
      <c r="AU577">
        <v>107</v>
      </c>
      <c r="AV577" s="303"/>
      <c r="AW577" s="302"/>
      <c r="AX577" s="302"/>
      <c r="AY577" s="302"/>
      <c r="AZ577" s="303"/>
      <c r="BA577" s="302"/>
      <c r="BB577" s="302"/>
      <c r="BC577" s="302"/>
      <c r="BD577" s="302"/>
      <c r="BE577" s="302"/>
      <c r="BF577" s="302"/>
      <c r="BG577" s="302"/>
      <c r="BH577" s="302"/>
      <c r="BI577" s="302"/>
      <c r="BJ577" s="302"/>
      <c r="BM577">
        <v>-3.4</v>
      </c>
      <c r="BS577">
        <v>60.8</v>
      </c>
      <c r="BY577">
        <v>53.1</v>
      </c>
      <c r="CA577">
        <v>14.7</v>
      </c>
      <c r="CC577">
        <v>17</v>
      </c>
      <c r="CI577">
        <v>5.4</v>
      </c>
      <c r="CO577" t="s">
        <v>8698</v>
      </c>
      <c r="CR577">
        <v>1</v>
      </c>
      <c r="CT577" s="304" t="s">
        <v>11678</v>
      </c>
    </row>
    <row r="578" spans="1:98" s="304" customFormat="1">
      <c r="A578" s="304" t="s">
        <v>8506</v>
      </c>
      <c r="B578" s="463">
        <v>40</v>
      </c>
      <c r="C578" s="296" t="s">
        <v>7657</v>
      </c>
      <c r="D578" s="296" t="s">
        <v>7490</v>
      </c>
      <c r="E578" s="296" t="s">
        <v>7657</v>
      </c>
      <c r="F578" s="296"/>
      <c r="G578" s="296" t="s">
        <v>8506</v>
      </c>
      <c r="H578" s="297" t="s">
        <v>8696</v>
      </c>
      <c r="I578" s="297">
        <v>3</v>
      </c>
      <c r="J578" s="297">
        <v>325</v>
      </c>
      <c r="K578" s="299"/>
      <c r="L578" s="299"/>
      <c r="M578" s="299">
        <v>96</v>
      </c>
      <c r="N578" s="299">
        <v>1</v>
      </c>
      <c r="O578" s="300">
        <v>58</v>
      </c>
      <c r="P578" s="301">
        <v>42090</v>
      </c>
      <c r="Q578" s="302"/>
      <c r="R578" s="303"/>
      <c r="S578" s="289">
        <v>4.55</v>
      </c>
      <c r="T578" s="303">
        <v>42208</v>
      </c>
      <c r="U578" s="302"/>
      <c r="V578" s="303"/>
      <c r="W578" s="302"/>
      <c r="X578" s="303"/>
      <c r="Y578" s="302">
        <v>16.13</v>
      </c>
      <c r="Z578" s="303">
        <v>42208</v>
      </c>
      <c r="AA578">
        <v>14.4</v>
      </c>
      <c r="AB578" s="303"/>
      <c r="AC578" s="302"/>
      <c r="AD578" s="303"/>
      <c r="AE578" s="302"/>
      <c r="AF578" s="303"/>
      <c r="AG578">
        <v>66716.09848484848</v>
      </c>
      <c r="AH578" s="521">
        <f>(AK578*10000)/AM578</f>
        <v>66716.09848484848</v>
      </c>
      <c r="AI578" s="302"/>
      <c r="AJ578" s="303"/>
      <c r="AK578">
        <v>29.355083333333333</v>
      </c>
      <c r="AL578" s="521"/>
      <c r="AM578">
        <v>4.4000000000000004</v>
      </c>
      <c r="AN578" s="303">
        <v>42244</v>
      </c>
      <c r="AO578">
        <v>125</v>
      </c>
      <c r="AP578" s="303">
        <v>42170</v>
      </c>
      <c r="AQ578" s="302"/>
      <c r="AR578" s="303"/>
      <c r="AS578" s="302"/>
      <c r="AT578" s="303"/>
      <c r="AU578">
        <v>111</v>
      </c>
      <c r="AV578" s="303"/>
      <c r="AW578" s="302"/>
      <c r="AX578" s="302"/>
      <c r="AY578" s="302"/>
      <c r="AZ578" s="303"/>
      <c r="BA578" s="302"/>
      <c r="BB578" s="302"/>
      <c r="BC578" s="302"/>
      <c r="BD578" s="302"/>
      <c r="BE578" s="302"/>
      <c r="BF578" s="302"/>
      <c r="BG578" s="302"/>
      <c r="BH578" s="302"/>
      <c r="BI578" s="302"/>
      <c r="BJ578" s="302"/>
      <c r="BM578">
        <v>0.3</v>
      </c>
      <c r="BS578">
        <v>55.2</v>
      </c>
      <c r="BY578">
        <v>49</v>
      </c>
      <c r="CA578">
        <v>18</v>
      </c>
      <c r="CC578">
        <v>19.2</v>
      </c>
      <c r="CI578">
        <v>5.2</v>
      </c>
      <c r="CO578" t="s">
        <v>8699</v>
      </c>
      <c r="CR578">
        <v>2</v>
      </c>
      <c r="CT578" s="304" t="s">
        <v>11678</v>
      </c>
    </row>
    <row r="579" spans="1:98" s="304" customFormat="1">
      <c r="A579" s="304" t="s">
        <v>8506</v>
      </c>
      <c r="B579" s="463">
        <v>51</v>
      </c>
      <c r="C579" s="296" t="s">
        <v>7669</v>
      </c>
      <c r="D579" s="296" t="s">
        <v>7501</v>
      </c>
      <c r="E579" s="296" t="s">
        <v>7669</v>
      </c>
      <c r="F579" s="296"/>
      <c r="G579" s="296" t="s">
        <v>8506</v>
      </c>
      <c r="H579" s="297" t="s">
        <v>8697</v>
      </c>
      <c r="I579" s="297">
        <v>4</v>
      </c>
      <c r="J579" s="297">
        <v>4145</v>
      </c>
      <c r="K579" s="299"/>
      <c r="L579" s="299"/>
      <c r="M579" s="299">
        <v>96</v>
      </c>
      <c r="N579" s="299">
        <v>9</v>
      </c>
      <c r="O579" s="300">
        <v>52</v>
      </c>
      <c r="P579" s="301">
        <v>42090</v>
      </c>
      <c r="Q579" s="302"/>
      <c r="R579" s="303"/>
      <c r="S579" s="289">
        <v>4.5</v>
      </c>
      <c r="T579" s="303">
        <v>42208</v>
      </c>
      <c r="U579" s="302"/>
      <c r="V579" s="303"/>
      <c r="W579" s="302"/>
      <c r="X579" s="303"/>
      <c r="Y579" s="302">
        <v>16.93</v>
      </c>
      <c r="Z579" s="303">
        <v>42208</v>
      </c>
      <c r="AA579">
        <v>14.4</v>
      </c>
      <c r="AB579" s="303"/>
      <c r="AC579" s="302"/>
      <c r="AD579" s="303"/>
      <c r="AE579" s="302"/>
      <c r="AF579" s="303"/>
      <c r="AG579">
        <v>56926.470588235301</v>
      </c>
      <c r="AH579" s="521">
        <f>(AK579*10000)/AM579</f>
        <v>56926.470588235301</v>
      </c>
      <c r="AI579" s="302"/>
      <c r="AJ579" s="303"/>
      <c r="AK579">
        <v>29.032499999999999</v>
      </c>
      <c r="AL579" s="521"/>
      <c r="AM579">
        <v>5.0999999999999996</v>
      </c>
      <c r="AN579" s="303">
        <v>42244</v>
      </c>
      <c r="AO579">
        <v>105</v>
      </c>
      <c r="AP579" s="303">
        <v>42170</v>
      </c>
      <c r="AQ579" s="302"/>
      <c r="AR579" s="303"/>
      <c r="AS579" s="302"/>
      <c r="AT579" s="303"/>
      <c r="AU579">
        <v>107</v>
      </c>
      <c r="AV579" s="303"/>
      <c r="AW579" s="302"/>
      <c r="AX579" s="302"/>
      <c r="AY579" s="302"/>
      <c r="AZ579" s="303"/>
      <c r="BA579" s="302"/>
      <c r="BB579" s="302"/>
      <c r="BC579" s="302"/>
      <c r="BD579" s="302"/>
      <c r="BE579" s="302"/>
      <c r="BF579" s="302"/>
      <c r="BG579" s="302"/>
      <c r="BH579" s="302"/>
      <c r="BI579" s="302"/>
      <c r="BJ579" s="302"/>
      <c r="BM579">
        <v>3.7</v>
      </c>
      <c r="BS579">
        <v>63.8</v>
      </c>
      <c r="BY579">
        <v>52</v>
      </c>
      <c r="CA579">
        <v>18</v>
      </c>
      <c r="CC579">
        <v>16.5</v>
      </c>
      <c r="CI579">
        <v>5.2</v>
      </c>
      <c r="CO579" t="s">
        <v>8698</v>
      </c>
      <c r="CR579">
        <v>1</v>
      </c>
      <c r="CT579" s="304" t="s">
        <v>11678</v>
      </c>
    </row>
    <row r="580" spans="1:98" s="304" customFormat="1">
      <c r="A580" s="304" t="s">
        <v>8506</v>
      </c>
      <c r="B580" s="463">
        <v>102</v>
      </c>
      <c r="C580" s="296" t="s">
        <v>7720</v>
      </c>
      <c r="D580" s="296" t="s">
        <v>7547</v>
      </c>
      <c r="E580" s="296" t="s">
        <v>7720</v>
      </c>
      <c r="F580" s="296"/>
      <c r="G580" s="296" t="s">
        <v>8506</v>
      </c>
      <c r="H580" s="297" t="s">
        <v>8697</v>
      </c>
      <c r="I580" s="297">
        <v>4</v>
      </c>
      <c r="J580" s="297">
        <v>4325</v>
      </c>
      <c r="K580" s="299"/>
      <c r="L580" s="299"/>
      <c r="M580" s="299">
        <v>96</v>
      </c>
      <c r="N580" s="299">
        <v>12</v>
      </c>
      <c r="O580" s="300">
        <v>28</v>
      </c>
      <c r="P580" s="301">
        <v>42090</v>
      </c>
      <c r="Q580" s="302"/>
      <c r="R580" s="303"/>
      <c r="S580" s="289">
        <v>4.4000000000000004</v>
      </c>
      <c r="T580" s="303">
        <v>42208</v>
      </c>
      <c r="U580" s="302"/>
      <c r="V580" s="303"/>
      <c r="W580" s="302"/>
      <c r="X580" s="303"/>
      <c r="Y580" s="302">
        <v>16.62</v>
      </c>
      <c r="Z580" s="303">
        <v>42208</v>
      </c>
      <c r="AA580">
        <v>14.4</v>
      </c>
      <c r="AB580" s="303"/>
      <c r="AC580" s="302"/>
      <c r="AD580" s="303"/>
      <c r="AE580" s="302"/>
      <c r="AF580" s="303"/>
      <c r="AG580">
        <v>50691.666666666679</v>
      </c>
      <c r="AH580" s="521">
        <f>(AK580*10000)/AM580</f>
        <v>50691.666666666679</v>
      </c>
      <c r="AI580" s="302"/>
      <c r="AJ580" s="303"/>
      <c r="AK580">
        <v>28.387333333333338</v>
      </c>
      <c r="AL580" s="521"/>
      <c r="AM580">
        <v>5.6</v>
      </c>
      <c r="AN580" s="303">
        <v>42244</v>
      </c>
      <c r="AO580">
        <v>130</v>
      </c>
      <c r="AP580" s="303">
        <v>42170</v>
      </c>
      <c r="AQ580" s="302"/>
      <c r="AR580" s="303"/>
      <c r="AS580" s="302"/>
      <c r="AT580" s="303"/>
      <c r="AU580">
        <v>109</v>
      </c>
      <c r="AV580" s="303"/>
      <c r="AW580" s="302"/>
      <c r="AX580" s="302"/>
      <c r="AY580" s="302"/>
      <c r="AZ580" s="303"/>
      <c r="BA580" s="302"/>
      <c r="BB580" s="302"/>
      <c r="BC580" s="302"/>
      <c r="BD580" s="302"/>
      <c r="BE580" s="302"/>
      <c r="BF580" s="302"/>
      <c r="BG580" s="302"/>
      <c r="BH580" s="302"/>
      <c r="BI580" s="302"/>
      <c r="BJ580" s="302"/>
      <c r="BM580">
        <v>-0.2</v>
      </c>
      <c r="BS580">
        <v>62.3</v>
      </c>
      <c r="BY580">
        <v>52.2</v>
      </c>
      <c r="CA580">
        <v>16</v>
      </c>
      <c r="CC580">
        <v>18.899999999999999</v>
      </c>
      <c r="CI580">
        <v>5.2</v>
      </c>
      <c r="CO580" t="s">
        <v>8698</v>
      </c>
      <c r="CR580">
        <v>2</v>
      </c>
      <c r="CT580" s="304" t="s">
        <v>11678</v>
      </c>
    </row>
    <row r="581" spans="1:98" s="304" customFormat="1">
      <c r="A581" s="304" t="s">
        <v>8506</v>
      </c>
      <c r="B581" s="463">
        <v>106</v>
      </c>
      <c r="C581" s="296" t="s">
        <v>7724</v>
      </c>
      <c r="D581" s="296" t="s">
        <v>7818</v>
      </c>
      <c r="E581" s="296" t="s">
        <v>7724</v>
      </c>
      <c r="F581" s="296"/>
      <c r="G581" s="296" t="s">
        <v>8506</v>
      </c>
      <c r="H581" s="297" t="s">
        <v>8696</v>
      </c>
      <c r="I581" s="297">
        <v>3</v>
      </c>
      <c r="J581" s="297">
        <v>3325</v>
      </c>
      <c r="K581" s="299"/>
      <c r="L581" s="299"/>
      <c r="M581" s="299">
        <v>96</v>
      </c>
      <c r="N581" s="299">
        <v>6</v>
      </c>
      <c r="O581" s="300">
        <v>31</v>
      </c>
      <c r="P581" s="301">
        <v>42090</v>
      </c>
      <c r="Q581" s="302"/>
      <c r="R581" s="303"/>
      <c r="S581" s="289">
        <v>6.15</v>
      </c>
      <c r="T581" s="303">
        <v>42208</v>
      </c>
      <c r="U581" s="302"/>
      <c r="V581" s="303"/>
      <c r="W581" s="302"/>
      <c r="X581" s="303"/>
      <c r="Y581" s="302">
        <v>21.96</v>
      </c>
      <c r="Z581" s="303">
        <v>42208</v>
      </c>
      <c r="AA581">
        <v>14.4</v>
      </c>
      <c r="AB581" s="303"/>
      <c r="AC581" s="302"/>
      <c r="AD581" s="303"/>
      <c r="AE581" s="302"/>
      <c r="AF581" s="303"/>
      <c r="AG581">
        <v>81060.416666666672</v>
      </c>
      <c r="AH581" s="521">
        <f>(AK581*10000)/AM581</f>
        <v>81060.416666666672</v>
      </c>
      <c r="AI581" s="302"/>
      <c r="AJ581" s="303"/>
      <c r="AK581">
        <v>39.71960416666667</v>
      </c>
      <c r="AL581" s="521"/>
      <c r="AM581">
        <v>4.9000000000000004</v>
      </c>
      <c r="AN581" s="303">
        <v>42244</v>
      </c>
      <c r="AO581">
        <v>130</v>
      </c>
      <c r="AP581" s="303">
        <v>42170</v>
      </c>
      <c r="AQ581" s="302"/>
      <c r="AR581" s="303"/>
      <c r="AS581" s="302"/>
      <c r="AT581" s="303"/>
      <c r="AU581">
        <v>107</v>
      </c>
      <c r="AV581" s="303"/>
      <c r="AW581" s="302"/>
      <c r="AX581" s="302"/>
      <c r="AY581" s="302"/>
      <c r="AZ581" s="303"/>
      <c r="BA581" s="302"/>
      <c r="BB581" s="302"/>
      <c r="BC581" s="302"/>
      <c r="BD581" s="302"/>
      <c r="BE581" s="302"/>
      <c r="BF581" s="302"/>
      <c r="BG581" s="302"/>
      <c r="BH581" s="302"/>
      <c r="BI581" s="302"/>
      <c r="BJ581" s="302"/>
      <c r="BM581">
        <v>-3.7</v>
      </c>
      <c r="BS581">
        <v>63.7</v>
      </c>
      <c r="BY581">
        <v>49.3</v>
      </c>
      <c r="CA581">
        <v>19.399999999999999</v>
      </c>
      <c r="CC581">
        <v>19.8</v>
      </c>
      <c r="CI581">
        <v>5.0999999999999996</v>
      </c>
      <c r="CO581" t="s">
        <v>8698</v>
      </c>
      <c r="CR581">
        <v>1</v>
      </c>
      <c r="CT581" s="304" t="s">
        <v>11678</v>
      </c>
    </row>
    <row r="582" spans="1:98" s="304" customFormat="1">
      <c r="A582" s="304" t="s">
        <v>8506</v>
      </c>
      <c r="B582" s="463">
        <v>141</v>
      </c>
      <c r="C582" s="296" t="s">
        <v>7769</v>
      </c>
      <c r="D582" s="296" t="s">
        <v>7570</v>
      </c>
      <c r="E582" s="296" t="s">
        <v>7769</v>
      </c>
      <c r="F582" s="296"/>
      <c r="G582" s="296" t="s">
        <v>8506</v>
      </c>
      <c r="H582" s="297" t="s">
        <v>8696</v>
      </c>
      <c r="I582" s="297">
        <v>3</v>
      </c>
      <c r="J582" s="297">
        <v>3205</v>
      </c>
      <c r="K582" s="299"/>
      <c r="L582" s="299"/>
      <c r="M582" s="299">
        <v>96</v>
      </c>
      <c r="N582" s="299">
        <v>4</v>
      </c>
      <c r="O582" s="300">
        <v>16</v>
      </c>
      <c r="P582" s="301">
        <v>42090</v>
      </c>
      <c r="Q582" s="302"/>
      <c r="R582" s="303"/>
      <c r="S582" s="289">
        <v>5.95</v>
      </c>
      <c r="T582" s="303">
        <v>42208</v>
      </c>
      <c r="U582" s="302"/>
      <c r="V582" s="303"/>
      <c r="W582" s="302"/>
      <c r="X582" s="303"/>
      <c r="Y582" s="302">
        <v>22.91</v>
      </c>
      <c r="Z582" s="303">
        <v>42208</v>
      </c>
      <c r="AA582">
        <v>14.4</v>
      </c>
      <c r="AB582" s="303"/>
      <c r="AC582" s="302"/>
      <c r="AD582" s="303"/>
      <c r="AE582" s="302"/>
      <c r="AF582" s="303"/>
      <c r="AG582">
        <v>70862.847222222219</v>
      </c>
      <c r="AH582" s="521">
        <f>(AK582*10000)/AM582</f>
        <v>70862.847222222219</v>
      </c>
      <c r="AI582" s="302"/>
      <c r="AJ582" s="303"/>
      <c r="AK582">
        <v>38.2659375</v>
      </c>
      <c r="AL582" s="521"/>
      <c r="AM582">
        <v>5.4</v>
      </c>
      <c r="AN582" s="303">
        <v>42244</v>
      </c>
      <c r="AO582">
        <v>145</v>
      </c>
      <c r="AP582" s="303">
        <v>42170</v>
      </c>
      <c r="AQ582" s="302"/>
      <c r="AR582" s="303"/>
      <c r="AS582" s="302"/>
      <c r="AT582" s="303"/>
      <c r="AU582">
        <v>107</v>
      </c>
      <c r="AV582" s="303"/>
      <c r="AW582" s="302"/>
      <c r="AX582" s="302"/>
      <c r="AY582" s="302"/>
      <c r="AZ582" s="303"/>
      <c r="BA582" s="302"/>
      <c r="BB582" s="302"/>
      <c r="BC582" s="302"/>
      <c r="BD582" s="302"/>
      <c r="BE582" s="302"/>
      <c r="BF582" s="302"/>
      <c r="BG582" s="302"/>
      <c r="BH582" s="302"/>
      <c r="BI582" s="302"/>
      <c r="BJ582" s="302"/>
      <c r="BM582">
        <v>-4</v>
      </c>
      <c r="BS582">
        <v>64.2</v>
      </c>
      <c r="BY582">
        <v>53.4</v>
      </c>
      <c r="CA582">
        <v>16.100000000000001</v>
      </c>
      <c r="CC582">
        <v>15.1</v>
      </c>
      <c r="CI582">
        <v>5.5</v>
      </c>
      <c r="CO582" t="s">
        <v>8698</v>
      </c>
      <c r="CR582">
        <v>2</v>
      </c>
      <c r="CT582" s="304" t="s">
        <v>11678</v>
      </c>
    </row>
    <row r="583" spans="1:98" s="304" customFormat="1">
      <c r="A583" s="304" t="s">
        <v>8506</v>
      </c>
      <c r="B583" s="463">
        <v>164</v>
      </c>
      <c r="C583" s="296" t="s">
        <v>7792</v>
      </c>
      <c r="D583" s="296" t="s">
        <v>7593</v>
      </c>
      <c r="E583" s="296" t="s">
        <v>7792</v>
      </c>
      <c r="F583" s="296"/>
      <c r="G583" s="296" t="s">
        <v>8506</v>
      </c>
      <c r="H583" s="297" t="s">
        <v>8697</v>
      </c>
      <c r="I583" s="297">
        <v>4</v>
      </c>
      <c r="J583" s="297">
        <v>4265</v>
      </c>
      <c r="K583" s="299"/>
      <c r="L583" s="299"/>
      <c r="M583" s="299">
        <v>96</v>
      </c>
      <c r="N583" s="299">
        <v>11</v>
      </c>
      <c r="O583" s="300">
        <v>35</v>
      </c>
      <c r="P583" s="301">
        <v>42090</v>
      </c>
      <c r="Q583" s="302"/>
      <c r="R583" s="303"/>
      <c r="S583" s="289">
        <v>5.25</v>
      </c>
      <c r="T583" s="303">
        <v>42208</v>
      </c>
      <c r="U583" s="302"/>
      <c r="V583" s="303"/>
      <c r="W583" s="302"/>
      <c r="X583" s="303"/>
      <c r="Y583" s="302">
        <v>19.829999999999998</v>
      </c>
      <c r="Z583" s="303">
        <v>42208</v>
      </c>
      <c r="AA583">
        <v>14.4</v>
      </c>
      <c r="AB583" s="303"/>
      <c r="AC583" s="302"/>
      <c r="AD583" s="303"/>
      <c r="AE583" s="302"/>
      <c r="AF583" s="303"/>
      <c r="AG583">
        <v>68028.333333333343</v>
      </c>
      <c r="AH583" s="521">
        <f>(AK583*10000)/AM583</f>
        <v>68028.333333333343</v>
      </c>
      <c r="AI583" s="302"/>
      <c r="AJ583" s="303"/>
      <c r="AK583">
        <v>34.014166666666668</v>
      </c>
      <c r="AL583" s="521"/>
      <c r="AM583">
        <v>5</v>
      </c>
      <c r="AN583" s="303">
        <v>42244</v>
      </c>
      <c r="AO583">
        <v>130</v>
      </c>
      <c r="AP583" s="303">
        <v>42170</v>
      </c>
      <c r="AQ583" s="302"/>
      <c r="AR583" s="303"/>
      <c r="AS583" s="302"/>
      <c r="AT583" s="303"/>
      <c r="AU583">
        <v>110</v>
      </c>
      <c r="AV583" s="303"/>
      <c r="AW583" s="302"/>
      <c r="AX583" s="302"/>
      <c r="AY583" s="302"/>
      <c r="AZ583" s="303"/>
      <c r="BA583" s="302"/>
      <c r="BB583" s="302"/>
      <c r="BC583" s="302"/>
      <c r="BD583" s="302"/>
      <c r="BE583" s="302"/>
      <c r="BF583" s="302"/>
      <c r="BG583" s="302"/>
      <c r="BH583" s="302"/>
      <c r="BI583" s="302"/>
      <c r="BJ583" s="302"/>
      <c r="BM583">
        <v>-3.9</v>
      </c>
      <c r="BS583">
        <v>65.8</v>
      </c>
      <c r="BY583">
        <v>52</v>
      </c>
      <c r="CA583">
        <v>16.100000000000001</v>
      </c>
      <c r="CC583">
        <v>13.8</v>
      </c>
      <c r="CI583">
        <v>4.8</v>
      </c>
      <c r="CO583" t="s">
        <v>8698</v>
      </c>
      <c r="CR583">
        <v>1</v>
      </c>
      <c r="CT583" s="304" t="s">
        <v>11678</v>
      </c>
    </row>
    <row r="584" spans="1:98" s="304" customFormat="1">
      <c r="A584" s="304" t="s">
        <v>8506</v>
      </c>
      <c r="B584" s="463">
        <v>179</v>
      </c>
      <c r="C584" s="296" t="s">
        <v>7807</v>
      </c>
      <c r="D584" s="296" t="s">
        <v>7604</v>
      </c>
      <c r="E584" s="296" t="s">
        <v>7807</v>
      </c>
      <c r="F584" s="296"/>
      <c r="G584" s="296" t="s">
        <v>8506</v>
      </c>
      <c r="H584" s="297" t="s">
        <v>8697</v>
      </c>
      <c r="I584" s="297">
        <v>4</v>
      </c>
      <c r="J584" s="297">
        <v>425</v>
      </c>
      <c r="K584" s="299"/>
      <c r="L584" s="299"/>
      <c r="M584" s="299">
        <v>96</v>
      </c>
      <c r="N584" s="299">
        <v>7</v>
      </c>
      <c r="O584" s="300">
        <v>23</v>
      </c>
      <c r="P584" s="301">
        <v>42090</v>
      </c>
      <c r="Q584" s="302"/>
      <c r="R584" s="303"/>
      <c r="S584" s="289">
        <v>5.2</v>
      </c>
      <c r="T584" s="303">
        <v>42208</v>
      </c>
      <c r="U584" s="302"/>
      <c r="V584" s="303"/>
      <c r="W584" s="302"/>
      <c r="X584" s="303"/>
      <c r="Y584" s="302">
        <v>20.03</v>
      </c>
      <c r="Z584" s="303">
        <v>42208</v>
      </c>
      <c r="AA584">
        <v>14.4</v>
      </c>
      <c r="AB584" s="303"/>
      <c r="AC584" s="302"/>
      <c r="AD584" s="303"/>
      <c r="AE584" s="302"/>
      <c r="AF584" s="303"/>
      <c r="AG584">
        <v>71304.84633569741</v>
      </c>
      <c r="AH584" s="521">
        <f>(AK584*10000)/AM584</f>
        <v>71304.84633569741</v>
      </c>
      <c r="AI584" s="302"/>
      <c r="AJ584" s="303"/>
      <c r="AK584">
        <v>33.51327777777778</v>
      </c>
      <c r="AL584" s="521"/>
      <c r="AM584">
        <v>4.7</v>
      </c>
      <c r="AN584" s="303">
        <v>42244</v>
      </c>
      <c r="AO584">
        <v>130</v>
      </c>
      <c r="AP584" s="303">
        <v>42170</v>
      </c>
      <c r="AQ584" s="302"/>
      <c r="AR584" s="303"/>
      <c r="AS584" s="302"/>
      <c r="AT584" s="303"/>
      <c r="AU584">
        <v>108</v>
      </c>
      <c r="AV584" s="303"/>
      <c r="AW584" s="302"/>
      <c r="AX584" s="302"/>
      <c r="AY584" s="302"/>
      <c r="AZ584" s="303"/>
      <c r="BA584" s="302"/>
      <c r="BB584" s="302"/>
      <c r="BC584" s="302"/>
      <c r="BD584" s="302"/>
      <c r="BE584" s="302"/>
      <c r="BF584" s="302"/>
      <c r="BG584" s="302"/>
      <c r="BH584" s="302"/>
      <c r="BI584" s="302"/>
      <c r="BJ584" s="302"/>
      <c r="BM584">
        <v>-5.3</v>
      </c>
      <c r="BS584">
        <v>65.099999999999994</v>
      </c>
      <c r="BY584">
        <v>53.3</v>
      </c>
      <c r="CA584">
        <v>13.9</v>
      </c>
      <c r="CC584">
        <v>17.7</v>
      </c>
      <c r="CI584">
        <v>5.3</v>
      </c>
      <c r="CO584" t="s">
        <v>8698</v>
      </c>
      <c r="CR584">
        <v>1</v>
      </c>
      <c r="CT584" s="304" t="s">
        <v>11678</v>
      </c>
    </row>
    <row r="585" spans="1:98" s="304" customFormat="1">
      <c r="A585" s="304" t="s">
        <v>8506</v>
      </c>
      <c r="B585" s="463">
        <v>8</v>
      </c>
      <c r="C585" s="296" t="s">
        <v>7617</v>
      </c>
      <c r="D585" s="296" t="s">
        <v>7457</v>
      </c>
      <c r="E585" s="296" t="s">
        <v>7617</v>
      </c>
      <c r="F585" s="296"/>
      <c r="G585" s="296" t="s">
        <v>8506</v>
      </c>
      <c r="H585" s="297" t="s">
        <v>8697</v>
      </c>
      <c r="I585" s="297">
        <v>4</v>
      </c>
      <c r="J585" s="297">
        <v>426</v>
      </c>
      <c r="K585" s="299"/>
      <c r="L585" s="299"/>
      <c r="M585" s="299">
        <v>97</v>
      </c>
      <c r="N585" s="299">
        <v>7</v>
      </c>
      <c r="O585" s="300">
        <v>60</v>
      </c>
      <c r="P585" s="301">
        <v>42090</v>
      </c>
      <c r="Q585" s="302"/>
      <c r="R585" s="303"/>
      <c r="S585" s="289">
        <v>4.25</v>
      </c>
      <c r="T585" s="303">
        <v>42208</v>
      </c>
      <c r="U585" s="302"/>
      <c r="V585" s="303"/>
      <c r="W585" s="302"/>
      <c r="X585" s="303"/>
      <c r="Y585" s="302">
        <v>16.97</v>
      </c>
      <c r="Z585" s="303">
        <v>42208</v>
      </c>
      <c r="AA585">
        <v>14.4</v>
      </c>
      <c r="AB585" s="303"/>
      <c r="AC585" s="302"/>
      <c r="AD585" s="303"/>
      <c r="AE585" s="302"/>
      <c r="AF585" s="303"/>
      <c r="AG585">
        <v>58216.459810874694</v>
      </c>
      <c r="AH585" s="521">
        <f>(AK585*10000)/AM585</f>
        <v>58216.459810874694</v>
      </c>
      <c r="AI585" s="302"/>
      <c r="AJ585" s="303"/>
      <c r="AK585">
        <v>27.361736111111107</v>
      </c>
      <c r="AL585" s="521"/>
      <c r="AM585">
        <v>4.7</v>
      </c>
      <c r="AN585" s="303">
        <v>42244</v>
      </c>
      <c r="AO585">
        <v>145</v>
      </c>
      <c r="AP585" s="303">
        <v>42170</v>
      </c>
      <c r="AQ585" s="302"/>
      <c r="AR585" s="303"/>
      <c r="AS585" s="302"/>
      <c r="AT585" s="303"/>
      <c r="AU585">
        <v>113</v>
      </c>
      <c r="AV585" s="303"/>
      <c r="AW585" s="302"/>
      <c r="AX585" s="302"/>
      <c r="AY585" s="302"/>
      <c r="AZ585" s="303"/>
      <c r="BA585" s="302"/>
      <c r="BB585" s="302"/>
      <c r="BC585" s="302"/>
      <c r="BD585" s="302"/>
      <c r="BE585" s="302"/>
      <c r="BF585" s="302"/>
      <c r="BG585" s="302"/>
      <c r="BH585" s="302"/>
      <c r="BI585" s="302"/>
      <c r="BJ585" s="302"/>
      <c r="BM585">
        <v>48.6</v>
      </c>
      <c r="BS585">
        <v>9.6999999999999993</v>
      </c>
      <c r="BY585">
        <v>55.3</v>
      </c>
      <c r="CA585">
        <v>15.5</v>
      </c>
      <c r="CC585">
        <v>53.8</v>
      </c>
      <c r="CI585">
        <v>5.4</v>
      </c>
      <c r="CO585" t="s">
        <v>8698</v>
      </c>
      <c r="CR585">
        <v>2</v>
      </c>
      <c r="CT585" s="304" t="s">
        <v>11678</v>
      </c>
    </row>
    <row r="586" spans="1:98" s="304" customFormat="1">
      <c r="A586" s="304" t="s">
        <v>8506</v>
      </c>
      <c r="B586" s="463">
        <v>38</v>
      </c>
      <c r="C586" s="296" t="s">
        <v>7654</v>
      </c>
      <c r="D586" s="296" t="s">
        <v>7488</v>
      </c>
      <c r="E586" s="296" t="s">
        <v>7654</v>
      </c>
      <c r="F586" s="296"/>
      <c r="G586" s="296" t="s">
        <v>8506</v>
      </c>
      <c r="H586" s="297" t="s">
        <v>8696</v>
      </c>
      <c r="I586" s="297">
        <v>3</v>
      </c>
      <c r="J586" s="297">
        <v>3326</v>
      </c>
      <c r="K586" s="299"/>
      <c r="L586" s="299"/>
      <c r="M586" s="299">
        <v>97</v>
      </c>
      <c r="N586" s="299">
        <v>6</v>
      </c>
      <c r="O586" s="300">
        <v>36</v>
      </c>
      <c r="P586" s="301">
        <v>42090</v>
      </c>
      <c r="Q586" s="302"/>
      <c r="R586" s="303"/>
      <c r="S586" s="289">
        <v>5.55</v>
      </c>
      <c r="T586" s="303">
        <v>42208</v>
      </c>
      <c r="U586" s="302"/>
      <c r="V586" s="303"/>
      <c r="W586" s="302"/>
      <c r="X586" s="303"/>
      <c r="Y586" s="302">
        <v>19.21</v>
      </c>
      <c r="Z586" s="303">
        <v>42208</v>
      </c>
      <c r="AA586">
        <v>14.4</v>
      </c>
      <c r="AB586" s="303"/>
      <c r="AC586" s="302"/>
      <c r="AD586" s="303"/>
      <c r="AE586" s="302"/>
      <c r="AF586" s="303"/>
      <c r="AG586">
        <v>67488.639937106927</v>
      </c>
      <c r="AH586" s="521">
        <f>(AK586*10000)/AM586</f>
        <v>67488.639937106927</v>
      </c>
      <c r="AI586" s="302"/>
      <c r="AJ586" s="303"/>
      <c r="AK586">
        <v>35.768979166666668</v>
      </c>
      <c r="AL586" s="521"/>
      <c r="AM586">
        <v>5.3</v>
      </c>
      <c r="AN586" s="303">
        <v>42244</v>
      </c>
      <c r="AO586">
        <v>125</v>
      </c>
      <c r="AP586" s="303">
        <v>42170</v>
      </c>
      <c r="AQ586" s="302"/>
      <c r="AR586" s="303"/>
      <c r="AS586" s="302"/>
      <c r="AT586" s="303"/>
      <c r="AU586">
        <v>108</v>
      </c>
      <c r="AV586" s="303"/>
      <c r="AW586" s="302"/>
      <c r="AX586" s="302"/>
      <c r="AY586" s="302"/>
      <c r="AZ586" s="303"/>
      <c r="BA586" s="302"/>
      <c r="BB586" s="302"/>
      <c r="BC586" s="302"/>
      <c r="BD586" s="302"/>
      <c r="BE586" s="302"/>
      <c r="BF586" s="302"/>
      <c r="BG586" s="302"/>
      <c r="BH586" s="302"/>
      <c r="BI586" s="302"/>
      <c r="BJ586" s="302"/>
      <c r="BM586">
        <v>-0.5</v>
      </c>
      <c r="BS586">
        <v>56.4</v>
      </c>
      <c r="BY586">
        <v>47.9</v>
      </c>
      <c r="CA586">
        <v>19.7</v>
      </c>
      <c r="CC586">
        <v>57.8</v>
      </c>
      <c r="CI586">
        <v>5.3</v>
      </c>
      <c r="CO586" t="s">
        <v>8698</v>
      </c>
      <c r="CR586">
        <v>2</v>
      </c>
      <c r="CT586" s="304" t="s">
        <v>11678</v>
      </c>
    </row>
    <row r="587" spans="1:98" s="304" customFormat="1">
      <c r="A587" s="304" t="s">
        <v>8506</v>
      </c>
      <c r="B587" s="463">
        <v>65</v>
      </c>
      <c r="C587" s="296" t="s">
        <v>7683</v>
      </c>
      <c r="D587" s="296" t="s">
        <v>7513</v>
      </c>
      <c r="E587" s="296" t="s">
        <v>7683</v>
      </c>
      <c r="F587" s="296"/>
      <c r="G587" s="296" t="s">
        <v>8506</v>
      </c>
      <c r="H587" s="297" t="s">
        <v>8696</v>
      </c>
      <c r="I587" s="297">
        <v>3</v>
      </c>
      <c r="J587" s="297">
        <v>3146</v>
      </c>
      <c r="K587" s="299"/>
      <c r="L587" s="299"/>
      <c r="M587" s="299">
        <v>97</v>
      </c>
      <c r="N587" s="299">
        <v>3</v>
      </c>
      <c r="O587" s="300">
        <v>32</v>
      </c>
      <c r="P587" s="301">
        <v>42090</v>
      </c>
      <c r="Q587" s="302"/>
      <c r="R587" s="303"/>
      <c r="S587" s="289">
        <v>4.8499999999999996</v>
      </c>
      <c r="T587" s="303">
        <v>42208</v>
      </c>
      <c r="U587" s="302"/>
      <c r="V587" s="303"/>
      <c r="W587" s="302"/>
      <c r="X587" s="303"/>
      <c r="Y587" s="302">
        <v>17.559999999999999</v>
      </c>
      <c r="Z587" s="303">
        <v>42208</v>
      </c>
      <c r="AA587">
        <v>14.4</v>
      </c>
      <c r="AB587" s="303"/>
      <c r="AC587" s="302"/>
      <c r="AD587" s="303"/>
      <c r="AE587" s="302"/>
      <c r="AF587" s="303"/>
      <c r="AG587">
        <v>57762.152777777766</v>
      </c>
      <c r="AH587" s="521">
        <f>(AK587*10000)/AM587</f>
        <v>57762.152777777766</v>
      </c>
      <c r="AI587" s="302"/>
      <c r="AJ587" s="303"/>
      <c r="AK587">
        <v>31.191562499999993</v>
      </c>
      <c r="AL587" s="521"/>
      <c r="AM587">
        <v>5.4</v>
      </c>
      <c r="AN587" s="303">
        <v>42244</v>
      </c>
      <c r="AO587">
        <v>130</v>
      </c>
      <c r="AP587" s="303">
        <v>42170</v>
      </c>
      <c r="AQ587" s="302"/>
      <c r="AR587" s="303"/>
      <c r="AS587" s="302"/>
      <c r="AT587" s="303"/>
      <c r="AU587">
        <v>110</v>
      </c>
      <c r="AV587" s="303"/>
      <c r="AW587" s="302"/>
      <c r="AX587" s="302"/>
      <c r="AY587" s="302"/>
      <c r="AZ587" s="303"/>
      <c r="BA587" s="302"/>
      <c r="BB587" s="302"/>
      <c r="BC587" s="302"/>
      <c r="BD587" s="302"/>
      <c r="BE587" s="302"/>
      <c r="BF587" s="302"/>
      <c r="BG587" s="302"/>
      <c r="BH587" s="302"/>
      <c r="BI587" s="302"/>
      <c r="BJ587" s="302"/>
      <c r="BM587">
        <v>-2.7</v>
      </c>
      <c r="BS587">
        <v>62.8</v>
      </c>
      <c r="BY587">
        <v>50.2</v>
      </c>
      <c r="CA587">
        <v>19.399999999999999</v>
      </c>
      <c r="CC587">
        <v>18.899999999999999</v>
      </c>
      <c r="CI587">
        <v>5.5</v>
      </c>
      <c r="CO587" t="s">
        <v>8699</v>
      </c>
      <c r="CR587">
        <v>2</v>
      </c>
      <c r="CT587" s="304" t="s">
        <v>11678</v>
      </c>
    </row>
    <row r="588" spans="1:98" s="304" customFormat="1">
      <c r="A588" s="304" t="s">
        <v>8506</v>
      </c>
      <c r="B588" s="463">
        <v>101</v>
      </c>
      <c r="C588" s="296" t="s">
        <v>7719</v>
      </c>
      <c r="D588" s="296" t="s">
        <v>7546</v>
      </c>
      <c r="E588" s="296" t="s">
        <v>7719</v>
      </c>
      <c r="F588" s="296"/>
      <c r="G588" s="296" t="s">
        <v>8506</v>
      </c>
      <c r="H588" s="297" t="s">
        <v>8696</v>
      </c>
      <c r="I588" s="297">
        <v>3</v>
      </c>
      <c r="J588" s="297">
        <v>386</v>
      </c>
      <c r="K588" s="299"/>
      <c r="L588" s="299"/>
      <c r="M588" s="299">
        <v>97</v>
      </c>
      <c r="N588" s="299">
        <v>2</v>
      </c>
      <c r="O588" s="300">
        <v>68</v>
      </c>
      <c r="P588" s="301">
        <v>42090</v>
      </c>
      <c r="Q588" s="302"/>
      <c r="R588" s="303"/>
      <c r="S588" s="289">
        <v>5.7</v>
      </c>
      <c r="T588" s="303">
        <v>42208</v>
      </c>
      <c r="U588" s="302"/>
      <c r="V588" s="303"/>
      <c r="W588" s="302"/>
      <c r="X588" s="303"/>
      <c r="Y588" s="302">
        <v>20.51</v>
      </c>
      <c r="Z588" s="303">
        <v>42208</v>
      </c>
      <c r="AA588">
        <v>14.4</v>
      </c>
      <c r="AB588" s="303"/>
      <c r="AC588" s="302"/>
      <c r="AD588" s="303"/>
      <c r="AE588" s="302"/>
      <c r="AF588" s="303"/>
      <c r="AG588">
        <v>72152.5</v>
      </c>
      <c r="AH588" s="521">
        <f>(AK588*10000)/AM588</f>
        <v>72152.5</v>
      </c>
      <c r="AI588" s="302"/>
      <c r="AJ588" s="303"/>
      <c r="AK588">
        <v>36.076250000000002</v>
      </c>
      <c r="AL588" s="521"/>
      <c r="AM588">
        <v>5</v>
      </c>
      <c r="AN588" s="303">
        <v>42244</v>
      </c>
      <c r="AO588">
        <v>120</v>
      </c>
      <c r="AP588" s="303">
        <v>42170</v>
      </c>
      <c r="AQ588" s="302"/>
      <c r="AR588" s="303"/>
      <c r="AS588" s="302"/>
      <c r="AT588" s="303"/>
      <c r="AU588">
        <v>108</v>
      </c>
      <c r="AV588" s="303"/>
      <c r="AW588" s="302"/>
      <c r="AX588" s="302"/>
      <c r="AY588" s="302"/>
      <c r="AZ588" s="303"/>
      <c r="BA588" s="302"/>
      <c r="BB588" s="302"/>
      <c r="BC588" s="302"/>
      <c r="BD588" s="302"/>
      <c r="BE588" s="302"/>
      <c r="BF588" s="302"/>
      <c r="BG588" s="302"/>
      <c r="BH588" s="302"/>
      <c r="BI588" s="302"/>
      <c r="BJ588" s="302"/>
      <c r="BM588">
        <v>-4.8</v>
      </c>
      <c r="BS588">
        <v>64.599999999999994</v>
      </c>
      <c r="BY588">
        <v>50.7</v>
      </c>
      <c r="CA588">
        <v>17.899999999999999</v>
      </c>
      <c r="CC588">
        <v>15.9</v>
      </c>
      <c r="CI588">
        <v>7</v>
      </c>
      <c r="CO588" t="s">
        <v>8699</v>
      </c>
      <c r="CR588">
        <v>5</v>
      </c>
      <c r="CT588" s="304" t="s">
        <v>11678</v>
      </c>
    </row>
    <row r="589" spans="1:98" s="304" customFormat="1">
      <c r="A589" s="304" t="s">
        <v>8506</v>
      </c>
      <c r="B589" s="463">
        <v>142</v>
      </c>
      <c r="C589" s="296" t="s">
        <v>7770</v>
      </c>
      <c r="D589" s="296" t="s">
        <v>7571</v>
      </c>
      <c r="E589" s="296" t="s">
        <v>7770</v>
      </c>
      <c r="F589" s="296"/>
      <c r="G589" s="296" t="s">
        <v>8506</v>
      </c>
      <c r="H589" s="297" t="s">
        <v>8697</v>
      </c>
      <c r="I589" s="297">
        <v>4</v>
      </c>
      <c r="J589" s="297">
        <v>4146</v>
      </c>
      <c r="K589" s="299"/>
      <c r="L589" s="299"/>
      <c r="M589" s="299">
        <v>97</v>
      </c>
      <c r="N589" s="299">
        <v>9</v>
      </c>
      <c r="O589" s="300">
        <v>84</v>
      </c>
      <c r="P589" s="301">
        <v>42090</v>
      </c>
      <c r="Q589" s="302"/>
      <c r="R589" s="303"/>
      <c r="S589" s="289">
        <v>5.4</v>
      </c>
      <c r="T589" s="303">
        <v>42208</v>
      </c>
      <c r="U589" s="302"/>
      <c r="V589" s="303"/>
      <c r="W589" s="302"/>
      <c r="X589" s="303"/>
      <c r="Y589" s="302">
        <v>21.77</v>
      </c>
      <c r="Z589" s="303">
        <v>42208</v>
      </c>
      <c r="AA589">
        <v>14.4</v>
      </c>
      <c r="AB589" s="303"/>
      <c r="AC589" s="302"/>
      <c r="AD589" s="303"/>
      <c r="AE589" s="302"/>
      <c r="AF589" s="303"/>
      <c r="AG589">
        <v>82862.5</v>
      </c>
      <c r="AH589" s="521">
        <f>(AK589*10000)/AM589</f>
        <v>82862.5</v>
      </c>
      <c r="AI589" s="302"/>
      <c r="AJ589" s="303"/>
      <c r="AK589">
        <v>34.802250000000001</v>
      </c>
      <c r="AL589" s="521"/>
      <c r="AM589">
        <v>4.2</v>
      </c>
      <c r="AN589" s="303">
        <v>42244</v>
      </c>
      <c r="AO589">
        <v>130</v>
      </c>
      <c r="AP589" s="303">
        <v>42170</v>
      </c>
      <c r="AQ589" s="302"/>
      <c r="AR589" s="303"/>
      <c r="AS589" s="302"/>
      <c r="AT589" s="303"/>
      <c r="AU589">
        <v>105</v>
      </c>
      <c r="AV589" s="303"/>
      <c r="AW589" s="302"/>
      <c r="AX589" s="302"/>
      <c r="AY589" s="302"/>
      <c r="AZ589" s="303"/>
      <c r="BA589" s="302"/>
      <c r="BB589" s="302"/>
      <c r="BC589" s="302"/>
      <c r="BD589" s="302"/>
      <c r="BE589" s="302"/>
      <c r="BF589" s="302"/>
      <c r="BG589" s="302"/>
      <c r="BH589" s="302"/>
      <c r="BI589" s="302"/>
      <c r="BJ589" s="302"/>
      <c r="BM589">
        <v>-7.8</v>
      </c>
      <c r="BS589">
        <v>67.400000000000006</v>
      </c>
      <c r="BY589">
        <v>55.8</v>
      </c>
      <c r="CA589">
        <v>13.7</v>
      </c>
      <c r="CC589">
        <v>13.6</v>
      </c>
      <c r="CI589">
        <v>5.3</v>
      </c>
      <c r="CO589" t="s">
        <v>8698</v>
      </c>
      <c r="CR589">
        <v>2</v>
      </c>
      <c r="CT589" s="304" t="s">
        <v>11678</v>
      </c>
    </row>
    <row r="590" spans="1:98" s="304" customFormat="1">
      <c r="A590" s="304" t="s">
        <v>8506</v>
      </c>
      <c r="B590" s="463">
        <v>159</v>
      </c>
      <c r="C590" s="296" t="s">
        <v>7787</v>
      </c>
      <c r="D590" s="296" t="s">
        <v>7588</v>
      </c>
      <c r="E590" s="296" t="s">
        <v>7787</v>
      </c>
      <c r="F590" s="296"/>
      <c r="G590" s="296" t="s">
        <v>8506</v>
      </c>
      <c r="H590" s="297" t="s">
        <v>8696</v>
      </c>
      <c r="I590" s="297">
        <v>3</v>
      </c>
      <c r="J590" s="297">
        <v>3266</v>
      </c>
      <c r="K590" s="299"/>
      <c r="L590" s="299"/>
      <c r="M590" s="299">
        <v>97</v>
      </c>
      <c r="N590" s="299">
        <v>5</v>
      </c>
      <c r="O590" s="300">
        <v>11</v>
      </c>
      <c r="P590" s="301">
        <v>42090</v>
      </c>
      <c r="Q590" s="302"/>
      <c r="R590" s="303"/>
      <c r="S590" s="289"/>
      <c r="T590" s="303"/>
      <c r="U590" s="302"/>
      <c r="V590" s="303"/>
      <c r="W590" s="302"/>
      <c r="X590" s="303"/>
      <c r="Y590" s="302"/>
      <c r="Z590" s="303"/>
      <c r="AA590"/>
      <c r="AB590" s="303"/>
      <c r="AC590" s="302"/>
      <c r="AD590" s="303"/>
      <c r="AE590" s="302"/>
      <c r="AF590" s="303"/>
      <c r="AG590" t="e">
        <v>#DIV/0!</v>
      </c>
      <c r="AH590" s="521" t="e">
        <f>(AK590*10000)/AM590</f>
        <v>#DIV/0!</v>
      </c>
      <c r="AI590" s="302"/>
      <c r="AJ590" s="303"/>
      <c r="AK590" t="e">
        <v>#DIV/0!</v>
      </c>
      <c r="AL590" s="521"/>
      <c r="AM590"/>
      <c r="AN590" s="303"/>
      <c r="AO590"/>
      <c r="AP590" s="303"/>
      <c r="AQ590" s="302"/>
      <c r="AR590" s="303"/>
      <c r="AS590" s="302"/>
      <c r="AT590" s="303"/>
      <c r="AU590"/>
      <c r="AV590" s="303"/>
      <c r="AW590" s="302"/>
      <c r="AX590" s="302"/>
      <c r="AY590" s="302"/>
      <c r="AZ590" s="303"/>
      <c r="BA590" s="302"/>
      <c r="BB590" s="302"/>
      <c r="BC590" s="302"/>
      <c r="BD590" s="302"/>
      <c r="BE590" s="302"/>
      <c r="BF590" s="302"/>
      <c r="BG590" s="302"/>
      <c r="BH590" s="302"/>
      <c r="BI590" s="302"/>
      <c r="BJ590" s="302"/>
      <c r="BM590"/>
      <c r="BS590"/>
      <c r="BY590"/>
      <c r="CA590"/>
      <c r="CC590"/>
      <c r="CI590"/>
      <c r="CO590" t="s">
        <v>8712</v>
      </c>
      <c r="CR590"/>
      <c r="CT590" s="304" t="s">
        <v>11677</v>
      </c>
    </row>
    <row r="591" spans="1:98" s="304" customFormat="1">
      <c r="A591" s="304" t="s">
        <v>8506</v>
      </c>
      <c r="B591" s="463">
        <v>173</v>
      </c>
      <c r="C591" s="296" t="s">
        <v>7801</v>
      </c>
      <c r="D591" s="296" t="s">
        <v>8689</v>
      </c>
      <c r="E591" s="296" t="s">
        <v>7801</v>
      </c>
      <c r="F591" s="296"/>
      <c r="G591" s="296" t="s">
        <v>8506</v>
      </c>
      <c r="H591" s="297" t="s">
        <v>8697</v>
      </c>
      <c r="I591" s="297">
        <v>4</v>
      </c>
      <c r="J591" s="308">
        <v>4206</v>
      </c>
      <c r="K591" s="299"/>
      <c r="L591" s="299"/>
      <c r="M591" s="299">
        <v>97</v>
      </c>
      <c r="N591" s="299">
        <v>10</v>
      </c>
      <c r="O591" s="300">
        <v>33</v>
      </c>
      <c r="P591" s="301">
        <v>42090</v>
      </c>
      <c r="Q591" s="306"/>
      <c r="R591" s="303"/>
      <c r="S591" s="289">
        <v>4.8499999999999996</v>
      </c>
      <c r="T591" s="303">
        <v>42208</v>
      </c>
      <c r="U591" s="307"/>
      <c r="V591" s="303"/>
      <c r="W591" s="306"/>
      <c r="X591" s="303"/>
      <c r="Y591" s="306">
        <v>18.440000000000001</v>
      </c>
      <c r="Z591" s="303">
        <v>42208</v>
      </c>
      <c r="AA591">
        <v>14.4</v>
      </c>
      <c r="AB591" s="303"/>
      <c r="AC591" s="306"/>
      <c r="AD591" s="303"/>
      <c r="AE591" s="302"/>
      <c r="AF591" s="303"/>
      <c r="AG591">
        <v>62515.152777777774</v>
      </c>
      <c r="AH591" s="521">
        <f>(AK591*10000)/AM591</f>
        <v>62515.152777777774</v>
      </c>
      <c r="AI591" s="302"/>
      <c r="AJ591" s="303"/>
      <c r="AK591">
        <v>31.257576388888886</v>
      </c>
      <c r="AL591" s="521"/>
      <c r="AM591">
        <v>5</v>
      </c>
      <c r="AN591" s="303">
        <v>42244</v>
      </c>
      <c r="AO591">
        <v>130</v>
      </c>
      <c r="AP591" s="303">
        <v>42170</v>
      </c>
      <c r="AQ591" s="306"/>
      <c r="AR591" s="303"/>
      <c r="AS591" s="306"/>
      <c r="AT591" s="303"/>
      <c r="AU591">
        <v>110</v>
      </c>
      <c r="AV591" s="303"/>
      <c r="AW591" s="302"/>
      <c r="AX591" s="302"/>
      <c r="AY591" s="302"/>
      <c r="AZ591" s="303"/>
      <c r="BA591" s="302"/>
      <c r="BB591" s="302"/>
      <c r="BC591" s="302"/>
      <c r="BD591" s="302"/>
      <c r="BE591" s="302"/>
      <c r="BF591" s="302"/>
      <c r="BG591" s="302"/>
      <c r="BH591" s="302"/>
      <c r="BI591" s="302"/>
      <c r="BJ591" s="302"/>
      <c r="BM591">
        <v>-4.5</v>
      </c>
      <c r="BS591">
        <v>65.7</v>
      </c>
      <c r="BY591">
        <v>52.6</v>
      </c>
      <c r="CA591">
        <v>15.7</v>
      </c>
      <c r="CC591">
        <v>17.600000000000001</v>
      </c>
      <c r="CI591">
        <v>5.3</v>
      </c>
      <c r="CO591" t="s">
        <v>8698</v>
      </c>
      <c r="CR591">
        <v>1</v>
      </c>
      <c r="CT591" s="304" t="s">
        <v>11678</v>
      </c>
    </row>
    <row r="592" spans="1:98" s="304" customFormat="1">
      <c r="A592" s="304" t="s">
        <v>8506</v>
      </c>
      <c r="B592" s="463">
        <v>178</v>
      </c>
      <c r="C592" s="296" t="s">
        <v>7806</v>
      </c>
      <c r="D592" s="296" t="s">
        <v>7603</v>
      </c>
      <c r="E592" s="296" t="s">
        <v>7806</v>
      </c>
      <c r="F592" s="296"/>
      <c r="G592" s="296" t="s">
        <v>8506</v>
      </c>
      <c r="H592" s="297" t="s">
        <v>8697</v>
      </c>
      <c r="I592" s="297">
        <v>4</v>
      </c>
      <c r="J592" s="297">
        <v>4326</v>
      </c>
      <c r="K592" s="299"/>
      <c r="L592" s="299"/>
      <c r="M592" s="299">
        <v>97</v>
      </c>
      <c r="N592" s="299">
        <v>12</v>
      </c>
      <c r="O592" s="300">
        <v>41</v>
      </c>
      <c r="P592" s="301">
        <v>42090</v>
      </c>
      <c r="Q592" s="302"/>
      <c r="R592" s="303"/>
      <c r="S592" s="289">
        <v>5.4</v>
      </c>
      <c r="T592" s="303">
        <v>42208</v>
      </c>
      <c r="U592" s="302"/>
      <c r="V592" s="303"/>
      <c r="W592" s="302"/>
      <c r="X592" s="303"/>
      <c r="Y592" s="302">
        <v>19.86</v>
      </c>
      <c r="Z592" s="303">
        <v>42208</v>
      </c>
      <c r="AA592">
        <v>14.4</v>
      </c>
      <c r="AB592" s="303"/>
      <c r="AC592" s="302"/>
      <c r="AD592" s="303"/>
      <c r="AE592" s="302"/>
      <c r="AF592" s="303"/>
      <c r="AG592">
        <v>71025</v>
      </c>
      <c r="AH592" s="521">
        <f>(AK592*10000)/AM592</f>
        <v>71025</v>
      </c>
      <c r="AI592" s="302"/>
      <c r="AJ592" s="303"/>
      <c r="AK592">
        <v>34.802250000000001</v>
      </c>
      <c r="AL592" s="521"/>
      <c r="AM592">
        <v>4.9000000000000004</v>
      </c>
      <c r="AN592" s="303">
        <v>42244</v>
      </c>
      <c r="AO592">
        <v>120</v>
      </c>
      <c r="AP592" s="303">
        <v>42170</v>
      </c>
      <c r="AQ592" s="302"/>
      <c r="AR592" s="303"/>
      <c r="AS592" s="302"/>
      <c r="AT592" s="303"/>
      <c r="AU592">
        <v>109</v>
      </c>
      <c r="AV592" s="303"/>
      <c r="AW592" s="302"/>
      <c r="AX592" s="302"/>
      <c r="AY592" s="302"/>
      <c r="AZ592" s="303"/>
      <c r="BA592" s="302"/>
      <c r="BB592" s="302"/>
      <c r="BC592" s="302"/>
      <c r="BD592" s="302"/>
      <c r="BE592" s="302"/>
      <c r="BF592" s="302"/>
      <c r="BG592" s="302"/>
      <c r="BH592" s="302"/>
      <c r="BI592" s="302"/>
      <c r="BJ592" s="302"/>
      <c r="BM592">
        <v>0.5</v>
      </c>
      <c r="BS592">
        <v>61.4</v>
      </c>
      <c r="BY592">
        <v>50.9</v>
      </c>
      <c r="CA592">
        <v>16.899999999999999</v>
      </c>
      <c r="CC592">
        <v>12.3</v>
      </c>
      <c r="CI592">
        <v>5.3</v>
      </c>
      <c r="CO592" t="s">
        <v>8698</v>
      </c>
      <c r="CR592">
        <v>1</v>
      </c>
      <c r="CT592" s="304" t="s">
        <v>11678</v>
      </c>
    </row>
    <row r="593" spans="1:98" s="304" customFormat="1">
      <c r="A593" s="304" t="s">
        <v>8506</v>
      </c>
      <c r="B593" s="463">
        <v>18</v>
      </c>
      <c r="C593" s="296" t="s">
        <v>7627</v>
      </c>
      <c r="D593" s="296" t="s">
        <v>7464</v>
      </c>
      <c r="E593" s="296" t="s">
        <v>7627</v>
      </c>
      <c r="F593" s="296"/>
      <c r="G593" s="296" t="s">
        <v>8506</v>
      </c>
      <c r="H593" s="297" t="s">
        <v>8697</v>
      </c>
      <c r="I593" s="297">
        <v>4</v>
      </c>
      <c r="J593" s="297">
        <v>4147</v>
      </c>
      <c r="K593" s="299"/>
      <c r="L593" s="299"/>
      <c r="M593" s="299">
        <v>98</v>
      </c>
      <c r="N593" s="299">
        <v>9</v>
      </c>
      <c r="O593" s="300">
        <v>36</v>
      </c>
      <c r="P593" s="301">
        <v>42090</v>
      </c>
      <c r="Q593" s="302"/>
      <c r="R593" s="303"/>
      <c r="S593" s="289">
        <v>3.6</v>
      </c>
      <c r="T593" s="303">
        <v>42208</v>
      </c>
      <c r="U593" s="302"/>
      <c r="V593" s="303"/>
      <c r="W593" s="302"/>
      <c r="X593" s="303"/>
      <c r="Y593" s="302">
        <v>13.07</v>
      </c>
      <c r="Z593" s="303">
        <v>42208</v>
      </c>
      <c r="AA593">
        <v>14.4</v>
      </c>
      <c r="AB593" s="303"/>
      <c r="AC593" s="302"/>
      <c r="AD593" s="303"/>
      <c r="AE593" s="302"/>
      <c r="AF593" s="303"/>
      <c r="AG593">
        <v>43822.641509433961</v>
      </c>
      <c r="AH593" s="521">
        <f>(AK593*10000)/AM593</f>
        <v>43822.641509433961</v>
      </c>
      <c r="AI593" s="302"/>
      <c r="AJ593" s="303"/>
      <c r="AK593">
        <v>23.225999999999999</v>
      </c>
      <c r="AL593" s="521"/>
      <c r="AM593">
        <v>5.3</v>
      </c>
      <c r="AN593" s="303">
        <v>42244</v>
      </c>
      <c r="AO593">
        <v>120</v>
      </c>
      <c r="AP593" s="303">
        <v>42170</v>
      </c>
      <c r="AQ593" s="302"/>
      <c r="AR593" s="303"/>
      <c r="AS593" s="302"/>
      <c r="AT593" s="303"/>
      <c r="AU593">
        <v>108</v>
      </c>
      <c r="AV593" s="303"/>
      <c r="AW593" s="302"/>
      <c r="AX593" s="302"/>
      <c r="AY593" s="302"/>
      <c r="AZ593" s="303"/>
      <c r="BA593" s="302"/>
      <c r="BB593" s="302"/>
      <c r="BC593" s="302"/>
      <c r="BD593" s="302"/>
      <c r="BE593" s="302"/>
      <c r="BF593" s="302"/>
      <c r="BG593" s="302"/>
      <c r="BH593" s="302"/>
      <c r="BI593" s="302"/>
      <c r="BJ593" s="302"/>
      <c r="BM593">
        <v>3.1</v>
      </c>
      <c r="BS593">
        <v>58</v>
      </c>
      <c r="BY593">
        <v>50.2</v>
      </c>
      <c r="CA593">
        <v>19.2</v>
      </c>
      <c r="CC593">
        <v>49.7</v>
      </c>
      <c r="CI593">
        <v>5.2</v>
      </c>
      <c r="CO593" t="s">
        <v>8698</v>
      </c>
      <c r="CR593">
        <v>2</v>
      </c>
      <c r="CT593" s="304" t="s">
        <v>11678</v>
      </c>
    </row>
    <row r="594" spans="1:98" s="304" customFormat="1">
      <c r="A594" s="304" t="s">
        <v>8506</v>
      </c>
      <c r="B594" s="463">
        <v>76</v>
      </c>
      <c r="C594" s="296" t="s">
        <v>7694</v>
      </c>
      <c r="D594" s="296" t="s">
        <v>7523</v>
      </c>
      <c r="E594" s="296" t="s">
        <v>7694</v>
      </c>
      <c r="F594" s="296"/>
      <c r="G594" s="296" t="s">
        <v>8506</v>
      </c>
      <c r="H594" s="297" t="s">
        <v>8697</v>
      </c>
      <c r="I594" s="297">
        <v>4</v>
      </c>
      <c r="J594" s="297">
        <v>4327</v>
      </c>
      <c r="K594" s="299"/>
      <c r="L594" s="299"/>
      <c r="M594" s="299">
        <v>98</v>
      </c>
      <c r="N594" s="299">
        <v>12</v>
      </c>
      <c r="O594" s="300">
        <v>30</v>
      </c>
      <c r="P594" s="301">
        <v>42090</v>
      </c>
      <c r="Q594" s="302"/>
      <c r="R594" s="303"/>
      <c r="S594" s="289">
        <v>4.6500000000000004</v>
      </c>
      <c r="T594" s="303">
        <v>42208</v>
      </c>
      <c r="U594" s="302"/>
      <c r="V594" s="303"/>
      <c r="W594" s="302"/>
      <c r="X594" s="303"/>
      <c r="Y594" s="302">
        <v>16.62</v>
      </c>
      <c r="Z594" s="303">
        <v>42208</v>
      </c>
      <c r="AA594">
        <v>14.4</v>
      </c>
      <c r="AB594" s="303"/>
      <c r="AC594" s="302"/>
      <c r="AD594" s="303"/>
      <c r="AE594" s="302"/>
      <c r="AF594" s="303"/>
      <c r="AG594">
        <v>60000.5</v>
      </c>
      <c r="AH594" s="521">
        <f>(AK594*10000)/AM594</f>
        <v>60000.5</v>
      </c>
      <c r="AI594" s="302"/>
      <c r="AJ594" s="303"/>
      <c r="AK594">
        <v>30.000250000000001</v>
      </c>
      <c r="AL594" s="521"/>
      <c r="AM594">
        <v>5</v>
      </c>
      <c r="AN594" s="303">
        <v>42244</v>
      </c>
      <c r="AO594">
        <v>130</v>
      </c>
      <c r="AP594" s="303">
        <v>42170</v>
      </c>
      <c r="AQ594" s="302"/>
      <c r="AR594" s="303"/>
      <c r="AS594" s="302"/>
      <c r="AT594" s="303"/>
      <c r="AU594">
        <v>110</v>
      </c>
      <c r="AV594" s="303"/>
      <c r="AW594" s="302"/>
      <c r="AX594" s="302"/>
      <c r="AY594" s="302"/>
      <c r="AZ594" s="303"/>
      <c r="BA594" s="302"/>
      <c r="BB594" s="302"/>
      <c r="BC594" s="302"/>
      <c r="BD594" s="302"/>
      <c r="BE594" s="302"/>
      <c r="BF594" s="302"/>
      <c r="BG594" s="302"/>
      <c r="BH594" s="302"/>
      <c r="BI594" s="302"/>
      <c r="BJ594" s="302"/>
      <c r="BM594">
        <v>1.8</v>
      </c>
      <c r="BS594">
        <v>59.3</v>
      </c>
      <c r="BY594">
        <v>49.4</v>
      </c>
      <c r="CA594">
        <v>17.899999999999999</v>
      </c>
      <c r="CC594">
        <v>13.7</v>
      </c>
      <c r="CI594">
        <v>5.2</v>
      </c>
      <c r="CO594" t="s">
        <v>8698</v>
      </c>
      <c r="CR594">
        <v>1</v>
      </c>
      <c r="CT594" s="304" t="s">
        <v>11678</v>
      </c>
    </row>
    <row r="595" spans="1:98" s="304" customFormat="1">
      <c r="A595" s="304" t="s">
        <v>8506</v>
      </c>
      <c r="B595" s="463">
        <v>85</v>
      </c>
      <c r="C595" s="296" t="s">
        <v>7703</v>
      </c>
      <c r="D595" s="296" t="s">
        <v>7532</v>
      </c>
      <c r="E595" s="296" t="s">
        <v>7703</v>
      </c>
      <c r="F595" s="296"/>
      <c r="G595" s="296" t="s">
        <v>8506</v>
      </c>
      <c r="H595" s="297" t="s">
        <v>8696</v>
      </c>
      <c r="I595" s="297">
        <v>3</v>
      </c>
      <c r="J595" s="297">
        <v>327</v>
      </c>
      <c r="K595" s="299"/>
      <c r="L595" s="299"/>
      <c r="M595" s="299">
        <v>98</v>
      </c>
      <c r="N595" s="299">
        <v>1</v>
      </c>
      <c r="O595" s="300">
        <v>30</v>
      </c>
      <c r="P595" s="301">
        <v>42090</v>
      </c>
      <c r="Q595" s="302"/>
      <c r="R595" s="303"/>
      <c r="S595" s="289">
        <v>6</v>
      </c>
      <c r="T595" s="303">
        <v>42208</v>
      </c>
      <c r="U595" s="302"/>
      <c r="V595" s="303"/>
      <c r="W595" s="302"/>
      <c r="X595" s="303"/>
      <c r="Y595" s="302">
        <v>21.25</v>
      </c>
      <c r="Z595" s="303">
        <v>42208</v>
      </c>
      <c r="AA595">
        <v>14.4</v>
      </c>
      <c r="AB595" s="303"/>
      <c r="AC595" s="302"/>
      <c r="AD595" s="303"/>
      <c r="AE595" s="302"/>
      <c r="AF595" s="303"/>
      <c r="AG595">
        <v>74206.730769230751</v>
      </c>
      <c r="AH595" s="521">
        <f>(AK595*10000)/AM595</f>
        <v>74206.730769230751</v>
      </c>
      <c r="AI595" s="302"/>
      <c r="AJ595" s="303"/>
      <c r="AK595">
        <v>38.587499999999991</v>
      </c>
      <c r="AL595" s="521"/>
      <c r="AM595">
        <v>5.2</v>
      </c>
      <c r="AN595" s="303">
        <v>42244</v>
      </c>
      <c r="AO595">
        <v>115</v>
      </c>
      <c r="AP595" s="303">
        <v>42170</v>
      </c>
      <c r="AQ595" s="302"/>
      <c r="AR595" s="303"/>
      <c r="AS595" s="302"/>
      <c r="AT595" s="303"/>
      <c r="AU595">
        <v>107</v>
      </c>
      <c r="AV595" s="303"/>
      <c r="AW595" s="302"/>
      <c r="AX595" s="302"/>
      <c r="AY595" s="302"/>
      <c r="AZ595" s="303"/>
      <c r="BA595" s="302"/>
      <c r="BB595" s="302"/>
      <c r="BC595" s="302"/>
      <c r="BD595" s="302"/>
      <c r="BE595" s="302"/>
      <c r="BF595" s="302"/>
      <c r="BG595" s="302"/>
      <c r="BH595" s="302"/>
      <c r="BI595" s="302"/>
      <c r="BJ595" s="302"/>
      <c r="BM595">
        <v>-1.9</v>
      </c>
      <c r="BS595">
        <v>59.6</v>
      </c>
      <c r="BY595">
        <v>49.1</v>
      </c>
      <c r="CA595">
        <v>19.899999999999999</v>
      </c>
      <c r="CC595">
        <v>17.2</v>
      </c>
      <c r="CI595">
        <v>5.5</v>
      </c>
      <c r="CO595" t="s">
        <v>8699</v>
      </c>
      <c r="CR595">
        <v>6</v>
      </c>
      <c r="CT595" s="304" t="s">
        <v>11678</v>
      </c>
    </row>
    <row r="596" spans="1:98" s="304" customFormat="1">
      <c r="A596" s="304" t="s">
        <v>8506</v>
      </c>
      <c r="B596" s="463">
        <v>161</v>
      </c>
      <c r="C596" s="296" t="s">
        <v>7789</v>
      </c>
      <c r="D596" s="296" t="s">
        <v>7590</v>
      </c>
      <c r="E596" s="296" t="s">
        <v>7789</v>
      </c>
      <c r="F596" s="296"/>
      <c r="G596" s="296" t="s">
        <v>8506</v>
      </c>
      <c r="H596" s="297" t="s">
        <v>8697</v>
      </c>
      <c r="I596" s="297">
        <v>4</v>
      </c>
      <c r="J596" s="297">
        <v>4267</v>
      </c>
      <c r="K596" s="299"/>
      <c r="L596" s="299"/>
      <c r="M596" s="299">
        <v>98</v>
      </c>
      <c r="N596" s="299">
        <v>11</v>
      </c>
      <c r="O596" s="300">
        <v>39</v>
      </c>
      <c r="P596" s="301">
        <v>42090</v>
      </c>
      <c r="Q596" s="302"/>
      <c r="R596" s="303"/>
      <c r="S596" s="289">
        <v>5.25</v>
      </c>
      <c r="T596" s="303">
        <v>42208</v>
      </c>
      <c r="U596" s="302"/>
      <c r="V596" s="303"/>
      <c r="W596" s="302"/>
      <c r="X596" s="303"/>
      <c r="Y596" s="302">
        <v>19.420000000000002</v>
      </c>
      <c r="Z596" s="303">
        <v>42208</v>
      </c>
      <c r="AA596">
        <v>14.4</v>
      </c>
      <c r="AB596" s="303"/>
      <c r="AC596" s="302"/>
      <c r="AD596" s="303"/>
      <c r="AE596" s="302"/>
      <c r="AF596" s="303"/>
      <c r="AG596">
        <v>70341.796874999985</v>
      </c>
      <c r="AH596" s="521">
        <f>(AK596*10000)/AM596</f>
        <v>70341.796874999985</v>
      </c>
      <c r="AI596" s="302"/>
      <c r="AJ596" s="303"/>
      <c r="AK596">
        <v>33.764062499999994</v>
      </c>
      <c r="AL596" s="521"/>
      <c r="AM596">
        <v>4.8</v>
      </c>
      <c r="AN596" s="303">
        <v>42244</v>
      </c>
      <c r="AO596">
        <v>135</v>
      </c>
      <c r="AP596" s="303">
        <v>42170</v>
      </c>
      <c r="AQ596" s="302"/>
      <c r="AR596" s="303"/>
      <c r="AS596" s="302"/>
      <c r="AT596" s="303"/>
      <c r="AU596">
        <v>111</v>
      </c>
      <c r="AV596" s="303"/>
      <c r="AW596" s="302"/>
      <c r="AX596" s="302"/>
      <c r="AY596" s="302"/>
      <c r="AZ596" s="303"/>
      <c r="BA596" s="302"/>
      <c r="BB596" s="302"/>
      <c r="BC596" s="302"/>
      <c r="BD596" s="302"/>
      <c r="BE596" s="302"/>
      <c r="BF596" s="302"/>
      <c r="BG596" s="302"/>
      <c r="BH596" s="302"/>
      <c r="BI596" s="302"/>
      <c r="BJ596" s="302"/>
      <c r="BM596">
        <v>-0.9</v>
      </c>
      <c r="BS596">
        <v>61.8</v>
      </c>
      <c r="BY596">
        <v>51.3</v>
      </c>
      <c r="CA596">
        <v>17.3</v>
      </c>
      <c r="CC596">
        <v>14.4</v>
      </c>
      <c r="CI596">
        <v>5.5</v>
      </c>
      <c r="CO596" t="s">
        <v>8698</v>
      </c>
      <c r="CR596">
        <v>2</v>
      </c>
      <c r="CT596" s="304" t="s">
        <v>11678</v>
      </c>
    </row>
    <row r="597" spans="1:98" s="304" customFormat="1">
      <c r="A597" s="304" t="s">
        <v>8506</v>
      </c>
      <c r="B597" s="463">
        <v>180</v>
      </c>
      <c r="C597" s="296" t="s">
        <v>7808</v>
      </c>
      <c r="D597" s="296" t="s">
        <v>7605</v>
      </c>
      <c r="E597" s="296" t="s">
        <v>7808</v>
      </c>
      <c r="F597" s="296"/>
      <c r="G597" s="296" t="s">
        <v>8506</v>
      </c>
      <c r="H597" s="297" t="s">
        <v>8696</v>
      </c>
      <c r="I597" s="297">
        <v>3</v>
      </c>
      <c r="J597" s="297">
        <v>3327</v>
      </c>
      <c r="K597" s="299"/>
      <c r="L597" s="299"/>
      <c r="M597" s="299">
        <v>98</v>
      </c>
      <c r="N597" s="299">
        <v>6</v>
      </c>
      <c r="O597" s="300">
        <v>19</v>
      </c>
      <c r="P597" s="301">
        <v>42090</v>
      </c>
      <c r="Q597" s="302"/>
      <c r="R597" s="303"/>
      <c r="S597" s="289">
        <v>6.5</v>
      </c>
      <c r="T597" s="303">
        <v>42208</v>
      </c>
      <c r="U597" s="302"/>
      <c r="V597" s="303"/>
      <c r="W597" s="302"/>
      <c r="X597" s="303"/>
      <c r="Y597" s="302">
        <v>23.63</v>
      </c>
      <c r="Z597" s="303">
        <v>42208</v>
      </c>
      <c r="AA597">
        <v>14.4</v>
      </c>
      <c r="AB597" s="303"/>
      <c r="AC597" s="302"/>
      <c r="AD597" s="303"/>
      <c r="AE597" s="302"/>
      <c r="AF597" s="303"/>
      <c r="AG597">
        <v>76327.398989898982</v>
      </c>
      <c r="AH597" s="521">
        <f>(AK597*10000)/AM597</f>
        <v>76327.398989898982</v>
      </c>
      <c r="AI597" s="302"/>
      <c r="AJ597" s="303"/>
      <c r="AK597">
        <v>41.980069444444446</v>
      </c>
      <c r="AL597" s="521"/>
      <c r="AM597">
        <v>5.5</v>
      </c>
      <c r="AN597" s="303">
        <v>42244</v>
      </c>
      <c r="AO597">
        <v>145</v>
      </c>
      <c r="AP597" s="303">
        <v>42170</v>
      </c>
      <c r="AQ597" s="302"/>
      <c r="AR597" s="303"/>
      <c r="AS597" s="302"/>
      <c r="AT597" s="303"/>
      <c r="AU597">
        <v>107</v>
      </c>
      <c r="AV597" s="303"/>
      <c r="AW597" s="302"/>
      <c r="AX597" s="302"/>
      <c r="AY597" s="302"/>
      <c r="AZ597" s="303"/>
      <c r="BA597" s="302"/>
      <c r="BB597" s="302"/>
      <c r="BC597" s="302"/>
      <c r="BD597" s="302"/>
      <c r="BE597" s="302"/>
      <c r="BF597" s="302"/>
      <c r="BG597" s="302"/>
      <c r="BH597" s="302"/>
      <c r="BI597" s="302"/>
      <c r="BJ597" s="302"/>
      <c r="BM597">
        <v>-2.8</v>
      </c>
      <c r="BS597">
        <v>63.1</v>
      </c>
      <c r="BY597">
        <v>50.2</v>
      </c>
      <c r="CA597">
        <v>18.2</v>
      </c>
      <c r="CC597">
        <v>19</v>
      </c>
      <c r="CI597">
        <v>5.0999999999999996</v>
      </c>
      <c r="CO597" t="s">
        <v>8698</v>
      </c>
      <c r="CR597">
        <v>1</v>
      </c>
      <c r="CT597" s="304" t="s">
        <v>11678</v>
      </c>
    </row>
    <row r="598" spans="1:98" s="304" customFormat="1">
      <c r="A598" s="304" t="s">
        <v>8506</v>
      </c>
      <c r="B598" s="463">
        <v>16</v>
      </c>
      <c r="C598" s="296" t="s">
        <v>7625</v>
      </c>
      <c r="D598" s="296" t="s">
        <v>7463</v>
      </c>
      <c r="E598" s="296" t="s">
        <v>7625</v>
      </c>
      <c r="F598" s="296"/>
      <c r="G598" s="296" t="s">
        <v>8506</v>
      </c>
      <c r="H598" s="297" t="s">
        <v>8697</v>
      </c>
      <c r="I598" s="297">
        <v>4</v>
      </c>
      <c r="J598" s="297">
        <v>4268</v>
      </c>
      <c r="K598" s="299"/>
      <c r="L598" s="299"/>
      <c r="M598" s="299">
        <v>99</v>
      </c>
      <c r="N598" s="299">
        <v>11</v>
      </c>
      <c r="O598" s="300">
        <v>48</v>
      </c>
      <c r="P598" s="301">
        <v>42090</v>
      </c>
      <c r="Q598" s="302"/>
      <c r="R598" s="303"/>
      <c r="S598" s="289">
        <v>3.65</v>
      </c>
      <c r="T598" s="303">
        <v>42208</v>
      </c>
      <c r="U598" s="302"/>
      <c r="V598" s="303"/>
      <c r="W598" s="302"/>
      <c r="X598" s="303"/>
      <c r="Y598" s="302">
        <v>12.92</v>
      </c>
      <c r="Z598" s="303">
        <v>42208</v>
      </c>
      <c r="AA598">
        <v>14.4</v>
      </c>
      <c r="AB598" s="303"/>
      <c r="AC598" s="302"/>
      <c r="AD598" s="303"/>
      <c r="AE598" s="302"/>
      <c r="AF598" s="303"/>
      <c r="AG598">
        <v>41182.56578947368</v>
      </c>
      <c r="AH598" s="521">
        <f>(AK598*10000)/AM598</f>
        <v>41182.56578947368</v>
      </c>
      <c r="AI598" s="302"/>
      <c r="AJ598" s="303"/>
      <c r="AK598">
        <v>23.474062499999999</v>
      </c>
      <c r="AL598" s="521"/>
      <c r="AM598">
        <v>5.7</v>
      </c>
      <c r="AN598" s="303">
        <v>42244</v>
      </c>
      <c r="AO598">
        <v>125</v>
      </c>
      <c r="AP598" s="303">
        <v>42170</v>
      </c>
      <c r="AQ598" s="302"/>
      <c r="AR598" s="303"/>
      <c r="AS598" s="302"/>
      <c r="AT598" s="303"/>
      <c r="AU598">
        <v>108</v>
      </c>
      <c r="AV598" s="303"/>
      <c r="AW598" s="302"/>
      <c r="AX598" s="302"/>
      <c r="AY598" s="302"/>
      <c r="AZ598" s="303"/>
      <c r="BA598" s="302"/>
      <c r="BB598" s="302"/>
      <c r="BC598" s="302"/>
      <c r="BD598" s="302"/>
      <c r="BE598" s="302"/>
      <c r="BF598" s="302"/>
      <c r="BG598" s="302"/>
      <c r="BH598" s="302"/>
      <c r="BI598" s="302"/>
      <c r="BJ598" s="302"/>
      <c r="BM598">
        <v>34</v>
      </c>
      <c r="BS598">
        <v>21.5</v>
      </c>
      <c r="BY598">
        <v>49.1</v>
      </c>
      <c r="CA598">
        <v>18.600000000000001</v>
      </c>
      <c r="CC598">
        <v>67.7</v>
      </c>
      <c r="CI598">
        <v>5.5</v>
      </c>
      <c r="CO598" t="s">
        <v>8698</v>
      </c>
      <c r="CR598">
        <v>3</v>
      </c>
      <c r="CT598" s="304" t="s">
        <v>11678</v>
      </c>
    </row>
    <row r="599" spans="1:98" s="304" customFormat="1">
      <c r="A599" s="304" t="s">
        <v>8506</v>
      </c>
      <c r="B599" s="463">
        <v>17</v>
      </c>
      <c r="C599" s="296" t="s">
        <v>7626</v>
      </c>
      <c r="D599" s="296" t="s">
        <v>7814</v>
      </c>
      <c r="E599" s="296" t="s">
        <v>7626</v>
      </c>
      <c r="F599" s="296"/>
      <c r="G599" s="296" t="s">
        <v>8506</v>
      </c>
      <c r="H599" s="297" t="s">
        <v>8696</v>
      </c>
      <c r="I599" s="297">
        <v>3</v>
      </c>
      <c r="J599" s="297">
        <v>3148</v>
      </c>
      <c r="K599" s="299"/>
      <c r="L599" s="299"/>
      <c r="M599" s="299">
        <v>99</v>
      </c>
      <c r="N599" s="299">
        <v>3</v>
      </c>
      <c r="O599" s="300">
        <v>28</v>
      </c>
      <c r="P599" s="301">
        <v>42090</v>
      </c>
      <c r="Q599" s="302"/>
      <c r="R599" s="303"/>
      <c r="S599" s="289">
        <v>5.75</v>
      </c>
      <c r="T599" s="303">
        <v>42208</v>
      </c>
      <c r="U599" s="302"/>
      <c r="V599" s="303"/>
      <c r="W599" s="302"/>
      <c r="X599" s="303"/>
      <c r="Y599" s="302">
        <v>20.11</v>
      </c>
      <c r="Z599" s="303">
        <v>42208</v>
      </c>
      <c r="AA599">
        <v>14.4</v>
      </c>
      <c r="AB599" s="303"/>
      <c r="AC599" s="302"/>
      <c r="AD599" s="303"/>
      <c r="AE599" s="302"/>
      <c r="AF599" s="303"/>
      <c r="AG599">
        <v>77367.115162037051</v>
      </c>
      <c r="AH599" s="521">
        <f>(AK599*10000)/AM599</f>
        <v>77367.115162037051</v>
      </c>
      <c r="AI599" s="302"/>
      <c r="AJ599" s="303"/>
      <c r="AK599">
        <v>37.136215277777779</v>
      </c>
      <c r="AL599" s="521"/>
      <c r="AM599">
        <v>4.8</v>
      </c>
      <c r="AN599" s="303">
        <v>42244</v>
      </c>
      <c r="AO599">
        <v>135</v>
      </c>
      <c r="AP599" s="303">
        <v>42170</v>
      </c>
      <c r="AQ599" s="302"/>
      <c r="AR599" s="303"/>
      <c r="AS599" s="302"/>
      <c r="AT599" s="303"/>
      <c r="AU599">
        <v>112</v>
      </c>
      <c r="AV599" s="303"/>
      <c r="AW599" s="302"/>
      <c r="AX599" s="302"/>
      <c r="AY599" s="302"/>
      <c r="AZ599" s="303"/>
      <c r="BA599" s="302"/>
      <c r="BB599" s="302"/>
      <c r="BC599" s="302"/>
      <c r="BD599" s="302"/>
      <c r="BE599" s="302"/>
      <c r="BF599" s="302"/>
      <c r="BG599" s="302"/>
      <c r="BH599" s="302"/>
      <c r="BI599" s="302"/>
      <c r="BJ599" s="302"/>
      <c r="BM599">
        <v>37.9</v>
      </c>
      <c r="BS599">
        <v>20.8</v>
      </c>
      <c r="BY599">
        <v>48.3</v>
      </c>
      <c r="CA599">
        <v>20.3</v>
      </c>
      <c r="CC599">
        <v>69.7</v>
      </c>
      <c r="CI599">
        <v>5.0999999999999996</v>
      </c>
      <c r="CO599" t="s">
        <v>8699</v>
      </c>
      <c r="CR599">
        <v>3</v>
      </c>
      <c r="CT599" s="304" t="s">
        <v>11678</v>
      </c>
    </row>
    <row r="600" spans="1:98" s="304" customFormat="1">
      <c r="A600" s="304" t="s">
        <v>8506</v>
      </c>
      <c r="B600" s="463">
        <v>32</v>
      </c>
      <c r="C600" s="296" t="s">
        <v>7644</v>
      </c>
      <c r="D600" s="296" t="s">
        <v>7479</v>
      </c>
      <c r="E600" s="296" t="s">
        <v>7644</v>
      </c>
      <c r="F600" s="296"/>
      <c r="G600" s="296" t="s">
        <v>8506</v>
      </c>
      <c r="H600" s="297" t="s">
        <v>8696</v>
      </c>
      <c r="I600" s="297">
        <v>3</v>
      </c>
      <c r="J600" s="297">
        <v>328</v>
      </c>
      <c r="K600" s="299"/>
      <c r="L600" s="299"/>
      <c r="M600" s="299">
        <v>99</v>
      </c>
      <c r="N600" s="299">
        <v>1</v>
      </c>
      <c r="O600" s="300">
        <v>50</v>
      </c>
      <c r="P600" s="301">
        <v>42090</v>
      </c>
      <c r="Q600" s="302"/>
      <c r="R600" s="303"/>
      <c r="S600" s="289">
        <v>4.8499999999999996</v>
      </c>
      <c r="T600" s="303">
        <v>42208</v>
      </c>
      <c r="U600" s="302"/>
      <c r="V600" s="303"/>
      <c r="W600" s="302"/>
      <c r="X600" s="303"/>
      <c r="Y600" s="302">
        <v>16</v>
      </c>
      <c r="Z600" s="303">
        <v>42208</v>
      </c>
      <c r="AA600">
        <v>14.4</v>
      </c>
      <c r="AB600" s="303"/>
      <c r="AC600" s="302"/>
      <c r="AD600" s="303"/>
      <c r="AE600" s="302"/>
      <c r="AF600" s="303"/>
      <c r="AG600">
        <v>57823.276748971177</v>
      </c>
      <c r="AH600" s="521">
        <f>(AK600*10000)/AM600</f>
        <v>57823.276748971177</v>
      </c>
      <c r="AI600" s="302"/>
      <c r="AJ600" s="303"/>
      <c r="AK600">
        <v>31.224569444444437</v>
      </c>
      <c r="AL600" s="521"/>
      <c r="AM600">
        <v>5.4</v>
      </c>
      <c r="AN600" s="303">
        <v>42244</v>
      </c>
      <c r="AO600">
        <v>135</v>
      </c>
      <c r="AP600" s="303">
        <v>42170</v>
      </c>
      <c r="AQ600" s="302"/>
      <c r="AR600" s="303"/>
      <c r="AS600" s="302"/>
      <c r="AT600" s="303"/>
      <c r="AU600">
        <v>108</v>
      </c>
      <c r="AV600" s="303"/>
      <c r="AW600" s="302"/>
      <c r="AX600" s="302"/>
      <c r="AY600" s="302"/>
      <c r="AZ600" s="303"/>
      <c r="BA600" s="302"/>
      <c r="BB600" s="302"/>
      <c r="BC600" s="302"/>
      <c r="BD600" s="302"/>
      <c r="BE600" s="302"/>
      <c r="BF600" s="302"/>
      <c r="BG600" s="302"/>
      <c r="BH600" s="302"/>
      <c r="BI600" s="302"/>
      <c r="BJ600" s="302"/>
      <c r="BM600">
        <v>-0.6</v>
      </c>
      <c r="BS600">
        <v>54.9</v>
      </c>
      <c r="BY600">
        <v>45.7</v>
      </c>
      <c r="CA600">
        <v>20.8</v>
      </c>
      <c r="CC600">
        <v>22.6</v>
      </c>
      <c r="CI600">
        <v>5.4</v>
      </c>
      <c r="CO600" t="s">
        <v>8699</v>
      </c>
      <c r="CR600">
        <v>5</v>
      </c>
      <c r="CT600" s="304" t="s">
        <v>11678</v>
      </c>
    </row>
    <row r="601" spans="1:98" s="304" customFormat="1">
      <c r="A601" s="304" t="s">
        <v>8506</v>
      </c>
      <c r="B601" s="463">
        <v>43</v>
      </c>
      <c r="C601" s="296" t="s">
        <v>7660</v>
      </c>
      <c r="D601" s="296" t="s">
        <v>7493</v>
      </c>
      <c r="E601" s="296" t="s">
        <v>7660</v>
      </c>
      <c r="F601" s="296"/>
      <c r="G601" s="296" t="s">
        <v>8506</v>
      </c>
      <c r="H601" s="297" t="s">
        <v>8696</v>
      </c>
      <c r="I601" s="297">
        <v>3</v>
      </c>
      <c r="J601" s="297">
        <v>3328</v>
      </c>
      <c r="K601" s="299"/>
      <c r="L601" s="299"/>
      <c r="M601" s="299">
        <v>99</v>
      </c>
      <c r="N601" s="299">
        <v>6</v>
      </c>
      <c r="O601" s="300">
        <v>24</v>
      </c>
      <c r="P601" s="301">
        <v>42090</v>
      </c>
      <c r="Q601" s="302"/>
      <c r="R601" s="303"/>
      <c r="S601" s="289">
        <v>6.3</v>
      </c>
      <c r="T601" s="303">
        <v>42208</v>
      </c>
      <c r="U601" s="302"/>
      <c r="V601" s="303"/>
      <c r="W601" s="302"/>
      <c r="X601" s="303"/>
      <c r="Y601" s="302">
        <v>22.25</v>
      </c>
      <c r="Z601" s="303">
        <v>42208</v>
      </c>
      <c r="AA601">
        <v>14.4</v>
      </c>
      <c r="AB601" s="303"/>
      <c r="AC601" s="302"/>
      <c r="AD601" s="303"/>
      <c r="AE601" s="302"/>
      <c r="AF601" s="303"/>
      <c r="AG601">
        <v>81462.5</v>
      </c>
      <c r="AH601" s="521">
        <f>(AK601*10000)/AM601</f>
        <v>81462.5</v>
      </c>
      <c r="AI601" s="302"/>
      <c r="AJ601" s="303"/>
      <c r="AK601">
        <v>39.916625000000003</v>
      </c>
      <c r="AL601" s="521"/>
      <c r="AM601">
        <v>4.9000000000000004</v>
      </c>
      <c r="AN601" s="303">
        <v>42244</v>
      </c>
      <c r="AO601">
        <v>140</v>
      </c>
      <c r="AP601" s="303">
        <v>42170</v>
      </c>
      <c r="AQ601" s="302"/>
      <c r="AR601" s="303"/>
      <c r="AS601" s="302"/>
      <c r="AT601" s="303"/>
      <c r="AU601">
        <v>112</v>
      </c>
      <c r="AV601" s="303"/>
      <c r="AW601" s="302"/>
      <c r="AX601" s="302"/>
      <c r="AY601" s="302"/>
      <c r="AZ601" s="303"/>
      <c r="BA601" s="302"/>
      <c r="BB601" s="302"/>
      <c r="BC601" s="302"/>
      <c r="BD601" s="302"/>
      <c r="BE601" s="302"/>
      <c r="BF601" s="302"/>
      <c r="BG601" s="302"/>
      <c r="BH601" s="302"/>
      <c r="BI601" s="302"/>
      <c r="BJ601" s="302"/>
      <c r="BM601">
        <v>4</v>
      </c>
      <c r="BS601">
        <v>57.2</v>
      </c>
      <c r="BY601">
        <v>49.7</v>
      </c>
      <c r="CA601">
        <v>19.399999999999999</v>
      </c>
      <c r="CC601">
        <v>15.7</v>
      </c>
      <c r="CI601">
        <v>6.9</v>
      </c>
      <c r="CO601" t="s">
        <v>8698</v>
      </c>
      <c r="CR601">
        <v>2</v>
      </c>
      <c r="CT601" s="304" t="s">
        <v>11678</v>
      </c>
    </row>
    <row r="602" spans="1:98" s="304" customFormat="1">
      <c r="A602" s="304" t="s">
        <v>8506</v>
      </c>
      <c r="B602" s="523">
        <v>355</v>
      </c>
      <c r="C602" s="296" t="s">
        <v>8509</v>
      </c>
      <c r="D602" s="296" t="s">
        <v>7845</v>
      </c>
      <c r="E602" s="296" t="s">
        <v>7845</v>
      </c>
      <c r="F602" s="296"/>
      <c r="G602" s="296" t="s">
        <v>8506</v>
      </c>
      <c r="H602" s="297" t="s">
        <v>8696</v>
      </c>
      <c r="I602" s="297">
        <v>3</v>
      </c>
      <c r="J602" s="297">
        <v>3208</v>
      </c>
      <c r="K602" s="299"/>
      <c r="L602" s="299"/>
      <c r="M602" s="299">
        <v>99</v>
      </c>
      <c r="N602" s="299">
        <v>4</v>
      </c>
      <c r="O602" s="300">
        <v>35</v>
      </c>
      <c r="P602" s="301">
        <v>42090</v>
      </c>
      <c r="Q602" s="302"/>
      <c r="R602" s="303"/>
      <c r="S602" s="289">
        <v>6.8</v>
      </c>
      <c r="T602" s="303">
        <v>42208</v>
      </c>
      <c r="U602" s="302"/>
      <c r="V602" s="303"/>
      <c r="W602" s="302"/>
      <c r="X602" s="303"/>
      <c r="Y602" s="302">
        <v>25.06</v>
      </c>
      <c r="Z602" s="303">
        <v>42208</v>
      </c>
      <c r="AA602">
        <v>14.4</v>
      </c>
      <c r="AB602" s="303"/>
      <c r="AC602" s="302"/>
      <c r="AD602" s="303"/>
      <c r="AE602" s="302"/>
      <c r="AF602" s="303"/>
      <c r="AG602">
        <v>89438.888888888876</v>
      </c>
      <c r="AH602" s="521">
        <f>(AK602*10000)/AM602</f>
        <v>89438.888888888876</v>
      </c>
      <c r="AI602" s="302"/>
      <c r="AJ602" s="303"/>
      <c r="AK602">
        <v>43.825055555555551</v>
      </c>
      <c r="AL602" s="521"/>
      <c r="AM602">
        <v>4.9000000000000004</v>
      </c>
      <c r="AN602" s="303">
        <v>42244</v>
      </c>
      <c r="AO602">
        <v>120</v>
      </c>
      <c r="AP602" s="303">
        <v>42170</v>
      </c>
      <c r="AQ602" s="302"/>
      <c r="AR602" s="303"/>
      <c r="AS602" s="302"/>
      <c r="AT602" s="303"/>
      <c r="AU602">
        <v>105</v>
      </c>
      <c r="AV602" s="302"/>
      <c r="AW602" s="302"/>
      <c r="AX602" s="302"/>
      <c r="AY602" s="302"/>
      <c r="AZ602" s="302"/>
      <c r="BA602" s="302"/>
      <c r="BB602" s="302"/>
      <c r="BC602" s="302"/>
      <c r="BD602" s="302"/>
      <c r="BE602" s="302"/>
      <c r="BF602" s="302"/>
      <c r="BG602" s="302"/>
      <c r="BH602" s="302"/>
      <c r="BI602" s="302"/>
      <c r="BJ602" s="302"/>
      <c r="BM602">
        <v>1.3</v>
      </c>
      <c r="BS602">
        <v>60</v>
      </c>
      <c r="BY602">
        <v>51</v>
      </c>
      <c r="CA602">
        <v>17.8</v>
      </c>
      <c r="CC602">
        <v>22.7</v>
      </c>
      <c r="CI602">
        <v>5.3</v>
      </c>
      <c r="CO602" t="s">
        <v>8698</v>
      </c>
      <c r="CR602">
        <v>3</v>
      </c>
      <c r="CT602" s="304" t="s">
        <v>11678</v>
      </c>
    </row>
    <row r="603" spans="1:98" s="304" customFormat="1">
      <c r="A603" s="304" t="s">
        <v>8506</v>
      </c>
      <c r="B603" s="463">
        <v>21</v>
      </c>
      <c r="C603" s="296" t="s">
        <v>7631</v>
      </c>
      <c r="D603" s="296" t="s">
        <v>7468</v>
      </c>
      <c r="E603" s="296" t="s">
        <v>7631</v>
      </c>
      <c r="F603" s="296"/>
      <c r="G603" s="296" t="s">
        <v>8506</v>
      </c>
      <c r="H603" s="297" t="s">
        <v>8697</v>
      </c>
      <c r="I603" s="297">
        <v>4</v>
      </c>
      <c r="J603" s="297">
        <v>4149</v>
      </c>
      <c r="K603" s="299"/>
      <c r="L603" s="299"/>
      <c r="M603" s="299">
        <v>100</v>
      </c>
      <c r="N603" s="299">
        <v>9</v>
      </c>
      <c r="O603" s="300">
        <v>53</v>
      </c>
      <c r="P603" s="301">
        <v>42090</v>
      </c>
      <c r="Q603" s="302"/>
      <c r="R603" s="303"/>
      <c r="S603" s="289">
        <v>2.8</v>
      </c>
      <c r="T603" s="303">
        <v>42208</v>
      </c>
      <c r="U603" s="302"/>
      <c r="V603" s="303"/>
      <c r="W603" s="302"/>
      <c r="X603" s="303"/>
      <c r="Y603" s="302">
        <v>9.92</v>
      </c>
      <c r="Z603" s="303">
        <v>42208</v>
      </c>
      <c r="AA603">
        <v>14.4</v>
      </c>
      <c r="AB603" s="303"/>
      <c r="AC603" s="302"/>
      <c r="AD603" s="303"/>
      <c r="AE603" s="302"/>
      <c r="AF603" s="303"/>
      <c r="AG603">
        <v>33382.510288065831</v>
      </c>
      <c r="AH603" s="521">
        <f>(AK603*10000)/AM603</f>
        <v>33382.510288065831</v>
      </c>
      <c r="AI603" s="302"/>
      <c r="AJ603" s="303"/>
      <c r="AK603">
        <v>18.02655555555555</v>
      </c>
      <c r="AL603" s="521"/>
      <c r="AM603">
        <v>5.4</v>
      </c>
      <c r="AN603" s="303">
        <v>42244</v>
      </c>
      <c r="AO603">
        <v>140</v>
      </c>
      <c r="AP603" s="303">
        <v>42170</v>
      </c>
      <c r="AQ603" s="302"/>
      <c r="AR603" s="303"/>
      <c r="AS603" s="302"/>
      <c r="AT603" s="303"/>
      <c r="AU603">
        <v>110</v>
      </c>
      <c r="AV603" s="303"/>
      <c r="AW603" s="302"/>
      <c r="AX603" s="302"/>
      <c r="AY603" s="302"/>
      <c r="AZ603" s="303"/>
      <c r="BA603" s="302"/>
      <c r="BB603" s="302"/>
      <c r="BC603" s="302"/>
      <c r="BD603" s="302"/>
      <c r="BE603" s="302"/>
      <c r="BF603" s="302"/>
      <c r="BG603" s="302"/>
      <c r="BH603" s="302"/>
      <c r="BI603" s="302"/>
      <c r="BJ603" s="302"/>
      <c r="BM603">
        <v>38.799999999999997</v>
      </c>
      <c r="BS603">
        <v>15.2</v>
      </c>
      <c r="BY603">
        <v>49.1</v>
      </c>
      <c r="CA603">
        <v>19.600000000000001</v>
      </c>
      <c r="CC603">
        <v>71.099999999999994</v>
      </c>
      <c r="CI603">
        <v>5.4</v>
      </c>
      <c r="CO603" t="s">
        <v>8698</v>
      </c>
      <c r="CR603">
        <v>4</v>
      </c>
      <c r="CT603" s="304" t="s">
        <v>11678</v>
      </c>
    </row>
    <row r="604" spans="1:98" s="304" customFormat="1">
      <c r="A604" s="304" t="s">
        <v>8506</v>
      </c>
      <c r="B604" s="463">
        <v>34</v>
      </c>
      <c r="C604" s="296" t="s">
        <v>7648</v>
      </c>
      <c r="D604" s="296" t="s">
        <v>7483</v>
      </c>
      <c r="E604" s="296" t="s">
        <v>7648</v>
      </c>
      <c r="F604" s="296"/>
      <c r="G604" s="296" t="s">
        <v>8506</v>
      </c>
      <c r="H604" s="297" t="s">
        <v>8697</v>
      </c>
      <c r="I604" s="297">
        <v>4</v>
      </c>
      <c r="J604" s="297">
        <v>489</v>
      </c>
      <c r="K604" s="299"/>
      <c r="L604" s="299"/>
      <c r="M604" s="299">
        <v>100</v>
      </c>
      <c r="N604" s="299">
        <v>8</v>
      </c>
      <c r="O604" s="300">
        <v>32</v>
      </c>
      <c r="P604" s="301">
        <v>42090</v>
      </c>
      <c r="Q604" s="302"/>
      <c r="R604" s="303"/>
      <c r="S604" s="289">
        <v>3.25</v>
      </c>
      <c r="T604" s="303">
        <v>42208</v>
      </c>
      <c r="U604" s="302"/>
      <c r="V604" s="303"/>
      <c r="W604" s="302"/>
      <c r="X604" s="303"/>
      <c r="Y604" s="302">
        <v>11.67</v>
      </c>
      <c r="Z604" s="303">
        <v>42208</v>
      </c>
      <c r="AA604">
        <v>14.4</v>
      </c>
      <c r="AB604" s="303"/>
      <c r="AC604" s="302"/>
      <c r="AD604" s="303"/>
      <c r="AE604" s="302"/>
      <c r="AF604" s="303"/>
      <c r="AG604">
        <v>46546.219135802472</v>
      </c>
      <c r="AH604" s="521">
        <f>(AK604*10000)/AM604</f>
        <v>46546.219135802472</v>
      </c>
      <c r="AI604" s="302"/>
      <c r="AJ604" s="303"/>
      <c r="AK604">
        <v>20.945798611111112</v>
      </c>
      <c r="AL604" s="521"/>
      <c r="AM604">
        <v>4.5</v>
      </c>
      <c r="AN604" s="303">
        <v>42244</v>
      </c>
      <c r="AO604">
        <v>145</v>
      </c>
      <c r="AP604" s="303">
        <v>42170</v>
      </c>
      <c r="AQ604" s="302"/>
      <c r="AR604" s="303"/>
      <c r="AS604" s="302"/>
      <c r="AT604" s="303"/>
      <c r="AU604">
        <v>106</v>
      </c>
      <c r="AV604" s="303"/>
      <c r="AW604" s="302"/>
      <c r="AX604" s="302"/>
      <c r="AY604" s="302"/>
      <c r="AZ604" s="303"/>
      <c r="BA604" s="302"/>
      <c r="BB604" s="302"/>
      <c r="BC604" s="302"/>
      <c r="BD604" s="302"/>
      <c r="BE604" s="302"/>
      <c r="BF604" s="302"/>
      <c r="BG604" s="302"/>
      <c r="BH604" s="302"/>
      <c r="BI604" s="302"/>
      <c r="BJ604" s="302"/>
      <c r="BM604">
        <v>4.9000000000000004</v>
      </c>
      <c r="BS604">
        <v>55.7</v>
      </c>
      <c r="BY604">
        <v>49.7</v>
      </c>
      <c r="CA604">
        <v>18.399999999999999</v>
      </c>
      <c r="CC604">
        <v>60.9</v>
      </c>
      <c r="CI604">
        <v>5.3</v>
      </c>
      <c r="CO604" t="s">
        <v>8698</v>
      </c>
      <c r="CR604">
        <v>4</v>
      </c>
      <c r="CT604" s="304" t="s">
        <v>11678</v>
      </c>
    </row>
    <row r="605" spans="1:98" s="304" customFormat="1">
      <c r="A605" s="304" t="s">
        <v>8506</v>
      </c>
      <c r="B605" s="463">
        <v>90</v>
      </c>
      <c r="C605" s="296" t="s">
        <v>7708</v>
      </c>
      <c r="D605" s="296" t="s">
        <v>7537</v>
      </c>
      <c r="E605" s="296" t="s">
        <v>7708</v>
      </c>
      <c r="F605" s="296"/>
      <c r="G605" s="296" t="s">
        <v>8506</v>
      </c>
      <c r="H605" s="297" t="s">
        <v>8697</v>
      </c>
      <c r="I605" s="297">
        <v>4</v>
      </c>
      <c r="J605" s="297">
        <v>429</v>
      </c>
      <c r="K605" s="299"/>
      <c r="L605" s="299"/>
      <c r="M605" s="299">
        <v>100</v>
      </c>
      <c r="N605" s="299">
        <v>7</v>
      </c>
      <c r="O605" s="300">
        <v>26</v>
      </c>
      <c r="P605" s="301">
        <v>42090</v>
      </c>
      <c r="Q605" s="302"/>
      <c r="R605" s="303"/>
      <c r="S605" s="289">
        <v>4</v>
      </c>
      <c r="T605" s="303">
        <v>42208</v>
      </c>
      <c r="U605" s="302"/>
      <c r="V605" s="303"/>
      <c r="W605" s="302"/>
      <c r="X605" s="303"/>
      <c r="Y605" s="302">
        <v>15.28</v>
      </c>
      <c r="Z605" s="303">
        <v>42208</v>
      </c>
      <c r="AA605">
        <v>14.4</v>
      </c>
      <c r="AB605" s="303"/>
      <c r="AC605" s="302"/>
      <c r="AD605" s="303"/>
      <c r="AE605" s="302"/>
      <c r="AF605" s="303"/>
      <c r="AG605">
        <v>55983.091787439618</v>
      </c>
      <c r="AH605" s="521">
        <f>(AK605*10000)/AM605</f>
        <v>55983.091787439618</v>
      </c>
      <c r="AI605" s="302"/>
      <c r="AJ605" s="303"/>
      <c r="AK605">
        <v>25.752222222222223</v>
      </c>
      <c r="AL605" s="521"/>
      <c r="AM605">
        <v>4.5999999999999996</v>
      </c>
      <c r="AN605" s="303">
        <v>42244</v>
      </c>
      <c r="AO605">
        <v>130</v>
      </c>
      <c r="AP605" s="303">
        <v>42170</v>
      </c>
      <c r="AQ605" s="302"/>
      <c r="AR605" s="303"/>
      <c r="AS605" s="302"/>
      <c r="AT605" s="303"/>
      <c r="AU605">
        <v>107</v>
      </c>
      <c r="AV605" s="303"/>
      <c r="AW605" s="302"/>
      <c r="AX605" s="302"/>
      <c r="AY605" s="302"/>
      <c r="AZ605" s="303"/>
      <c r="BA605" s="302"/>
      <c r="BB605" s="302"/>
      <c r="BC605" s="302"/>
      <c r="BD605" s="302"/>
      <c r="BE605" s="302"/>
      <c r="BF605" s="302"/>
      <c r="BG605" s="302"/>
      <c r="BH605" s="302"/>
      <c r="BI605" s="302"/>
      <c r="BJ605" s="302"/>
      <c r="BM605">
        <v>-10</v>
      </c>
      <c r="BS605">
        <v>65.900000000000006</v>
      </c>
      <c r="BY605">
        <v>52.9</v>
      </c>
      <c r="CA605">
        <v>14.5</v>
      </c>
      <c r="CC605">
        <v>13.5</v>
      </c>
      <c r="CI605">
        <v>5.4</v>
      </c>
      <c r="CO605" t="s">
        <v>8698</v>
      </c>
      <c r="CR605">
        <v>1</v>
      </c>
      <c r="CT605" s="304" t="s">
        <v>11678</v>
      </c>
    </row>
    <row r="606" spans="1:98" s="304" customFormat="1">
      <c r="A606" s="304" t="s">
        <v>8506</v>
      </c>
      <c r="B606" s="463">
        <v>92</v>
      </c>
      <c r="C606" s="296" t="s">
        <v>7710</v>
      </c>
      <c r="D606" s="296" t="s">
        <v>7538</v>
      </c>
      <c r="E606" s="296" t="s">
        <v>7710</v>
      </c>
      <c r="F606" s="296"/>
      <c r="G606" s="296" t="s">
        <v>8506</v>
      </c>
      <c r="H606" s="297" t="s">
        <v>8696</v>
      </c>
      <c r="I606" s="297">
        <v>3</v>
      </c>
      <c r="J606" s="297">
        <v>3149</v>
      </c>
      <c r="K606" s="299"/>
      <c r="L606" s="299"/>
      <c r="M606" s="299">
        <v>100</v>
      </c>
      <c r="N606" s="299">
        <v>3</v>
      </c>
      <c r="O606" s="300">
        <v>32</v>
      </c>
      <c r="P606" s="301">
        <v>42090</v>
      </c>
      <c r="Q606" s="302"/>
      <c r="R606" s="303"/>
      <c r="S606" s="289">
        <v>5.5</v>
      </c>
      <c r="T606" s="303">
        <v>42208</v>
      </c>
      <c r="U606" s="302"/>
      <c r="V606" s="303"/>
      <c r="W606" s="302"/>
      <c r="X606" s="303"/>
      <c r="Y606" s="302">
        <v>20.8</v>
      </c>
      <c r="Z606" s="303">
        <v>42208</v>
      </c>
      <c r="AA606">
        <v>14.4</v>
      </c>
      <c r="AB606" s="303"/>
      <c r="AC606" s="302"/>
      <c r="AD606" s="303"/>
      <c r="AE606" s="302"/>
      <c r="AF606" s="303"/>
      <c r="AG606">
        <v>69283.224400871462</v>
      </c>
      <c r="AH606" s="521">
        <f>(AK606*10000)/AM606</f>
        <v>69283.224400871462</v>
      </c>
      <c r="AI606" s="302"/>
      <c r="AJ606" s="303"/>
      <c r="AK606">
        <v>35.334444444444443</v>
      </c>
      <c r="AL606" s="521"/>
      <c r="AM606">
        <v>5.0999999999999996</v>
      </c>
      <c r="AN606" s="303">
        <v>42244</v>
      </c>
      <c r="AO606">
        <v>115</v>
      </c>
      <c r="AP606" s="303">
        <v>42170</v>
      </c>
      <c r="AQ606" s="302"/>
      <c r="AR606" s="303"/>
      <c r="AS606" s="302"/>
      <c r="AT606" s="303"/>
      <c r="AU606">
        <v>108</v>
      </c>
      <c r="AV606" s="303"/>
      <c r="AW606" s="302"/>
      <c r="AX606" s="302"/>
      <c r="AY606" s="302"/>
      <c r="AZ606" s="303"/>
      <c r="BA606" s="302"/>
      <c r="BB606" s="302"/>
      <c r="BC606" s="302"/>
      <c r="BD606" s="302"/>
      <c r="BE606" s="302"/>
      <c r="BF606" s="302"/>
      <c r="BG606" s="302"/>
      <c r="BH606" s="302"/>
      <c r="BI606" s="302"/>
      <c r="BJ606" s="302"/>
      <c r="BM606">
        <v>-7.2</v>
      </c>
      <c r="BS606">
        <v>67.5</v>
      </c>
      <c r="BY606">
        <v>52.5</v>
      </c>
      <c r="CA606">
        <v>17.899999999999999</v>
      </c>
      <c r="CC606">
        <v>17.600000000000001</v>
      </c>
      <c r="CI606">
        <v>5.6</v>
      </c>
      <c r="CO606" t="s">
        <v>8699</v>
      </c>
      <c r="CR606">
        <v>5</v>
      </c>
      <c r="CT606" s="304" t="s">
        <v>11678</v>
      </c>
    </row>
    <row r="607" spans="1:98" s="304" customFormat="1">
      <c r="A607" s="304" t="s">
        <v>8506</v>
      </c>
      <c r="B607" s="463">
        <v>100</v>
      </c>
      <c r="C607" s="296" t="s">
        <v>7718</v>
      </c>
      <c r="D607" s="296" t="s">
        <v>7545</v>
      </c>
      <c r="E607" s="296" t="s">
        <v>7718</v>
      </c>
      <c r="F607" s="296"/>
      <c r="G607" s="296" t="s">
        <v>8506</v>
      </c>
      <c r="H607" s="297" t="s">
        <v>8697</v>
      </c>
      <c r="I607" s="297">
        <v>4</v>
      </c>
      <c r="J607" s="297">
        <v>4329</v>
      </c>
      <c r="K607" s="299"/>
      <c r="L607" s="299"/>
      <c r="M607" s="299">
        <v>100</v>
      </c>
      <c r="N607" s="299">
        <v>12</v>
      </c>
      <c r="O607" s="300">
        <v>40</v>
      </c>
      <c r="P607" s="301">
        <v>42090</v>
      </c>
      <c r="Q607" s="302"/>
      <c r="R607" s="303"/>
      <c r="S607" s="289">
        <v>4.95</v>
      </c>
      <c r="T607" s="303">
        <v>42208</v>
      </c>
      <c r="U607" s="302"/>
      <c r="V607" s="303"/>
      <c r="W607" s="302"/>
      <c r="X607" s="303"/>
      <c r="Y607" s="302">
        <v>18.21</v>
      </c>
      <c r="Z607" s="303">
        <v>42208</v>
      </c>
      <c r="AA607">
        <v>14.4</v>
      </c>
      <c r="AB607" s="303"/>
      <c r="AC607" s="302"/>
      <c r="AD607" s="303"/>
      <c r="AE607" s="302"/>
      <c r="AF607" s="303"/>
      <c r="AG607">
        <v>59202.662037037036</v>
      </c>
      <c r="AH607" s="521">
        <f>(AK607*10000)/AM607</f>
        <v>59202.662037037036</v>
      </c>
      <c r="AI607" s="302"/>
      <c r="AJ607" s="303"/>
      <c r="AK607">
        <v>31.969437500000002</v>
      </c>
      <c r="AL607" s="521"/>
      <c r="AM607">
        <v>5.4</v>
      </c>
      <c r="AN607" s="303">
        <v>42244</v>
      </c>
      <c r="AO607">
        <v>140</v>
      </c>
      <c r="AP607" s="303">
        <v>42170</v>
      </c>
      <c r="AQ607" s="302"/>
      <c r="AR607" s="303"/>
      <c r="AS607" s="302"/>
      <c r="AT607" s="303"/>
      <c r="AU607">
        <v>109</v>
      </c>
      <c r="AV607" s="303"/>
      <c r="AW607" s="302"/>
      <c r="AX607" s="302"/>
      <c r="AY607" s="302"/>
      <c r="AZ607" s="303"/>
      <c r="BA607" s="302"/>
      <c r="BB607" s="302"/>
      <c r="BC607" s="302"/>
      <c r="BD607" s="302"/>
      <c r="BE607" s="302"/>
      <c r="BF607" s="302"/>
      <c r="BG607" s="302"/>
      <c r="BH607" s="302"/>
      <c r="BI607" s="302"/>
      <c r="BJ607" s="302"/>
      <c r="BM607">
        <v>-3.5</v>
      </c>
      <c r="BS607">
        <v>65.3</v>
      </c>
      <c r="BY607">
        <v>50.8</v>
      </c>
      <c r="CA607">
        <v>16.7</v>
      </c>
      <c r="CC607">
        <v>13.2</v>
      </c>
      <c r="CI607">
        <v>5.0999999999999996</v>
      </c>
      <c r="CO607" t="s">
        <v>8698</v>
      </c>
      <c r="CR607">
        <v>2</v>
      </c>
      <c r="CT607" s="304" t="s">
        <v>11678</v>
      </c>
    </row>
    <row r="608" spans="1:98" s="304" customFormat="1">
      <c r="A608" s="304" t="s">
        <v>8506</v>
      </c>
      <c r="B608" s="463">
        <v>135</v>
      </c>
      <c r="C608" s="296" t="s">
        <v>7763</v>
      </c>
      <c r="D608" s="296" t="s">
        <v>7838</v>
      </c>
      <c r="E608" s="296" t="s">
        <v>7763</v>
      </c>
      <c r="F608" s="296"/>
      <c r="G608" s="296" t="s">
        <v>8506</v>
      </c>
      <c r="H608" s="297" t="s">
        <v>8697</v>
      </c>
      <c r="I608" s="297">
        <v>4</v>
      </c>
      <c r="J608" s="297">
        <v>4269</v>
      </c>
      <c r="K608" s="299"/>
      <c r="L608" s="299"/>
      <c r="M608" s="299">
        <v>100</v>
      </c>
      <c r="N608" s="299">
        <v>11</v>
      </c>
      <c r="O608" s="300">
        <v>32</v>
      </c>
      <c r="P608" s="301">
        <v>42090</v>
      </c>
      <c r="Q608" s="302"/>
      <c r="R608" s="303"/>
      <c r="S608" s="289">
        <v>4.0999999999999996</v>
      </c>
      <c r="T608" s="303">
        <v>42208</v>
      </c>
      <c r="U608" s="302"/>
      <c r="V608" s="303"/>
      <c r="W608" s="302"/>
      <c r="X608" s="303"/>
      <c r="Y608" s="302">
        <v>15.76</v>
      </c>
      <c r="Z608" s="303">
        <v>42208</v>
      </c>
      <c r="AA608">
        <v>14.4</v>
      </c>
      <c r="AB608" s="303"/>
      <c r="AC608" s="302"/>
      <c r="AD608" s="303"/>
      <c r="AE608" s="302"/>
      <c r="AF608" s="303"/>
      <c r="AG608">
        <v>55049.85532407408</v>
      </c>
      <c r="AH608" s="521">
        <f>(AK608*10000)/AM608</f>
        <v>55049.85532407408</v>
      </c>
      <c r="AI608" s="302"/>
      <c r="AJ608" s="303"/>
      <c r="AK608">
        <v>26.423930555555554</v>
      </c>
      <c r="AL608" s="521"/>
      <c r="AM608">
        <v>4.8</v>
      </c>
      <c r="AN608" s="303">
        <v>42244</v>
      </c>
      <c r="AO608">
        <v>120</v>
      </c>
      <c r="AP608" s="303">
        <v>42170</v>
      </c>
      <c r="AQ608" s="302"/>
      <c r="AR608" s="303"/>
      <c r="AS608" s="302"/>
      <c r="AT608" s="303"/>
      <c r="AU608">
        <v>108</v>
      </c>
      <c r="AV608" s="303"/>
      <c r="AW608" s="302"/>
      <c r="AX608" s="302"/>
      <c r="AY608" s="302"/>
      <c r="AZ608" s="303"/>
      <c r="BA608" s="302"/>
      <c r="BB608" s="302"/>
      <c r="BC608" s="302"/>
      <c r="BD608" s="302"/>
      <c r="BE608" s="302"/>
      <c r="BF608" s="302"/>
      <c r="BG608" s="302"/>
      <c r="BH608" s="302"/>
      <c r="BI608" s="302"/>
      <c r="BJ608" s="302"/>
      <c r="BM608">
        <v>-2.9</v>
      </c>
      <c r="BS608">
        <v>62.9</v>
      </c>
      <c r="BY608">
        <v>53.2</v>
      </c>
      <c r="CA608">
        <v>16.3</v>
      </c>
      <c r="CC608">
        <v>13.6</v>
      </c>
      <c r="CI608">
        <v>5.3</v>
      </c>
      <c r="CO608" t="s">
        <v>8698</v>
      </c>
      <c r="CR608">
        <v>1</v>
      </c>
      <c r="CT608" s="304" t="s">
        <v>11678</v>
      </c>
    </row>
    <row r="609" spans="1:98" s="304" customFormat="1">
      <c r="A609" s="304" t="s">
        <v>8506</v>
      </c>
      <c r="B609" s="463">
        <v>137</v>
      </c>
      <c r="C609" s="296" t="s">
        <v>7765</v>
      </c>
      <c r="D609" s="296" t="s">
        <v>7839</v>
      </c>
      <c r="E609" s="296" t="s">
        <v>7765</v>
      </c>
      <c r="F609" s="296"/>
      <c r="G609" s="296" t="s">
        <v>8506</v>
      </c>
      <c r="H609" s="297" t="s">
        <v>8696</v>
      </c>
      <c r="I609" s="297">
        <v>3</v>
      </c>
      <c r="J609" s="297">
        <v>3329</v>
      </c>
      <c r="K609" s="299"/>
      <c r="L609" s="299"/>
      <c r="M609" s="299">
        <v>100</v>
      </c>
      <c r="N609" s="299">
        <v>6</v>
      </c>
      <c r="O609" s="300">
        <v>48</v>
      </c>
      <c r="P609" s="301">
        <v>42090</v>
      </c>
      <c r="Q609" s="302"/>
      <c r="R609" s="303"/>
      <c r="S609" s="289">
        <v>5.8</v>
      </c>
      <c r="T609" s="303">
        <v>42208</v>
      </c>
      <c r="U609" s="302"/>
      <c r="V609" s="303"/>
      <c r="W609" s="302"/>
      <c r="X609" s="303"/>
      <c r="Y609" s="302">
        <v>21.46</v>
      </c>
      <c r="Z609" s="303">
        <v>42208</v>
      </c>
      <c r="AA609">
        <v>14.4</v>
      </c>
      <c r="AB609" s="303"/>
      <c r="AC609" s="302"/>
      <c r="AD609" s="303"/>
      <c r="AE609" s="302"/>
      <c r="AF609" s="303"/>
      <c r="AG609">
        <v>69222.582304526746</v>
      </c>
      <c r="AH609" s="521">
        <f>(AK609*10000)/AM609</f>
        <v>69222.582304526746</v>
      </c>
      <c r="AI609" s="302"/>
      <c r="AJ609" s="303"/>
      <c r="AK609">
        <v>37.380194444444442</v>
      </c>
      <c r="AL609" s="521"/>
      <c r="AM609">
        <v>5.4</v>
      </c>
      <c r="AN609" s="303">
        <v>42244</v>
      </c>
      <c r="AO609">
        <v>130</v>
      </c>
      <c r="AP609" s="303">
        <v>42170</v>
      </c>
      <c r="AQ609" s="302"/>
      <c r="AR609" s="303"/>
      <c r="AS609" s="302"/>
      <c r="AT609" s="303"/>
      <c r="AU609">
        <v>106</v>
      </c>
      <c r="AV609" s="303"/>
      <c r="AW609" s="302"/>
      <c r="AX609" s="302"/>
      <c r="AY609" s="302"/>
      <c r="AZ609" s="303"/>
      <c r="BA609" s="302"/>
      <c r="BB609" s="302"/>
      <c r="BC609" s="302"/>
      <c r="BD609" s="302"/>
      <c r="BE609" s="302"/>
      <c r="BF609" s="302"/>
      <c r="BG609" s="302"/>
      <c r="BH609" s="302"/>
      <c r="BI609" s="302"/>
      <c r="BJ609" s="302"/>
      <c r="BM609">
        <v>0.7</v>
      </c>
      <c r="BS609">
        <v>60.1</v>
      </c>
      <c r="BY609">
        <v>51.2</v>
      </c>
      <c r="CA609">
        <v>19</v>
      </c>
      <c r="CC609">
        <v>13.2</v>
      </c>
      <c r="CI609">
        <v>5.3</v>
      </c>
      <c r="CO609" t="s">
        <v>8698</v>
      </c>
      <c r="CR609">
        <v>1</v>
      </c>
      <c r="CT609" s="304" t="s">
        <v>11678</v>
      </c>
    </row>
    <row r="610" spans="1:98" s="304" customFormat="1">
      <c r="A610" s="304" t="s">
        <v>8506</v>
      </c>
      <c r="B610" s="463">
        <v>172</v>
      </c>
      <c r="C610" s="296" t="s">
        <v>7800</v>
      </c>
      <c r="D610" s="296" t="s">
        <v>8688</v>
      </c>
      <c r="E610" s="296" t="s">
        <v>7800</v>
      </c>
      <c r="F610" s="296"/>
      <c r="G610" s="296" t="s">
        <v>8506</v>
      </c>
      <c r="H610" s="297" t="s">
        <v>8697</v>
      </c>
      <c r="I610" s="297">
        <v>4</v>
      </c>
      <c r="J610" s="297">
        <v>4209</v>
      </c>
      <c r="K610" s="299"/>
      <c r="L610" s="299"/>
      <c r="M610" s="299">
        <v>100</v>
      </c>
      <c r="N610" s="299">
        <v>10</v>
      </c>
      <c r="O610" s="300">
        <v>24</v>
      </c>
      <c r="P610" s="301">
        <v>42090</v>
      </c>
      <c r="Q610" s="302"/>
      <c r="R610" s="303"/>
      <c r="S610" s="289">
        <v>4.7</v>
      </c>
      <c r="T610" s="303">
        <v>42208</v>
      </c>
      <c r="U610" s="302"/>
      <c r="V610" s="303"/>
      <c r="W610" s="302"/>
      <c r="X610" s="303"/>
      <c r="Y610" s="302">
        <v>18.55</v>
      </c>
      <c r="Z610" s="303">
        <v>42208</v>
      </c>
      <c r="AA610">
        <v>14.4</v>
      </c>
      <c r="AB610" s="303"/>
      <c r="AC610" s="302"/>
      <c r="AD610" s="303"/>
      <c r="AE610" s="302"/>
      <c r="AF610" s="303"/>
      <c r="AG610">
        <v>56094.161522633745</v>
      </c>
      <c r="AH610" s="521">
        <f>(AK610*10000)/AM610</f>
        <v>56094.161522633745</v>
      </c>
      <c r="AI610" s="302"/>
      <c r="AJ610" s="303"/>
      <c r="AK610">
        <v>30.290847222222222</v>
      </c>
      <c r="AL610" s="521"/>
      <c r="AM610">
        <v>5.4</v>
      </c>
      <c r="AN610" s="303">
        <v>42244</v>
      </c>
      <c r="AO610">
        <v>150</v>
      </c>
      <c r="AP610" s="303">
        <v>42170</v>
      </c>
      <c r="AQ610" s="302"/>
      <c r="AR610" s="303"/>
      <c r="AS610" s="302"/>
      <c r="AT610" s="303"/>
      <c r="AU610">
        <v>110</v>
      </c>
      <c r="AV610" s="303"/>
      <c r="AW610" s="302"/>
      <c r="AX610" s="302"/>
      <c r="AY610" s="302"/>
      <c r="AZ610" s="303"/>
      <c r="BA610" s="302"/>
      <c r="BB610" s="302"/>
      <c r="BC610" s="302"/>
      <c r="BD610" s="302"/>
      <c r="BE610" s="302"/>
      <c r="BF610" s="302"/>
      <c r="BG610" s="302"/>
      <c r="BH610" s="302"/>
      <c r="BI610" s="302"/>
      <c r="BJ610" s="302"/>
      <c r="BM610">
        <v>-3.5</v>
      </c>
      <c r="BS610">
        <v>64.099999999999994</v>
      </c>
      <c r="BY610">
        <v>54.6</v>
      </c>
      <c r="CA610">
        <v>14.8</v>
      </c>
      <c r="CC610">
        <v>20</v>
      </c>
      <c r="CI610">
        <v>5.3</v>
      </c>
      <c r="CO610" t="s">
        <v>8698</v>
      </c>
      <c r="CR610">
        <v>1</v>
      </c>
      <c r="CT610" s="304" t="s">
        <v>11678</v>
      </c>
    </row>
    <row r="611" spans="1:98" s="304" customFormat="1">
      <c r="A611" s="304" t="s">
        <v>8506</v>
      </c>
      <c r="B611" s="463">
        <v>11</v>
      </c>
      <c r="C611" s="296" t="s">
        <v>7620</v>
      </c>
      <c r="D611" s="296" t="s">
        <v>263</v>
      </c>
      <c r="E611" s="296" t="s">
        <v>7620</v>
      </c>
      <c r="F611" s="296"/>
      <c r="G611" s="296" t="s">
        <v>8506</v>
      </c>
      <c r="H611" s="297" t="s">
        <v>8697</v>
      </c>
      <c r="I611" s="297">
        <v>4</v>
      </c>
      <c r="J611" s="308">
        <v>430</v>
      </c>
      <c r="K611" s="299"/>
      <c r="L611" s="299"/>
      <c r="M611" s="299">
        <v>101</v>
      </c>
      <c r="N611" s="299">
        <v>7</v>
      </c>
      <c r="O611" s="300">
        <v>83</v>
      </c>
      <c r="P611" s="301">
        <v>42090</v>
      </c>
      <c r="Q611" s="306"/>
      <c r="R611" s="303"/>
      <c r="S611" s="289">
        <v>3.35</v>
      </c>
      <c r="T611" s="303">
        <v>42208</v>
      </c>
      <c r="U611" s="307"/>
      <c r="V611" s="303"/>
      <c r="W611" s="306"/>
      <c r="X611" s="303"/>
      <c r="Y611" s="306">
        <v>12.73</v>
      </c>
      <c r="Z611" s="303">
        <v>42208</v>
      </c>
      <c r="AA611">
        <v>14.4</v>
      </c>
      <c r="AB611" s="303"/>
      <c r="AC611" s="306"/>
      <c r="AD611" s="303"/>
      <c r="AE611" s="302"/>
      <c r="AF611" s="303"/>
      <c r="AG611">
        <v>55418.162393162391</v>
      </c>
      <c r="AH611" s="521">
        <f>(AK611*10000)/AM611</f>
        <v>55418.162393162391</v>
      </c>
      <c r="AI611" s="302"/>
      <c r="AJ611" s="303"/>
      <c r="AK611">
        <v>21.613083333333332</v>
      </c>
      <c r="AL611" s="521"/>
      <c r="AM611">
        <v>3.9</v>
      </c>
      <c r="AN611" s="303">
        <v>42244</v>
      </c>
      <c r="AO611">
        <v>110</v>
      </c>
      <c r="AP611" s="303">
        <v>42170</v>
      </c>
      <c r="AQ611" s="306"/>
      <c r="AR611" s="303"/>
      <c r="AS611" s="306"/>
      <c r="AT611" s="303"/>
      <c r="AU611">
        <v>107</v>
      </c>
      <c r="AV611" s="303"/>
      <c r="AW611" s="302"/>
      <c r="AX611" s="302"/>
      <c r="AY611" s="302"/>
      <c r="AZ611" s="303"/>
      <c r="BA611" s="302"/>
      <c r="BB611" s="302"/>
      <c r="BC611" s="302"/>
      <c r="BD611" s="302"/>
      <c r="BE611" s="302"/>
      <c r="BF611" s="302"/>
      <c r="BG611" s="302"/>
      <c r="BH611" s="302"/>
      <c r="BI611" s="302"/>
      <c r="BJ611" s="302"/>
      <c r="BM611">
        <v>51.3</v>
      </c>
      <c r="BS611">
        <v>5.2</v>
      </c>
      <c r="BY611">
        <v>52.5</v>
      </c>
      <c r="CA611">
        <v>19.8</v>
      </c>
      <c r="CC611">
        <v>65.8</v>
      </c>
      <c r="CI611">
        <v>5.2</v>
      </c>
      <c r="CO611" t="s">
        <v>8698</v>
      </c>
      <c r="CR611">
        <v>2</v>
      </c>
      <c r="CT611" s="304" t="s">
        <v>11678</v>
      </c>
    </row>
    <row r="612" spans="1:98" s="304" customFormat="1">
      <c r="A612" s="304" t="s">
        <v>8506</v>
      </c>
      <c r="B612" s="463">
        <v>50</v>
      </c>
      <c r="C612" s="296" t="s">
        <v>7668</v>
      </c>
      <c r="D612" s="296" t="s">
        <v>7500</v>
      </c>
      <c r="E612" s="296" t="s">
        <v>7668</v>
      </c>
      <c r="F612" s="296"/>
      <c r="G612" s="296" t="s">
        <v>8506</v>
      </c>
      <c r="H612" s="297" t="s">
        <v>8696</v>
      </c>
      <c r="I612" s="297">
        <v>3</v>
      </c>
      <c r="J612" s="297">
        <v>330</v>
      </c>
      <c r="K612" s="299"/>
      <c r="L612" s="299"/>
      <c r="M612" s="299">
        <v>101</v>
      </c>
      <c r="N612" s="299">
        <v>1</v>
      </c>
      <c r="O612" s="300">
        <v>62</v>
      </c>
      <c r="P612" s="301">
        <v>42090</v>
      </c>
      <c r="Q612" s="302"/>
      <c r="R612" s="303"/>
      <c r="S612" s="289">
        <v>6.15</v>
      </c>
      <c r="T612" s="303">
        <v>42208</v>
      </c>
      <c r="U612" s="302"/>
      <c r="V612" s="303"/>
      <c r="W612" s="302"/>
      <c r="X612" s="303"/>
      <c r="Y612" s="302">
        <v>22.53</v>
      </c>
      <c r="Z612" s="303">
        <v>42208</v>
      </c>
      <c r="AA612">
        <v>14.4</v>
      </c>
      <c r="AB612" s="303"/>
      <c r="AC612" s="302"/>
      <c r="AD612" s="303"/>
      <c r="AE612" s="302"/>
      <c r="AF612" s="303"/>
      <c r="AG612">
        <v>73399.807098765436</v>
      </c>
      <c r="AH612" s="521">
        <f>(AK612*10000)/AM612</f>
        <v>73399.807098765436</v>
      </c>
      <c r="AI612" s="302"/>
      <c r="AJ612" s="303"/>
      <c r="AK612">
        <v>39.635895833333336</v>
      </c>
      <c r="AL612" s="521"/>
      <c r="AM612">
        <v>5.4</v>
      </c>
      <c r="AN612" s="303">
        <v>42244</v>
      </c>
      <c r="AO612">
        <v>130</v>
      </c>
      <c r="AP612" s="303">
        <v>42170</v>
      </c>
      <c r="AQ612" s="302"/>
      <c r="AR612" s="303"/>
      <c r="AS612" s="302"/>
      <c r="AT612" s="303"/>
      <c r="AU612">
        <v>110</v>
      </c>
      <c r="AV612" s="303"/>
      <c r="AW612" s="302"/>
      <c r="AX612" s="302"/>
      <c r="AY612" s="302"/>
      <c r="AZ612" s="303"/>
      <c r="BA612" s="302"/>
      <c r="BB612" s="302"/>
      <c r="BC612" s="302"/>
      <c r="BD612" s="302"/>
      <c r="BE612" s="302"/>
      <c r="BF612" s="302"/>
      <c r="BG612" s="302"/>
      <c r="BH612" s="302"/>
      <c r="BI612" s="302"/>
      <c r="BJ612" s="302"/>
      <c r="BM612">
        <v>-3.3</v>
      </c>
      <c r="BS612">
        <v>63.1</v>
      </c>
      <c r="BY612">
        <v>50.7</v>
      </c>
      <c r="CA612">
        <v>18.3</v>
      </c>
      <c r="CC612">
        <v>16</v>
      </c>
      <c r="CI612">
        <v>5.3</v>
      </c>
      <c r="CO612" t="s">
        <v>8699</v>
      </c>
      <c r="CR612">
        <v>2</v>
      </c>
      <c r="CT612" s="304" t="s">
        <v>11678</v>
      </c>
    </row>
    <row r="613" spans="1:98" s="304" customFormat="1">
      <c r="A613" s="304" t="s">
        <v>8506</v>
      </c>
      <c r="B613" s="463">
        <v>62</v>
      </c>
      <c r="C613" s="296" t="s">
        <v>7680</v>
      </c>
      <c r="D613" s="296" t="s">
        <v>7510</v>
      </c>
      <c r="E613" s="296" t="s">
        <v>7680</v>
      </c>
      <c r="F613" s="296"/>
      <c r="G613" s="296" t="s">
        <v>8506</v>
      </c>
      <c r="H613" s="297" t="s">
        <v>8696</v>
      </c>
      <c r="I613" s="297">
        <v>3</v>
      </c>
      <c r="J613" s="297">
        <v>390</v>
      </c>
      <c r="K613" s="299"/>
      <c r="L613" s="299"/>
      <c r="M613" s="299">
        <v>101</v>
      </c>
      <c r="N613" s="299">
        <v>2</v>
      </c>
      <c r="O613" s="300">
        <v>66</v>
      </c>
      <c r="P613" s="301">
        <v>42090</v>
      </c>
      <c r="Q613" s="302"/>
      <c r="R613" s="303"/>
      <c r="S613" s="289">
        <v>5.05</v>
      </c>
      <c r="T613" s="303">
        <v>42208</v>
      </c>
      <c r="U613" s="302"/>
      <c r="V613" s="303"/>
      <c r="W613" s="302"/>
      <c r="X613" s="303"/>
      <c r="Y613" s="302">
        <v>17.79</v>
      </c>
      <c r="Z613" s="303">
        <v>42208</v>
      </c>
      <c r="AA613">
        <v>14.4</v>
      </c>
      <c r="AB613" s="303"/>
      <c r="AC613" s="302"/>
      <c r="AD613" s="303"/>
      <c r="AE613" s="302"/>
      <c r="AF613" s="303"/>
      <c r="AG613">
        <v>58057.465277777759</v>
      </c>
      <c r="AH613" s="521">
        <f>(AK613*10000)/AM613</f>
        <v>58057.465277777759</v>
      </c>
      <c r="AI613" s="302"/>
      <c r="AJ613" s="303"/>
      <c r="AK613">
        <v>32.512180555555545</v>
      </c>
      <c r="AL613" s="521"/>
      <c r="AM613">
        <v>5.6</v>
      </c>
      <c r="AN613" s="303">
        <v>42244</v>
      </c>
      <c r="AO613">
        <v>135</v>
      </c>
      <c r="AP613" s="303">
        <v>42170</v>
      </c>
      <c r="AQ613" s="302"/>
      <c r="AR613" s="303"/>
      <c r="AS613" s="302"/>
      <c r="AT613" s="303"/>
      <c r="AU613">
        <v>112</v>
      </c>
      <c r="AV613" s="303"/>
      <c r="AW613" s="302"/>
      <c r="AX613" s="302"/>
      <c r="AY613" s="302"/>
      <c r="AZ613" s="303"/>
      <c r="BA613" s="302"/>
      <c r="BB613" s="302"/>
      <c r="BC613" s="302"/>
      <c r="BD613" s="302"/>
      <c r="BE613" s="302"/>
      <c r="BF613" s="302"/>
      <c r="BG613" s="302"/>
      <c r="BH613" s="302"/>
      <c r="BI613" s="302"/>
      <c r="BJ613" s="302"/>
      <c r="BM613">
        <v>0.9</v>
      </c>
      <c r="BS613">
        <v>58.5</v>
      </c>
      <c r="BY613">
        <v>48.8</v>
      </c>
      <c r="CA613">
        <v>19.600000000000001</v>
      </c>
      <c r="CC613">
        <v>29.2</v>
      </c>
      <c r="CI613">
        <v>5.4</v>
      </c>
      <c r="CO613" t="s">
        <v>8699</v>
      </c>
      <c r="CR613">
        <v>4</v>
      </c>
      <c r="CT613" s="304" t="s">
        <v>11678</v>
      </c>
    </row>
    <row r="614" spans="1:98" s="304" customFormat="1">
      <c r="A614" s="304" t="s">
        <v>8506</v>
      </c>
      <c r="B614" s="463">
        <v>73</v>
      </c>
      <c r="C614" s="296" t="s">
        <v>7691</v>
      </c>
      <c r="D614" s="296" t="s">
        <v>7520</v>
      </c>
      <c r="E614" s="296" t="s">
        <v>7691</v>
      </c>
      <c r="F614" s="296"/>
      <c r="G614" s="296" t="s">
        <v>8506</v>
      </c>
      <c r="H614" s="297" t="s">
        <v>8697</v>
      </c>
      <c r="I614" s="297">
        <v>4</v>
      </c>
      <c r="J614" s="297">
        <v>4270</v>
      </c>
      <c r="K614" s="299"/>
      <c r="L614" s="299"/>
      <c r="M614" s="299">
        <v>101</v>
      </c>
      <c r="N614" s="299">
        <v>11</v>
      </c>
      <c r="O614" s="300">
        <v>42</v>
      </c>
      <c r="P614" s="301">
        <v>42090</v>
      </c>
      <c r="Q614" s="302"/>
      <c r="R614" s="303"/>
      <c r="S614" s="289">
        <v>4.6500000000000004</v>
      </c>
      <c r="T614" s="303">
        <v>42208</v>
      </c>
      <c r="U614" s="302"/>
      <c r="V614" s="303"/>
      <c r="W614" s="302"/>
      <c r="X614" s="303"/>
      <c r="Y614" s="302">
        <v>18.34</v>
      </c>
      <c r="Z614" s="303">
        <v>42208</v>
      </c>
      <c r="AA614">
        <v>14.4</v>
      </c>
      <c r="AB614" s="303"/>
      <c r="AC614" s="302"/>
      <c r="AD614" s="303"/>
      <c r="AE614" s="302"/>
      <c r="AF614" s="303"/>
      <c r="AG614">
        <v>71579.861111111109</v>
      </c>
      <c r="AH614" s="521">
        <f>(AK614*10000)/AM614</f>
        <v>71579.861111111109</v>
      </c>
      <c r="AI614" s="302"/>
      <c r="AJ614" s="303"/>
      <c r="AK614">
        <v>30.063541666666666</v>
      </c>
      <c r="AL614" s="521"/>
      <c r="AM614">
        <v>4.2</v>
      </c>
      <c r="AN614" s="303">
        <v>42244</v>
      </c>
      <c r="AO614">
        <v>140</v>
      </c>
      <c r="AP614" s="303">
        <v>42170</v>
      </c>
      <c r="AQ614" s="302"/>
      <c r="AR614" s="303"/>
      <c r="AS614" s="302"/>
      <c r="AT614" s="303"/>
      <c r="AU614">
        <v>113</v>
      </c>
      <c r="AV614" s="303"/>
      <c r="AW614" s="302"/>
      <c r="AX614" s="302"/>
      <c r="AY614" s="302"/>
      <c r="AZ614" s="303"/>
      <c r="BA614" s="302"/>
      <c r="BB614" s="302"/>
      <c r="BC614" s="302"/>
      <c r="BD614" s="302"/>
      <c r="BE614" s="302"/>
      <c r="BF614" s="302"/>
      <c r="BG614" s="302"/>
      <c r="BH614" s="302"/>
      <c r="BI614" s="302"/>
      <c r="BJ614" s="302"/>
      <c r="BM614">
        <v>19.8</v>
      </c>
      <c r="BS614">
        <v>41.9</v>
      </c>
      <c r="BY614">
        <v>54.4</v>
      </c>
      <c r="CA614">
        <v>15.3</v>
      </c>
      <c r="CC614">
        <v>14.3</v>
      </c>
      <c r="CI614">
        <v>5</v>
      </c>
      <c r="CO614" t="s">
        <v>8704</v>
      </c>
      <c r="CR614">
        <v>2</v>
      </c>
      <c r="CT614" s="304" t="s">
        <v>11678</v>
      </c>
    </row>
    <row r="615" spans="1:98" s="304" customFormat="1">
      <c r="A615" s="304" t="s">
        <v>8506</v>
      </c>
      <c r="B615" s="463">
        <v>170</v>
      </c>
      <c r="C615" s="296" t="s">
        <v>7798</v>
      </c>
      <c r="D615" s="296" t="s">
        <v>7599</v>
      </c>
      <c r="E615" s="296" t="s">
        <v>7798</v>
      </c>
      <c r="F615" s="296"/>
      <c r="G615" s="296" t="s">
        <v>8506</v>
      </c>
      <c r="H615" s="297" t="s">
        <v>8697</v>
      </c>
      <c r="I615" s="297">
        <v>4</v>
      </c>
      <c r="J615" s="297">
        <v>4330</v>
      </c>
      <c r="K615" s="299"/>
      <c r="L615" s="299"/>
      <c r="M615" s="299">
        <v>101</v>
      </c>
      <c r="N615" s="299">
        <v>12</v>
      </c>
      <c r="O615" s="300">
        <v>36</v>
      </c>
      <c r="P615" s="301">
        <v>42090</v>
      </c>
      <c r="Q615" s="302"/>
      <c r="R615" s="303"/>
      <c r="S615" s="289">
        <v>5.2</v>
      </c>
      <c r="T615" s="303">
        <v>42208</v>
      </c>
      <c r="U615" s="302"/>
      <c r="V615" s="303"/>
      <c r="W615" s="302"/>
      <c r="X615" s="303"/>
      <c r="Y615" s="302">
        <v>19.670000000000002</v>
      </c>
      <c r="Z615" s="303">
        <v>42208</v>
      </c>
      <c r="AA615">
        <v>14.4</v>
      </c>
      <c r="AB615" s="303"/>
      <c r="AC615" s="302"/>
      <c r="AD615" s="303"/>
      <c r="AE615" s="302"/>
      <c r="AF615" s="303"/>
      <c r="AG615">
        <v>60868.888888888876</v>
      </c>
      <c r="AH615" s="521">
        <f>(AK615*10000)/AM615</f>
        <v>60868.888888888876</v>
      </c>
      <c r="AI615" s="302"/>
      <c r="AJ615" s="303"/>
      <c r="AK615">
        <v>33.477888888888884</v>
      </c>
      <c r="AL615" s="521"/>
      <c r="AM615">
        <v>5.5</v>
      </c>
      <c r="AN615" s="303">
        <v>42244</v>
      </c>
      <c r="AO615">
        <v>135</v>
      </c>
      <c r="AP615" s="303">
        <v>42170</v>
      </c>
      <c r="AQ615" s="302"/>
      <c r="AR615" s="303"/>
      <c r="AS615" s="302"/>
      <c r="AT615" s="303"/>
      <c r="AU615">
        <v>105</v>
      </c>
      <c r="AV615" s="303"/>
      <c r="AW615" s="302"/>
      <c r="AX615" s="302"/>
      <c r="AY615" s="302"/>
      <c r="AZ615" s="303"/>
      <c r="BA615" s="302"/>
      <c r="BB615" s="302"/>
      <c r="BC615" s="302"/>
      <c r="BD615" s="302"/>
      <c r="BE615" s="302"/>
      <c r="BF615" s="302"/>
      <c r="BG615" s="302"/>
      <c r="BH615" s="302"/>
      <c r="BI615" s="302"/>
      <c r="BJ615" s="302"/>
      <c r="BM615">
        <v>-2.2999999999999998</v>
      </c>
      <c r="BS615">
        <v>63.8</v>
      </c>
      <c r="BY615">
        <v>52.4</v>
      </c>
      <c r="CA615">
        <v>16.600000000000001</v>
      </c>
      <c r="CC615">
        <v>13.4</v>
      </c>
      <c r="CI615">
        <v>5.4</v>
      </c>
      <c r="CO615" t="s">
        <v>8698</v>
      </c>
      <c r="CR615">
        <v>1</v>
      </c>
      <c r="CT615" s="304" t="s">
        <v>11678</v>
      </c>
    </row>
    <row r="616" spans="1:98" s="304" customFormat="1">
      <c r="A616" s="304" t="s">
        <v>8506</v>
      </c>
      <c r="B616" s="463">
        <v>69</v>
      </c>
      <c r="C616" s="296" t="s">
        <v>7687</v>
      </c>
      <c r="D616" s="296" t="s">
        <v>7516</v>
      </c>
      <c r="E616" s="296" t="s">
        <v>7687</v>
      </c>
      <c r="F616" s="296"/>
      <c r="G616" s="296" t="s">
        <v>8506</v>
      </c>
      <c r="H616" s="297" t="s">
        <v>8697</v>
      </c>
      <c r="I616" s="297">
        <v>4</v>
      </c>
      <c r="J616" s="297">
        <v>491</v>
      </c>
      <c r="K616" s="299"/>
      <c r="L616" s="299"/>
      <c r="M616" s="299">
        <v>102</v>
      </c>
      <c r="N616" s="299">
        <v>8</v>
      </c>
      <c r="O616" s="300">
        <v>76</v>
      </c>
      <c r="P616" s="301">
        <v>42090</v>
      </c>
      <c r="Q616" s="302"/>
      <c r="R616" s="303"/>
      <c r="S616" s="289">
        <v>4.3499999999999996</v>
      </c>
      <c r="T616" s="303">
        <v>42208</v>
      </c>
      <c r="U616" s="302"/>
      <c r="V616" s="303"/>
      <c r="W616" s="302"/>
      <c r="X616" s="303"/>
      <c r="Y616" s="302">
        <v>16.920000000000002</v>
      </c>
      <c r="Z616" s="303">
        <v>42208</v>
      </c>
      <c r="AA616">
        <v>14.4</v>
      </c>
      <c r="AB616" s="303"/>
      <c r="AC616" s="302"/>
      <c r="AD616" s="303"/>
      <c r="AE616" s="302"/>
      <c r="AF616" s="303"/>
      <c r="AG616">
        <v>58344.878472222219</v>
      </c>
      <c r="AH616" s="521">
        <f>(AK616*10000)/AM616</f>
        <v>58344.878472222219</v>
      </c>
      <c r="AI616" s="302"/>
      <c r="AJ616" s="303"/>
      <c r="AK616">
        <v>28.005541666666662</v>
      </c>
      <c r="AL616" s="521"/>
      <c r="AM616">
        <v>4.8</v>
      </c>
      <c r="AN616" s="303">
        <v>42244</v>
      </c>
      <c r="AO616">
        <v>125</v>
      </c>
      <c r="AP616" s="303">
        <v>42170</v>
      </c>
      <c r="AQ616" s="302"/>
      <c r="AR616" s="303"/>
      <c r="AS616" s="302"/>
      <c r="AT616" s="303"/>
      <c r="AU616">
        <v>105</v>
      </c>
      <c r="AV616" s="303"/>
      <c r="AW616" s="302"/>
      <c r="AX616" s="302"/>
      <c r="AY616" s="302"/>
      <c r="AZ616" s="303"/>
      <c r="BA616" s="302"/>
      <c r="BB616" s="302"/>
      <c r="BC616" s="302"/>
      <c r="BD616" s="302"/>
      <c r="BE616" s="302"/>
      <c r="BF616" s="302"/>
      <c r="BG616" s="302"/>
      <c r="BH616" s="302"/>
      <c r="BI616" s="302"/>
      <c r="BJ616" s="302"/>
      <c r="BM616">
        <v>-4.8</v>
      </c>
      <c r="BS616">
        <v>63.4</v>
      </c>
      <c r="BY616">
        <v>53.9</v>
      </c>
      <c r="CA616">
        <v>15.4</v>
      </c>
      <c r="CC616">
        <v>16</v>
      </c>
      <c r="CI616">
        <v>5.4</v>
      </c>
      <c r="CO616" t="s">
        <v>8698</v>
      </c>
      <c r="CR616">
        <v>2</v>
      </c>
      <c r="CT616" s="304" t="s">
        <v>11678</v>
      </c>
    </row>
    <row r="617" spans="1:98" s="304" customFormat="1">
      <c r="A617" s="304" t="s">
        <v>8506</v>
      </c>
      <c r="B617" s="463">
        <v>128</v>
      </c>
      <c r="C617" s="296" t="s">
        <v>7756</v>
      </c>
      <c r="D617" s="296" t="s">
        <v>7455</v>
      </c>
      <c r="E617" s="296" t="s">
        <v>7756</v>
      </c>
      <c r="F617" s="296"/>
      <c r="G617" s="296" t="s">
        <v>8506</v>
      </c>
      <c r="H617" s="297" t="s">
        <v>8697</v>
      </c>
      <c r="I617" s="297">
        <v>4</v>
      </c>
      <c r="J617" s="297">
        <v>431</v>
      </c>
      <c r="K617" s="299"/>
      <c r="L617" s="299"/>
      <c r="M617" s="299">
        <v>102</v>
      </c>
      <c r="N617" s="299">
        <v>7</v>
      </c>
      <c r="O617" s="300">
        <v>52</v>
      </c>
      <c r="P617" s="301">
        <v>42090</v>
      </c>
      <c r="Q617" s="302"/>
      <c r="R617" s="303"/>
      <c r="S617" s="289">
        <v>2.8</v>
      </c>
      <c r="T617" s="303">
        <v>42208</v>
      </c>
      <c r="U617" s="302"/>
      <c r="V617" s="303"/>
      <c r="W617" s="302"/>
      <c r="X617" s="303"/>
      <c r="Y617" s="302">
        <v>10.95</v>
      </c>
      <c r="Z617" s="303">
        <v>42208</v>
      </c>
      <c r="AA617">
        <v>14.4</v>
      </c>
      <c r="AB617" s="303"/>
      <c r="AC617" s="302"/>
      <c r="AD617" s="303"/>
      <c r="AE617" s="302"/>
      <c r="AF617" s="303"/>
      <c r="AG617">
        <v>36091.222222222219</v>
      </c>
      <c r="AH617" s="521">
        <f>(AK617*10000)/AM617</f>
        <v>36091.222222222219</v>
      </c>
      <c r="AI617" s="302"/>
      <c r="AJ617" s="303"/>
      <c r="AK617">
        <v>18.045611111111111</v>
      </c>
      <c r="AL617" s="521"/>
      <c r="AM617">
        <v>5</v>
      </c>
      <c r="AN617" s="303">
        <v>42244</v>
      </c>
      <c r="AO617">
        <v>130</v>
      </c>
      <c r="AP617" s="303">
        <v>42170</v>
      </c>
      <c r="AQ617" s="302"/>
      <c r="AR617" s="303"/>
      <c r="AS617" s="302"/>
      <c r="AT617" s="303"/>
      <c r="AU617">
        <v>115</v>
      </c>
      <c r="AV617" s="303"/>
      <c r="AW617" s="302"/>
      <c r="AX617" s="302"/>
      <c r="AY617" s="302"/>
      <c r="AZ617" s="303"/>
      <c r="BA617" s="302"/>
      <c r="BB617" s="302"/>
      <c r="BC617" s="302"/>
      <c r="BD617" s="302"/>
      <c r="BE617" s="302"/>
      <c r="BF617" s="302"/>
      <c r="BG617" s="302"/>
      <c r="BH617" s="302"/>
      <c r="BI617" s="302"/>
      <c r="BJ617" s="302"/>
      <c r="BM617">
        <v>41.3</v>
      </c>
      <c r="BS617">
        <v>13.2</v>
      </c>
      <c r="BY617">
        <v>54.1</v>
      </c>
      <c r="CA617">
        <v>17.399999999999999</v>
      </c>
      <c r="CC617">
        <v>57.3</v>
      </c>
      <c r="CI617">
        <v>5.3</v>
      </c>
      <c r="CO617" t="s">
        <v>8698</v>
      </c>
      <c r="CR617">
        <v>3</v>
      </c>
      <c r="CT617" s="304" t="s">
        <v>11678</v>
      </c>
    </row>
    <row r="618" spans="1:98" s="304" customFormat="1">
      <c r="A618" s="304" t="s">
        <v>8506</v>
      </c>
      <c r="B618" s="463">
        <v>142</v>
      </c>
      <c r="C618" s="296" t="s">
        <v>7770</v>
      </c>
      <c r="D618" s="296" t="s">
        <v>7571</v>
      </c>
      <c r="E618" s="296" t="s">
        <v>7770</v>
      </c>
      <c r="F618" s="296"/>
      <c r="G618" s="296" t="s">
        <v>8506</v>
      </c>
      <c r="H618" s="297" t="s">
        <v>8696</v>
      </c>
      <c r="I618" s="297">
        <v>3</v>
      </c>
      <c r="J618" s="297">
        <v>331</v>
      </c>
      <c r="K618" s="299"/>
      <c r="L618" s="299"/>
      <c r="M618" s="299">
        <v>102</v>
      </c>
      <c r="N618" s="299">
        <v>1</v>
      </c>
      <c r="O618" s="300">
        <v>48</v>
      </c>
      <c r="P618" s="301">
        <v>42090</v>
      </c>
      <c r="Q618" s="302"/>
      <c r="R618" s="303"/>
      <c r="S618" s="289">
        <v>6.3</v>
      </c>
      <c r="T618" s="303">
        <v>42208</v>
      </c>
      <c r="U618" s="302"/>
      <c r="V618" s="303"/>
      <c r="W618" s="302"/>
      <c r="X618" s="303"/>
      <c r="Y618" s="302">
        <v>24.34</v>
      </c>
      <c r="Z618" s="303">
        <v>42208</v>
      </c>
      <c r="AA618">
        <v>14.4</v>
      </c>
      <c r="AB618" s="303"/>
      <c r="AC618" s="302"/>
      <c r="AD618" s="303"/>
      <c r="AE618" s="302"/>
      <c r="AF618" s="303"/>
      <c r="AG618">
        <v>93826.453488372092</v>
      </c>
      <c r="AH618" s="521">
        <f>(AK618*10000)/AM618</f>
        <v>93826.453488372092</v>
      </c>
      <c r="AI618" s="302"/>
      <c r="AJ618" s="303"/>
      <c r="AK618">
        <v>40.345374999999997</v>
      </c>
      <c r="AL618" s="521"/>
      <c r="AM618">
        <v>4.3</v>
      </c>
      <c r="AN618" s="303">
        <v>42244</v>
      </c>
      <c r="AO618">
        <v>135</v>
      </c>
      <c r="AP618" s="303">
        <v>42170</v>
      </c>
      <c r="AQ618" s="302"/>
      <c r="AR618" s="303"/>
      <c r="AS618" s="302"/>
      <c r="AT618" s="303"/>
      <c r="AU618">
        <v>105</v>
      </c>
      <c r="AV618" s="303"/>
      <c r="AW618" s="302"/>
      <c r="AX618" s="302"/>
      <c r="AY618" s="302"/>
      <c r="AZ618" s="303"/>
      <c r="BA618" s="302"/>
      <c r="BB618" s="302"/>
      <c r="BC618" s="302"/>
      <c r="BD618" s="302"/>
      <c r="BE618" s="302"/>
      <c r="BF618" s="302"/>
      <c r="BG618" s="302"/>
      <c r="BH618" s="302"/>
      <c r="BI618" s="302"/>
      <c r="BJ618" s="302"/>
      <c r="BM618">
        <v>-7.3</v>
      </c>
      <c r="BS618">
        <v>67.5</v>
      </c>
      <c r="BY618">
        <v>53.8</v>
      </c>
      <c r="CA618">
        <v>16.3</v>
      </c>
      <c r="CC618">
        <v>15.3</v>
      </c>
      <c r="CI618">
        <v>5.9</v>
      </c>
      <c r="CO618" t="s">
        <v>8699</v>
      </c>
      <c r="CR618">
        <v>2</v>
      </c>
      <c r="CT618" s="304" t="s">
        <v>11678</v>
      </c>
    </row>
    <row r="619" spans="1:98" s="304" customFormat="1">
      <c r="A619" s="304" t="s">
        <v>8506</v>
      </c>
      <c r="B619" s="463">
        <v>145</v>
      </c>
      <c r="C619" s="296" t="s">
        <v>7773</v>
      </c>
      <c r="D619" s="296" t="s">
        <v>7574</v>
      </c>
      <c r="E619" s="296" t="s">
        <v>7773</v>
      </c>
      <c r="F619" s="296"/>
      <c r="G619" s="296" t="s">
        <v>8506</v>
      </c>
      <c r="H619" s="297" t="s">
        <v>8696</v>
      </c>
      <c r="I619" s="297">
        <v>3</v>
      </c>
      <c r="J619" s="297">
        <v>391</v>
      </c>
      <c r="K619" s="299"/>
      <c r="L619" s="299"/>
      <c r="M619" s="299">
        <v>102</v>
      </c>
      <c r="N619" s="299">
        <v>2</v>
      </c>
      <c r="O619" s="300">
        <v>20</v>
      </c>
      <c r="P619" s="301">
        <v>42090</v>
      </c>
      <c r="Q619" s="302"/>
      <c r="R619" s="303"/>
      <c r="S619" s="289">
        <v>6.05</v>
      </c>
      <c r="T619" s="303">
        <v>42208</v>
      </c>
      <c r="U619" s="302"/>
      <c r="V619" s="303"/>
      <c r="W619" s="302"/>
      <c r="X619" s="303"/>
      <c r="Y619" s="302">
        <v>22.32</v>
      </c>
      <c r="Z619" s="303">
        <v>42208</v>
      </c>
      <c r="AA619">
        <v>14.4</v>
      </c>
      <c r="AB619" s="303"/>
      <c r="AC619" s="302"/>
      <c r="AD619" s="303"/>
      <c r="AE619" s="302"/>
      <c r="AF619" s="303"/>
      <c r="AG619">
        <v>73491.011530398304</v>
      </c>
      <c r="AH619" s="521">
        <f>(AK619*10000)/AM619</f>
        <v>73491.011530398304</v>
      </c>
      <c r="AI619" s="302"/>
      <c r="AJ619" s="303"/>
      <c r="AK619">
        <v>38.950236111111103</v>
      </c>
      <c r="AL619" s="521"/>
      <c r="AM619">
        <v>5.3</v>
      </c>
      <c r="AN619" s="303">
        <v>42244</v>
      </c>
      <c r="AO619">
        <v>130</v>
      </c>
      <c r="AP619" s="303">
        <v>42170</v>
      </c>
      <c r="AQ619" s="302"/>
      <c r="AR619" s="303"/>
      <c r="AS619" s="302"/>
      <c r="AT619" s="303"/>
      <c r="AU619">
        <v>109</v>
      </c>
      <c r="AV619" s="303"/>
      <c r="AW619" s="302"/>
      <c r="AX619" s="302"/>
      <c r="AY619" s="302"/>
      <c r="AZ619" s="303"/>
      <c r="BA619" s="302"/>
      <c r="BB619" s="302"/>
      <c r="BC619" s="302"/>
      <c r="BD619" s="302"/>
      <c r="BE619" s="302"/>
      <c r="BF619" s="302"/>
      <c r="BG619" s="302"/>
      <c r="BH619" s="302"/>
      <c r="BI619" s="302"/>
      <c r="BJ619" s="302"/>
      <c r="BM619">
        <v>-5</v>
      </c>
      <c r="BS619">
        <v>62.6</v>
      </c>
      <c r="BY619">
        <v>51.1</v>
      </c>
      <c r="CA619">
        <v>17.3</v>
      </c>
      <c r="CC619">
        <v>18.899999999999999</v>
      </c>
      <c r="CI619">
        <v>5.4</v>
      </c>
      <c r="CO619" t="s">
        <v>8699</v>
      </c>
      <c r="CR619">
        <v>2</v>
      </c>
      <c r="CT619" s="304" t="s">
        <v>11678</v>
      </c>
    </row>
    <row r="620" spans="1:98" s="304" customFormat="1">
      <c r="A620" s="304" t="s">
        <v>8506</v>
      </c>
      <c r="B620" s="463">
        <v>180</v>
      </c>
      <c r="C620" s="296" t="s">
        <v>7808</v>
      </c>
      <c r="D620" s="296" t="s">
        <v>7605</v>
      </c>
      <c r="E620" s="296" t="s">
        <v>7808</v>
      </c>
      <c r="F620" s="296"/>
      <c r="G620" s="296" t="s">
        <v>8506</v>
      </c>
      <c r="H620" s="297" t="s">
        <v>8697</v>
      </c>
      <c r="I620" s="297">
        <v>4</v>
      </c>
      <c r="J620" s="308">
        <v>4151</v>
      </c>
      <c r="K620" s="299"/>
      <c r="L620" s="299"/>
      <c r="M620" s="299">
        <v>102</v>
      </c>
      <c r="N620" s="299">
        <v>9</v>
      </c>
      <c r="O620" s="300">
        <v>26</v>
      </c>
      <c r="P620" s="301">
        <v>42090</v>
      </c>
      <c r="Q620" s="306"/>
      <c r="R620" s="303"/>
      <c r="S620" s="289">
        <v>4.95</v>
      </c>
      <c r="T620" s="303">
        <v>42208</v>
      </c>
      <c r="U620" s="307"/>
      <c r="V620" s="303"/>
      <c r="W620" s="306"/>
      <c r="X620" s="303"/>
      <c r="Y620" s="306">
        <v>18.239999999999998</v>
      </c>
      <c r="Z620" s="303">
        <v>42208</v>
      </c>
      <c r="AA620">
        <v>14.4</v>
      </c>
      <c r="AB620" s="303"/>
      <c r="AC620" s="306"/>
      <c r="AD620" s="303"/>
      <c r="AE620" s="302"/>
      <c r="AF620" s="303"/>
      <c r="AG620">
        <v>59077.893518518518</v>
      </c>
      <c r="AH620" s="521">
        <f>(AK620*10000)/AM620</f>
        <v>59077.893518518518</v>
      </c>
      <c r="AI620" s="302"/>
      <c r="AJ620" s="303"/>
      <c r="AK620">
        <v>31.9020625</v>
      </c>
      <c r="AL620" s="521"/>
      <c r="AM620">
        <v>5.4</v>
      </c>
      <c r="AN620" s="303">
        <v>42244</v>
      </c>
      <c r="AO620">
        <v>135</v>
      </c>
      <c r="AP620" s="303">
        <v>42170</v>
      </c>
      <c r="AQ620" s="306"/>
      <c r="AR620" s="303"/>
      <c r="AS620" s="306"/>
      <c r="AT620" s="303"/>
      <c r="AU620">
        <v>108</v>
      </c>
      <c r="AV620" s="303"/>
      <c r="AW620" s="302"/>
      <c r="AX620" s="302"/>
      <c r="AY620" s="302"/>
      <c r="AZ620" s="303"/>
      <c r="BA620" s="302"/>
      <c r="BB620" s="302"/>
      <c r="BC620" s="302"/>
      <c r="BD620" s="302"/>
      <c r="BE620" s="302"/>
      <c r="BF620" s="302"/>
      <c r="BG620" s="302"/>
      <c r="BH620" s="302"/>
      <c r="BI620" s="302"/>
      <c r="BJ620" s="302"/>
      <c r="BM620">
        <v>-1.1000000000000001</v>
      </c>
      <c r="BS620">
        <v>63.4</v>
      </c>
      <c r="BY620">
        <v>51</v>
      </c>
      <c r="CA620">
        <v>16.7</v>
      </c>
      <c r="CC620">
        <v>11.9</v>
      </c>
      <c r="CI620">
        <v>5.3</v>
      </c>
      <c r="CO620" t="s">
        <v>8698</v>
      </c>
      <c r="CR620">
        <v>2</v>
      </c>
      <c r="CT620" s="304" t="s">
        <v>11678</v>
      </c>
    </row>
    <row r="621" spans="1:98" s="304" customFormat="1">
      <c r="A621" s="304" t="s">
        <v>8506</v>
      </c>
      <c r="B621" s="523">
        <v>358</v>
      </c>
      <c r="C621" s="296" t="s">
        <v>8510</v>
      </c>
      <c r="D621" s="296" t="s">
        <v>8299</v>
      </c>
      <c r="E621" s="296" t="s">
        <v>8299</v>
      </c>
      <c r="F621" s="296"/>
      <c r="G621" s="296" t="s">
        <v>8506</v>
      </c>
      <c r="H621" s="297" t="s">
        <v>8697</v>
      </c>
      <c r="I621" s="297">
        <v>4</v>
      </c>
      <c r="J621" s="297">
        <v>4271</v>
      </c>
      <c r="K621" s="299"/>
      <c r="L621" s="299"/>
      <c r="M621" s="299">
        <v>102</v>
      </c>
      <c r="N621" s="299">
        <v>11</v>
      </c>
      <c r="O621" s="300">
        <v>34</v>
      </c>
      <c r="P621" s="301">
        <v>42090</v>
      </c>
      <c r="Q621" s="302"/>
      <c r="R621" s="303"/>
      <c r="S621" s="289">
        <v>4.2</v>
      </c>
      <c r="T621" s="303">
        <v>42208</v>
      </c>
      <c r="U621" s="302"/>
      <c r="V621" s="303"/>
      <c r="W621" s="302"/>
      <c r="X621" s="303"/>
      <c r="Y621" s="302">
        <v>15.81</v>
      </c>
      <c r="Z621" s="303">
        <v>42208</v>
      </c>
      <c r="AA621">
        <v>14.4</v>
      </c>
      <c r="AB621" s="303"/>
      <c r="AC621" s="302"/>
      <c r="AD621" s="303"/>
      <c r="AE621" s="302"/>
      <c r="AF621" s="303"/>
      <c r="AG621">
        <v>52851.143790849674</v>
      </c>
      <c r="AH621" s="521">
        <f>(AK621*10000)/AM621</f>
        <v>52851.143790849674</v>
      </c>
      <c r="AI621" s="302"/>
      <c r="AJ621" s="303"/>
      <c r="AK621">
        <v>26.954083333333333</v>
      </c>
      <c r="AL621" s="521"/>
      <c r="AM621">
        <v>5.0999999999999996</v>
      </c>
      <c r="AN621" s="303">
        <v>42244</v>
      </c>
      <c r="AO621">
        <v>120</v>
      </c>
      <c r="AP621" s="303">
        <v>42170</v>
      </c>
      <c r="AQ621" s="302"/>
      <c r="AR621" s="303"/>
      <c r="AS621" s="302"/>
      <c r="AT621" s="303"/>
      <c r="AU621">
        <v>110</v>
      </c>
      <c r="AV621" s="302"/>
      <c r="AW621" s="302"/>
      <c r="AX621" s="302"/>
      <c r="AY621" s="302"/>
      <c r="AZ621" s="302"/>
      <c r="BA621" s="302"/>
      <c r="BB621" s="302"/>
      <c r="BC621" s="302"/>
      <c r="BD621" s="302"/>
      <c r="BE621" s="302"/>
      <c r="BF621" s="302"/>
      <c r="BG621" s="302"/>
      <c r="BH621" s="302"/>
      <c r="BI621" s="302"/>
      <c r="BJ621" s="302"/>
      <c r="BM621">
        <v>-2.5</v>
      </c>
      <c r="BS621">
        <v>61.6</v>
      </c>
      <c r="BY621">
        <v>52.3</v>
      </c>
      <c r="CA621">
        <v>16.8</v>
      </c>
      <c r="CC621">
        <v>11.7</v>
      </c>
      <c r="CI621">
        <v>5.7</v>
      </c>
      <c r="CO621" t="s">
        <v>8698</v>
      </c>
      <c r="CR621">
        <v>1</v>
      </c>
      <c r="CT621" s="304" t="s">
        <v>11678</v>
      </c>
    </row>
    <row r="622" spans="1:98" s="304" customFormat="1">
      <c r="A622" s="304" t="s">
        <v>8506</v>
      </c>
      <c r="B622" s="463">
        <v>6</v>
      </c>
      <c r="C622" s="296" t="s">
        <v>7615</v>
      </c>
      <c r="D622" s="296" t="s">
        <v>7455</v>
      </c>
      <c r="E622" s="296" t="s">
        <v>7615</v>
      </c>
      <c r="F622" s="296"/>
      <c r="G622" s="296" t="s">
        <v>8506</v>
      </c>
      <c r="H622" s="297" t="s">
        <v>8697</v>
      </c>
      <c r="I622" s="297">
        <v>4</v>
      </c>
      <c r="J622" s="297">
        <v>492</v>
      </c>
      <c r="K622" s="299"/>
      <c r="L622" s="299"/>
      <c r="M622" s="299">
        <v>103</v>
      </c>
      <c r="N622" s="299">
        <v>8</v>
      </c>
      <c r="O622" s="300">
        <v>64</v>
      </c>
      <c r="P622" s="301">
        <v>42090</v>
      </c>
      <c r="Q622" s="302"/>
      <c r="R622" s="303"/>
      <c r="S622" s="289">
        <v>2.8</v>
      </c>
      <c r="T622" s="303">
        <v>42208</v>
      </c>
      <c r="U622" s="302"/>
      <c r="V622" s="303"/>
      <c r="W622" s="302"/>
      <c r="X622" s="303"/>
      <c r="Y622" s="302">
        <v>10.31</v>
      </c>
      <c r="Z622" s="303">
        <v>42208</v>
      </c>
      <c r="AA622">
        <v>14.4</v>
      </c>
      <c r="AB622" s="303"/>
      <c r="AC622" s="302"/>
      <c r="AD622" s="303"/>
      <c r="AE622" s="302"/>
      <c r="AF622" s="303"/>
      <c r="AG622">
        <v>34739.743589743579</v>
      </c>
      <c r="AH622" s="521">
        <f>(AK622*10000)/AM622</f>
        <v>34739.743589743579</v>
      </c>
      <c r="AI622" s="302"/>
      <c r="AJ622" s="303"/>
      <c r="AK622">
        <v>18.064666666666664</v>
      </c>
      <c r="AL622" s="521"/>
      <c r="AM622">
        <v>5.2</v>
      </c>
      <c r="AN622" s="303">
        <v>42244</v>
      </c>
      <c r="AO622">
        <v>135</v>
      </c>
      <c r="AP622" s="303">
        <v>42170</v>
      </c>
      <c r="AQ622" s="302"/>
      <c r="AR622" s="303"/>
      <c r="AS622" s="302"/>
      <c r="AT622" s="303"/>
      <c r="AU622">
        <v>113</v>
      </c>
      <c r="AV622" s="303"/>
      <c r="AW622" s="302"/>
      <c r="AX622" s="302"/>
      <c r="AY622" s="302"/>
      <c r="AZ622" s="303"/>
      <c r="BA622" s="302"/>
      <c r="BB622" s="302"/>
      <c r="BC622" s="302"/>
      <c r="BD622" s="302"/>
      <c r="BE622" s="302"/>
      <c r="BF622" s="302"/>
      <c r="BG622" s="302"/>
      <c r="BH622" s="302"/>
      <c r="BI622" s="302"/>
      <c r="BJ622" s="302"/>
      <c r="BM622">
        <v>41.7</v>
      </c>
      <c r="BS622">
        <v>12.3</v>
      </c>
      <c r="BY622">
        <v>50.9</v>
      </c>
      <c r="CA622">
        <v>18.399999999999999</v>
      </c>
      <c r="CC622">
        <v>68.7</v>
      </c>
      <c r="CI622">
        <v>5.2</v>
      </c>
      <c r="CO622" t="s">
        <v>8698</v>
      </c>
      <c r="CR622">
        <v>4</v>
      </c>
      <c r="CT622" s="304" t="s">
        <v>11678</v>
      </c>
    </row>
    <row r="623" spans="1:98" s="304" customFormat="1">
      <c r="A623" s="304" t="s">
        <v>8506</v>
      </c>
      <c r="B623" s="463">
        <v>10</v>
      </c>
      <c r="C623" s="296" t="s">
        <v>7619</v>
      </c>
      <c r="D623" s="296" t="s">
        <v>7459</v>
      </c>
      <c r="E623" s="296" t="s">
        <v>7619</v>
      </c>
      <c r="F623" s="296"/>
      <c r="G623" s="296" t="s">
        <v>8506</v>
      </c>
      <c r="H623" s="297" t="s">
        <v>8697</v>
      </c>
      <c r="I623" s="297">
        <v>4</v>
      </c>
      <c r="J623" s="308">
        <v>4152</v>
      </c>
      <c r="K623" s="299"/>
      <c r="L623" s="299"/>
      <c r="M623" s="299">
        <v>103</v>
      </c>
      <c r="N623" s="299">
        <v>9</v>
      </c>
      <c r="O623" s="300">
        <v>56</v>
      </c>
      <c r="P623" s="301">
        <v>42090</v>
      </c>
      <c r="Q623" s="306"/>
      <c r="R623" s="303"/>
      <c r="S623" s="289">
        <v>4.6500000000000004</v>
      </c>
      <c r="T623" s="303">
        <v>42208</v>
      </c>
      <c r="U623" s="307"/>
      <c r="V623" s="303"/>
      <c r="W623" s="306"/>
      <c r="X623" s="303"/>
      <c r="Y623" s="306">
        <v>17.62</v>
      </c>
      <c r="Z623" s="303">
        <v>42208</v>
      </c>
      <c r="AA623">
        <v>14.4</v>
      </c>
      <c r="AB623" s="303"/>
      <c r="AC623" s="306"/>
      <c r="AD623" s="303"/>
      <c r="AE623" s="302"/>
      <c r="AF623" s="303"/>
      <c r="AG623">
        <v>69620.833333333328</v>
      </c>
      <c r="AH623" s="521">
        <f>(AK623*10000)/AM623</f>
        <v>69620.833333333328</v>
      </c>
      <c r="AI623" s="302"/>
      <c r="AJ623" s="303"/>
      <c r="AK623">
        <v>29.93695833333333</v>
      </c>
      <c r="AL623" s="521"/>
      <c r="AM623">
        <v>4.3</v>
      </c>
      <c r="AN623" s="303">
        <v>42244</v>
      </c>
      <c r="AO623">
        <v>115</v>
      </c>
      <c r="AP623" s="303">
        <v>42170</v>
      </c>
      <c r="AQ623" s="306"/>
      <c r="AR623" s="303"/>
      <c r="AS623" s="306"/>
      <c r="AT623" s="303"/>
      <c r="AU623">
        <v>103</v>
      </c>
      <c r="AV623" s="303"/>
      <c r="AW623" s="302"/>
      <c r="AX623" s="302"/>
      <c r="AY623" s="302"/>
      <c r="AZ623" s="303"/>
      <c r="BA623" s="302"/>
      <c r="BB623" s="302"/>
      <c r="BC623" s="302"/>
      <c r="BD623" s="302"/>
      <c r="BE623" s="302"/>
      <c r="BF623" s="302"/>
      <c r="BG623" s="302"/>
      <c r="BH623" s="302"/>
      <c r="BI623" s="302"/>
      <c r="BJ623" s="302"/>
      <c r="BM623">
        <v>48.6</v>
      </c>
      <c r="BS623">
        <v>5.4</v>
      </c>
      <c r="BY623">
        <v>52.5</v>
      </c>
      <c r="CA623">
        <v>17.399999999999999</v>
      </c>
      <c r="CC623">
        <v>59.3</v>
      </c>
      <c r="CI623">
        <v>5.4</v>
      </c>
      <c r="CO623" t="s">
        <v>8698</v>
      </c>
      <c r="CR623">
        <v>3</v>
      </c>
      <c r="CT623" s="304" t="s">
        <v>11678</v>
      </c>
    </row>
    <row r="624" spans="1:98" s="304" customFormat="1">
      <c r="A624" s="304" t="s">
        <v>8506</v>
      </c>
      <c r="B624" s="463">
        <v>86</v>
      </c>
      <c r="C624" s="296" t="s">
        <v>7704</v>
      </c>
      <c r="D624" s="296" t="s">
        <v>7533</v>
      </c>
      <c r="E624" s="296" t="s">
        <v>7704</v>
      </c>
      <c r="F624" s="296"/>
      <c r="G624" s="296" t="s">
        <v>8506</v>
      </c>
      <c r="H624" s="297" t="s">
        <v>8696</v>
      </c>
      <c r="I624" s="297">
        <v>3</v>
      </c>
      <c r="J624" s="297">
        <v>3152</v>
      </c>
      <c r="K624" s="299"/>
      <c r="L624" s="299"/>
      <c r="M624" s="299">
        <v>103</v>
      </c>
      <c r="N624" s="299">
        <v>3</v>
      </c>
      <c r="O624" s="300">
        <v>21</v>
      </c>
      <c r="P624" s="301">
        <v>42090</v>
      </c>
      <c r="Q624" s="302"/>
      <c r="R624" s="303"/>
      <c r="S624" s="289">
        <v>5.45</v>
      </c>
      <c r="T624" s="303">
        <v>42208</v>
      </c>
      <c r="U624" s="302"/>
      <c r="V624" s="303"/>
      <c r="W624" s="302"/>
      <c r="X624" s="303"/>
      <c r="Y624" s="302">
        <v>19.43</v>
      </c>
      <c r="Z624" s="303">
        <v>42208</v>
      </c>
      <c r="AA624">
        <v>14.4</v>
      </c>
      <c r="AB624" s="303"/>
      <c r="AC624" s="302"/>
      <c r="AD624" s="303"/>
      <c r="AE624" s="302"/>
      <c r="AF624" s="303"/>
      <c r="AG624">
        <v>76276.962560386455</v>
      </c>
      <c r="AH624" s="521">
        <f>(AK624*10000)/AM624</f>
        <v>76276.962560386455</v>
      </c>
      <c r="AI624" s="302"/>
      <c r="AJ624" s="303"/>
      <c r="AK624">
        <v>35.087402777777768</v>
      </c>
      <c r="AL624" s="521"/>
      <c r="AM624">
        <v>4.5999999999999996</v>
      </c>
      <c r="AN624" s="303">
        <v>42244</v>
      </c>
      <c r="AO624">
        <v>125</v>
      </c>
      <c r="AP624" s="303">
        <v>42170</v>
      </c>
      <c r="AQ624" s="302"/>
      <c r="AR624" s="303"/>
      <c r="AS624" s="302"/>
      <c r="AT624" s="303"/>
      <c r="AU624">
        <v>110</v>
      </c>
      <c r="AV624" s="303"/>
      <c r="AW624" s="302"/>
      <c r="AX624" s="302"/>
      <c r="AY624" s="302"/>
      <c r="AZ624" s="303"/>
      <c r="BA624" s="302"/>
      <c r="BB624" s="302"/>
      <c r="BC624" s="302"/>
      <c r="BD624" s="302"/>
      <c r="BE624" s="302"/>
      <c r="BF624" s="302"/>
      <c r="BG624" s="302"/>
      <c r="BH624" s="302"/>
      <c r="BI624" s="302"/>
      <c r="BJ624" s="302"/>
      <c r="BM624">
        <v>-0.8</v>
      </c>
      <c r="BS624">
        <v>61</v>
      </c>
      <c r="BY624">
        <v>49.4</v>
      </c>
      <c r="CA624">
        <v>19.8</v>
      </c>
      <c r="CC624">
        <v>22.3</v>
      </c>
      <c r="CI624">
        <v>5.4</v>
      </c>
      <c r="CO624" t="s">
        <v>8699</v>
      </c>
      <c r="CR624">
        <v>1</v>
      </c>
      <c r="CT624" s="304" t="s">
        <v>11678</v>
      </c>
    </row>
    <row r="625" spans="1:98" s="304" customFormat="1">
      <c r="A625" s="304" t="s">
        <v>8506</v>
      </c>
      <c r="B625" s="463">
        <v>1</v>
      </c>
      <c r="C625" s="296" t="s">
        <v>7606</v>
      </c>
      <c r="D625" s="296" t="s">
        <v>7809</v>
      </c>
      <c r="E625" s="296" t="s">
        <v>7606</v>
      </c>
      <c r="F625" s="296"/>
      <c r="G625" s="296" t="s">
        <v>8506</v>
      </c>
      <c r="H625" s="297" t="s">
        <v>8697</v>
      </c>
      <c r="I625" s="297">
        <v>4</v>
      </c>
      <c r="J625" s="297">
        <v>4333</v>
      </c>
      <c r="K625" s="299"/>
      <c r="L625" s="299"/>
      <c r="M625" s="299">
        <v>104</v>
      </c>
      <c r="N625" s="299">
        <v>12</v>
      </c>
      <c r="O625" s="300">
        <v>54</v>
      </c>
      <c r="P625" s="301">
        <v>42090</v>
      </c>
      <c r="Q625" s="302"/>
      <c r="R625" s="303"/>
      <c r="S625" s="289">
        <v>3.6</v>
      </c>
      <c r="T625" s="303">
        <v>42208</v>
      </c>
      <c r="U625" s="302"/>
      <c r="V625" s="303"/>
      <c r="W625" s="302"/>
      <c r="X625" s="303"/>
      <c r="Y625" s="302">
        <v>12.97</v>
      </c>
      <c r="Z625" s="303">
        <v>42208</v>
      </c>
      <c r="AA625">
        <v>14.4</v>
      </c>
      <c r="AB625" s="303"/>
      <c r="AC625" s="302"/>
      <c r="AD625" s="303"/>
      <c r="AE625" s="302"/>
      <c r="AF625" s="303"/>
      <c r="AG625">
        <v>50597.826086956527</v>
      </c>
      <c r="AH625" s="521">
        <f>(AK625*10000)/AM625</f>
        <v>50597.826086956527</v>
      </c>
      <c r="AI625" s="302"/>
      <c r="AJ625" s="303"/>
      <c r="AK625">
        <v>23.274999999999999</v>
      </c>
      <c r="AL625" s="521"/>
      <c r="AM625">
        <v>4.5999999999999996</v>
      </c>
      <c r="AN625" s="303">
        <v>42244</v>
      </c>
      <c r="AO625">
        <v>145</v>
      </c>
      <c r="AP625" s="303">
        <v>42170</v>
      </c>
      <c r="AQ625" s="302"/>
      <c r="AR625" s="303"/>
      <c r="AS625" s="302"/>
      <c r="AT625" s="303"/>
      <c r="AU625">
        <v>114</v>
      </c>
      <c r="AV625" s="303"/>
      <c r="AW625" s="302"/>
      <c r="AX625" s="302"/>
      <c r="AY625" s="302"/>
      <c r="AZ625" s="303"/>
      <c r="BA625" s="302"/>
      <c r="BB625" s="302"/>
      <c r="BC625" s="302"/>
      <c r="BD625" s="302"/>
      <c r="BE625" s="302"/>
      <c r="BF625" s="302"/>
      <c r="BG625" s="302"/>
      <c r="BH625" s="302"/>
      <c r="BI625" s="302"/>
      <c r="BJ625" s="302"/>
      <c r="BM625">
        <v>46</v>
      </c>
      <c r="BS625">
        <v>11</v>
      </c>
      <c r="BY625">
        <v>49.7</v>
      </c>
      <c r="CA625">
        <v>19</v>
      </c>
      <c r="CC625">
        <v>56.9</v>
      </c>
      <c r="CI625">
        <v>5</v>
      </c>
      <c r="CO625" t="s">
        <v>8698</v>
      </c>
      <c r="CR625">
        <v>3</v>
      </c>
      <c r="CT625" s="304" t="s">
        <v>11678</v>
      </c>
    </row>
    <row r="626" spans="1:98" s="304" customFormat="1">
      <c r="A626" s="304" t="s">
        <v>8506</v>
      </c>
      <c r="B626" s="463">
        <v>30</v>
      </c>
      <c r="C626" s="296" t="s">
        <v>7642</v>
      </c>
      <c r="D626" s="296" t="s">
        <v>7477</v>
      </c>
      <c r="E626" s="296" t="s">
        <v>7642</v>
      </c>
      <c r="F626" s="296"/>
      <c r="G626" s="296" t="s">
        <v>8506</v>
      </c>
      <c r="H626" s="297" t="s">
        <v>8696</v>
      </c>
      <c r="I626" s="297">
        <v>3</v>
      </c>
      <c r="J626" s="297">
        <v>3153</v>
      </c>
      <c r="K626" s="299"/>
      <c r="L626" s="299"/>
      <c r="M626" s="299">
        <v>104</v>
      </c>
      <c r="N626" s="299">
        <v>3</v>
      </c>
      <c r="O626" s="300">
        <v>34</v>
      </c>
      <c r="P626" s="301">
        <v>42090</v>
      </c>
      <c r="Q626" s="302"/>
      <c r="R626" s="303"/>
      <c r="S626" s="289">
        <v>4.8499999999999996</v>
      </c>
      <c r="T626" s="303">
        <v>42208</v>
      </c>
      <c r="U626" s="302"/>
      <c r="V626" s="303"/>
      <c r="W626" s="302"/>
      <c r="X626" s="303"/>
      <c r="Y626" s="302">
        <v>16.170000000000002</v>
      </c>
      <c r="Z626" s="303">
        <v>42208</v>
      </c>
      <c r="AA626">
        <v>14.4</v>
      </c>
      <c r="AB626" s="303"/>
      <c r="AC626" s="302"/>
      <c r="AD626" s="303"/>
      <c r="AE626" s="302"/>
      <c r="AF626" s="303"/>
      <c r="AG626">
        <v>57011.994949494947</v>
      </c>
      <c r="AH626" s="521">
        <f>(AK626*10000)/AM626</f>
        <v>57011.994949494947</v>
      </c>
      <c r="AI626" s="302"/>
      <c r="AJ626" s="303"/>
      <c r="AK626">
        <v>31.356597222222216</v>
      </c>
      <c r="AL626" s="521"/>
      <c r="AM626">
        <v>5.5</v>
      </c>
      <c r="AN626" s="303">
        <v>42244</v>
      </c>
      <c r="AO626">
        <v>145</v>
      </c>
      <c r="AP626" s="303">
        <v>42170</v>
      </c>
      <c r="AQ626" s="302"/>
      <c r="AR626" s="303"/>
      <c r="AS626" s="302"/>
      <c r="AT626" s="303"/>
      <c r="AU626">
        <v>109</v>
      </c>
      <c r="AV626" s="303"/>
      <c r="AW626" s="302"/>
      <c r="AX626" s="302"/>
      <c r="AY626" s="302"/>
      <c r="AZ626" s="303"/>
      <c r="BA626" s="302"/>
      <c r="BB626" s="302"/>
      <c r="BC626" s="302"/>
      <c r="BD626" s="302"/>
      <c r="BE626" s="302"/>
      <c r="BF626" s="302"/>
      <c r="BG626" s="302"/>
      <c r="BH626" s="302"/>
      <c r="BI626" s="302"/>
      <c r="BJ626" s="302"/>
      <c r="BM626">
        <v>8.8000000000000007</v>
      </c>
      <c r="BS626">
        <v>50.6</v>
      </c>
      <c r="BY626">
        <v>46</v>
      </c>
      <c r="CA626">
        <v>21.6</v>
      </c>
      <c r="CC626">
        <v>68.400000000000006</v>
      </c>
      <c r="CI626">
        <v>5</v>
      </c>
      <c r="CO626" t="s">
        <v>8699</v>
      </c>
      <c r="CR626">
        <v>3</v>
      </c>
      <c r="CT626" s="304" t="s">
        <v>11678</v>
      </c>
    </row>
    <row r="627" spans="1:98" s="304" customFormat="1">
      <c r="A627" s="304" t="s">
        <v>8506</v>
      </c>
      <c r="B627" s="463">
        <v>42</v>
      </c>
      <c r="C627" s="296" t="s">
        <v>7659</v>
      </c>
      <c r="D627" s="296" t="s">
        <v>7492</v>
      </c>
      <c r="E627" s="296" t="s">
        <v>7659</v>
      </c>
      <c r="F627" s="296"/>
      <c r="G627" s="296" t="s">
        <v>8506</v>
      </c>
      <c r="H627" s="297" t="s">
        <v>8697</v>
      </c>
      <c r="I627" s="297">
        <v>4</v>
      </c>
      <c r="J627" s="308">
        <v>493</v>
      </c>
      <c r="K627" s="299"/>
      <c r="L627" s="299"/>
      <c r="M627" s="299">
        <v>104</v>
      </c>
      <c r="N627" s="299">
        <v>8</v>
      </c>
      <c r="O627" s="300">
        <v>52</v>
      </c>
      <c r="P627" s="301">
        <v>42090</v>
      </c>
      <c r="Q627" s="306"/>
      <c r="R627" s="303"/>
      <c r="S627" s="289">
        <v>3.6</v>
      </c>
      <c r="T627" s="303">
        <v>42208</v>
      </c>
      <c r="U627" s="307"/>
      <c r="V627" s="303"/>
      <c r="W627" s="306"/>
      <c r="X627" s="303"/>
      <c r="Y627" s="306">
        <v>13.83</v>
      </c>
      <c r="Z627" s="303">
        <v>42208</v>
      </c>
      <c r="AA627">
        <v>14.4</v>
      </c>
      <c r="AB627" s="303"/>
      <c r="AC627" s="306"/>
      <c r="AD627" s="303"/>
      <c r="AE627" s="302"/>
      <c r="AF627" s="303"/>
      <c r="AG627">
        <v>46550</v>
      </c>
      <c r="AH627" s="521">
        <f>(AK627*10000)/AM627</f>
        <v>46550</v>
      </c>
      <c r="AI627" s="302"/>
      <c r="AJ627" s="303"/>
      <c r="AK627">
        <v>23.274999999999999</v>
      </c>
      <c r="AL627" s="521"/>
      <c r="AM627">
        <v>5</v>
      </c>
      <c r="AN627" s="303">
        <v>42244</v>
      </c>
      <c r="AO627">
        <v>135</v>
      </c>
      <c r="AP627" s="303">
        <v>42170</v>
      </c>
      <c r="AQ627" s="306"/>
      <c r="AR627" s="303"/>
      <c r="AS627" s="306"/>
      <c r="AT627" s="303"/>
      <c r="AU627">
        <v>113</v>
      </c>
      <c r="AV627" s="303"/>
      <c r="AW627" s="302"/>
      <c r="AX627" s="302"/>
      <c r="AY627" s="302"/>
      <c r="AZ627" s="303"/>
      <c r="BA627" s="302"/>
      <c r="BB627" s="302"/>
      <c r="BC627" s="302"/>
      <c r="BD627" s="302"/>
      <c r="BE627" s="302"/>
      <c r="BF627" s="302"/>
      <c r="BG627" s="302"/>
      <c r="BH627" s="302"/>
      <c r="BI627" s="302"/>
      <c r="BJ627" s="302"/>
      <c r="BM627">
        <v>-2.2000000000000002</v>
      </c>
      <c r="BS627">
        <v>64.599999999999994</v>
      </c>
      <c r="BY627">
        <v>53</v>
      </c>
      <c r="CA627">
        <v>15.9</v>
      </c>
      <c r="CC627">
        <v>14</v>
      </c>
      <c r="CI627">
        <v>5</v>
      </c>
      <c r="CO627" t="s">
        <v>8698</v>
      </c>
      <c r="CR627">
        <v>4</v>
      </c>
      <c r="CT627" s="304" t="s">
        <v>11678</v>
      </c>
    </row>
    <row r="628" spans="1:98" s="304" customFormat="1">
      <c r="A628" s="304" t="s">
        <v>8506</v>
      </c>
      <c r="B628" s="463">
        <v>77</v>
      </c>
      <c r="C628" s="296" t="s">
        <v>7695</v>
      </c>
      <c r="D628" s="296" t="s">
        <v>7524</v>
      </c>
      <c r="E628" s="296" t="s">
        <v>7695</v>
      </c>
      <c r="F628" s="296"/>
      <c r="G628" s="296" t="s">
        <v>8506</v>
      </c>
      <c r="H628" s="297" t="s">
        <v>8696</v>
      </c>
      <c r="I628" s="297">
        <v>3</v>
      </c>
      <c r="J628" s="297">
        <v>3213</v>
      </c>
      <c r="K628" s="299"/>
      <c r="L628" s="299"/>
      <c r="M628" s="299">
        <v>104</v>
      </c>
      <c r="N628" s="299">
        <v>4</v>
      </c>
      <c r="O628" s="300">
        <v>22</v>
      </c>
      <c r="P628" s="301">
        <v>42090</v>
      </c>
      <c r="Q628" s="302"/>
      <c r="R628" s="303"/>
      <c r="S628" s="289">
        <v>4.9000000000000004</v>
      </c>
      <c r="T628" s="303">
        <v>42208</v>
      </c>
      <c r="U628" s="302"/>
      <c r="V628" s="303"/>
      <c r="W628" s="302"/>
      <c r="X628" s="303"/>
      <c r="Y628" s="302">
        <v>18.489999999999998</v>
      </c>
      <c r="Z628" s="303">
        <v>42208</v>
      </c>
      <c r="AA628">
        <v>14.4</v>
      </c>
      <c r="AB628" s="303"/>
      <c r="AC628" s="302"/>
      <c r="AD628" s="303"/>
      <c r="AE628" s="302"/>
      <c r="AF628" s="303"/>
      <c r="AG628">
        <v>68796.769323671513</v>
      </c>
      <c r="AH628" s="521">
        <f>(AK628*10000)/AM628</f>
        <v>68796.769323671513</v>
      </c>
      <c r="AI628" s="302"/>
      <c r="AJ628" s="303"/>
      <c r="AK628">
        <v>31.646513888888894</v>
      </c>
      <c r="AL628" s="521"/>
      <c r="AM628">
        <v>4.5999999999999996</v>
      </c>
      <c r="AN628" s="303">
        <v>42244</v>
      </c>
      <c r="AO628">
        <v>145</v>
      </c>
      <c r="AP628" s="303">
        <v>42170</v>
      </c>
      <c r="AQ628" s="302"/>
      <c r="AR628" s="303"/>
      <c r="AS628" s="302"/>
      <c r="AT628" s="303"/>
      <c r="AU628">
        <v>112</v>
      </c>
      <c r="AV628" s="303"/>
      <c r="AW628" s="302"/>
      <c r="AX628" s="302"/>
      <c r="AY628" s="302"/>
      <c r="AZ628" s="303"/>
      <c r="BA628" s="302"/>
      <c r="BB628" s="302"/>
      <c r="BC628" s="302"/>
      <c r="BD628" s="302"/>
      <c r="BE628" s="302"/>
      <c r="BF628" s="302"/>
      <c r="BG628" s="302"/>
      <c r="BH628" s="302"/>
      <c r="BI628" s="302"/>
      <c r="BJ628" s="302"/>
      <c r="BM628">
        <v>-0.1</v>
      </c>
      <c r="BS628">
        <v>58.9</v>
      </c>
      <c r="BY628">
        <v>52.1</v>
      </c>
      <c r="CA628">
        <v>16.399999999999999</v>
      </c>
      <c r="CC628">
        <v>19.8</v>
      </c>
      <c r="CI628">
        <v>5.0999999999999996</v>
      </c>
      <c r="CO628" t="s">
        <v>8698</v>
      </c>
      <c r="CR628">
        <v>2</v>
      </c>
      <c r="CT628" s="304" t="s">
        <v>11678</v>
      </c>
    </row>
    <row r="629" spans="1:98" s="304" customFormat="1">
      <c r="A629" s="304" t="s">
        <v>8506</v>
      </c>
      <c r="B629" s="463">
        <v>82</v>
      </c>
      <c r="C629" s="296" t="s">
        <v>7700</v>
      </c>
      <c r="D629" s="296" t="s">
        <v>7529</v>
      </c>
      <c r="E629" s="296" t="s">
        <v>7700</v>
      </c>
      <c r="F629" s="296"/>
      <c r="G629" s="296" t="s">
        <v>8506</v>
      </c>
      <c r="H629" s="297" t="s">
        <v>8696</v>
      </c>
      <c r="I629" s="297">
        <v>3</v>
      </c>
      <c r="J629" s="297">
        <v>393</v>
      </c>
      <c r="K629" s="299"/>
      <c r="L629" s="299"/>
      <c r="M629" s="299">
        <v>104</v>
      </c>
      <c r="N629" s="299">
        <v>2</v>
      </c>
      <c r="O629" s="300">
        <v>62</v>
      </c>
      <c r="P629" s="301">
        <v>42090</v>
      </c>
      <c r="Q629" s="302"/>
      <c r="R629" s="303"/>
      <c r="S629" s="289">
        <v>5.65</v>
      </c>
      <c r="T629" s="303">
        <v>42208</v>
      </c>
      <c r="U629" s="302"/>
      <c r="V629" s="303"/>
      <c r="W629" s="302"/>
      <c r="X629" s="303"/>
      <c r="Y629" s="302">
        <v>20.23</v>
      </c>
      <c r="Z629" s="303">
        <v>42208</v>
      </c>
      <c r="AA629">
        <v>14.4</v>
      </c>
      <c r="AB629" s="303"/>
      <c r="AC629" s="302"/>
      <c r="AD629" s="303"/>
      <c r="AE629" s="302"/>
      <c r="AF629" s="303"/>
      <c r="AG629">
        <v>72750.027777777781</v>
      </c>
      <c r="AH629" s="521">
        <f>(AK629*10000)/AM629</f>
        <v>72750.027777777781</v>
      </c>
      <c r="AI629" s="302"/>
      <c r="AJ629" s="303"/>
      <c r="AK629">
        <v>36.375013888888887</v>
      </c>
      <c r="AL629" s="521"/>
      <c r="AM629">
        <v>5</v>
      </c>
      <c r="AN629" s="303">
        <v>42244</v>
      </c>
      <c r="AO629">
        <v>125</v>
      </c>
      <c r="AP629" s="303">
        <v>42170</v>
      </c>
      <c r="AQ629" s="302"/>
      <c r="AR629" s="303"/>
      <c r="AS629" s="302"/>
      <c r="AT629" s="303"/>
      <c r="AU629">
        <v>109</v>
      </c>
      <c r="AV629" s="303"/>
      <c r="AW629" s="302"/>
      <c r="AX629" s="302"/>
      <c r="AY629" s="302"/>
      <c r="AZ629" s="303"/>
      <c r="BA629" s="302"/>
      <c r="BB629" s="302"/>
      <c r="BC629" s="302"/>
      <c r="BD629" s="302"/>
      <c r="BE629" s="302"/>
      <c r="BF629" s="302"/>
      <c r="BG629" s="302"/>
      <c r="BH629" s="302"/>
      <c r="BI629" s="302"/>
      <c r="BJ629" s="302"/>
      <c r="BM629">
        <v>4.9000000000000004</v>
      </c>
      <c r="BS629">
        <v>58.3</v>
      </c>
      <c r="BY629">
        <v>49.6</v>
      </c>
      <c r="CA629">
        <v>19.399999999999999</v>
      </c>
      <c r="CC629">
        <v>18.2</v>
      </c>
      <c r="CI629">
        <v>5.4</v>
      </c>
      <c r="CO629" t="s">
        <v>8699</v>
      </c>
      <c r="CR629">
        <v>6</v>
      </c>
      <c r="CT629" s="304" t="s">
        <v>11678</v>
      </c>
    </row>
    <row r="630" spans="1:98" s="304" customFormat="1">
      <c r="A630" s="304" t="s">
        <v>8506</v>
      </c>
      <c r="B630" s="463">
        <v>98</v>
      </c>
      <c r="C630" s="296" t="s">
        <v>7716</v>
      </c>
      <c r="D630" s="296" t="s">
        <v>7543</v>
      </c>
      <c r="E630" s="296" t="s">
        <v>7716</v>
      </c>
      <c r="F630" s="296"/>
      <c r="G630" s="296" t="s">
        <v>8506</v>
      </c>
      <c r="H630" s="297" t="s">
        <v>8697</v>
      </c>
      <c r="I630" s="297">
        <v>4</v>
      </c>
      <c r="J630" s="297">
        <v>4273</v>
      </c>
      <c r="K630" s="299"/>
      <c r="L630" s="299"/>
      <c r="M630" s="299">
        <v>104</v>
      </c>
      <c r="N630" s="299">
        <v>11</v>
      </c>
      <c r="O630" s="300">
        <v>52</v>
      </c>
      <c r="P630" s="301">
        <v>42090</v>
      </c>
      <c r="Q630" s="302"/>
      <c r="R630" s="303"/>
      <c r="S630" s="289">
        <v>4.1500000000000004</v>
      </c>
      <c r="T630" s="303">
        <v>42208</v>
      </c>
      <c r="U630" s="302"/>
      <c r="V630" s="303"/>
      <c r="W630" s="302"/>
      <c r="X630" s="303"/>
      <c r="Y630" s="302">
        <v>16.100000000000001</v>
      </c>
      <c r="Z630" s="303">
        <v>42208</v>
      </c>
      <c r="AA630">
        <v>14.4</v>
      </c>
      <c r="AB630" s="303"/>
      <c r="AC630" s="302"/>
      <c r="AD630" s="303"/>
      <c r="AE630" s="302"/>
      <c r="AF630" s="303"/>
      <c r="AG630">
        <v>57087.027186761225</v>
      </c>
      <c r="AH630" s="521">
        <f>(AK630*10000)/AM630</f>
        <v>57087.027186761225</v>
      </c>
      <c r="AI630" s="302"/>
      <c r="AJ630" s="303"/>
      <c r="AK630">
        <v>26.830902777777776</v>
      </c>
      <c r="AL630" s="521"/>
      <c r="AM630">
        <v>4.7</v>
      </c>
      <c r="AN630" s="303">
        <v>42244</v>
      </c>
      <c r="AO630">
        <v>120</v>
      </c>
      <c r="AP630" s="303">
        <v>42170</v>
      </c>
      <c r="AQ630" s="302"/>
      <c r="AR630" s="303"/>
      <c r="AS630" s="302"/>
      <c r="AT630" s="303"/>
      <c r="AU630">
        <v>105</v>
      </c>
      <c r="AV630" s="303"/>
      <c r="AW630" s="302"/>
      <c r="AX630" s="302"/>
      <c r="AY630" s="302"/>
      <c r="AZ630" s="303"/>
      <c r="BA630" s="302"/>
      <c r="BB630" s="302"/>
      <c r="BC630" s="302"/>
      <c r="BD630" s="302"/>
      <c r="BE630" s="302"/>
      <c r="BF630" s="302"/>
      <c r="BG630" s="302"/>
      <c r="BH630" s="302"/>
      <c r="BI630" s="302"/>
      <c r="BJ630" s="302"/>
      <c r="BM630">
        <v>0.2</v>
      </c>
      <c r="BS630">
        <v>58.2</v>
      </c>
      <c r="BY630">
        <v>53.5</v>
      </c>
      <c r="CA630">
        <v>15.1</v>
      </c>
      <c r="CC630">
        <v>21.3</v>
      </c>
      <c r="CI630">
        <v>5</v>
      </c>
      <c r="CO630" t="s">
        <v>8698</v>
      </c>
      <c r="CR630">
        <v>1</v>
      </c>
      <c r="CT630" s="304" t="s">
        <v>11678</v>
      </c>
    </row>
    <row r="631" spans="1:98" s="304" customFormat="1">
      <c r="A631" s="304" t="s">
        <v>8506</v>
      </c>
      <c r="B631" s="463">
        <v>103</v>
      </c>
      <c r="C631" s="296" t="s">
        <v>7721</v>
      </c>
      <c r="D631" s="296" t="s">
        <v>7548</v>
      </c>
      <c r="E631" s="296" t="s">
        <v>7721</v>
      </c>
      <c r="F631" s="296"/>
      <c r="G631" s="296" t="s">
        <v>8506</v>
      </c>
      <c r="H631" s="297" t="s">
        <v>8696</v>
      </c>
      <c r="I631" s="297">
        <v>3</v>
      </c>
      <c r="J631" s="297">
        <v>3273</v>
      </c>
      <c r="K631" s="299"/>
      <c r="L631" s="299"/>
      <c r="M631" s="299">
        <v>104</v>
      </c>
      <c r="N631" s="299">
        <v>5</v>
      </c>
      <c r="O631" s="300">
        <v>19</v>
      </c>
      <c r="P631" s="301">
        <v>42090</v>
      </c>
      <c r="Q631" s="302"/>
      <c r="R631" s="303"/>
      <c r="S631" s="289">
        <v>4.8499999999999996</v>
      </c>
      <c r="T631" s="303">
        <v>42208</v>
      </c>
      <c r="U631" s="302"/>
      <c r="V631" s="303"/>
      <c r="W631" s="302"/>
      <c r="X631" s="303"/>
      <c r="Y631" s="302">
        <v>18.07</v>
      </c>
      <c r="Z631" s="303">
        <v>42208</v>
      </c>
      <c r="AA631">
        <v>14.4</v>
      </c>
      <c r="AB631" s="303"/>
      <c r="AC631" s="302"/>
      <c r="AD631" s="303"/>
      <c r="AE631" s="302"/>
      <c r="AF631" s="303"/>
      <c r="AG631">
        <v>57945.524691358005</v>
      </c>
      <c r="AH631" s="521">
        <f>(AK631*10000)/AM631</f>
        <v>57945.524691358005</v>
      </c>
      <c r="AI631" s="302"/>
      <c r="AJ631" s="303"/>
      <c r="AK631">
        <v>31.290583333333327</v>
      </c>
      <c r="AL631" s="521"/>
      <c r="AM631">
        <v>5.4</v>
      </c>
      <c r="AN631" s="303">
        <v>42244</v>
      </c>
      <c r="AO631">
        <v>135</v>
      </c>
      <c r="AP631" s="303">
        <v>42170</v>
      </c>
      <c r="AQ631" s="302"/>
      <c r="AR631" s="303"/>
      <c r="AS631" s="302"/>
      <c r="AT631" s="303"/>
      <c r="AU631">
        <v>106</v>
      </c>
      <c r="AV631" s="303"/>
      <c r="AW631" s="302"/>
      <c r="AX631" s="302"/>
      <c r="AY631" s="302"/>
      <c r="AZ631" s="303"/>
      <c r="BA631" s="302"/>
      <c r="BB631" s="302"/>
      <c r="BC631" s="302"/>
      <c r="BD631" s="302"/>
      <c r="BE631" s="302"/>
      <c r="BF631" s="302"/>
      <c r="BG631" s="302"/>
      <c r="BH631" s="302"/>
      <c r="BI631" s="302"/>
      <c r="BJ631" s="302"/>
      <c r="BM631">
        <v>-2.8</v>
      </c>
      <c r="BS631">
        <v>61.3</v>
      </c>
      <c r="BY631">
        <v>51.5</v>
      </c>
      <c r="CA631">
        <v>18.2</v>
      </c>
      <c r="CC631">
        <v>14.8</v>
      </c>
      <c r="CI631">
        <v>5.2</v>
      </c>
      <c r="CO631" t="s">
        <v>8698</v>
      </c>
      <c r="CR631">
        <v>2</v>
      </c>
      <c r="CT631" s="304" t="s">
        <v>11678</v>
      </c>
    </row>
    <row r="632" spans="1:98" s="304" customFormat="1">
      <c r="A632" s="304" t="s">
        <v>8506</v>
      </c>
      <c r="B632" s="463">
        <v>117</v>
      </c>
      <c r="C632" s="296" t="s">
        <v>7736</v>
      </c>
      <c r="D632" s="296" t="s">
        <v>7820</v>
      </c>
      <c r="E632" s="296" t="s">
        <v>7736</v>
      </c>
      <c r="F632" s="296"/>
      <c r="G632" s="296" t="s">
        <v>8506</v>
      </c>
      <c r="H632" s="297" t="s">
        <v>8697</v>
      </c>
      <c r="I632" s="297">
        <v>4</v>
      </c>
      <c r="J632" s="297">
        <v>4153</v>
      </c>
      <c r="K632" s="299"/>
      <c r="L632" s="299"/>
      <c r="M632" s="299">
        <v>104</v>
      </c>
      <c r="N632" s="299">
        <v>9</v>
      </c>
      <c r="O632" s="300">
        <v>53</v>
      </c>
      <c r="P632" s="301">
        <v>42090</v>
      </c>
      <c r="Q632" s="302"/>
      <c r="R632" s="303"/>
      <c r="S632" s="289">
        <v>1.65</v>
      </c>
      <c r="T632" s="303">
        <v>42208</v>
      </c>
      <c r="U632" s="302"/>
      <c r="V632" s="303"/>
      <c r="W632" s="302"/>
      <c r="X632" s="303"/>
      <c r="Y632" s="302">
        <v>6.25</v>
      </c>
      <c r="Z632" s="303">
        <v>42208</v>
      </c>
      <c r="AA632">
        <v>14.4</v>
      </c>
      <c r="AB632" s="303"/>
      <c r="AC632" s="302"/>
      <c r="AD632" s="303"/>
      <c r="AE632" s="302"/>
      <c r="AF632" s="303"/>
      <c r="AG632">
        <v>20536.41826923077</v>
      </c>
      <c r="AH632" s="521">
        <f>(AK632*10000)/AM632</f>
        <v>20536.41826923077</v>
      </c>
      <c r="AI632" s="302"/>
      <c r="AJ632" s="303"/>
      <c r="AK632">
        <v>10.6789375</v>
      </c>
      <c r="AL632" s="521"/>
      <c r="AM632">
        <v>5.2</v>
      </c>
      <c r="AN632" s="303">
        <v>42244</v>
      </c>
      <c r="AO632">
        <v>150</v>
      </c>
      <c r="AP632" s="303">
        <v>42170</v>
      </c>
      <c r="AQ632" s="302"/>
      <c r="AR632" s="303"/>
      <c r="AS632" s="302"/>
      <c r="AT632" s="303"/>
      <c r="AU632">
        <v>116</v>
      </c>
      <c r="AV632" s="303"/>
      <c r="AW632" s="302"/>
      <c r="AX632" s="302"/>
      <c r="AY632" s="302"/>
      <c r="AZ632" s="303"/>
      <c r="BA632" s="302"/>
      <c r="BB632" s="302"/>
      <c r="BC632" s="302"/>
      <c r="BD632" s="302"/>
      <c r="BE632" s="302"/>
      <c r="BF632" s="302"/>
      <c r="BG632" s="302"/>
      <c r="BH632" s="302"/>
      <c r="BI632" s="302"/>
      <c r="BJ632" s="302"/>
      <c r="BM632">
        <v>29.1</v>
      </c>
      <c r="BS632">
        <v>27.4</v>
      </c>
      <c r="BY632">
        <v>52.2</v>
      </c>
      <c r="CA632">
        <v>18.7</v>
      </c>
      <c r="CC632">
        <v>50</v>
      </c>
      <c r="CI632">
        <v>4.9000000000000004</v>
      </c>
      <c r="CO632" t="s">
        <v>8698</v>
      </c>
      <c r="CR632">
        <v>3</v>
      </c>
      <c r="CT632" s="304" t="s">
        <v>11678</v>
      </c>
    </row>
    <row r="633" spans="1:98" s="304" customFormat="1">
      <c r="A633" s="304" t="s">
        <v>8506</v>
      </c>
      <c r="B633" s="463">
        <v>140</v>
      </c>
      <c r="C633" s="296" t="s">
        <v>7768</v>
      </c>
      <c r="D633" s="296" t="s">
        <v>7842</v>
      </c>
      <c r="E633" s="296" t="s">
        <v>7768</v>
      </c>
      <c r="F633" s="296"/>
      <c r="G633" s="296" t="s">
        <v>8506</v>
      </c>
      <c r="H633" s="297" t="s">
        <v>8697</v>
      </c>
      <c r="I633" s="297">
        <v>4</v>
      </c>
      <c r="J633" s="297">
        <v>433</v>
      </c>
      <c r="K633" s="299"/>
      <c r="L633" s="299"/>
      <c r="M633" s="299">
        <v>104</v>
      </c>
      <c r="N633" s="299">
        <v>7</v>
      </c>
      <c r="O633" s="300">
        <v>28</v>
      </c>
      <c r="P633" s="301">
        <v>42090</v>
      </c>
      <c r="Q633" s="302"/>
      <c r="R633" s="303"/>
      <c r="S633" s="289">
        <v>5.0999999999999996</v>
      </c>
      <c r="T633" s="303">
        <v>42208</v>
      </c>
      <c r="U633" s="302"/>
      <c r="V633" s="303"/>
      <c r="W633" s="302"/>
      <c r="X633" s="303"/>
      <c r="Y633" s="302">
        <v>19.21</v>
      </c>
      <c r="Z633" s="303">
        <v>42208</v>
      </c>
      <c r="AA633">
        <v>14.4</v>
      </c>
      <c r="AB633" s="303"/>
      <c r="AC633" s="302"/>
      <c r="AD633" s="303"/>
      <c r="AE633" s="302"/>
      <c r="AF633" s="303"/>
      <c r="AG633">
        <v>62278.537735849059</v>
      </c>
      <c r="AH633" s="521">
        <f>(AK633*10000)/AM633</f>
        <v>62278.537735849059</v>
      </c>
      <c r="AI633" s="302"/>
      <c r="AJ633" s="303"/>
      <c r="AK633">
        <v>33.007624999999997</v>
      </c>
      <c r="AL633" s="521"/>
      <c r="AM633">
        <v>5.3</v>
      </c>
      <c r="AN633" s="303">
        <v>42244</v>
      </c>
      <c r="AO633">
        <v>120</v>
      </c>
      <c r="AP633" s="303">
        <v>42170</v>
      </c>
      <c r="AQ633" s="302"/>
      <c r="AR633" s="303"/>
      <c r="AS633" s="302"/>
      <c r="AT633" s="303"/>
      <c r="AU633">
        <v>108</v>
      </c>
      <c r="AV633" s="303"/>
      <c r="AW633" s="302"/>
      <c r="AX633" s="302"/>
      <c r="AY633" s="302"/>
      <c r="AZ633" s="303"/>
      <c r="BA633" s="302"/>
      <c r="BB633" s="302"/>
      <c r="BC633" s="302"/>
      <c r="BD633" s="302"/>
      <c r="BE633" s="302"/>
      <c r="BF633" s="302"/>
      <c r="BG633" s="302"/>
      <c r="BH633" s="302"/>
      <c r="BI633" s="302"/>
      <c r="BJ633" s="302"/>
      <c r="BM633">
        <v>-1.7</v>
      </c>
      <c r="BS633">
        <v>59.9</v>
      </c>
      <c r="BY633">
        <v>51.9</v>
      </c>
      <c r="CA633">
        <v>16.3</v>
      </c>
      <c r="CC633">
        <v>14.5</v>
      </c>
      <c r="CI633">
        <v>4.9000000000000004</v>
      </c>
      <c r="CO633" t="s">
        <v>8698</v>
      </c>
      <c r="CR633">
        <v>2</v>
      </c>
      <c r="CT633" s="304" t="s">
        <v>11678</v>
      </c>
    </row>
    <row r="634" spans="1:98" s="304" customFormat="1">
      <c r="A634" s="304" t="s">
        <v>8506</v>
      </c>
      <c r="B634" s="463">
        <v>50</v>
      </c>
      <c r="C634" s="296" t="s">
        <v>7668</v>
      </c>
      <c r="D634" s="296" t="s">
        <v>7500</v>
      </c>
      <c r="E634" s="296" t="s">
        <v>7668</v>
      </c>
      <c r="F634" s="296"/>
      <c r="G634" s="296" t="s">
        <v>8506</v>
      </c>
      <c r="H634" s="297" t="s">
        <v>8697</v>
      </c>
      <c r="I634" s="297">
        <v>4</v>
      </c>
      <c r="J634" s="297">
        <v>4214</v>
      </c>
      <c r="K634" s="299"/>
      <c r="L634" s="299"/>
      <c r="M634" s="299">
        <v>105</v>
      </c>
      <c r="N634" s="299">
        <v>10</v>
      </c>
      <c r="O634" s="300">
        <v>40</v>
      </c>
      <c r="P634" s="301">
        <v>42090</v>
      </c>
      <c r="Q634" s="302"/>
      <c r="R634" s="303"/>
      <c r="S634" s="289">
        <v>5.05</v>
      </c>
      <c r="T634" s="303">
        <v>42208</v>
      </c>
      <c r="U634" s="302"/>
      <c r="V634" s="303"/>
      <c r="W634" s="302"/>
      <c r="X634" s="303"/>
      <c r="Y634" s="302">
        <v>19.64</v>
      </c>
      <c r="Z634" s="303">
        <v>42208</v>
      </c>
      <c r="AA634">
        <v>14.4</v>
      </c>
      <c r="AB634" s="303"/>
      <c r="AC634" s="302"/>
      <c r="AD634" s="303"/>
      <c r="AE634" s="302"/>
      <c r="AF634" s="303"/>
      <c r="AG634">
        <v>65230.569444444438</v>
      </c>
      <c r="AH634" s="521">
        <f>(AK634*10000)/AM634</f>
        <v>65230.569444444438</v>
      </c>
      <c r="AI634" s="302"/>
      <c r="AJ634" s="303"/>
      <c r="AK634">
        <v>32.615284722222221</v>
      </c>
      <c r="AL634" s="521"/>
      <c r="AM634">
        <v>5</v>
      </c>
      <c r="AN634" s="303">
        <v>42244</v>
      </c>
      <c r="AO634">
        <v>125</v>
      </c>
      <c r="AP634" s="303">
        <v>42170</v>
      </c>
      <c r="AQ634" s="302"/>
      <c r="AR634" s="303"/>
      <c r="AS634" s="302"/>
      <c r="AT634" s="303"/>
      <c r="AU634">
        <v>110</v>
      </c>
      <c r="AV634" s="303"/>
      <c r="AW634" s="302"/>
      <c r="AX634" s="302"/>
      <c r="AY634" s="302"/>
      <c r="AZ634" s="303"/>
      <c r="BA634" s="302"/>
      <c r="BB634" s="302"/>
      <c r="BC634" s="302"/>
      <c r="BD634" s="302"/>
      <c r="BE634" s="302"/>
      <c r="BF634" s="302"/>
      <c r="BG634" s="302"/>
      <c r="BH634" s="302"/>
      <c r="BI634" s="302"/>
      <c r="BJ634" s="302"/>
      <c r="BM634">
        <v>-3.2</v>
      </c>
      <c r="BS634">
        <v>63.8</v>
      </c>
      <c r="BY634">
        <v>53.7</v>
      </c>
      <c r="CA634">
        <v>15</v>
      </c>
      <c r="CC634">
        <v>16.100000000000001</v>
      </c>
      <c r="CI634">
        <v>5.0999999999999996</v>
      </c>
      <c r="CO634" t="s">
        <v>8698</v>
      </c>
      <c r="CR634">
        <v>1</v>
      </c>
      <c r="CT634" s="304" t="s">
        <v>11678</v>
      </c>
    </row>
    <row r="635" spans="1:98" s="304" customFormat="1">
      <c r="A635" s="304" t="s">
        <v>8506</v>
      </c>
      <c r="B635" s="463">
        <v>79</v>
      </c>
      <c r="C635" s="296" t="s">
        <v>7697</v>
      </c>
      <c r="D635" s="296" t="s">
        <v>7526</v>
      </c>
      <c r="E635" s="296" t="s">
        <v>7697</v>
      </c>
      <c r="F635" s="296"/>
      <c r="G635" s="296" t="s">
        <v>8506</v>
      </c>
      <c r="H635" s="297" t="s">
        <v>8697</v>
      </c>
      <c r="I635" s="297">
        <v>4</v>
      </c>
      <c r="J635" s="297">
        <v>4274</v>
      </c>
      <c r="K635" s="299"/>
      <c r="L635" s="299"/>
      <c r="M635" s="299">
        <v>105</v>
      </c>
      <c r="N635" s="299">
        <v>11</v>
      </c>
      <c r="O635" s="300">
        <v>42</v>
      </c>
      <c r="P635" s="301">
        <v>42090</v>
      </c>
      <c r="Q635" s="302"/>
      <c r="R635" s="303"/>
      <c r="S635" s="289">
        <v>4.25</v>
      </c>
      <c r="T635" s="303">
        <v>42208</v>
      </c>
      <c r="U635" s="302"/>
      <c r="V635" s="303"/>
      <c r="W635" s="302"/>
      <c r="X635" s="303"/>
      <c r="Y635" s="302">
        <v>16</v>
      </c>
      <c r="Z635" s="303">
        <v>42208</v>
      </c>
      <c r="AA635">
        <v>14.4</v>
      </c>
      <c r="AB635" s="303"/>
      <c r="AC635" s="302"/>
      <c r="AD635" s="303"/>
      <c r="AE635" s="302"/>
      <c r="AF635" s="303"/>
      <c r="AG635">
        <v>59544.912439613523</v>
      </c>
      <c r="AH635" s="521">
        <f>(AK635*10000)/AM635</f>
        <v>59544.912439613523</v>
      </c>
      <c r="AI635" s="302"/>
      <c r="AJ635" s="303"/>
      <c r="AK635">
        <v>27.390659722222221</v>
      </c>
      <c r="AL635" s="521"/>
      <c r="AM635">
        <v>4.5999999999999996</v>
      </c>
      <c r="AN635" s="303">
        <v>42244</v>
      </c>
      <c r="AO635">
        <v>125</v>
      </c>
      <c r="AP635" s="303">
        <v>42170</v>
      </c>
      <c r="AQ635" s="302"/>
      <c r="AR635" s="303"/>
      <c r="AS635" s="302"/>
      <c r="AT635" s="303"/>
      <c r="AU635">
        <v>111</v>
      </c>
      <c r="AV635" s="303"/>
      <c r="AW635" s="302"/>
      <c r="AX635" s="302"/>
      <c r="AY635" s="302"/>
      <c r="AZ635" s="303"/>
      <c r="BA635" s="302"/>
      <c r="BB635" s="302"/>
      <c r="BC635" s="302"/>
      <c r="BD635" s="302"/>
      <c r="BE635" s="302"/>
      <c r="BF635" s="302"/>
      <c r="BG635" s="302"/>
      <c r="BH635" s="302"/>
      <c r="BI635" s="302"/>
      <c r="BJ635" s="302"/>
      <c r="BM635">
        <v>-3.5</v>
      </c>
      <c r="BS635">
        <v>62</v>
      </c>
      <c r="BY635">
        <v>52.1</v>
      </c>
      <c r="CA635">
        <v>16.399999999999999</v>
      </c>
      <c r="CC635">
        <v>19</v>
      </c>
      <c r="CI635">
        <v>5.3</v>
      </c>
      <c r="CO635" t="s">
        <v>8698</v>
      </c>
      <c r="CR635">
        <v>2</v>
      </c>
      <c r="CT635" s="304" t="s">
        <v>11678</v>
      </c>
    </row>
    <row r="636" spans="1:98" s="304" customFormat="1">
      <c r="A636" s="304" t="s">
        <v>8506</v>
      </c>
      <c r="B636" s="463">
        <v>110</v>
      </c>
      <c r="C636" s="296" t="s">
        <v>7728</v>
      </c>
      <c r="D636" s="296" t="s">
        <v>7554</v>
      </c>
      <c r="E636" s="296" t="s">
        <v>7728</v>
      </c>
      <c r="F636" s="296"/>
      <c r="G636" s="296" t="s">
        <v>8506</v>
      </c>
      <c r="H636" s="297" t="s">
        <v>8697</v>
      </c>
      <c r="I636" s="297">
        <v>4</v>
      </c>
      <c r="J636" s="297">
        <v>494</v>
      </c>
      <c r="K636" s="299"/>
      <c r="L636" s="299"/>
      <c r="M636" s="299">
        <v>105</v>
      </c>
      <c r="N636" s="299">
        <v>8</v>
      </c>
      <c r="O636" s="300">
        <v>26</v>
      </c>
      <c r="P636" s="301">
        <v>42090</v>
      </c>
      <c r="Q636" s="302"/>
      <c r="R636" s="303"/>
      <c r="S636" s="289">
        <v>4.8</v>
      </c>
      <c r="T636" s="303">
        <v>42208</v>
      </c>
      <c r="U636" s="302"/>
      <c r="V636" s="303"/>
      <c r="W636" s="302"/>
      <c r="X636" s="303"/>
      <c r="Y636" s="302">
        <v>18.489999999999998</v>
      </c>
      <c r="Z636" s="303">
        <v>42208</v>
      </c>
      <c r="AA636">
        <v>14.4</v>
      </c>
      <c r="AB636" s="303"/>
      <c r="AC636" s="302"/>
      <c r="AD636" s="303"/>
      <c r="AE636" s="302"/>
      <c r="AF636" s="303"/>
      <c r="AG636">
        <v>65958.865248226939</v>
      </c>
      <c r="AH636" s="521">
        <f>(AK636*10000)/AM636</f>
        <v>65958.865248226939</v>
      </c>
      <c r="AI636" s="302"/>
      <c r="AJ636" s="303"/>
      <c r="AK636">
        <v>31.000666666666664</v>
      </c>
      <c r="AL636" s="521"/>
      <c r="AM636">
        <v>4.7</v>
      </c>
      <c r="AN636" s="303">
        <v>42244</v>
      </c>
      <c r="AO636">
        <v>120</v>
      </c>
      <c r="AP636" s="303">
        <v>42170</v>
      </c>
      <c r="AQ636" s="302"/>
      <c r="AR636" s="303"/>
      <c r="AS636" s="302"/>
      <c r="AT636" s="303"/>
      <c r="AU636">
        <v>107</v>
      </c>
      <c r="AV636" s="303"/>
      <c r="AW636" s="302"/>
      <c r="AX636" s="302"/>
      <c r="AY636" s="302"/>
      <c r="AZ636" s="303"/>
      <c r="BA636" s="302"/>
      <c r="BB636" s="302"/>
      <c r="BC636" s="302"/>
      <c r="BD636" s="302"/>
      <c r="BE636" s="302"/>
      <c r="BF636" s="302"/>
      <c r="BG636" s="302"/>
      <c r="BH636" s="302"/>
      <c r="BI636" s="302"/>
      <c r="BJ636" s="302"/>
      <c r="BM636">
        <v>-0.9</v>
      </c>
      <c r="BS636">
        <v>59.4</v>
      </c>
      <c r="BY636">
        <v>53.2</v>
      </c>
      <c r="CA636">
        <v>15.1</v>
      </c>
      <c r="CC636">
        <v>19.8</v>
      </c>
      <c r="CI636">
        <v>5.0999999999999996</v>
      </c>
      <c r="CO636" t="s">
        <v>8698</v>
      </c>
      <c r="CR636">
        <v>1</v>
      </c>
      <c r="CT636" s="304" t="s">
        <v>11678</v>
      </c>
    </row>
    <row r="637" spans="1:98" s="304" customFormat="1">
      <c r="A637" s="304" t="s">
        <v>8506</v>
      </c>
      <c r="B637" s="463">
        <v>111</v>
      </c>
      <c r="C637" s="296" t="s">
        <v>7729</v>
      </c>
      <c r="D637" s="296" t="s">
        <v>7555</v>
      </c>
      <c r="E637" s="296" t="s">
        <v>7729</v>
      </c>
      <c r="F637" s="296"/>
      <c r="G637" s="296" t="s">
        <v>8506</v>
      </c>
      <c r="H637" s="297" t="s">
        <v>8696</v>
      </c>
      <c r="I637" s="297">
        <v>3</v>
      </c>
      <c r="J637" s="297">
        <v>3274</v>
      </c>
      <c r="K637" s="299"/>
      <c r="L637" s="299"/>
      <c r="M637" s="299">
        <v>105</v>
      </c>
      <c r="N637" s="299">
        <v>5</v>
      </c>
      <c r="O637" s="300">
        <v>32</v>
      </c>
      <c r="P637" s="301">
        <v>42090</v>
      </c>
      <c r="Q637" s="302"/>
      <c r="R637" s="303"/>
      <c r="S637" s="289">
        <v>4.7</v>
      </c>
      <c r="T637" s="303">
        <v>42208</v>
      </c>
      <c r="U637" s="302"/>
      <c r="V637" s="303"/>
      <c r="W637" s="302"/>
      <c r="X637" s="303"/>
      <c r="Y637" s="302">
        <v>16.82</v>
      </c>
      <c r="Z637" s="303">
        <v>42208</v>
      </c>
      <c r="AA637">
        <v>14.4</v>
      </c>
      <c r="AB637" s="303"/>
      <c r="AC637" s="302"/>
      <c r="AD637" s="303"/>
      <c r="AE637" s="302"/>
      <c r="AF637" s="303"/>
      <c r="AG637">
        <v>54205.034722222234</v>
      </c>
      <c r="AH637" s="521">
        <f>(AK637*10000)/AM637</f>
        <v>54205.034722222234</v>
      </c>
      <c r="AI637" s="302"/>
      <c r="AJ637" s="303"/>
      <c r="AK637">
        <v>30.354819444444448</v>
      </c>
      <c r="AL637" s="521"/>
      <c r="AM637">
        <v>5.6</v>
      </c>
      <c r="AN637" s="303">
        <v>42244</v>
      </c>
      <c r="AO637">
        <v>130</v>
      </c>
      <c r="AP637" s="303">
        <v>42170</v>
      </c>
      <c r="AQ637" s="302"/>
      <c r="AR637" s="303"/>
      <c r="AS637" s="302"/>
      <c r="AT637" s="303"/>
      <c r="AU637">
        <v>107</v>
      </c>
      <c r="AV637" s="303"/>
      <c r="AW637" s="302"/>
      <c r="AX637" s="302"/>
      <c r="AY637" s="302"/>
      <c r="AZ637" s="303"/>
      <c r="BA637" s="302"/>
      <c r="BB637" s="302"/>
      <c r="BC637" s="302"/>
      <c r="BD637" s="302"/>
      <c r="BE637" s="302"/>
      <c r="BF637" s="302"/>
      <c r="BG637" s="302"/>
      <c r="BH637" s="302"/>
      <c r="BI637" s="302"/>
      <c r="BJ637" s="302"/>
      <c r="BM637">
        <v>-2.5</v>
      </c>
      <c r="BS637">
        <v>62.2</v>
      </c>
      <c r="BY637">
        <v>49.4</v>
      </c>
      <c r="CA637">
        <v>19</v>
      </c>
      <c r="CC637">
        <v>20.100000000000001</v>
      </c>
      <c r="CI637">
        <v>5.0999999999999996</v>
      </c>
      <c r="CO637" t="s">
        <v>8698</v>
      </c>
      <c r="CR637">
        <v>2</v>
      </c>
      <c r="CT637" s="304" t="s">
        <v>11678</v>
      </c>
    </row>
    <row r="638" spans="1:98" s="304" customFormat="1">
      <c r="A638" s="304" t="s">
        <v>8506</v>
      </c>
      <c r="B638" s="523">
        <v>357</v>
      </c>
      <c r="C638" s="296" t="s">
        <v>8509</v>
      </c>
      <c r="D638" s="296" t="s">
        <v>8086</v>
      </c>
      <c r="E638" s="296" t="s">
        <v>8086</v>
      </c>
      <c r="F638" s="296"/>
      <c r="G638" s="296" t="s">
        <v>8506</v>
      </c>
      <c r="H638" s="297" t="s">
        <v>8696</v>
      </c>
      <c r="I638" s="297">
        <v>3</v>
      </c>
      <c r="J638" s="297">
        <v>3214</v>
      </c>
      <c r="K638" s="299"/>
      <c r="L638" s="299"/>
      <c r="M638" s="299">
        <v>105</v>
      </c>
      <c r="N638" s="299">
        <v>4</v>
      </c>
      <c r="O638" s="300">
        <v>26</v>
      </c>
      <c r="P638" s="301">
        <v>42090</v>
      </c>
      <c r="Q638" s="302"/>
      <c r="R638" s="303"/>
      <c r="S638" s="289">
        <v>6.8</v>
      </c>
      <c r="T638" s="303">
        <v>42208</v>
      </c>
      <c r="U638" s="302"/>
      <c r="V638" s="303"/>
      <c r="W638" s="302"/>
      <c r="X638" s="303"/>
      <c r="Y638" s="302">
        <v>25.38</v>
      </c>
      <c r="Z638" s="303">
        <v>42208</v>
      </c>
      <c r="AA638">
        <v>14.4</v>
      </c>
      <c r="AB638" s="303"/>
      <c r="AC638" s="302"/>
      <c r="AD638" s="303"/>
      <c r="AE638" s="302"/>
      <c r="AF638" s="303"/>
      <c r="AG638">
        <v>97286.172839506151</v>
      </c>
      <c r="AH638" s="521">
        <f>(AK638*10000)/AM638</f>
        <v>97286.172839506151</v>
      </c>
      <c r="AI638" s="302"/>
      <c r="AJ638" s="303"/>
      <c r="AK638">
        <v>43.778777777777769</v>
      </c>
      <c r="AL638" s="521"/>
      <c r="AM638">
        <v>4.5</v>
      </c>
      <c r="AN638" s="303">
        <v>42244</v>
      </c>
      <c r="AO638">
        <v>140</v>
      </c>
      <c r="AP638" s="303">
        <v>42170</v>
      </c>
      <c r="AQ638" s="302"/>
      <c r="AR638" s="303"/>
      <c r="AS638" s="302"/>
      <c r="AT638" s="303"/>
      <c r="AU638">
        <v>107</v>
      </c>
      <c r="AV638" s="302"/>
      <c r="AW638" s="302"/>
      <c r="AX638" s="302"/>
      <c r="AY638" s="302"/>
      <c r="AZ638" s="302"/>
      <c r="BA638" s="302"/>
      <c r="BB638" s="302"/>
      <c r="BC638" s="302"/>
      <c r="BD638" s="302"/>
      <c r="BE638" s="302"/>
      <c r="BF638" s="302"/>
      <c r="BG638" s="302"/>
      <c r="BH638" s="302"/>
      <c r="BI638" s="302"/>
      <c r="BJ638" s="302"/>
      <c r="BM638">
        <v>-2.7</v>
      </c>
      <c r="BS638">
        <v>62.4</v>
      </c>
      <c r="BY638">
        <v>51.7</v>
      </c>
      <c r="CA638">
        <v>17.2</v>
      </c>
      <c r="CC638">
        <v>18.5</v>
      </c>
      <c r="CI638">
        <v>5.4</v>
      </c>
      <c r="CO638" t="s">
        <v>8698</v>
      </c>
      <c r="CR638">
        <v>2</v>
      </c>
      <c r="CT638" s="304" t="s">
        <v>11678</v>
      </c>
    </row>
    <row r="639" spans="1:98" s="304" customFormat="1">
      <c r="A639" s="304" t="s">
        <v>8506</v>
      </c>
      <c r="B639" s="463">
        <v>52</v>
      </c>
      <c r="C639" s="296" t="s">
        <v>7670</v>
      </c>
      <c r="D639" s="296" t="s">
        <v>7502</v>
      </c>
      <c r="E639" s="296" t="s">
        <v>7670</v>
      </c>
      <c r="F639" s="296"/>
      <c r="G639" s="296" t="s">
        <v>8506</v>
      </c>
      <c r="H639" s="297" t="s">
        <v>8696</v>
      </c>
      <c r="I639" s="297">
        <v>3</v>
      </c>
      <c r="J639" s="297">
        <v>3275</v>
      </c>
      <c r="K639" s="299"/>
      <c r="L639" s="299"/>
      <c r="M639" s="299">
        <v>106</v>
      </c>
      <c r="N639" s="299">
        <v>5</v>
      </c>
      <c r="O639" s="300">
        <v>21</v>
      </c>
      <c r="P639" s="301">
        <v>42090</v>
      </c>
      <c r="Q639" s="302"/>
      <c r="R639" s="303"/>
      <c r="S639" s="289">
        <v>6.65</v>
      </c>
      <c r="T639" s="303">
        <v>42208</v>
      </c>
      <c r="U639" s="302"/>
      <c r="V639" s="303"/>
      <c r="W639" s="302"/>
      <c r="X639" s="303"/>
      <c r="Y639" s="302">
        <v>24.68</v>
      </c>
      <c r="Z639" s="303">
        <v>42208</v>
      </c>
      <c r="AA639">
        <v>14.4</v>
      </c>
      <c r="AB639" s="303"/>
      <c r="AC639" s="302"/>
      <c r="AD639" s="303"/>
      <c r="AE639" s="302"/>
      <c r="AF639" s="303"/>
      <c r="AG639">
        <v>81723.59775641028</v>
      </c>
      <c r="AH639" s="521">
        <f>(AK639*10000)/AM639</f>
        <v>81723.59775641028</v>
      </c>
      <c r="AI639" s="302"/>
      <c r="AJ639" s="303"/>
      <c r="AK639">
        <v>42.496270833333341</v>
      </c>
      <c r="AL639" s="521"/>
      <c r="AM639">
        <v>5.2</v>
      </c>
      <c r="AN639" s="303">
        <v>42244</v>
      </c>
      <c r="AO639">
        <v>120</v>
      </c>
      <c r="AP639" s="303">
        <v>42170</v>
      </c>
      <c r="AQ639" s="302"/>
      <c r="AR639" s="303"/>
      <c r="AS639" s="302"/>
      <c r="AT639" s="303"/>
      <c r="AU639">
        <v>109</v>
      </c>
      <c r="AV639" s="303"/>
      <c r="AW639" s="302"/>
      <c r="AX639" s="302"/>
      <c r="AY639" s="302"/>
      <c r="AZ639" s="303"/>
      <c r="BA639" s="302"/>
      <c r="BB639" s="302"/>
      <c r="BC639" s="302"/>
      <c r="BD639" s="302"/>
      <c r="BE639" s="302"/>
      <c r="BF639" s="302"/>
      <c r="BG639" s="302"/>
      <c r="BH639" s="302"/>
      <c r="BI639" s="302"/>
      <c r="BJ639" s="302"/>
      <c r="BM639">
        <v>-1</v>
      </c>
      <c r="BS639">
        <v>64.7</v>
      </c>
      <c r="BY639">
        <v>51.8</v>
      </c>
      <c r="CA639">
        <v>17.5</v>
      </c>
      <c r="CC639">
        <v>16.100000000000001</v>
      </c>
      <c r="CI639">
        <v>6.1</v>
      </c>
      <c r="CO639" t="s">
        <v>8698</v>
      </c>
      <c r="CR639">
        <v>1</v>
      </c>
      <c r="CT639" s="304" t="s">
        <v>11678</v>
      </c>
    </row>
    <row r="640" spans="1:98" s="304" customFormat="1">
      <c r="A640" s="304" t="s">
        <v>8506</v>
      </c>
      <c r="B640" s="463">
        <v>66</v>
      </c>
      <c r="C640" s="296" t="s">
        <v>7684</v>
      </c>
      <c r="D640" s="296" t="s">
        <v>7514</v>
      </c>
      <c r="E640" s="296" t="s">
        <v>7684</v>
      </c>
      <c r="F640" s="296"/>
      <c r="G640" s="296" t="s">
        <v>8506</v>
      </c>
      <c r="H640" s="297" t="s">
        <v>8696</v>
      </c>
      <c r="I640" s="297">
        <v>3</v>
      </c>
      <c r="J640" s="297">
        <v>3215</v>
      </c>
      <c r="K640" s="299"/>
      <c r="L640" s="299"/>
      <c r="M640" s="299">
        <v>106</v>
      </c>
      <c r="N640" s="299">
        <v>4</v>
      </c>
      <c r="O640" s="300">
        <v>17</v>
      </c>
      <c r="P640" s="301">
        <v>42090</v>
      </c>
      <c r="Q640" s="302"/>
      <c r="R640" s="303"/>
      <c r="S640" s="289">
        <v>5.75</v>
      </c>
      <c r="T640" s="303">
        <v>42208</v>
      </c>
      <c r="U640" s="302"/>
      <c r="V640" s="303"/>
      <c r="W640" s="302"/>
      <c r="X640" s="303"/>
      <c r="Y640" s="302">
        <v>20.98</v>
      </c>
      <c r="Z640" s="303">
        <v>42208</v>
      </c>
      <c r="AA640">
        <v>14.4</v>
      </c>
      <c r="AB640" s="303"/>
      <c r="AC640" s="302"/>
      <c r="AD640" s="303"/>
      <c r="AE640" s="302"/>
      <c r="AF640" s="303"/>
      <c r="AG640">
        <v>69422.968106995861</v>
      </c>
      <c r="AH640" s="521">
        <f>(AK640*10000)/AM640</f>
        <v>69422.968106995861</v>
      </c>
      <c r="AI640" s="302"/>
      <c r="AJ640" s="303"/>
      <c r="AK640">
        <v>37.488402777777772</v>
      </c>
      <c r="AL640" s="521"/>
      <c r="AM640">
        <v>5.4</v>
      </c>
      <c r="AN640" s="303">
        <v>42244</v>
      </c>
      <c r="AO640">
        <v>130</v>
      </c>
      <c r="AP640" s="303">
        <v>42170</v>
      </c>
      <c r="AQ640" s="302"/>
      <c r="AR640" s="303"/>
      <c r="AS640" s="302"/>
      <c r="AT640" s="303"/>
      <c r="AU640">
        <v>107</v>
      </c>
      <c r="AV640" s="303"/>
      <c r="AW640" s="302"/>
      <c r="AX640" s="302"/>
      <c r="AY640" s="302"/>
      <c r="AZ640" s="303"/>
      <c r="BA640" s="302"/>
      <c r="BB640" s="302"/>
      <c r="BC640" s="302"/>
      <c r="BD640" s="302"/>
      <c r="BE640" s="302"/>
      <c r="BF640" s="302"/>
      <c r="BG640" s="302"/>
      <c r="BH640" s="302"/>
      <c r="BI640" s="302"/>
      <c r="BJ640" s="302"/>
      <c r="BM640">
        <v>-1.5</v>
      </c>
      <c r="BS640">
        <v>60.9</v>
      </c>
      <c r="BY640">
        <v>49.9</v>
      </c>
      <c r="CA640">
        <v>18.8</v>
      </c>
      <c r="CC640">
        <v>20</v>
      </c>
      <c r="CI640">
        <v>4.2</v>
      </c>
      <c r="CO640" t="s">
        <v>8698</v>
      </c>
      <c r="CR640">
        <v>4</v>
      </c>
      <c r="CT640" s="304" t="s">
        <v>11678</v>
      </c>
    </row>
    <row r="641" spans="1:98" s="304" customFormat="1">
      <c r="A641" s="304" t="s">
        <v>8506</v>
      </c>
      <c r="B641" s="463">
        <v>104</v>
      </c>
      <c r="C641" s="296" t="s">
        <v>7722</v>
      </c>
      <c r="D641" s="296" t="s">
        <v>7549</v>
      </c>
      <c r="E641" s="296" t="s">
        <v>7722</v>
      </c>
      <c r="F641" s="296"/>
      <c r="G641" s="296" t="s">
        <v>8506</v>
      </c>
      <c r="H641" s="297" t="s">
        <v>8696</v>
      </c>
      <c r="I641" s="297">
        <v>3</v>
      </c>
      <c r="J641" s="297">
        <v>335</v>
      </c>
      <c r="K641" s="299"/>
      <c r="L641" s="299"/>
      <c r="M641" s="299">
        <v>106</v>
      </c>
      <c r="N641" s="299">
        <v>1</v>
      </c>
      <c r="O641" s="300">
        <v>38</v>
      </c>
      <c r="P641" s="301">
        <v>42090</v>
      </c>
      <c r="Q641" s="302"/>
      <c r="R641" s="303"/>
      <c r="S641" s="289">
        <v>6.35</v>
      </c>
      <c r="T641" s="303">
        <v>42208</v>
      </c>
      <c r="U641" s="302"/>
      <c r="V641" s="303"/>
      <c r="W641" s="302"/>
      <c r="X641" s="303"/>
      <c r="Y641" s="302">
        <v>23.06</v>
      </c>
      <c r="Z641" s="303">
        <v>42208</v>
      </c>
      <c r="AA641">
        <v>14.4</v>
      </c>
      <c r="AB641" s="303"/>
      <c r="AC641" s="302"/>
      <c r="AD641" s="303"/>
      <c r="AE641" s="302"/>
      <c r="AF641" s="303"/>
      <c r="AG641">
        <v>93109.280303030289</v>
      </c>
      <c r="AH641" s="521">
        <f>(AK641*10000)/AM641</f>
        <v>93109.280303030289</v>
      </c>
      <c r="AI641" s="302"/>
      <c r="AJ641" s="303"/>
      <c r="AK641">
        <v>40.968083333333333</v>
      </c>
      <c r="AL641" s="521"/>
      <c r="AM641">
        <v>4.4000000000000004</v>
      </c>
      <c r="AN641" s="303">
        <v>42244</v>
      </c>
      <c r="AO641">
        <v>125</v>
      </c>
      <c r="AP641" s="303">
        <v>42170</v>
      </c>
      <c r="AQ641" s="302"/>
      <c r="AR641" s="303"/>
      <c r="AS641" s="302"/>
      <c r="AT641" s="303"/>
      <c r="AU641">
        <v>112</v>
      </c>
      <c r="AV641" s="303"/>
      <c r="AW641" s="302"/>
      <c r="AX641" s="302"/>
      <c r="AY641" s="302"/>
      <c r="AZ641" s="303"/>
      <c r="BA641" s="302"/>
      <c r="BB641" s="302"/>
      <c r="BC641" s="302"/>
      <c r="BD641" s="302"/>
      <c r="BE641" s="302"/>
      <c r="BF641" s="302"/>
      <c r="BG641" s="302"/>
      <c r="BH641" s="302"/>
      <c r="BI641" s="302"/>
      <c r="BJ641" s="302"/>
      <c r="BM641">
        <v>-1</v>
      </c>
      <c r="BS641">
        <v>60.3</v>
      </c>
      <c r="BY641">
        <v>50.2</v>
      </c>
      <c r="CA641">
        <v>18.100000000000001</v>
      </c>
      <c r="CC641">
        <v>20.399999999999999</v>
      </c>
      <c r="CI641">
        <v>5.2</v>
      </c>
      <c r="CO641" t="s">
        <v>8699</v>
      </c>
      <c r="CR641">
        <v>3</v>
      </c>
      <c r="CT641" s="304" t="s">
        <v>11678</v>
      </c>
    </row>
    <row r="642" spans="1:98" s="304" customFormat="1">
      <c r="A642" s="304" t="s">
        <v>8506</v>
      </c>
      <c r="B642" s="463">
        <v>143</v>
      </c>
      <c r="C642" s="296" t="s">
        <v>7771</v>
      </c>
      <c r="D642" s="296" t="s">
        <v>7572</v>
      </c>
      <c r="E642" s="296" t="s">
        <v>7771</v>
      </c>
      <c r="F642" s="296"/>
      <c r="G642" s="296" t="s">
        <v>8506</v>
      </c>
      <c r="H642" s="297" t="s">
        <v>8697</v>
      </c>
      <c r="I642" s="297">
        <v>4</v>
      </c>
      <c r="J642" s="297">
        <v>4155</v>
      </c>
      <c r="K642" s="299"/>
      <c r="L642" s="299"/>
      <c r="M642" s="299">
        <v>106</v>
      </c>
      <c r="N642" s="299">
        <v>9</v>
      </c>
      <c r="O642" s="300">
        <v>50</v>
      </c>
      <c r="P642" s="301">
        <v>42090</v>
      </c>
      <c r="Q642" s="302"/>
      <c r="R642" s="303"/>
      <c r="S642" s="289">
        <v>4.4000000000000004</v>
      </c>
      <c r="T642" s="303">
        <v>42208</v>
      </c>
      <c r="U642" s="302"/>
      <c r="V642" s="303"/>
      <c r="W642" s="302"/>
      <c r="X642" s="303"/>
      <c r="Y642" s="302">
        <v>16.73</v>
      </c>
      <c r="Z642" s="303">
        <v>42208</v>
      </c>
      <c r="AA642">
        <v>14.4</v>
      </c>
      <c r="AB642" s="303"/>
      <c r="AC642" s="302"/>
      <c r="AD642" s="303"/>
      <c r="AE642" s="302"/>
      <c r="AF642" s="303"/>
      <c r="AG642">
        <v>63282.592592592584</v>
      </c>
      <c r="AH642" s="521">
        <f>(AK642*10000)/AM642</f>
        <v>63282.592592592584</v>
      </c>
      <c r="AI642" s="302"/>
      <c r="AJ642" s="303"/>
      <c r="AK642">
        <v>28.477166666666665</v>
      </c>
      <c r="AL642" s="521"/>
      <c r="AM642">
        <v>4.5</v>
      </c>
      <c r="AN642" s="303">
        <v>42244</v>
      </c>
      <c r="AO642">
        <v>135</v>
      </c>
      <c r="AP642" s="303">
        <v>42170</v>
      </c>
      <c r="AQ642" s="302"/>
      <c r="AR642" s="303"/>
      <c r="AS642" s="302"/>
      <c r="AT642" s="303"/>
      <c r="AU642">
        <v>110</v>
      </c>
      <c r="AV642" s="303"/>
      <c r="AW642" s="302"/>
      <c r="AX642" s="302"/>
      <c r="AY642" s="302"/>
      <c r="AZ642" s="303"/>
      <c r="BA642" s="302"/>
      <c r="BB642" s="302"/>
      <c r="BC642" s="302"/>
      <c r="BD642" s="302"/>
      <c r="BE642" s="302"/>
      <c r="BF642" s="302"/>
      <c r="BG642" s="302"/>
      <c r="BH642" s="302"/>
      <c r="BI642" s="302"/>
      <c r="BJ642" s="302"/>
      <c r="BM642">
        <v>0.4</v>
      </c>
      <c r="BS642">
        <v>58.2</v>
      </c>
      <c r="BY642">
        <v>52.4</v>
      </c>
      <c r="CA642">
        <v>14.9</v>
      </c>
      <c r="CC642">
        <v>18</v>
      </c>
      <c r="CI642">
        <v>4.9000000000000004</v>
      </c>
      <c r="CO642" t="s">
        <v>8698</v>
      </c>
      <c r="CR642">
        <v>1</v>
      </c>
      <c r="CT642" s="304" t="s">
        <v>11678</v>
      </c>
    </row>
    <row r="643" spans="1:98" s="304" customFormat="1">
      <c r="A643" s="304" t="s">
        <v>8506</v>
      </c>
      <c r="B643" s="463">
        <v>151</v>
      </c>
      <c r="C643" s="296" t="s">
        <v>7779</v>
      </c>
      <c r="D643" s="296" t="s">
        <v>7580</v>
      </c>
      <c r="E643" s="296" t="s">
        <v>7779</v>
      </c>
      <c r="F643" s="296"/>
      <c r="G643" s="296" t="s">
        <v>8506</v>
      </c>
      <c r="H643" s="297" t="s">
        <v>8697</v>
      </c>
      <c r="I643" s="297">
        <v>4</v>
      </c>
      <c r="J643" s="297">
        <v>435</v>
      </c>
      <c r="K643" s="299"/>
      <c r="L643" s="299"/>
      <c r="M643" s="299">
        <v>106</v>
      </c>
      <c r="N643" s="299">
        <v>7</v>
      </c>
      <c r="O643" s="300">
        <v>40</v>
      </c>
      <c r="P643" s="301">
        <v>42090</v>
      </c>
      <c r="Q643" s="302"/>
      <c r="R643" s="303"/>
      <c r="S643" s="289">
        <v>4.45</v>
      </c>
      <c r="T643" s="303">
        <v>42208</v>
      </c>
      <c r="U643" s="302"/>
      <c r="V643" s="303"/>
      <c r="W643" s="302"/>
      <c r="X643" s="303"/>
      <c r="Y643" s="302">
        <v>17.02</v>
      </c>
      <c r="Z643" s="303">
        <v>42208</v>
      </c>
      <c r="AA643">
        <v>14.4</v>
      </c>
      <c r="AB643" s="303"/>
      <c r="AC643" s="302"/>
      <c r="AD643" s="303"/>
      <c r="AE643" s="302"/>
      <c r="AF643" s="303"/>
      <c r="AG643">
        <v>61149.364657210412</v>
      </c>
      <c r="AH643" s="521">
        <f>(AK643*10000)/AM643</f>
        <v>61149.364657210412</v>
      </c>
      <c r="AI643" s="302"/>
      <c r="AJ643" s="303"/>
      <c r="AK643">
        <v>28.740201388888892</v>
      </c>
      <c r="AL643" s="521"/>
      <c r="AM643">
        <v>4.7</v>
      </c>
      <c r="AN643" s="303">
        <v>42244</v>
      </c>
      <c r="AO643">
        <v>130</v>
      </c>
      <c r="AP643" s="303">
        <v>42170</v>
      </c>
      <c r="AQ643" s="302"/>
      <c r="AR643" s="303"/>
      <c r="AS643" s="302"/>
      <c r="AT643" s="303"/>
      <c r="AU643">
        <v>106</v>
      </c>
      <c r="AV643" s="303"/>
      <c r="AW643" s="302"/>
      <c r="AX643" s="302"/>
      <c r="AY643" s="302"/>
      <c r="AZ643" s="303"/>
      <c r="BA643" s="302"/>
      <c r="BB643" s="302"/>
      <c r="BC643" s="302"/>
      <c r="BD643" s="302"/>
      <c r="BE643" s="302"/>
      <c r="BF643" s="302"/>
      <c r="BG643" s="302"/>
      <c r="BH643" s="302"/>
      <c r="BI643" s="302"/>
      <c r="BJ643" s="302"/>
      <c r="BM643">
        <v>-2.4</v>
      </c>
      <c r="BS643">
        <v>64.400000000000006</v>
      </c>
      <c r="BY643">
        <v>52.8</v>
      </c>
      <c r="CA643">
        <v>16.2</v>
      </c>
      <c r="CC643">
        <v>15.3</v>
      </c>
      <c r="CI643">
        <v>5.0999999999999996</v>
      </c>
      <c r="CO643" t="s">
        <v>8698</v>
      </c>
      <c r="CR643">
        <v>1</v>
      </c>
      <c r="CT643" s="304" t="s">
        <v>11678</v>
      </c>
    </row>
    <row r="644" spans="1:98" s="304" customFormat="1">
      <c r="A644" s="304" t="s">
        <v>8506</v>
      </c>
      <c r="B644" s="463">
        <v>155</v>
      </c>
      <c r="C644" s="296" t="s">
        <v>7783</v>
      </c>
      <c r="D644" s="296" t="s">
        <v>7584</v>
      </c>
      <c r="E644" s="296" t="s">
        <v>7783</v>
      </c>
      <c r="F644" s="296"/>
      <c r="G644" s="296" t="s">
        <v>8506</v>
      </c>
      <c r="H644" s="297" t="s">
        <v>8697</v>
      </c>
      <c r="I644" s="297">
        <v>4</v>
      </c>
      <c r="J644" s="297">
        <v>4335</v>
      </c>
      <c r="K644" s="299"/>
      <c r="L644" s="299"/>
      <c r="M644" s="299">
        <v>106</v>
      </c>
      <c r="N644" s="299">
        <v>12</v>
      </c>
      <c r="O644" s="300">
        <v>21</v>
      </c>
      <c r="P644" s="301">
        <v>42090</v>
      </c>
      <c r="Q644" s="302"/>
      <c r="R644" s="303"/>
      <c r="S644" s="289">
        <v>6</v>
      </c>
      <c r="T644" s="303">
        <v>42208</v>
      </c>
      <c r="U644" s="302"/>
      <c r="V644" s="303"/>
      <c r="W644" s="302"/>
      <c r="X644" s="303"/>
      <c r="Y644" s="302">
        <v>23.27</v>
      </c>
      <c r="Z644" s="303">
        <v>42208</v>
      </c>
      <c r="AA644">
        <v>14.4</v>
      </c>
      <c r="AB644" s="303"/>
      <c r="AC644" s="302"/>
      <c r="AD644" s="303"/>
      <c r="AE644" s="302"/>
      <c r="AF644" s="303"/>
      <c r="AG644">
        <v>82535.460992907785</v>
      </c>
      <c r="AH644" s="521">
        <f>(AK644*10000)/AM644</f>
        <v>82535.460992907785</v>
      </c>
      <c r="AI644" s="302"/>
      <c r="AJ644" s="303"/>
      <c r="AK644">
        <v>38.791666666666664</v>
      </c>
      <c r="AL644" s="521"/>
      <c r="AM644">
        <v>4.7</v>
      </c>
      <c r="AN644" s="303">
        <v>42244</v>
      </c>
      <c r="AO644">
        <v>140</v>
      </c>
      <c r="AP644" s="303">
        <v>42170</v>
      </c>
      <c r="AQ644" s="302"/>
      <c r="AR644" s="303"/>
      <c r="AS644" s="302"/>
      <c r="AT644" s="303"/>
      <c r="AU644">
        <v>110</v>
      </c>
      <c r="AV644" s="303"/>
      <c r="AW644" s="302"/>
      <c r="AX644" s="302"/>
      <c r="AY644" s="302"/>
      <c r="AZ644" s="303"/>
      <c r="BA644" s="302"/>
      <c r="BB644" s="302"/>
      <c r="BC644" s="302"/>
      <c r="BD644" s="302"/>
      <c r="BE644" s="302"/>
      <c r="BF644" s="302"/>
      <c r="BG644" s="302"/>
      <c r="BH644" s="302"/>
      <c r="BI644" s="302"/>
      <c r="BJ644" s="302"/>
      <c r="BM644">
        <v>-5.2</v>
      </c>
      <c r="BS644">
        <v>65.3</v>
      </c>
      <c r="BY644">
        <v>53.5</v>
      </c>
      <c r="CA644">
        <v>15.8</v>
      </c>
      <c r="CC644">
        <v>16.899999999999999</v>
      </c>
      <c r="CI644">
        <v>5</v>
      </c>
      <c r="CO644" t="s">
        <v>8698</v>
      </c>
      <c r="CR644">
        <v>1</v>
      </c>
      <c r="CT644" s="304" t="s">
        <v>11678</v>
      </c>
    </row>
    <row r="645" spans="1:98" s="304" customFormat="1">
      <c r="A645" s="304" t="s">
        <v>8506</v>
      </c>
      <c r="B645" s="523">
        <v>359</v>
      </c>
      <c r="C645" s="296" t="s">
        <v>8509</v>
      </c>
      <c r="D645" s="296" t="s">
        <v>8299</v>
      </c>
      <c r="E645" s="296" t="s">
        <v>8299</v>
      </c>
      <c r="F645" s="296"/>
      <c r="G645" s="296" t="s">
        <v>8506</v>
      </c>
      <c r="H645" s="297" t="s">
        <v>8697</v>
      </c>
      <c r="I645" s="297">
        <v>4</v>
      </c>
      <c r="J645" s="297">
        <v>4275</v>
      </c>
      <c r="K645" s="299"/>
      <c r="L645" s="299"/>
      <c r="M645" s="299">
        <v>106</v>
      </c>
      <c r="N645" s="299">
        <v>11</v>
      </c>
      <c r="O645" s="300">
        <v>30</v>
      </c>
      <c r="P645" s="301">
        <v>42090</v>
      </c>
      <c r="Q645" s="302"/>
      <c r="R645" s="303"/>
      <c r="S645" s="289">
        <v>4.25</v>
      </c>
      <c r="T645" s="303">
        <v>42208</v>
      </c>
      <c r="U645" s="302"/>
      <c r="V645" s="303"/>
      <c r="W645" s="302"/>
      <c r="X645" s="303"/>
      <c r="Y645" s="302">
        <v>16.27</v>
      </c>
      <c r="Z645" s="303">
        <v>42208</v>
      </c>
      <c r="AA645">
        <v>14.4</v>
      </c>
      <c r="AB645" s="303"/>
      <c r="AC645" s="302"/>
      <c r="AD645" s="303"/>
      <c r="AE645" s="302"/>
      <c r="AF645" s="303"/>
      <c r="AG645">
        <v>51735.062893081762</v>
      </c>
      <c r="AH645" s="521">
        <f>(AK645*10000)/AM645</f>
        <v>51735.062893081762</v>
      </c>
      <c r="AI645" s="302"/>
      <c r="AJ645" s="303"/>
      <c r="AK645">
        <v>27.419583333333332</v>
      </c>
      <c r="AL645" s="521"/>
      <c r="AM645">
        <v>5.3</v>
      </c>
      <c r="AN645" s="303">
        <v>42244</v>
      </c>
      <c r="AO645">
        <v>120</v>
      </c>
      <c r="AP645" s="303">
        <v>42170</v>
      </c>
      <c r="AQ645" s="302"/>
      <c r="AR645" s="303"/>
      <c r="AS645" s="302"/>
      <c r="AT645" s="303"/>
      <c r="AU645">
        <v>109</v>
      </c>
      <c r="AV645" s="302"/>
      <c r="AW645" s="302"/>
      <c r="AX645" s="302"/>
      <c r="AY645" s="302"/>
      <c r="AZ645" s="302"/>
      <c r="BA645" s="302"/>
      <c r="BB645" s="302"/>
      <c r="BC645" s="302"/>
      <c r="BD645" s="302"/>
      <c r="BE645" s="302"/>
      <c r="BF645" s="302"/>
      <c r="BG645" s="302"/>
      <c r="BH645" s="302"/>
      <c r="BI645" s="302"/>
      <c r="BJ645" s="302"/>
      <c r="BM645">
        <v>-4.5</v>
      </c>
      <c r="BS645">
        <v>64.2</v>
      </c>
      <c r="BY645">
        <v>52.9</v>
      </c>
      <c r="CA645">
        <v>16.7</v>
      </c>
      <c r="CC645">
        <v>12.9</v>
      </c>
      <c r="CI645">
        <v>5.2</v>
      </c>
      <c r="CO645" t="s">
        <v>8698</v>
      </c>
      <c r="CR645">
        <v>1</v>
      </c>
      <c r="CT645" s="304" t="s">
        <v>11678</v>
      </c>
    </row>
    <row r="646" spans="1:98" s="304" customFormat="1">
      <c r="A646" s="304" t="s">
        <v>8506</v>
      </c>
      <c r="B646" s="463">
        <v>3</v>
      </c>
      <c r="C646" s="296" t="s">
        <v>7610</v>
      </c>
      <c r="D646" s="296" t="s">
        <v>7452</v>
      </c>
      <c r="E646" s="296" t="s">
        <v>7610</v>
      </c>
      <c r="F646" s="296"/>
      <c r="G646" s="296" t="s">
        <v>8506</v>
      </c>
      <c r="H646" s="297" t="s">
        <v>8696</v>
      </c>
      <c r="I646" s="297">
        <v>3</v>
      </c>
      <c r="J646" s="297">
        <v>336</v>
      </c>
      <c r="K646" s="299"/>
      <c r="L646" s="299"/>
      <c r="M646" s="299">
        <v>107</v>
      </c>
      <c r="N646" s="299">
        <v>1</v>
      </c>
      <c r="O646" s="300">
        <v>30</v>
      </c>
      <c r="P646" s="301">
        <v>42090</v>
      </c>
      <c r="Q646" s="302"/>
      <c r="R646" s="303"/>
      <c r="S646" s="289">
        <v>4.95</v>
      </c>
      <c r="T646" s="303">
        <v>42208</v>
      </c>
      <c r="U646" s="302"/>
      <c r="V646" s="303"/>
      <c r="W646" s="302"/>
      <c r="X646" s="303"/>
      <c r="Y646" s="302">
        <v>17.57</v>
      </c>
      <c r="Z646" s="303">
        <v>42208</v>
      </c>
      <c r="AA646">
        <v>14.4</v>
      </c>
      <c r="AB646" s="303"/>
      <c r="AC646" s="302"/>
      <c r="AD646" s="303"/>
      <c r="AE646" s="302"/>
      <c r="AF646" s="303"/>
      <c r="AG646">
        <v>57088.28125</v>
      </c>
      <c r="AH646" s="521">
        <f>(AK646*10000)/AM646</f>
        <v>57088.28125</v>
      </c>
      <c r="AI646" s="302"/>
      <c r="AJ646" s="303"/>
      <c r="AK646">
        <v>31.969437500000002</v>
      </c>
      <c r="AL646" s="521"/>
      <c r="AM646">
        <v>5.6</v>
      </c>
      <c r="AN646" s="303">
        <v>42244</v>
      </c>
      <c r="AO646">
        <v>115</v>
      </c>
      <c r="AP646" s="303">
        <v>42170</v>
      </c>
      <c r="AQ646" s="302"/>
      <c r="AR646" s="303"/>
      <c r="AS646" s="302"/>
      <c r="AT646" s="303"/>
      <c r="AU646">
        <v>112</v>
      </c>
      <c r="AV646" s="303"/>
      <c r="AW646" s="302"/>
      <c r="AX646" s="302"/>
      <c r="AY646" s="302"/>
      <c r="AZ646" s="303"/>
      <c r="BA646" s="302"/>
      <c r="BB646" s="302"/>
      <c r="BC646" s="302"/>
      <c r="BD646" s="302"/>
      <c r="BE646" s="302"/>
      <c r="BF646" s="302"/>
      <c r="BG646" s="302"/>
      <c r="BH646" s="302"/>
      <c r="BI646" s="302"/>
      <c r="BJ646" s="302"/>
      <c r="BM646">
        <v>45.5</v>
      </c>
      <c r="BS646">
        <v>9.1</v>
      </c>
      <c r="BY646">
        <v>49</v>
      </c>
      <c r="CA646">
        <v>20</v>
      </c>
      <c r="CC646">
        <v>76.8</v>
      </c>
      <c r="CI646">
        <v>5.0999999999999996</v>
      </c>
      <c r="CO646" t="s">
        <v>8699</v>
      </c>
      <c r="CR646">
        <v>4</v>
      </c>
      <c r="CT646" s="304" t="s">
        <v>11678</v>
      </c>
    </row>
    <row r="647" spans="1:98" s="304" customFormat="1">
      <c r="A647" s="304" t="s">
        <v>8506</v>
      </c>
      <c r="B647" s="463">
        <v>16</v>
      </c>
      <c r="C647" s="296" t="s">
        <v>7625</v>
      </c>
      <c r="D647" s="296" t="s">
        <v>7463</v>
      </c>
      <c r="E647" s="296" t="s">
        <v>7625</v>
      </c>
      <c r="F647" s="296"/>
      <c r="G647" s="296" t="s">
        <v>8506</v>
      </c>
      <c r="H647" s="297" t="s">
        <v>8696</v>
      </c>
      <c r="I647" s="297">
        <v>3</v>
      </c>
      <c r="J647" s="297">
        <v>3276</v>
      </c>
      <c r="K647" s="299"/>
      <c r="L647" s="299"/>
      <c r="M647" s="299">
        <v>107</v>
      </c>
      <c r="N647" s="299">
        <v>5</v>
      </c>
      <c r="O647" s="300">
        <v>58</v>
      </c>
      <c r="P647" s="301">
        <v>42090</v>
      </c>
      <c r="Q647" s="302"/>
      <c r="R647" s="303"/>
      <c r="S647" s="289">
        <v>4.8499999999999996</v>
      </c>
      <c r="T647" s="303">
        <v>42208</v>
      </c>
      <c r="U647" s="302"/>
      <c r="V647" s="303"/>
      <c r="W647" s="302"/>
      <c r="X647" s="303"/>
      <c r="Y647" s="302">
        <v>16.260000000000002</v>
      </c>
      <c r="Z647" s="303">
        <v>42208</v>
      </c>
      <c r="AA647">
        <v>14.4</v>
      </c>
      <c r="AB647" s="303"/>
      <c r="AC647" s="302"/>
      <c r="AD647" s="303"/>
      <c r="AE647" s="302"/>
      <c r="AF647" s="303"/>
      <c r="AG647">
        <v>54953.667153996103</v>
      </c>
      <c r="AH647" s="521">
        <f>(AK647*10000)/AM647</f>
        <v>54953.667153996103</v>
      </c>
      <c r="AI647" s="302"/>
      <c r="AJ647" s="303"/>
      <c r="AK647">
        <v>31.323590277777779</v>
      </c>
      <c r="AL647" s="521"/>
      <c r="AM647">
        <v>5.7</v>
      </c>
      <c r="AN647" s="303">
        <v>42244</v>
      </c>
      <c r="AO647">
        <v>115</v>
      </c>
      <c r="AP647" s="303">
        <v>42170</v>
      </c>
      <c r="AQ647" s="302"/>
      <c r="AR647" s="303"/>
      <c r="AS647" s="302"/>
      <c r="AT647" s="303"/>
      <c r="AU647">
        <v>106</v>
      </c>
      <c r="AV647" s="303"/>
      <c r="AW647" s="302"/>
      <c r="AX647" s="302"/>
      <c r="AY647" s="302"/>
      <c r="AZ647" s="303"/>
      <c r="BA647" s="302"/>
      <c r="BB647" s="302"/>
      <c r="BC647" s="302"/>
      <c r="BD647" s="302"/>
      <c r="BE647" s="302"/>
      <c r="BF647" s="302"/>
      <c r="BG647" s="302"/>
      <c r="BH647" s="302"/>
      <c r="BI647" s="302"/>
      <c r="BJ647" s="302"/>
      <c r="BM647">
        <v>35.700000000000003</v>
      </c>
      <c r="BS647">
        <v>20.100000000000001</v>
      </c>
      <c r="BY647">
        <v>46.3</v>
      </c>
      <c r="CA647">
        <v>21.5</v>
      </c>
      <c r="CC647">
        <v>75.3</v>
      </c>
      <c r="CI647">
        <v>5.0999999999999996</v>
      </c>
      <c r="CO647" t="s">
        <v>8698</v>
      </c>
      <c r="CR647">
        <v>5</v>
      </c>
      <c r="CT647" s="304" t="s">
        <v>11678</v>
      </c>
    </row>
    <row r="648" spans="1:98" s="304" customFormat="1">
      <c r="A648" s="304" t="s">
        <v>8506</v>
      </c>
      <c r="B648" s="463">
        <v>21</v>
      </c>
      <c r="C648" s="296" t="s">
        <v>7631</v>
      </c>
      <c r="D648" s="296" t="s">
        <v>7468</v>
      </c>
      <c r="E648" s="296" t="s">
        <v>7631</v>
      </c>
      <c r="F648" s="296"/>
      <c r="G648" s="296" t="s">
        <v>8506</v>
      </c>
      <c r="H648" s="297" t="s">
        <v>8696</v>
      </c>
      <c r="I648" s="297">
        <v>3</v>
      </c>
      <c r="J648" s="297">
        <v>3336</v>
      </c>
      <c r="K648" s="299"/>
      <c r="L648" s="299"/>
      <c r="M648" s="299">
        <v>107</v>
      </c>
      <c r="N648" s="299">
        <v>6</v>
      </c>
      <c r="O648" s="300">
        <v>42</v>
      </c>
      <c r="P648" s="301">
        <v>42090</v>
      </c>
      <c r="Q648" s="302"/>
      <c r="R648" s="303"/>
      <c r="S648" s="289">
        <v>5.3</v>
      </c>
      <c r="T648" s="303">
        <v>42208</v>
      </c>
      <c r="U648" s="302"/>
      <c r="V648" s="303"/>
      <c r="W648" s="302"/>
      <c r="X648" s="303"/>
      <c r="Y648" s="302">
        <v>18.329999999999998</v>
      </c>
      <c r="Z648" s="303">
        <v>42208</v>
      </c>
      <c r="AA648">
        <v>14.4</v>
      </c>
      <c r="AB648" s="303"/>
      <c r="AC648" s="302"/>
      <c r="AD648" s="303"/>
      <c r="AE648" s="302"/>
      <c r="AF648" s="303"/>
      <c r="AG648">
        <v>58954.885057471263</v>
      </c>
      <c r="AH648" s="521">
        <f>(AK648*10000)/AM648</f>
        <v>58954.885057471263</v>
      </c>
      <c r="AI648" s="302"/>
      <c r="AJ648" s="303"/>
      <c r="AK648">
        <v>34.19383333333333</v>
      </c>
      <c r="AL648" s="521"/>
      <c r="AM648">
        <v>5.8</v>
      </c>
      <c r="AN648" s="303">
        <v>42244</v>
      </c>
      <c r="AO648">
        <v>140</v>
      </c>
      <c r="AP648" s="303">
        <v>42170</v>
      </c>
      <c r="AQ648" s="302"/>
      <c r="AR648" s="303"/>
      <c r="AS648" s="302"/>
      <c r="AT648" s="303"/>
      <c r="AU648">
        <v>111</v>
      </c>
      <c r="AV648" s="303"/>
      <c r="AW648" s="302"/>
      <c r="AX648" s="302"/>
      <c r="AY648" s="302"/>
      <c r="AZ648" s="303"/>
      <c r="BA648" s="302"/>
      <c r="BB648" s="302"/>
      <c r="BC648" s="302"/>
      <c r="BD648" s="302"/>
      <c r="BE648" s="302"/>
      <c r="BF648" s="302"/>
      <c r="BG648" s="302"/>
      <c r="BH648" s="302"/>
      <c r="BI648" s="302"/>
      <c r="BJ648" s="302"/>
      <c r="BM648">
        <v>39.799999999999997</v>
      </c>
      <c r="BS648">
        <v>16.3</v>
      </c>
      <c r="BY648">
        <v>47.8</v>
      </c>
      <c r="CA648">
        <v>21.5</v>
      </c>
      <c r="CC648">
        <v>70.2</v>
      </c>
      <c r="CI648">
        <v>5.2</v>
      </c>
      <c r="CO648" t="s">
        <v>8698</v>
      </c>
      <c r="CR648">
        <v>5</v>
      </c>
      <c r="CT648" s="304" t="s">
        <v>11678</v>
      </c>
    </row>
    <row r="649" spans="1:98" s="304" customFormat="1">
      <c r="A649" s="304" t="s">
        <v>8506</v>
      </c>
      <c r="B649" s="463">
        <v>29</v>
      </c>
      <c r="C649" s="296" t="s">
        <v>7641</v>
      </c>
      <c r="D649" s="296" t="s">
        <v>7476</v>
      </c>
      <c r="E649" s="296" t="s">
        <v>7641</v>
      </c>
      <c r="F649" s="296"/>
      <c r="G649" s="296" t="s">
        <v>8506</v>
      </c>
      <c r="H649" s="297" t="s">
        <v>8696</v>
      </c>
      <c r="I649" s="297">
        <v>3</v>
      </c>
      <c r="J649" s="297">
        <v>3216</v>
      </c>
      <c r="K649" s="299"/>
      <c r="L649" s="299"/>
      <c r="M649" s="299">
        <v>107</v>
      </c>
      <c r="N649" s="299">
        <v>4</v>
      </c>
      <c r="O649" s="300">
        <v>33</v>
      </c>
      <c r="P649" s="301">
        <v>42090</v>
      </c>
      <c r="Q649" s="302"/>
      <c r="R649" s="303"/>
      <c r="S649" s="289">
        <v>4.6500000000000004</v>
      </c>
      <c r="T649" s="303">
        <v>42208</v>
      </c>
      <c r="U649" s="302"/>
      <c r="V649" s="303"/>
      <c r="W649" s="302"/>
      <c r="X649" s="303"/>
      <c r="Y649" s="302">
        <v>15.71</v>
      </c>
      <c r="Z649" s="303">
        <v>42208</v>
      </c>
      <c r="AA649">
        <v>14.4</v>
      </c>
      <c r="AB649" s="303"/>
      <c r="AC649" s="302"/>
      <c r="AD649" s="303"/>
      <c r="AE649" s="302"/>
      <c r="AF649" s="303"/>
      <c r="AG649">
        <v>47820.37037037038</v>
      </c>
      <c r="AH649" s="521">
        <f>(AK649*10000)/AM649</f>
        <v>47820.37037037038</v>
      </c>
      <c r="AI649" s="302"/>
      <c r="AJ649" s="303"/>
      <c r="AK649">
        <v>30.126833333333337</v>
      </c>
      <c r="AL649" s="521"/>
      <c r="AM649">
        <v>6.3</v>
      </c>
      <c r="AN649" s="303">
        <v>42244</v>
      </c>
      <c r="AO649">
        <v>135</v>
      </c>
      <c r="AP649" s="303">
        <v>42170</v>
      </c>
      <c r="AQ649" s="302"/>
      <c r="AR649" s="303"/>
      <c r="AS649" s="302"/>
      <c r="AT649" s="303"/>
      <c r="AU649">
        <v>107</v>
      </c>
      <c r="AV649" s="303"/>
      <c r="AW649" s="302"/>
      <c r="AX649" s="302"/>
      <c r="AY649" s="302"/>
      <c r="AZ649" s="303"/>
      <c r="BA649" s="302"/>
      <c r="BB649" s="302"/>
      <c r="BC649" s="302"/>
      <c r="BD649" s="302"/>
      <c r="BE649" s="302"/>
      <c r="BF649" s="302"/>
      <c r="BG649" s="302"/>
      <c r="BH649" s="302"/>
      <c r="BI649" s="302"/>
      <c r="BJ649" s="302"/>
      <c r="BM649">
        <v>5.7</v>
      </c>
      <c r="BS649">
        <v>48.7</v>
      </c>
      <c r="BY649">
        <v>46.5</v>
      </c>
      <c r="CA649">
        <v>22.6</v>
      </c>
      <c r="CC649">
        <v>79.599999999999994</v>
      </c>
      <c r="CI649">
        <v>4.8</v>
      </c>
      <c r="CO649" t="s">
        <v>8698</v>
      </c>
      <c r="CR649">
        <v>2</v>
      </c>
      <c r="CT649" s="304" t="s">
        <v>11678</v>
      </c>
    </row>
    <row r="650" spans="1:98" s="304" customFormat="1">
      <c r="A650" s="304" t="s">
        <v>8506</v>
      </c>
      <c r="B650" s="463">
        <v>46</v>
      </c>
      <c r="C650" s="296" t="s">
        <v>7663</v>
      </c>
      <c r="D650" s="296" t="s">
        <v>7496</v>
      </c>
      <c r="E650" s="296" t="s">
        <v>7663</v>
      </c>
      <c r="F650" s="296"/>
      <c r="G650" s="296" t="s">
        <v>8506</v>
      </c>
      <c r="H650" s="297" t="s">
        <v>8697</v>
      </c>
      <c r="I650" s="297">
        <v>4</v>
      </c>
      <c r="J650" s="297">
        <v>4216</v>
      </c>
      <c r="K650" s="299"/>
      <c r="L650" s="299"/>
      <c r="M650" s="299">
        <v>107</v>
      </c>
      <c r="N650" s="299">
        <v>10</v>
      </c>
      <c r="O650" s="300">
        <v>41</v>
      </c>
      <c r="P650" s="301">
        <v>42090</v>
      </c>
      <c r="Q650" s="302"/>
      <c r="R650" s="303"/>
      <c r="S650" s="289">
        <v>4.55</v>
      </c>
      <c r="T650" s="303">
        <v>42208</v>
      </c>
      <c r="U650" s="302"/>
      <c r="V650" s="303"/>
      <c r="W650" s="302"/>
      <c r="X650" s="303"/>
      <c r="Y650" s="302">
        <v>17.84</v>
      </c>
      <c r="Z650" s="303">
        <v>42208</v>
      </c>
      <c r="AA650">
        <v>14.4</v>
      </c>
      <c r="AB650" s="303"/>
      <c r="AC650" s="302"/>
      <c r="AD650" s="303"/>
      <c r="AE650" s="302"/>
      <c r="AF650" s="303"/>
      <c r="AG650">
        <v>65233.518518518511</v>
      </c>
      <c r="AH650" s="521">
        <f>(AK650*10000)/AM650</f>
        <v>65233.518518518511</v>
      </c>
      <c r="AI650" s="302"/>
      <c r="AJ650" s="303"/>
      <c r="AK650">
        <v>29.355083333333333</v>
      </c>
      <c r="AL650" s="521"/>
      <c r="AM650">
        <v>4.5</v>
      </c>
      <c r="AN650" s="303">
        <v>42244</v>
      </c>
      <c r="AO650">
        <v>125</v>
      </c>
      <c r="AP650" s="303">
        <v>42170</v>
      </c>
      <c r="AQ650" s="302"/>
      <c r="AR650" s="303"/>
      <c r="AS650" s="302"/>
      <c r="AT650" s="303"/>
      <c r="AU650">
        <v>109</v>
      </c>
      <c r="AV650" s="303"/>
      <c r="AW650" s="302"/>
      <c r="AX650" s="302"/>
      <c r="AY650" s="302"/>
      <c r="AZ650" s="303"/>
      <c r="BA650" s="302"/>
      <c r="BB650" s="302"/>
      <c r="BC650" s="302"/>
      <c r="BD650" s="302"/>
      <c r="BE650" s="302"/>
      <c r="BF650" s="302"/>
      <c r="BG650" s="302"/>
      <c r="BH650" s="302"/>
      <c r="BI650" s="302"/>
      <c r="BJ650" s="302"/>
      <c r="BM650">
        <v>-1.5</v>
      </c>
      <c r="BS650">
        <v>64.099999999999994</v>
      </c>
      <c r="BY650">
        <v>54.2</v>
      </c>
      <c r="CA650">
        <v>14.8</v>
      </c>
      <c r="CC650">
        <v>16.3</v>
      </c>
      <c r="CI650">
        <v>5.2</v>
      </c>
      <c r="CO650" t="s">
        <v>8698</v>
      </c>
      <c r="CR650">
        <v>1</v>
      </c>
      <c r="CT650" s="304" t="s">
        <v>11678</v>
      </c>
    </row>
    <row r="651" spans="1:98" s="304" customFormat="1">
      <c r="A651" s="304" t="s">
        <v>8506</v>
      </c>
      <c r="B651" s="463">
        <v>118</v>
      </c>
      <c r="C651" s="296" t="s">
        <v>7737</v>
      </c>
      <c r="D651" s="296" t="s">
        <v>7821</v>
      </c>
      <c r="E651" s="296" t="s">
        <v>7737</v>
      </c>
      <c r="F651" s="296"/>
      <c r="G651" s="296" t="s">
        <v>8506</v>
      </c>
      <c r="H651" s="297" t="s">
        <v>8697</v>
      </c>
      <c r="I651" s="297">
        <v>4</v>
      </c>
      <c r="J651" s="297">
        <v>4156</v>
      </c>
      <c r="K651" s="299"/>
      <c r="L651" s="299"/>
      <c r="M651" s="299">
        <v>107</v>
      </c>
      <c r="N651" s="299">
        <v>9</v>
      </c>
      <c r="O651" s="300">
        <v>40</v>
      </c>
      <c r="P651" s="301">
        <v>42090</v>
      </c>
      <c r="Q651" s="302"/>
      <c r="R651" s="303"/>
      <c r="S651" s="289">
        <v>3.85</v>
      </c>
      <c r="T651" s="303">
        <v>42208</v>
      </c>
      <c r="U651" s="302"/>
      <c r="V651" s="303"/>
      <c r="W651" s="302"/>
      <c r="X651" s="303"/>
      <c r="Y651" s="302">
        <v>14.01</v>
      </c>
      <c r="Z651" s="303">
        <v>42208</v>
      </c>
      <c r="AA651">
        <v>14.4</v>
      </c>
      <c r="AB651" s="303"/>
      <c r="AC651" s="302"/>
      <c r="AD651" s="303"/>
      <c r="AE651" s="302"/>
      <c r="AF651" s="303"/>
      <c r="AG651">
        <v>52960.25413711583</v>
      </c>
      <c r="AH651" s="521">
        <f>(AK651*10000)/AM651</f>
        <v>52960.25413711583</v>
      </c>
      <c r="AI651" s="302"/>
      <c r="AJ651" s="303"/>
      <c r="AK651">
        <v>24.891319444444441</v>
      </c>
      <c r="AL651" s="521"/>
      <c r="AM651">
        <v>4.7</v>
      </c>
      <c r="AN651" s="303">
        <v>42244</v>
      </c>
      <c r="AO651">
        <v>135</v>
      </c>
      <c r="AP651" s="303">
        <v>42170</v>
      </c>
      <c r="AQ651" s="302"/>
      <c r="AR651" s="303"/>
      <c r="AS651" s="302"/>
      <c r="AT651" s="303"/>
      <c r="AU651">
        <v>108</v>
      </c>
      <c r="AV651" s="303"/>
      <c r="AW651" s="302"/>
      <c r="AX651" s="302"/>
      <c r="AY651" s="302"/>
      <c r="AZ651" s="303"/>
      <c r="BA651" s="302"/>
      <c r="BB651" s="302"/>
      <c r="BC651" s="302"/>
      <c r="BD651" s="302"/>
      <c r="BE651" s="302"/>
      <c r="BF651" s="302"/>
      <c r="BG651" s="302"/>
      <c r="BH651" s="302"/>
      <c r="BI651" s="302"/>
      <c r="BJ651" s="302"/>
      <c r="BM651">
        <v>33.799999999999997</v>
      </c>
      <c r="BS651">
        <v>28.1</v>
      </c>
      <c r="BY651">
        <v>50.2</v>
      </c>
      <c r="CA651">
        <v>19</v>
      </c>
      <c r="CC651">
        <v>62</v>
      </c>
      <c r="CI651">
        <v>5</v>
      </c>
      <c r="CO651" t="s">
        <v>8698</v>
      </c>
      <c r="CR651">
        <v>3</v>
      </c>
      <c r="CT651" s="304" t="s">
        <v>11678</v>
      </c>
    </row>
    <row r="652" spans="1:98" s="304" customFormat="1">
      <c r="A652" s="304" t="s">
        <v>8506</v>
      </c>
      <c r="B652" s="463">
        <v>131</v>
      </c>
      <c r="C652" s="296" t="s">
        <v>7759</v>
      </c>
      <c r="D652" s="296" t="s">
        <v>7834</v>
      </c>
      <c r="E652" s="296" t="s">
        <v>7759</v>
      </c>
      <c r="F652" s="296"/>
      <c r="G652" s="296" t="s">
        <v>8506</v>
      </c>
      <c r="H652" s="297" t="s">
        <v>8697</v>
      </c>
      <c r="I652" s="297">
        <v>4</v>
      </c>
      <c r="J652" s="297">
        <v>4276</v>
      </c>
      <c r="K652" s="299"/>
      <c r="L652" s="299"/>
      <c r="M652" s="299">
        <v>107</v>
      </c>
      <c r="N652" s="299">
        <v>11</v>
      </c>
      <c r="O652" s="300">
        <v>42</v>
      </c>
      <c r="P652" s="301">
        <v>42090</v>
      </c>
      <c r="Q652" s="302"/>
      <c r="R652" s="303"/>
      <c r="S652" s="289">
        <v>5.05</v>
      </c>
      <c r="T652" s="303">
        <v>42208</v>
      </c>
      <c r="U652" s="302"/>
      <c r="V652" s="303"/>
      <c r="W652" s="302"/>
      <c r="X652" s="303"/>
      <c r="Y652" s="302">
        <v>18.850000000000001</v>
      </c>
      <c r="Z652" s="303">
        <v>42208</v>
      </c>
      <c r="AA652">
        <v>14.4</v>
      </c>
      <c r="AB652" s="303"/>
      <c r="AC652" s="302"/>
      <c r="AD652" s="303"/>
      <c r="AE652" s="302"/>
      <c r="AF652" s="303"/>
      <c r="AG652">
        <v>69467.346335697395</v>
      </c>
      <c r="AH652" s="521">
        <f>(AK652*10000)/AM652</f>
        <v>69467.346335697395</v>
      </c>
      <c r="AI652" s="302"/>
      <c r="AJ652" s="303"/>
      <c r="AK652">
        <v>32.649652777777774</v>
      </c>
      <c r="AL652" s="521"/>
      <c r="AM652">
        <v>4.7</v>
      </c>
      <c r="AN652" s="303">
        <v>42244</v>
      </c>
      <c r="AO652">
        <v>125</v>
      </c>
      <c r="AP652" s="303">
        <v>42170</v>
      </c>
      <c r="AQ652" s="302"/>
      <c r="AR652" s="303"/>
      <c r="AS652" s="302"/>
      <c r="AT652" s="303"/>
      <c r="AU652">
        <v>110</v>
      </c>
      <c r="AV652" s="303"/>
      <c r="AW652" s="302"/>
      <c r="AX652" s="302"/>
      <c r="AY652" s="302"/>
      <c r="AZ652" s="303"/>
      <c r="BA652" s="302"/>
      <c r="BB652" s="302"/>
      <c r="BC652" s="302"/>
      <c r="BD652" s="302"/>
      <c r="BE652" s="302"/>
      <c r="BF652" s="302"/>
      <c r="BG652" s="302"/>
      <c r="BH652" s="302"/>
      <c r="BI652" s="302"/>
      <c r="BJ652" s="302"/>
      <c r="BM652">
        <v>4.4000000000000004</v>
      </c>
      <c r="BS652">
        <v>62.5</v>
      </c>
      <c r="BY652">
        <v>51.5</v>
      </c>
      <c r="CA652">
        <v>16.399999999999999</v>
      </c>
      <c r="CC652">
        <v>15</v>
      </c>
      <c r="CI652">
        <v>5</v>
      </c>
      <c r="CO652" t="s">
        <v>8698</v>
      </c>
      <c r="CR652">
        <v>2</v>
      </c>
      <c r="CT652" s="304" t="s">
        <v>11678</v>
      </c>
    </row>
    <row r="653" spans="1:98" s="304" customFormat="1">
      <c r="A653" s="304" t="s">
        <v>8506</v>
      </c>
      <c r="B653" s="463">
        <v>179</v>
      </c>
      <c r="C653" s="296" t="s">
        <v>7807</v>
      </c>
      <c r="D653" s="296" t="s">
        <v>7604</v>
      </c>
      <c r="E653" s="296" t="s">
        <v>7807</v>
      </c>
      <c r="F653" s="296"/>
      <c r="G653" s="296" t="s">
        <v>8506</v>
      </c>
      <c r="H653" s="297" t="s">
        <v>8696</v>
      </c>
      <c r="I653" s="297">
        <v>3</v>
      </c>
      <c r="J653" s="297">
        <v>396</v>
      </c>
      <c r="K653" s="299"/>
      <c r="L653" s="299"/>
      <c r="M653" s="299">
        <v>107</v>
      </c>
      <c r="N653" s="299">
        <v>2</v>
      </c>
      <c r="O653" s="300">
        <v>21</v>
      </c>
      <c r="P653" s="301">
        <v>42090</v>
      </c>
      <c r="Q653" s="302"/>
      <c r="R653" s="303"/>
      <c r="S653" s="289">
        <v>6.1</v>
      </c>
      <c r="T653" s="303">
        <v>42208</v>
      </c>
      <c r="U653" s="302"/>
      <c r="V653" s="303"/>
      <c r="W653" s="302"/>
      <c r="X653" s="303"/>
      <c r="Y653" s="302">
        <v>23.01</v>
      </c>
      <c r="Z653" s="303">
        <v>42208</v>
      </c>
      <c r="AA653">
        <v>14.4</v>
      </c>
      <c r="AB653" s="303"/>
      <c r="AC653" s="302"/>
      <c r="AD653" s="303"/>
      <c r="AE653" s="302"/>
      <c r="AF653" s="303"/>
      <c r="AG653">
        <v>81730.468749999985</v>
      </c>
      <c r="AH653" s="521">
        <f>(AK653*10000)/AM653</f>
        <v>81730.468749999985</v>
      </c>
      <c r="AI653" s="302"/>
      <c r="AJ653" s="303"/>
      <c r="AK653">
        <v>39.230624999999989</v>
      </c>
      <c r="AL653" s="521"/>
      <c r="AM653">
        <v>4.8</v>
      </c>
      <c r="AN653" s="303">
        <v>42244</v>
      </c>
      <c r="AO653">
        <v>130</v>
      </c>
      <c r="AP653" s="303">
        <v>42170</v>
      </c>
      <c r="AQ653" s="302"/>
      <c r="AR653" s="303"/>
      <c r="AS653" s="302"/>
      <c r="AT653" s="303"/>
      <c r="AU653">
        <v>109</v>
      </c>
      <c r="AV653" s="303"/>
      <c r="AW653" s="302"/>
      <c r="AX653" s="302"/>
      <c r="AY653" s="302"/>
      <c r="AZ653" s="303"/>
      <c r="BA653" s="302"/>
      <c r="BB653" s="302"/>
      <c r="BC653" s="302"/>
      <c r="BD653" s="302"/>
      <c r="BE653" s="302"/>
      <c r="BF653" s="302"/>
      <c r="BG653" s="302"/>
      <c r="BH653" s="302"/>
      <c r="BI653" s="302"/>
      <c r="BJ653" s="302"/>
      <c r="BM653">
        <v>-1.3</v>
      </c>
      <c r="BS653">
        <v>63</v>
      </c>
      <c r="BY653">
        <v>52.3</v>
      </c>
      <c r="CA653">
        <v>16.8</v>
      </c>
      <c r="CC653">
        <v>23.4</v>
      </c>
      <c r="CI653">
        <v>5.5</v>
      </c>
      <c r="CO653" t="s">
        <v>8699</v>
      </c>
      <c r="CR653">
        <v>2</v>
      </c>
      <c r="CT653" s="304" t="s">
        <v>11678</v>
      </c>
    </row>
    <row r="654" spans="1:98" s="304" customFormat="1">
      <c r="A654" s="304" t="s">
        <v>8506</v>
      </c>
      <c r="B654" s="463">
        <v>4</v>
      </c>
      <c r="C654" s="296" t="s">
        <v>7611</v>
      </c>
      <c r="D654" s="296" t="s">
        <v>7453</v>
      </c>
      <c r="E654" s="296" t="s">
        <v>7611</v>
      </c>
      <c r="F654" s="296"/>
      <c r="G654" s="296" t="s">
        <v>8506</v>
      </c>
      <c r="H654" s="297" t="s">
        <v>8696</v>
      </c>
      <c r="I654" s="297">
        <v>3</v>
      </c>
      <c r="J654" s="297">
        <v>3157</v>
      </c>
      <c r="K654" s="299"/>
      <c r="L654" s="299"/>
      <c r="M654" s="299">
        <v>108</v>
      </c>
      <c r="N654" s="299">
        <v>3</v>
      </c>
      <c r="O654" s="300">
        <v>36</v>
      </c>
      <c r="P654" s="301">
        <v>42090</v>
      </c>
      <c r="Q654" s="302"/>
      <c r="R654" s="303"/>
      <c r="S654" s="289">
        <v>3.05</v>
      </c>
      <c r="T654" s="303">
        <v>42208</v>
      </c>
      <c r="U654" s="302"/>
      <c r="V654" s="303"/>
      <c r="W654" s="302"/>
      <c r="X654" s="303"/>
      <c r="Y654" s="302">
        <v>10.16</v>
      </c>
      <c r="Z654" s="303">
        <v>42208</v>
      </c>
      <c r="AA654">
        <v>14.4</v>
      </c>
      <c r="AB654" s="303"/>
      <c r="AC654" s="302"/>
      <c r="AD654" s="303"/>
      <c r="AE654" s="302"/>
      <c r="AF654" s="303"/>
      <c r="AG654">
        <v>35027.343749999993</v>
      </c>
      <c r="AH654" s="521">
        <f>(AK654*10000)/AM654</f>
        <v>35027.343749999993</v>
      </c>
      <c r="AI654" s="302"/>
      <c r="AJ654" s="303"/>
      <c r="AK654">
        <v>19.615312499999995</v>
      </c>
      <c r="AL654" s="521"/>
      <c r="AM654">
        <v>5.6</v>
      </c>
      <c r="AN654" s="303">
        <v>42244</v>
      </c>
      <c r="AO654">
        <v>145</v>
      </c>
      <c r="AP654" s="303">
        <v>42170</v>
      </c>
      <c r="AQ654" s="302"/>
      <c r="AR654" s="303"/>
      <c r="AS654" s="302"/>
      <c r="AT654" s="303"/>
      <c r="AU654">
        <v>112</v>
      </c>
      <c r="AV654" s="303"/>
      <c r="AW654" s="302"/>
      <c r="AX654" s="302"/>
      <c r="AY654" s="302"/>
      <c r="AZ654" s="303"/>
      <c r="BA654" s="302"/>
      <c r="BB654" s="302"/>
      <c r="BC654" s="302"/>
      <c r="BD654" s="302"/>
      <c r="BE654" s="302"/>
      <c r="BF654" s="302"/>
      <c r="BG654" s="302"/>
      <c r="BH654" s="302"/>
      <c r="BI654" s="302"/>
      <c r="BJ654" s="302"/>
      <c r="BM654">
        <v>45.9</v>
      </c>
      <c r="BS654">
        <v>8.5</v>
      </c>
      <c r="BY654">
        <v>46.2</v>
      </c>
      <c r="CA654">
        <v>23.6</v>
      </c>
      <c r="CC654">
        <v>86.8</v>
      </c>
      <c r="CI654">
        <v>5.5</v>
      </c>
      <c r="CO654" t="s">
        <v>8699</v>
      </c>
      <c r="CR654">
        <v>2</v>
      </c>
      <c r="CT654" s="304" t="s">
        <v>11678</v>
      </c>
    </row>
    <row r="655" spans="1:98" s="304" customFormat="1">
      <c r="A655" s="304" t="s">
        <v>8506</v>
      </c>
      <c r="B655" s="463">
        <v>43</v>
      </c>
      <c r="C655" s="296" t="s">
        <v>7660</v>
      </c>
      <c r="D655" s="296" t="s">
        <v>7493</v>
      </c>
      <c r="E655" s="296" t="s">
        <v>7660</v>
      </c>
      <c r="F655" s="296"/>
      <c r="G655" s="296" t="s">
        <v>8506</v>
      </c>
      <c r="H655" s="297" t="s">
        <v>8697</v>
      </c>
      <c r="I655" s="297">
        <v>4</v>
      </c>
      <c r="J655" s="297">
        <v>437</v>
      </c>
      <c r="K655" s="299"/>
      <c r="L655" s="299"/>
      <c r="M655" s="299">
        <v>108</v>
      </c>
      <c r="N655" s="299">
        <v>7</v>
      </c>
      <c r="O655" s="300">
        <v>49</v>
      </c>
      <c r="P655" s="301">
        <v>42090</v>
      </c>
      <c r="Q655" s="302"/>
      <c r="R655" s="303"/>
      <c r="S655" s="289">
        <v>4.25</v>
      </c>
      <c r="T655" s="303">
        <v>42208</v>
      </c>
      <c r="U655" s="302"/>
      <c r="V655" s="303"/>
      <c r="W655" s="302"/>
      <c r="X655" s="303"/>
      <c r="Y655" s="302">
        <v>15.84</v>
      </c>
      <c r="Z655" s="303">
        <v>42208</v>
      </c>
      <c r="AA655">
        <v>14.4</v>
      </c>
      <c r="AB655" s="303"/>
      <c r="AC655" s="302"/>
      <c r="AD655" s="303"/>
      <c r="AE655" s="302"/>
      <c r="AF655" s="303"/>
      <c r="AG655">
        <v>53763.888888888891</v>
      </c>
      <c r="AH655" s="521">
        <f>(AK655*10000)/AM655</f>
        <v>53763.888888888891</v>
      </c>
      <c r="AI655" s="302"/>
      <c r="AJ655" s="303"/>
      <c r="AK655">
        <v>27.419583333333332</v>
      </c>
      <c r="AL655" s="521"/>
      <c r="AM655">
        <v>5.0999999999999996</v>
      </c>
      <c r="AN655" s="303">
        <v>42244</v>
      </c>
      <c r="AO655">
        <v>140</v>
      </c>
      <c r="AP655" s="303">
        <v>42170</v>
      </c>
      <c r="AQ655" s="302"/>
      <c r="AR655" s="303"/>
      <c r="AS655" s="302"/>
      <c r="AT655" s="303"/>
      <c r="AU655">
        <v>111</v>
      </c>
      <c r="AV655" s="303"/>
      <c r="AW655" s="302"/>
      <c r="AX655" s="302"/>
      <c r="AY655" s="302"/>
      <c r="AZ655" s="303"/>
      <c r="BA655" s="302"/>
      <c r="BB655" s="302"/>
      <c r="BC655" s="302"/>
      <c r="BD655" s="302"/>
      <c r="BE655" s="302"/>
      <c r="BF655" s="302"/>
      <c r="BG655" s="302"/>
      <c r="BH655" s="302"/>
      <c r="BI655" s="302"/>
      <c r="BJ655" s="302"/>
      <c r="BM655">
        <v>0.4</v>
      </c>
      <c r="BS655">
        <v>61.4</v>
      </c>
      <c r="BY655">
        <v>51.5</v>
      </c>
      <c r="CA655">
        <v>16.899999999999999</v>
      </c>
      <c r="CC655">
        <v>15.5</v>
      </c>
      <c r="CI655">
        <v>5.2</v>
      </c>
      <c r="CO655" t="s">
        <v>8698</v>
      </c>
      <c r="CR655">
        <v>1</v>
      </c>
      <c r="CT655" s="304" t="s">
        <v>11678</v>
      </c>
    </row>
    <row r="656" spans="1:98" s="304" customFormat="1">
      <c r="A656" s="304" t="s">
        <v>8506</v>
      </c>
      <c r="B656" s="463">
        <v>97</v>
      </c>
      <c r="C656" s="296" t="s">
        <v>7715</v>
      </c>
      <c r="D656" s="296" t="s">
        <v>7542</v>
      </c>
      <c r="E656" s="296" t="s">
        <v>7715</v>
      </c>
      <c r="F656" s="296"/>
      <c r="G656" s="296" t="s">
        <v>8506</v>
      </c>
      <c r="H656" s="297" t="s">
        <v>8696</v>
      </c>
      <c r="I656" s="297">
        <v>3</v>
      </c>
      <c r="J656" s="297">
        <v>397</v>
      </c>
      <c r="K656" s="299"/>
      <c r="L656" s="299"/>
      <c r="M656" s="299">
        <v>108</v>
      </c>
      <c r="N656" s="299">
        <v>2</v>
      </c>
      <c r="O656" s="300">
        <v>20</v>
      </c>
      <c r="P656" s="301">
        <v>42090</v>
      </c>
      <c r="Q656" s="302"/>
      <c r="R656" s="303"/>
      <c r="S656" s="289">
        <v>5.7</v>
      </c>
      <c r="T656" s="303">
        <v>42208</v>
      </c>
      <c r="U656" s="302"/>
      <c r="V656" s="303"/>
      <c r="W656" s="302"/>
      <c r="X656" s="303"/>
      <c r="Y656" s="302">
        <v>20.39</v>
      </c>
      <c r="Z656" s="303">
        <v>42208</v>
      </c>
      <c r="AA656">
        <v>14.4</v>
      </c>
      <c r="AB656" s="303"/>
      <c r="AC656" s="302"/>
      <c r="AD656" s="303"/>
      <c r="AE656" s="302"/>
      <c r="AF656" s="303"/>
      <c r="AG656">
        <v>68029.089506172837</v>
      </c>
      <c r="AH656" s="521">
        <f>(AK656*10000)/AM656</f>
        <v>68029.089506172837</v>
      </c>
      <c r="AI656" s="302"/>
      <c r="AJ656" s="303"/>
      <c r="AK656">
        <v>36.735708333333335</v>
      </c>
      <c r="AL656" s="521"/>
      <c r="AM656">
        <v>5.4</v>
      </c>
      <c r="AN656" s="303">
        <v>42244</v>
      </c>
      <c r="AO656">
        <v>135</v>
      </c>
      <c r="AP656" s="303">
        <v>42170</v>
      </c>
      <c r="AQ656" s="302"/>
      <c r="AR656" s="303"/>
      <c r="AS656" s="302"/>
      <c r="AT656" s="303"/>
      <c r="AU656">
        <v>106</v>
      </c>
      <c r="AV656" s="303"/>
      <c r="AW656" s="302"/>
      <c r="AX656" s="302"/>
      <c r="AY656" s="302"/>
      <c r="AZ656" s="303"/>
      <c r="BA656" s="302"/>
      <c r="BB656" s="302"/>
      <c r="BC656" s="302"/>
      <c r="BD656" s="302"/>
      <c r="BE656" s="302"/>
      <c r="BF656" s="302"/>
      <c r="BG656" s="302"/>
      <c r="BH656" s="302"/>
      <c r="BI656" s="302"/>
      <c r="BJ656" s="302"/>
      <c r="BM656">
        <v>-1.5</v>
      </c>
      <c r="BS656">
        <v>58.6</v>
      </c>
      <c r="BY656">
        <v>49.5</v>
      </c>
      <c r="CA656">
        <v>18.100000000000001</v>
      </c>
      <c r="CC656">
        <v>15.5</v>
      </c>
      <c r="CI656">
        <v>5.3</v>
      </c>
      <c r="CO656" t="s">
        <v>8699</v>
      </c>
      <c r="CR656">
        <v>2</v>
      </c>
      <c r="CT656" s="304" t="s">
        <v>11678</v>
      </c>
    </row>
    <row r="657" spans="1:98" s="304" customFormat="1">
      <c r="A657" s="304" t="s">
        <v>8506</v>
      </c>
      <c r="B657" s="463">
        <v>101</v>
      </c>
      <c r="C657" s="296" t="s">
        <v>7719</v>
      </c>
      <c r="D657" s="296" t="s">
        <v>7546</v>
      </c>
      <c r="E657" s="296" t="s">
        <v>7719</v>
      </c>
      <c r="F657" s="296"/>
      <c r="G657" s="296" t="s">
        <v>8506</v>
      </c>
      <c r="H657" s="297" t="s">
        <v>8697</v>
      </c>
      <c r="I657" s="297">
        <v>4</v>
      </c>
      <c r="J657" s="297">
        <v>4277</v>
      </c>
      <c r="K657" s="299"/>
      <c r="L657" s="299"/>
      <c r="M657" s="299">
        <v>108</v>
      </c>
      <c r="N657" s="299">
        <v>11</v>
      </c>
      <c r="O657" s="300">
        <v>68</v>
      </c>
      <c r="P657" s="301">
        <v>42090</v>
      </c>
      <c r="Q657" s="302"/>
      <c r="R657" s="303"/>
      <c r="S657" s="289">
        <v>3.85</v>
      </c>
      <c r="T657" s="303">
        <v>42208</v>
      </c>
      <c r="U657" s="302"/>
      <c r="V657" s="303"/>
      <c r="W657" s="302"/>
      <c r="X657" s="303"/>
      <c r="Y657" s="302">
        <v>14.54</v>
      </c>
      <c r="Z657" s="303">
        <v>42208</v>
      </c>
      <c r="AA657">
        <v>14.4</v>
      </c>
      <c r="AB657" s="303"/>
      <c r="AC657" s="302"/>
      <c r="AD657" s="303"/>
      <c r="AE657" s="302"/>
      <c r="AF657" s="303"/>
      <c r="AG657">
        <v>48703.758169934641</v>
      </c>
      <c r="AH657" s="521">
        <f>(AK657*10000)/AM657</f>
        <v>48703.758169934641</v>
      </c>
      <c r="AI657" s="302"/>
      <c r="AJ657" s="303"/>
      <c r="AK657">
        <v>24.838916666666666</v>
      </c>
      <c r="AL657" s="521"/>
      <c r="AM657">
        <v>5.0999999999999996</v>
      </c>
      <c r="AN657" s="303">
        <v>42244</v>
      </c>
      <c r="AO657">
        <v>100</v>
      </c>
      <c r="AP657" s="303">
        <v>42170</v>
      </c>
      <c r="AQ657" s="302"/>
      <c r="AR657" s="303"/>
      <c r="AS657" s="302"/>
      <c r="AT657" s="303"/>
      <c r="AU657">
        <v>110</v>
      </c>
      <c r="AV657" s="303"/>
      <c r="AW657" s="302"/>
      <c r="AX657" s="302"/>
      <c r="AY657" s="302"/>
      <c r="AZ657" s="303"/>
      <c r="BA657" s="302"/>
      <c r="BB657" s="302"/>
      <c r="BC657" s="302"/>
      <c r="BD657" s="302"/>
      <c r="BE657" s="302"/>
      <c r="BF657" s="302"/>
      <c r="BG657" s="302"/>
      <c r="BH657" s="302"/>
      <c r="BI657" s="302"/>
      <c r="BJ657" s="302"/>
      <c r="BM657">
        <v>-1.2</v>
      </c>
      <c r="BS657">
        <v>61.8</v>
      </c>
      <c r="BY657">
        <v>52.2</v>
      </c>
      <c r="CA657">
        <v>16.399999999999999</v>
      </c>
      <c r="CC657">
        <v>16.399999999999999</v>
      </c>
      <c r="CI657">
        <v>5.2</v>
      </c>
      <c r="CO657" t="s">
        <v>8698</v>
      </c>
      <c r="CR657">
        <v>2</v>
      </c>
      <c r="CT657" s="304" t="s">
        <v>11678</v>
      </c>
    </row>
    <row r="658" spans="1:98" s="304" customFormat="1">
      <c r="A658" s="304" t="s">
        <v>8506</v>
      </c>
      <c r="B658" s="463">
        <v>107</v>
      </c>
      <c r="C658" s="296" t="s">
        <v>7725</v>
      </c>
      <c r="D658" s="296" t="s">
        <v>7551</v>
      </c>
      <c r="E658" s="296" t="s">
        <v>7725</v>
      </c>
      <c r="F658" s="296"/>
      <c r="G658" s="296" t="s">
        <v>8506</v>
      </c>
      <c r="H658" s="297" t="s">
        <v>8697</v>
      </c>
      <c r="I658" s="297">
        <v>4</v>
      </c>
      <c r="J658" s="297">
        <v>4337</v>
      </c>
      <c r="K658" s="299"/>
      <c r="L658" s="299"/>
      <c r="M658" s="299">
        <v>108</v>
      </c>
      <c r="N658" s="299">
        <v>12</v>
      </c>
      <c r="O658" s="300">
        <v>24</v>
      </c>
      <c r="P658" s="301">
        <v>42090</v>
      </c>
      <c r="Q658" s="302"/>
      <c r="R658" s="303"/>
      <c r="S658" s="289">
        <v>4.4000000000000004</v>
      </c>
      <c r="T658" s="303">
        <v>42208</v>
      </c>
      <c r="U658" s="302"/>
      <c r="V658" s="303"/>
      <c r="W658" s="302"/>
      <c r="X658" s="303"/>
      <c r="Y658" s="302">
        <v>16.21</v>
      </c>
      <c r="Z658" s="303">
        <v>42208</v>
      </c>
      <c r="AA658">
        <v>14.4</v>
      </c>
      <c r="AB658" s="303"/>
      <c r="AC658" s="302"/>
      <c r="AD658" s="303"/>
      <c r="AE658" s="302"/>
      <c r="AF658" s="303"/>
      <c r="AG658">
        <v>54706.196581196586</v>
      </c>
      <c r="AH658" s="521">
        <f>(AK658*10000)/AM658</f>
        <v>54706.196581196586</v>
      </c>
      <c r="AI658" s="302"/>
      <c r="AJ658" s="303"/>
      <c r="AK658">
        <v>28.447222222222223</v>
      </c>
      <c r="AL658" s="521"/>
      <c r="AM658">
        <v>5.2</v>
      </c>
      <c r="AN658" s="303">
        <v>42244</v>
      </c>
      <c r="AO658">
        <v>135</v>
      </c>
      <c r="AP658" s="303">
        <v>42170</v>
      </c>
      <c r="AQ658" s="302"/>
      <c r="AR658" s="303"/>
      <c r="AS658" s="302"/>
      <c r="AT658" s="303"/>
      <c r="AU658">
        <v>113</v>
      </c>
      <c r="AV658" s="303"/>
      <c r="AW658" s="302"/>
      <c r="AX658" s="302"/>
      <c r="AY658" s="302"/>
      <c r="AZ658" s="303"/>
      <c r="BA658" s="302"/>
      <c r="BB658" s="302"/>
      <c r="BC658" s="302"/>
      <c r="BD658" s="302"/>
      <c r="BE658" s="302"/>
      <c r="BF658" s="302"/>
      <c r="BG658" s="302"/>
      <c r="BH658" s="302"/>
      <c r="BI658" s="302"/>
      <c r="BJ658" s="302"/>
      <c r="BM658">
        <v>2.9</v>
      </c>
      <c r="BS658">
        <v>57.9</v>
      </c>
      <c r="BY658">
        <v>50.8</v>
      </c>
      <c r="CA658">
        <v>17.100000000000001</v>
      </c>
      <c r="CC658">
        <v>15.1</v>
      </c>
      <c r="CI658">
        <v>5</v>
      </c>
      <c r="CO658" t="s">
        <v>8698</v>
      </c>
      <c r="CR658">
        <v>2</v>
      </c>
      <c r="CT658" s="304" t="s">
        <v>11678</v>
      </c>
    </row>
    <row r="659" spans="1:98" s="304" customFormat="1">
      <c r="A659" s="304" t="s">
        <v>8506</v>
      </c>
      <c r="B659" s="463">
        <v>154</v>
      </c>
      <c r="C659" s="296" t="s">
        <v>7782</v>
      </c>
      <c r="D659" s="296" t="s">
        <v>7583</v>
      </c>
      <c r="E659" s="296" t="s">
        <v>7782</v>
      </c>
      <c r="F659" s="296"/>
      <c r="G659" s="296" t="s">
        <v>8506</v>
      </c>
      <c r="H659" s="297" t="s">
        <v>8696</v>
      </c>
      <c r="I659" s="297">
        <v>3</v>
      </c>
      <c r="J659" s="297">
        <v>3337</v>
      </c>
      <c r="K659" s="299"/>
      <c r="L659" s="299"/>
      <c r="M659" s="299">
        <v>108</v>
      </c>
      <c r="N659" s="299">
        <v>6</v>
      </c>
      <c r="O659" s="300">
        <v>47</v>
      </c>
      <c r="P659" s="301">
        <v>42090</v>
      </c>
      <c r="Q659" s="302"/>
      <c r="R659" s="303"/>
      <c r="S659" s="289">
        <v>5.05</v>
      </c>
      <c r="T659" s="303">
        <v>42208</v>
      </c>
      <c r="U659" s="302"/>
      <c r="V659" s="303"/>
      <c r="W659" s="302"/>
      <c r="X659" s="303"/>
      <c r="Y659" s="302">
        <v>18.41</v>
      </c>
      <c r="Z659" s="303">
        <v>42208</v>
      </c>
      <c r="AA659">
        <v>14.4</v>
      </c>
      <c r="AB659" s="303"/>
      <c r="AC659" s="302"/>
      <c r="AD659" s="303"/>
      <c r="AE659" s="302"/>
      <c r="AF659" s="303"/>
      <c r="AG659">
        <v>58180.208333333343</v>
      </c>
      <c r="AH659" s="521">
        <f>(AK659*10000)/AM659</f>
        <v>58180.208333333343</v>
      </c>
      <c r="AI659" s="302"/>
      <c r="AJ659" s="303"/>
      <c r="AK659">
        <v>32.580916666666667</v>
      </c>
      <c r="AL659" s="521"/>
      <c r="AM659">
        <v>5.6</v>
      </c>
      <c r="AN659" s="303">
        <v>42244</v>
      </c>
      <c r="AO659">
        <v>145</v>
      </c>
      <c r="AP659" s="303">
        <v>42170</v>
      </c>
      <c r="AQ659" s="302"/>
      <c r="AR659" s="303"/>
      <c r="AS659" s="302"/>
      <c r="AT659" s="303"/>
      <c r="AU659">
        <v>107</v>
      </c>
      <c r="AV659" s="303"/>
      <c r="AW659" s="302"/>
      <c r="AX659" s="302"/>
      <c r="AY659" s="302"/>
      <c r="AZ659" s="303"/>
      <c r="BA659" s="302"/>
      <c r="BB659" s="302"/>
      <c r="BC659" s="302"/>
      <c r="BD659" s="302"/>
      <c r="BE659" s="302"/>
      <c r="BF659" s="302"/>
      <c r="BG659" s="302"/>
      <c r="BH659" s="302"/>
      <c r="BI659" s="302"/>
      <c r="BJ659" s="302"/>
      <c r="BM659">
        <v>-1.1000000000000001</v>
      </c>
      <c r="BS659">
        <v>59.1</v>
      </c>
      <c r="BY659">
        <v>50.4</v>
      </c>
      <c r="CA659">
        <v>18.2</v>
      </c>
      <c r="CC659">
        <v>16.2</v>
      </c>
      <c r="CI659">
        <v>5.2</v>
      </c>
      <c r="CO659" t="s">
        <v>8698</v>
      </c>
      <c r="CR659">
        <v>2</v>
      </c>
      <c r="CT659" s="304" t="s">
        <v>11678</v>
      </c>
    </row>
    <row r="660" spans="1:98" s="304" customFormat="1">
      <c r="A660" s="304" t="s">
        <v>8506</v>
      </c>
      <c r="B660" s="463">
        <v>59</v>
      </c>
      <c r="C660" s="296" t="s">
        <v>7677</v>
      </c>
      <c r="D660" s="296" t="s">
        <v>258</v>
      </c>
      <c r="E660" s="296" t="s">
        <v>7677</v>
      </c>
      <c r="F660" s="296"/>
      <c r="G660" s="296" t="s">
        <v>8506</v>
      </c>
      <c r="H660" s="297" t="s">
        <v>8697</v>
      </c>
      <c r="I660" s="297">
        <v>4</v>
      </c>
      <c r="J660" s="297">
        <v>4338</v>
      </c>
      <c r="K660" s="299"/>
      <c r="L660" s="299"/>
      <c r="M660" s="299">
        <v>109</v>
      </c>
      <c r="N660" s="299">
        <v>12</v>
      </c>
      <c r="O660" s="300">
        <v>19</v>
      </c>
      <c r="P660" s="301">
        <v>42090</v>
      </c>
      <c r="Q660" s="302"/>
      <c r="R660" s="303"/>
      <c r="S660" s="289">
        <v>4.2</v>
      </c>
      <c r="T660" s="303">
        <v>42208</v>
      </c>
      <c r="U660" s="302"/>
      <c r="V660" s="303"/>
      <c r="W660" s="302"/>
      <c r="X660" s="303"/>
      <c r="Y660" s="302">
        <v>15.07</v>
      </c>
      <c r="Z660" s="303">
        <v>42208</v>
      </c>
      <c r="AA660">
        <v>14.4</v>
      </c>
      <c r="AB660" s="303"/>
      <c r="AC660" s="302"/>
      <c r="AD660" s="303"/>
      <c r="AE660" s="302"/>
      <c r="AF660" s="303"/>
      <c r="AG660">
        <v>51126.415094339623</v>
      </c>
      <c r="AH660" s="521">
        <f>(AK660*10000)/AM660</f>
        <v>51126.415094339623</v>
      </c>
      <c r="AI660" s="302"/>
      <c r="AJ660" s="303"/>
      <c r="AK660">
        <v>27.096999999999998</v>
      </c>
      <c r="AL660" s="521"/>
      <c r="AM660">
        <v>5.3</v>
      </c>
      <c r="AN660" s="303">
        <v>42244</v>
      </c>
      <c r="AO660">
        <v>125</v>
      </c>
      <c r="AP660" s="303">
        <v>42170</v>
      </c>
      <c r="AQ660" s="302"/>
      <c r="AR660" s="303"/>
      <c r="AS660" s="302"/>
      <c r="AT660" s="303"/>
      <c r="AU660">
        <v>107</v>
      </c>
      <c r="AV660" s="303"/>
      <c r="AW660" s="302"/>
      <c r="AX660" s="302"/>
      <c r="AY660" s="302"/>
      <c r="AZ660" s="303"/>
      <c r="BA660" s="302"/>
      <c r="BB660" s="302"/>
      <c r="BC660" s="302"/>
      <c r="BD660" s="302"/>
      <c r="BE660" s="302"/>
      <c r="BF660" s="302"/>
      <c r="BG660" s="302"/>
      <c r="BH660" s="302"/>
      <c r="BI660" s="302"/>
      <c r="BJ660" s="302"/>
      <c r="BM660">
        <v>-2.7</v>
      </c>
      <c r="BS660">
        <v>61.4</v>
      </c>
      <c r="BY660">
        <v>49.6</v>
      </c>
      <c r="CA660">
        <v>18.7</v>
      </c>
      <c r="CC660">
        <v>20.9</v>
      </c>
      <c r="CI660">
        <v>5.2</v>
      </c>
      <c r="CO660" t="s">
        <v>8698</v>
      </c>
      <c r="CR660">
        <v>2</v>
      </c>
      <c r="CT660" s="304" t="s">
        <v>11678</v>
      </c>
    </row>
    <row r="661" spans="1:98" s="304" customFormat="1">
      <c r="A661" s="304" t="s">
        <v>8506</v>
      </c>
      <c r="B661" s="463">
        <v>91</v>
      </c>
      <c r="C661" s="296" t="s">
        <v>7709</v>
      </c>
      <c r="D661" s="296" t="s">
        <v>7817</v>
      </c>
      <c r="E661" s="296" t="s">
        <v>7709</v>
      </c>
      <c r="F661" s="296"/>
      <c r="G661" s="296" t="s">
        <v>8506</v>
      </c>
      <c r="H661" s="297" t="s">
        <v>8697</v>
      </c>
      <c r="I661" s="297">
        <v>4</v>
      </c>
      <c r="J661" s="297">
        <v>438</v>
      </c>
      <c r="K661" s="299"/>
      <c r="L661" s="299"/>
      <c r="M661" s="299">
        <v>109</v>
      </c>
      <c r="N661" s="299">
        <v>7</v>
      </c>
      <c r="O661" s="300">
        <v>42</v>
      </c>
      <c r="P661" s="301">
        <v>42090</v>
      </c>
      <c r="Q661" s="302"/>
      <c r="R661" s="303"/>
      <c r="S661" s="289">
        <v>4.5999999999999996</v>
      </c>
      <c r="T661" s="303">
        <v>42208</v>
      </c>
      <c r="U661" s="302"/>
      <c r="V661" s="303"/>
      <c r="W661" s="302"/>
      <c r="X661" s="303"/>
      <c r="Y661" s="302">
        <v>16.54</v>
      </c>
      <c r="Z661" s="303">
        <v>42208</v>
      </c>
      <c r="AA661">
        <v>14.4</v>
      </c>
      <c r="AB661" s="303"/>
      <c r="AC661" s="302"/>
      <c r="AD661" s="303"/>
      <c r="AE661" s="302"/>
      <c r="AF661" s="303"/>
      <c r="AG661">
        <v>72537.262872628722</v>
      </c>
      <c r="AH661" s="521">
        <f>(AK661*10000)/AM661</f>
        <v>72537.262872628722</v>
      </c>
      <c r="AI661" s="302"/>
      <c r="AJ661" s="303"/>
      <c r="AK661">
        <v>29.740277777777774</v>
      </c>
      <c r="AL661" s="521"/>
      <c r="AM661">
        <v>4.0999999999999996</v>
      </c>
      <c r="AN661" s="303">
        <v>42244</v>
      </c>
      <c r="AO661">
        <v>120</v>
      </c>
      <c r="AP661" s="303">
        <v>42170</v>
      </c>
      <c r="AQ661" s="302"/>
      <c r="AR661" s="303"/>
      <c r="AS661" s="302"/>
      <c r="AT661" s="303"/>
      <c r="AU661">
        <v>107</v>
      </c>
      <c r="AV661" s="303"/>
      <c r="AW661" s="302"/>
      <c r="AX661" s="302"/>
      <c r="AY661" s="302"/>
      <c r="AZ661" s="303"/>
      <c r="BA661" s="302"/>
      <c r="BB661" s="302"/>
      <c r="BC661" s="302"/>
      <c r="BD661" s="302"/>
      <c r="BE661" s="302"/>
      <c r="BF661" s="302"/>
      <c r="BG661" s="302"/>
      <c r="BH661" s="302"/>
      <c r="BI661" s="302"/>
      <c r="BJ661" s="302"/>
      <c r="BM661">
        <v>-6.5</v>
      </c>
      <c r="BS661">
        <v>58</v>
      </c>
      <c r="BY661">
        <v>49.6</v>
      </c>
      <c r="CA661">
        <v>15.4</v>
      </c>
      <c r="CC661">
        <v>18.5</v>
      </c>
      <c r="CI661">
        <v>5</v>
      </c>
      <c r="CO661" t="s">
        <v>8698</v>
      </c>
      <c r="CR661">
        <v>1</v>
      </c>
      <c r="CT661" s="304" t="s">
        <v>11678</v>
      </c>
    </row>
    <row r="662" spans="1:98" s="304" customFormat="1">
      <c r="A662" s="304" t="s">
        <v>8506</v>
      </c>
      <c r="B662" s="463">
        <v>92</v>
      </c>
      <c r="C662" s="296" t="s">
        <v>7710</v>
      </c>
      <c r="D662" s="296" t="s">
        <v>7538</v>
      </c>
      <c r="E662" s="296" t="s">
        <v>7710</v>
      </c>
      <c r="F662" s="296"/>
      <c r="G662" s="296" t="s">
        <v>8506</v>
      </c>
      <c r="H662" s="297" t="s">
        <v>8697</v>
      </c>
      <c r="I662" s="297">
        <v>4</v>
      </c>
      <c r="J662" s="297">
        <v>4278</v>
      </c>
      <c r="K662" s="299"/>
      <c r="L662" s="299"/>
      <c r="M662" s="299">
        <v>109</v>
      </c>
      <c r="N662" s="299">
        <v>11</v>
      </c>
      <c r="O662" s="300">
        <v>36</v>
      </c>
      <c r="P662" s="301">
        <v>42090</v>
      </c>
      <c r="Q662" s="302"/>
      <c r="R662" s="303"/>
      <c r="S662" s="289">
        <v>4.9000000000000004</v>
      </c>
      <c r="T662" s="303">
        <v>42208</v>
      </c>
      <c r="U662" s="302"/>
      <c r="V662" s="303"/>
      <c r="W662" s="302"/>
      <c r="X662" s="303"/>
      <c r="Y662" s="302">
        <v>19.7</v>
      </c>
      <c r="Z662" s="303">
        <v>42208</v>
      </c>
      <c r="AA662">
        <v>14.4</v>
      </c>
      <c r="AB662" s="303"/>
      <c r="AC662" s="302"/>
      <c r="AD662" s="303"/>
      <c r="AE662" s="302"/>
      <c r="AF662" s="303"/>
      <c r="AG662">
        <v>65930.237268518526</v>
      </c>
      <c r="AH662" s="521">
        <f>(AK662*10000)/AM662</f>
        <v>65930.237268518526</v>
      </c>
      <c r="AI662" s="302"/>
      <c r="AJ662" s="303"/>
      <c r="AK662">
        <v>31.646513888888894</v>
      </c>
      <c r="AL662" s="521"/>
      <c r="AM662">
        <v>4.8</v>
      </c>
      <c r="AN662" s="303">
        <v>42244</v>
      </c>
      <c r="AO662">
        <v>115</v>
      </c>
      <c r="AP662" s="303">
        <v>42170</v>
      </c>
      <c r="AQ662" s="302"/>
      <c r="AR662" s="303"/>
      <c r="AS662" s="302"/>
      <c r="AT662" s="303"/>
      <c r="AU662">
        <v>111</v>
      </c>
      <c r="AV662" s="303"/>
      <c r="AW662" s="302"/>
      <c r="AX662" s="302"/>
      <c r="AY662" s="302"/>
      <c r="AZ662" s="303"/>
      <c r="BA662" s="302"/>
      <c r="BB662" s="302"/>
      <c r="BC662" s="302"/>
      <c r="BD662" s="302"/>
      <c r="BE662" s="302"/>
      <c r="BF662" s="302"/>
      <c r="BG662" s="302"/>
      <c r="BH662" s="302"/>
      <c r="BI662" s="302"/>
      <c r="BJ662" s="302"/>
      <c r="BM662">
        <v>-5.7</v>
      </c>
      <c r="BS662">
        <v>67.8</v>
      </c>
      <c r="BY662">
        <v>55.5</v>
      </c>
      <c r="CA662">
        <v>15.1</v>
      </c>
      <c r="CC662">
        <v>15.3</v>
      </c>
      <c r="CI662">
        <v>5.0999999999999996</v>
      </c>
      <c r="CO662" t="s">
        <v>8698</v>
      </c>
      <c r="CR662">
        <v>1</v>
      </c>
      <c r="CT662" s="304" t="s">
        <v>11678</v>
      </c>
    </row>
    <row r="663" spans="1:98" s="304" customFormat="1">
      <c r="A663" s="304" t="s">
        <v>8506</v>
      </c>
      <c r="B663" s="463">
        <v>119</v>
      </c>
      <c r="C663" s="296" t="s">
        <v>7738</v>
      </c>
      <c r="D663" s="296" t="s">
        <v>7822</v>
      </c>
      <c r="E663" s="296" t="s">
        <v>7738</v>
      </c>
      <c r="F663" s="296"/>
      <c r="G663" s="296" t="s">
        <v>8506</v>
      </c>
      <c r="H663" s="297" t="s">
        <v>8696</v>
      </c>
      <c r="I663" s="297">
        <v>3</v>
      </c>
      <c r="J663" s="297">
        <v>3218</v>
      </c>
      <c r="K663" s="299"/>
      <c r="L663" s="299"/>
      <c r="M663" s="299">
        <v>109</v>
      </c>
      <c r="N663" s="299">
        <v>4</v>
      </c>
      <c r="O663" s="300">
        <v>60</v>
      </c>
      <c r="P663" s="301">
        <v>42090</v>
      </c>
      <c r="Q663" s="302"/>
      <c r="R663" s="303"/>
      <c r="S663" s="289">
        <v>4.6500000000000004</v>
      </c>
      <c r="T663" s="303">
        <v>42208</v>
      </c>
      <c r="U663" s="302"/>
      <c r="V663" s="303"/>
      <c r="W663" s="302"/>
      <c r="X663" s="303"/>
      <c r="Y663" s="302">
        <v>16.3</v>
      </c>
      <c r="Z663" s="303">
        <v>42208</v>
      </c>
      <c r="AA663">
        <v>14.4</v>
      </c>
      <c r="AB663" s="303"/>
      <c r="AC663" s="302"/>
      <c r="AD663" s="303"/>
      <c r="AE663" s="302"/>
      <c r="AF663" s="303"/>
      <c r="AG663">
        <v>66315.601851851854</v>
      </c>
      <c r="AH663" s="521">
        <f>(AK663*10000)/AM663</f>
        <v>66315.601851851854</v>
      </c>
      <c r="AI663" s="302"/>
      <c r="AJ663" s="303"/>
      <c r="AK663">
        <v>29.842020833333333</v>
      </c>
      <c r="AL663" s="521"/>
      <c r="AM663">
        <v>4.5</v>
      </c>
      <c r="AN663" s="303">
        <v>42244</v>
      </c>
      <c r="AO663">
        <v>140</v>
      </c>
      <c r="AP663" s="303">
        <v>42170</v>
      </c>
      <c r="AQ663" s="302"/>
      <c r="AR663" s="303"/>
      <c r="AS663" s="302"/>
      <c r="AT663" s="303"/>
      <c r="AU663">
        <v>112</v>
      </c>
      <c r="AV663" s="303"/>
      <c r="AW663" s="302"/>
      <c r="AX663" s="302"/>
      <c r="AY663" s="302"/>
      <c r="AZ663" s="303"/>
      <c r="BA663" s="302"/>
      <c r="BB663" s="302"/>
      <c r="BC663" s="302"/>
      <c r="BD663" s="302"/>
      <c r="BE663" s="302"/>
      <c r="BF663" s="302"/>
      <c r="BG663" s="302"/>
      <c r="BH663" s="302"/>
      <c r="BI663" s="302"/>
      <c r="BJ663" s="302"/>
      <c r="BM663">
        <v>46.8</v>
      </c>
      <c r="BS663">
        <v>12.1</v>
      </c>
      <c r="BY663">
        <v>48.7</v>
      </c>
      <c r="CA663">
        <v>21.6</v>
      </c>
      <c r="CC663">
        <v>69.2</v>
      </c>
      <c r="CI663">
        <v>5.7</v>
      </c>
      <c r="CO663" t="s">
        <v>8698</v>
      </c>
      <c r="CR663">
        <v>2</v>
      </c>
      <c r="CT663" s="304" t="s">
        <v>11678</v>
      </c>
    </row>
    <row r="664" spans="1:98" s="304" customFormat="1">
      <c r="A664" s="304" t="s">
        <v>8506</v>
      </c>
      <c r="B664" s="463">
        <v>141</v>
      </c>
      <c r="C664" s="296" t="s">
        <v>7769</v>
      </c>
      <c r="D664" s="296" t="s">
        <v>7570</v>
      </c>
      <c r="E664" s="296" t="s">
        <v>7769</v>
      </c>
      <c r="F664" s="296"/>
      <c r="G664" s="296" t="s">
        <v>8506</v>
      </c>
      <c r="H664" s="297" t="s">
        <v>8697</v>
      </c>
      <c r="I664" s="297">
        <v>4</v>
      </c>
      <c r="J664" s="297">
        <v>4158</v>
      </c>
      <c r="K664" s="299"/>
      <c r="L664" s="299"/>
      <c r="M664" s="299">
        <v>109</v>
      </c>
      <c r="N664" s="299">
        <v>9</v>
      </c>
      <c r="O664" s="300">
        <v>46</v>
      </c>
      <c r="P664" s="301">
        <v>42090</v>
      </c>
      <c r="Q664" s="302"/>
      <c r="R664" s="303"/>
      <c r="S664" s="289">
        <v>5.45</v>
      </c>
      <c r="T664" s="303">
        <v>42208</v>
      </c>
      <c r="U664" s="302"/>
      <c r="V664" s="303"/>
      <c r="W664" s="302"/>
      <c r="X664" s="303"/>
      <c r="Y664" s="302">
        <v>21.79</v>
      </c>
      <c r="Z664" s="303">
        <v>42208</v>
      </c>
      <c r="AA664">
        <v>14.4</v>
      </c>
      <c r="AB664" s="303"/>
      <c r="AC664" s="302"/>
      <c r="AD664" s="303"/>
      <c r="AE664" s="302"/>
      <c r="AF664" s="303"/>
      <c r="AG664">
        <v>67689.756944444438</v>
      </c>
      <c r="AH664" s="521">
        <f>(AK664*10000)/AM664</f>
        <v>67689.756944444438</v>
      </c>
      <c r="AI664" s="302"/>
      <c r="AJ664" s="303"/>
      <c r="AK664">
        <v>35.198673611111111</v>
      </c>
      <c r="AL664" s="521"/>
      <c r="AM664">
        <v>5.2</v>
      </c>
      <c r="AN664" s="303">
        <v>42244</v>
      </c>
      <c r="AO664">
        <v>140</v>
      </c>
      <c r="AP664" s="303">
        <v>42170</v>
      </c>
      <c r="AQ664" s="302"/>
      <c r="AR664" s="303"/>
      <c r="AS664" s="302"/>
      <c r="AT664" s="303"/>
      <c r="AU664">
        <v>107</v>
      </c>
      <c r="AV664" s="303"/>
      <c r="AW664" s="302"/>
      <c r="AX664" s="302"/>
      <c r="AY664" s="302"/>
      <c r="AZ664" s="303"/>
      <c r="BA664" s="302"/>
      <c r="BB664" s="302"/>
      <c r="BC664" s="302"/>
      <c r="BD664" s="302"/>
      <c r="BE664" s="302"/>
      <c r="BF664" s="302"/>
      <c r="BG664" s="302"/>
      <c r="BH664" s="302"/>
      <c r="BI664" s="302"/>
      <c r="BJ664" s="302"/>
      <c r="BM664">
        <v>-7.5</v>
      </c>
      <c r="BS664">
        <v>69.099999999999994</v>
      </c>
      <c r="BY664">
        <v>55.2</v>
      </c>
      <c r="CA664">
        <v>14</v>
      </c>
      <c r="CC664">
        <v>14.9</v>
      </c>
      <c r="CI664">
        <v>5.0999999999999996</v>
      </c>
      <c r="CO664" t="s">
        <v>8698</v>
      </c>
      <c r="CR664">
        <v>2</v>
      </c>
      <c r="CT664" s="304" t="s">
        <v>11678</v>
      </c>
    </row>
    <row r="665" spans="1:98" s="304" customFormat="1">
      <c r="A665" s="304" t="s">
        <v>8506</v>
      </c>
      <c r="B665" s="463">
        <v>146</v>
      </c>
      <c r="C665" s="296" t="s">
        <v>7774</v>
      </c>
      <c r="D665" s="296" t="s">
        <v>7575</v>
      </c>
      <c r="E665" s="296" t="s">
        <v>7774</v>
      </c>
      <c r="F665" s="296"/>
      <c r="G665" s="296" t="s">
        <v>8506</v>
      </c>
      <c r="H665" s="297" t="s">
        <v>8696</v>
      </c>
      <c r="I665" s="297">
        <v>3</v>
      </c>
      <c r="J665" s="297">
        <v>398</v>
      </c>
      <c r="K665" s="299"/>
      <c r="L665" s="299"/>
      <c r="M665" s="299">
        <v>109</v>
      </c>
      <c r="N665" s="299">
        <v>2</v>
      </c>
      <c r="O665" s="300">
        <v>44</v>
      </c>
      <c r="P665" s="301">
        <v>42090</v>
      </c>
      <c r="Q665" s="302"/>
      <c r="R665" s="303"/>
      <c r="S665" s="289">
        <v>6.3</v>
      </c>
      <c r="T665" s="303">
        <v>42208</v>
      </c>
      <c r="U665" s="302"/>
      <c r="V665" s="303"/>
      <c r="W665" s="302"/>
      <c r="X665" s="303"/>
      <c r="Y665" s="302">
        <v>23.33</v>
      </c>
      <c r="Z665" s="303">
        <v>42208</v>
      </c>
      <c r="AA665">
        <v>14.4</v>
      </c>
      <c r="AB665" s="303"/>
      <c r="AC665" s="302"/>
      <c r="AD665" s="303"/>
      <c r="AE665" s="302"/>
      <c r="AF665" s="303"/>
      <c r="AG665">
        <v>73744.999999999985</v>
      </c>
      <c r="AH665" s="521">
        <f>(AK665*10000)/AM665</f>
        <v>73744.999999999985</v>
      </c>
      <c r="AI665" s="302"/>
      <c r="AJ665" s="303"/>
      <c r="AK665">
        <v>40.559749999999994</v>
      </c>
      <c r="AL665" s="521"/>
      <c r="AM665">
        <v>5.5</v>
      </c>
      <c r="AN665" s="303">
        <v>42244</v>
      </c>
      <c r="AO665">
        <v>140</v>
      </c>
      <c r="AP665" s="303">
        <v>42170</v>
      </c>
      <c r="AQ665" s="302"/>
      <c r="AR665" s="303"/>
      <c r="AS665" s="302"/>
      <c r="AT665" s="303"/>
      <c r="AU665">
        <v>107</v>
      </c>
      <c r="AV665" s="303"/>
      <c r="AW665" s="302"/>
      <c r="AX665" s="302"/>
      <c r="AY665" s="302"/>
      <c r="AZ665" s="303"/>
      <c r="BA665" s="302"/>
      <c r="BB665" s="302"/>
      <c r="BC665" s="302"/>
      <c r="BD665" s="302"/>
      <c r="BE665" s="302"/>
      <c r="BF665" s="302"/>
      <c r="BG665" s="302"/>
      <c r="BH665" s="302"/>
      <c r="BI665" s="302"/>
      <c r="BJ665" s="302"/>
      <c r="BM665">
        <v>-0.6</v>
      </c>
      <c r="BS665">
        <v>63.7</v>
      </c>
      <c r="BY665">
        <v>51.3</v>
      </c>
      <c r="CA665">
        <v>18.399999999999999</v>
      </c>
      <c r="CC665">
        <v>14.9</v>
      </c>
      <c r="CI665">
        <v>5.4</v>
      </c>
      <c r="CO665" t="s">
        <v>8699</v>
      </c>
      <c r="CR665">
        <v>2</v>
      </c>
      <c r="CT665" s="304" t="s">
        <v>11678</v>
      </c>
    </row>
    <row r="666" spans="1:98" s="304" customFormat="1">
      <c r="A666" s="304" t="s">
        <v>8506</v>
      </c>
      <c r="B666" s="463">
        <v>166</v>
      </c>
      <c r="C666" s="296" t="s">
        <v>7794</v>
      </c>
      <c r="D666" s="296" t="s">
        <v>7595</v>
      </c>
      <c r="E666" s="296" t="s">
        <v>7794</v>
      </c>
      <c r="F666" s="296"/>
      <c r="G666" s="296" t="s">
        <v>8506</v>
      </c>
      <c r="H666" s="297" t="s">
        <v>8696</v>
      </c>
      <c r="I666" s="297">
        <v>3</v>
      </c>
      <c r="J666" s="297">
        <v>3158</v>
      </c>
      <c r="K666" s="299"/>
      <c r="L666" s="299"/>
      <c r="M666" s="299">
        <v>109</v>
      </c>
      <c r="N666" s="299">
        <v>3</v>
      </c>
      <c r="O666" s="300">
        <v>50</v>
      </c>
      <c r="P666" s="301">
        <v>42090</v>
      </c>
      <c r="Q666" s="302"/>
      <c r="R666" s="303"/>
      <c r="S666" s="289">
        <v>6.55</v>
      </c>
      <c r="T666" s="303">
        <v>42208</v>
      </c>
      <c r="U666" s="302"/>
      <c r="V666" s="303"/>
      <c r="W666" s="302"/>
      <c r="X666" s="303"/>
      <c r="Y666" s="302">
        <v>23.91</v>
      </c>
      <c r="Z666" s="303">
        <v>42208</v>
      </c>
      <c r="AA666">
        <v>14.4</v>
      </c>
      <c r="AB666" s="303"/>
      <c r="AC666" s="302"/>
      <c r="AD666" s="303"/>
      <c r="AE666" s="302"/>
      <c r="AF666" s="303"/>
      <c r="AG666">
        <v>88131.235532407431</v>
      </c>
      <c r="AH666" s="521">
        <f>(AK666*10000)/AM666</f>
        <v>88131.235532407431</v>
      </c>
      <c r="AI666" s="302"/>
      <c r="AJ666" s="303"/>
      <c r="AK666">
        <v>42.302993055555561</v>
      </c>
      <c r="AL666" s="521"/>
      <c r="AM666">
        <v>4.8</v>
      </c>
      <c r="AN666" s="303">
        <v>42244</v>
      </c>
      <c r="AO666">
        <v>125</v>
      </c>
      <c r="AP666" s="303">
        <v>42170</v>
      </c>
      <c r="AQ666" s="302"/>
      <c r="AR666" s="303"/>
      <c r="AS666" s="302"/>
      <c r="AT666" s="303"/>
      <c r="AU666">
        <v>108</v>
      </c>
      <c r="AV666" s="303"/>
      <c r="AW666" s="302"/>
      <c r="AX666" s="302"/>
      <c r="AY666" s="302"/>
      <c r="AZ666" s="303"/>
      <c r="BA666" s="302"/>
      <c r="BB666" s="302"/>
      <c r="BC666" s="302"/>
      <c r="BD666" s="302"/>
      <c r="BE666" s="302"/>
      <c r="BF666" s="302"/>
      <c r="BG666" s="302"/>
      <c r="BH666" s="302"/>
      <c r="BI666" s="302"/>
      <c r="BJ666" s="302"/>
      <c r="BM666">
        <v>-3.3</v>
      </c>
      <c r="BS666">
        <v>63.1</v>
      </c>
      <c r="BY666">
        <v>50.4</v>
      </c>
      <c r="CA666">
        <v>17.8</v>
      </c>
      <c r="CC666">
        <v>15</v>
      </c>
      <c r="CI666">
        <v>5.0999999999999996</v>
      </c>
      <c r="CO666" t="s">
        <v>8699</v>
      </c>
      <c r="CR666">
        <v>2</v>
      </c>
      <c r="CT666" s="304" t="s">
        <v>11678</v>
      </c>
    </row>
    <row r="667" spans="1:98" s="304" customFormat="1">
      <c r="A667" s="304" t="s">
        <v>8506</v>
      </c>
      <c r="B667" s="463">
        <v>167</v>
      </c>
      <c r="C667" s="296" t="s">
        <v>7795</v>
      </c>
      <c r="D667" s="296" t="s">
        <v>7596</v>
      </c>
      <c r="E667" s="296" t="s">
        <v>7795</v>
      </c>
      <c r="F667" s="296"/>
      <c r="G667" s="296" t="s">
        <v>8506</v>
      </c>
      <c r="H667" s="297" t="s">
        <v>8697</v>
      </c>
      <c r="I667" s="297">
        <v>4</v>
      </c>
      <c r="J667" s="297">
        <v>4218</v>
      </c>
      <c r="K667" s="299"/>
      <c r="L667" s="299"/>
      <c r="M667" s="299">
        <v>109</v>
      </c>
      <c r="N667" s="299">
        <v>10</v>
      </c>
      <c r="O667" s="300">
        <v>62</v>
      </c>
      <c r="P667" s="301">
        <v>42090</v>
      </c>
      <c r="Q667" s="302"/>
      <c r="R667" s="303"/>
      <c r="S667" s="289">
        <v>5.2</v>
      </c>
      <c r="T667" s="303">
        <v>42208</v>
      </c>
      <c r="U667" s="302"/>
      <c r="V667" s="303"/>
      <c r="W667" s="302"/>
      <c r="X667" s="303"/>
      <c r="Y667" s="302">
        <v>20.47</v>
      </c>
      <c r="Z667" s="303">
        <v>42208</v>
      </c>
      <c r="AA667">
        <v>14.4</v>
      </c>
      <c r="AB667" s="303"/>
      <c r="AC667" s="302"/>
      <c r="AD667" s="303"/>
      <c r="AE667" s="302"/>
      <c r="AF667" s="303"/>
      <c r="AG667">
        <v>63432.914046121587</v>
      </c>
      <c r="AH667" s="521">
        <f>(AK667*10000)/AM667</f>
        <v>63432.914046121587</v>
      </c>
      <c r="AI667" s="302"/>
      <c r="AJ667" s="303"/>
      <c r="AK667">
        <v>33.61944444444444</v>
      </c>
      <c r="AL667" s="521"/>
      <c r="AM667">
        <v>5.3</v>
      </c>
      <c r="AN667" s="303">
        <v>42244</v>
      </c>
      <c r="AO667">
        <v>125</v>
      </c>
      <c r="AP667" s="303">
        <v>42170</v>
      </c>
      <c r="AQ667" s="302"/>
      <c r="AR667" s="303"/>
      <c r="AS667" s="302"/>
      <c r="AT667" s="303"/>
      <c r="AU667">
        <v>106</v>
      </c>
      <c r="AV667" s="303"/>
      <c r="AW667" s="302"/>
      <c r="AX667" s="302"/>
      <c r="AY667" s="302"/>
      <c r="AZ667" s="303"/>
      <c r="BA667" s="302"/>
      <c r="BB667" s="302"/>
      <c r="BC667" s="302"/>
      <c r="BD667" s="302"/>
      <c r="BE667" s="302"/>
      <c r="BF667" s="302"/>
      <c r="BG667" s="302"/>
      <c r="BH667" s="302"/>
      <c r="BI667" s="302"/>
      <c r="BJ667" s="302"/>
      <c r="BM667">
        <v>-7.8</v>
      </c>
      <c r="BS667">
        <v>64.8</v>
      </c>
      <c r="BY667">
        <v>54.3</v>
      </c>
      <c r="CA667">
        <v>14.8</v>
      </c>
      <c r="CC667">
        <v>16.7</v>
      </c>
      <c r="CI667">
        <v>5</v>
      </c>
      <c r="CO667" t="s">
        <v>8698</v>
      </c>
      <c r="CR667">
        <v>2</v>
      </c>
      <c r="CT667" s="304" t="s">
        <v>11678</v>
      </c>
    </row>
    <row r="668" spans="1:98" s="304" customFormat="1">
      <c r="A668" s="304" t="s">
        <v>8506</v>
      </c>
      <c r="B668" s="463">
        <v>23</v>
      </c>
      <c r="C668" s="296" t="s">
        <v>7635</v>
      </c>
      <c r="D668" s="296" t="s">
        <v>7471</v>
      </c>
      <c r="E668" s="296" t="s">
        <v>7635</v>
      </c>
      <c r="F668" s="296"/>
      <c r="G668" s="296" t="s">
        <v>8506</v>
      </c>
      <c r="H668" s="297" t="s">
        <v>8696</v>
      </c>
      <c r="I668" s="297">
        <v>3</v>
      </c>
      <c r="J668" s="297">
        <v>3159</v>
      </c>
      <c r="K668" s="299"/>
      <c r="L668" s="299"/>
      <c r="M668" s="299">
        <v>110</v>
      </c>
      <c r="N668" s="299">
        <v>3</v>
      </c>
      <c r="O668" s="300">
        <v>28</v>
      </c>
      <c r="P668" s="301">
        <v>42090</v>
      </c>
      <c r="Q668" s="302"/>
      <c r="R668" s="303"/>
      <c r="S668" s="289">
        <v>5.15</v>
      </c>
      <c r="T668" s="303">
        <v>42208</v>
      </c>
      <c r="U668" s="302"/>
      <c r="V668" s="303"/>
      <c r="W668" s="302"/>
      <c r="X668" s="303"/>
      <c r="Y668" s="302">
        <v>19.559999999999999</v>
      </c>
      <c r="Z668" s="303">
        <v>42208</v>
      </c>
      <c r="AA668">
        <v>14.4</v>
      </c>
      <c r="AB668" s="303"/>
      <c r="AC668" s="302"/>
      <c r="AD668" s="303"/>
      <c r="AE668" s="302"/>
      <c r="AF668" s="303"/>
      <c r="AG668">
        <v>70544.651300236394</v>
      </c>
      <c r="AH668" s="521">
        <f>(AK668*10000)/AM668</f>
        <v>70544.651300236394</v>
      </c>
      <c r="AI668" s="302"/>
      <c r="AJ668" s="303"/>
      <c r="AK668">
        <v>33.155986111111105</v>
      </c>
      <c r="AL668" s="521"/>
      <c r="AM668">
        <v>4.7</v>
      </c>
      <c r="AN668" s="303">
        <v>42244</v>
      </c>
      <c r="AO668">
        <v>140</v>
      </c>
      <c r="AP668" s="303">
        <v>42170</v>
      </c>
      <c r="AQ668" s="302"/>
      <c r="AR668" s="303"/>
      <c r="AS668" s="302"/>
      <c r="AT668" s="303"/>
      <c r="AU668">
        <v>112</v>
      </c>
      <c r="AV668" s="303"/>
      <c r="AW668" s="302"/>
      <c r="AX668" s="302"/>
      <c r="AY668" s="302"/>
      <c r="AZ668" s="303"/>
      <c r="BA668" s="302"/>
      <c r="BB668" s="302"/>
      <c r="BC668" s="302"/>
      <c r="BD668" s="302"/>
      <c r="BE668" s="302"/>
      <c r="BF668" s="302"/>
      <c r="BG668" s="302"/>
      <c r="BH668" s="302"/>
      <c r="BI668" s="302"/>
      <c r="BJ668" s="302"/>
      <c r="BM668">
        <v>48.7</v>
      </c>
      <c r="BS668">
        <v>10.8</v>
      </c>
      <c r="BY668">
        <v>52.6</v>
      </c>
      <c r="CA668">
        <v>19.5</v>
      </c>
      <c r="CC668">
        <v>58.5</v>
      </c>
      <c r="CI668">
        <v>5.4</v>
      </c>
      <c r="CO668" t="s">
        <v>8699</v>
      </c>
      <c r="CR668">
        <v>1</v>
      </c>
      <c r="CT668" s="304" t="s">
        <v>11678</v>
      </c>
    </row>
    <row r="669" spans="1:98" s="304" customFormat="1">
      <c r="A669" s="304" t="s">
        <v>8506</v>
      </c>
      <c r="B669" s="463">
        <v>24</v>
      </c>
      <c r="C669" s="296" t="s">
        <v>7636</v>
      </c>
      <c r="D669" s="296" t="s">
        <v>7472</v>
      </c>
      <c r="E669" s="296" t="s">
        <v>7636</v>
      </c>
      <c r="F669" s="296"/>
      <c r="G669" s="296" t="s">
        <v>8506</v>
      </c>
      <c r="H669" s="297" t="s">
        <v>8696</v>
      </c>
      <c r="I669" s="297">
        <v>3</v>
      </c>
      <c r="J669" s="297">
        <v>399</v>
      </c>
      <c r="K669" s="299"/>
      <c r="L669" s="299"/>
      <c r="M669" s="299">
        <v>110</v>
      </c>
      <c r="N669" s="299">
        <v>2</v>
      </c>
      <c r="O669" s="300">
        <v>40</v>
      </c>
      <c r="P669" s="301">
        <v>42090</v>
      </c>
      <c r="Q669" s="302"/>
      <c r="R669" s="303"/>
      <c r="S669" s="289">
        <v>4.7</v>
      </c>
      <c r="T669" s="303">
        <v>42208</v>
      </c>
      <c r="U669" s="302"/>
      <c r="V669" s="303"/>
      <c r="W669" s="302"/>
      <c r="X669" s="303"/>
      <c r="Y669" s="302">
        <v>15.81</v>
      </c>
      <c r="Z669" s="303">
        <v>42208</v>
      </c>
      <c r="AA669">
        <v>14.4</v>
      </c>
      <c r="AB669" s="303"/>
      <c r="AC669" s="302"/>
      <c r="AD669" s="303"/>
      <c r="AE669" s="302"/>
      <c r="AF669" s="303"/>
      <c r="AG669">
        <v>61622.222222222226</v>
      </c>
      <c r="AH669" s="521">
        <f>(AK669*10000)/AM669</f>
        <v>61622.222222222226</v>
      </c>
      <c r="AI669" s="302"/>
      <c r="AJ669" s="303"/>
      <c r="AK669">
        <v>30.194888888888894</v>
      </c>
      <c r="AL669" s="521"/>
      <c r="AM669">
        <v>4.9000000000000004</v>
      </c>
      <c r="AN669" s="303">
        <v>42244</v>
      </c>
      <c r="AO669">
        <v>120</v>
      </c>
      <c r="AP669" s="303">
        <v>42170</v>
      </c>
      <c r="AQ669" s="302"/>
      <c r="AR669" s="303"/>
      <c r="AS669" s="302"/>
      <c r="AT669" s="303"/>
      <c r="AU669">
        <v>109</v>
      </c>
      <c r="AV669" s="303"/>
      <c r="AW669" s="302"/>
      <c r="AX669" s="302"/>
      <c r="AY669" s="302"/>
      <c r="AZ669" s="303"/>
      <c r="BA669" s="302"/>
      <c r="BB669" s="302"/>
      <c r="BC669" s="302"/>
      <c r="BD669" s="302"/>
      <c r="BE669" s="302"/>
      <c r="BF669" s="302"/>
      <c r="BG669" s="302"/>
      <c r="BH669" s="302"/>
      <c r="BI669" s="302"/>
      <c r="BJ669" s="302"/>
      <c r="BM669">
        <v>5</v>
      </c>
      <c r="BS669">
        <v>54.9</v>
      </c>
      <c r="BY669">
        <v>46.7</v>
      </c>
      <c r="CA669">
        <v>22.8</v>
      </c>
      <c r="CC669">
        <v>73</v>
      </c>
      <c r="CI669">
        <v>5.6</v>
      </c>
      <c r="CO669" t="s">
        <v>8699</v>
      </c>
      <c r="CR669">
        <v>6</v>
      </c>
      <c r="CT669" s="304" t="s">
        <v>11678</v>
      </c>
    </row>
    <row r="670" spans="1:98" s="304" customFormat="1">
      <c r="A670" s="304" t="s">
        <v>8506</v>
      </c>
      <c r="B670" s="463">
        <v>32</v>
      </c>
      <c r="C670" s="296" t="s">
        <v>7644</v>
      </c>
      <c r="D670" s="296" t="s">
        <v>7479</v>
      </c>
      <c r="E670" s="296" t="s">
        <v>7644</v>
      </c>
      <c r="F670" s="296"/>
      <c r="G670" s="296" t="s">
        <v>8506</v>
      </c>
      <c r="H670" s="297" t="s">
        <v>8697</v>
      </c>
      <c r="I670" s="297">
        <v>4</v>
      </c>
      <c r="J670" s="297">
        <v>4339</v>
      </c>
      <c r="K670" s="299"/>
      <c r="L670" s="299"/>
      <c r="M670" s="299">
        <v>110</v>
      </c>
      <c r="N670" s="299">
        <v>12</v>
      </c>
      <c r="O670" s="300">
        <v>52</v>
      </c>
      <c r="P670" s="301">
        <v>42090</v>
      </c>
      <c r="Q670" s="302"/>
      <c r="R670" s="303"/>
      <c r="S670" s="289">
        <v>2.75</v>
      </c>
      <c r="T670" s="303">
        <v>42208</v>
      </c>
      <c r="U670" s="302"/>
      <c r="V670" s="303"/>
      <c r="W670" s="302"/>
      <c r="X670" s="303"/>
      <c r="Y670" s="302">
        <v>9.18</v>
      </c>
      <c r="Z670" s="303">
        <v>42208</v>
      </c>
      <c r="AA670">
        <v>14.4</v>
      </c>
      <c r="AB670" s="303"/>
      <c r="AC670" s="302"/>
      <c r="AD670" s="303"/>
      <c r="AE670" s="302"/>
      <c r="AF670" s="303"/>
      <c r="AG670">
        <v>32821.051954732502</v>
      </c>
      <c r="AH670" s="521">
        <f>(AK670*10000)/AM670</f>
        <v>32821.051954732502</v>
      </c>
      <c r="AI670" s="302"/>
      <c r="AJ670" s="303"/>
      <c r="AK670">
        <v>17.723368055555554</v>
      </c>
      <c r="AL670" s="521"/>
      <c r="AM670">
        <v>5.4</v>
      </c>
      <c r="AN670" s="303">
        <v>42244</v>
      </c>
      <c r="AO670">
        <v>130</v>
      </c>
      <c r="AP670" s="303">
        <v>42170</v>
      </c>
      <c r="AQ670" s="302"/>
      <c r="AR670" s="303"/>
      <c r="AS670" s="302"/>
      <c r="AT670" s="303"/>
      <c r="AU670">
        <v>108</v>
      </c>
      <c r="AV670" s="303"/>
      <c r="AW670" s="302"/>
      <c r="AX670" s="302"/>
      <c r="AY670" s="302"/>
      <c r="AZ670" s="303"/>
      <c r="BA670" s="302"/>
      <c r="BB670" s="302"/>
      <c r="BC670" s="302"/>
      <c r="BD670" s="302"/>
      <c r="BE670" s="302"/>
      <c r="BF670" s="302"/>
      <c r="BG670" s="302"/>
      <c r="BH670" s="302"/>
      <c r="BI670" s="302"/>
      <c r="BJ670" s="302"/>
      <c r="BM670">
        <v>-1.5</v>
      </c>
      <c r="BS670">
        <v>54.9</v>
      </c>
      <c r="BY670">
        <v>46.2</v>
      </c>
      <c r="CA670">
        <v>20.6</v>
      </c>
      <c r="CC670">
        <v>21.2</v>
      </c>
      <c r="CI670">
        <v>5.3</v>
      </c>
      <c r="CO670" t="s">
        <v>8698</v>
      </c>
      <c r="CR670">
        <v>3</v>
      </c>
      <c r="CT670" s="304" t="s">
        <v>11678</v>
      </c>
    </row>
    <row r="671" spans="1:98" s="304" customFormat="1">
      <c r="A671" s="304" t="s">
        <v>8506</v>
      </c>
      <c r="B671" s="463">
        <v>41</v>
      </c>
      <c r="C671" s="296" t="s">
        <v>7658</v>
      </c>
      <c r="D671" s="296" t="s">
        <v>7491</v>
      </c>
      <c r="E671" s="296" t="s">
        <v>7658</v>
      </c>
      <c r="F671" s="296"/>
      <c r="G671" s="296" t="s">
        <v>8506</v>
      </c>
      <c r="H671" s="297" t="s">
        <v>8697</v>
      </c>
      <c r="I671" s="297">
        <v>4</v>
      </c>
      <c r="J671" s="297">
        <v>439</v>
      </c>
      <c r="K671" s="299"/>
      <c r="L671" s="299"/>
      <c r="M671" s="299">
        <v>110</v>
      </c>
      <c r="N671" s="299">
        <v>7</v>
      </c>
      <c r="O671" s="300">
        <v>62</v>
      </c>
      <c r="P671" s="301">
        <v>42090</v>
      </c>
      <c r="Q671" s="302"/>
      <c r="R671" s="303"/>
      <c r="S671" s="289">
        <v>4.55</v>
      </c>
      <c r="T671" s="303">
        <v>42208</v>
      </c>
      <c r="U671" s="302"/>
      <c r="V671" s="303"/>
      <c r="W671" s="302"/>
      <c r="X671" s="303"/>
      <c r="Y671" s="302">
        <v>16.79</v>
      </c>
      <c r="Z671" s="303">
        <v>42208</v>
      </c>
      <c r="AA671">
        <v>14.4</v>
      </c>
      <c r="AB671" s="303"/>
      <c r="AC671" s="302"/>
      <c r="AD671" s="303"/>
      <c r="AE671" s="302"/>
      <c r="AF671" s="303"/>
      <c r="AG671">
        <v>70040.509259259255</v>
      </c>
      <c r="AH671" s="521">
        <f>(AK671*10000)/AM671</f>
        <v>70040.509259259255</v>
      </c>
      <c r="AI671" s="302"/>
      <c r="AJ671" s="303"/>
      <c r="AK671">
        <v>29.417013888888889</v>
      </c>
      <c r="AL671" s="521"/>
      <c r="AM671">
        <v>4.2</v>
      </c>
      <c r="AN671" s="303">
        <v>42244</v>
      </c>
      <c r="AO671">
        <v>125</v>
      </c>
      <c r="AP671" s="303">
        <v>42170</v>
      </c>
      <c r="AQ671" s="302"/>
      <c r="AR671" s="303"/>
      <c r="AS671" s="302"/>
      <c r="AT671" s="303"/>
      <c r="AU671">
        <v>112</v>
      </c>
      <c r="AV671" s="303"/>
      <c r="AW671" s="302"/>
      <c r="AX671" s="302"/>
      <c r="AY671" s="302"/>
      <c r="AZ671" s="303"/>
      <c r="BA671" s="302"/>
      <c r="BB671" s="302"/>
      <c r="BC671" s="302"/>
      <c r="BD671" s="302"/>
      <c r="BE671" s="302"/>
      <c r="BF671" s="302"/>
      <c r="BG671" s="302"/>
      <c r="BH671" s="302"/>
      <c r="BI671" s="302"/>
      <c r="BJ671" s="302"/>
      <c r="BM671">
        <v>-2.4</v>
      </c>
      <c r="BS671">
        <v>63.8</v>
      </c>
      <c r="BY671">
        <v>50.9</v>
      </c>
      <c r="CA671">
        <v>15.6</v>
      </c>
      <c r="CC671">
        <v>14.7</v>
      </c>
      <c r="CI671">
        <v>5</v>
      </c>
      <c r="CO671" t="s">
        <v>8698</v>
      </c>
      <c r="CR671">
        <v>2</v>
      </c>
      <c r="CT671" s="304" t="s">
        <v>11678</v>
      </c>
    </row>
    <row r="672" spans="1:98" s="304" customFormat="1">
      <c r="A672" s="304" t="s">
        <v>8506</v>
      </c>
      <c r="B672" s="463">
        <v>70</v>
      </c>
      <c r="C672" s="296" t="s">
        <v>7688</v>
      </c>
      <c r="D672" s="296" t="s">
        <v>7517</v>
      </c>
      <c r="E672" s="296" t="s">
        <v>7688</v>
      </c>
      <c r="F672" s="296"/>
      <c r="G672" s="296" t="s">
        <v>8506</v>
      </c>
      <c r="H672" s="297" t="s">
        <v>8696</v>
      </c>
      <c r="I672" s="297">
        <v>3</v>
      </c>
      <c r="J672" s="297">
        <v>3279</v>
      </c>
      <c r="K672" s="299"/>
      <c r="L672" s="299"/>
      <c r="M672" s="299">
        <v>110</v>
      </c>
      <c r="N672" s="299">
        <v>5</v>
      </c>
      <c r="O672" s="300">
        <v>17</v>
      </c>
      <c r="P672" s="301">
        <v>42090</v>
      </c>
      <c r="Q672" s="302"/>
      <c r="R672" s="303"/>
      <c r="S672" s="289">
        <v>4.5</v>
      </c>
      <c r="T672" s="303">
        <v>42208</v>
      </c>
      <c r="U672" s="302"/>
      <c r="V672" s="303"/>
      <c r="W672" s="302"/>
      <c r="X672" s="303"/>
      <c r="Y672" s="302">
        <v>16.079999999999998</v>
      </c>
      <c r="Z672" s="303">
        <v>42208</v>
      </c>
      <c r="AA672">
        <v>14.4</v>
      </c>
      <c r="AB672" s="303"/>
      <c r="AC672" s="302"/>
      <c r="AD672" s="303"/>
      <c r="AE672" s="302"/>
      <c r="AF672" s="303"/>
      <c r="AG672">
        <v>59124.999999999993</v>
      </c>
      <c r="AH672" s="521">
        <f>(AK672*10000)/AM672</f>
        <v>59124.999999999993</v>
      </c>
      <c r="AI672" s="302"/>
      <c r="AJ672" s="303"/>
      <c r="AK672">
        <v>28.971249999999998</v>
      </c>
      <c r="AL672" s="521"/>
      <c r="AM672">
        <v>4.9000000000000004</v>
      </c>
      <c r="AN672" s="303">
        <v>42244</v>
      </c>
      <c r="AO672">
        <v>130</v>
      </c>
      <c r="AP672" s="303">
        <v>42170</v>
      </c>
      <c r="AQ672" s="302"/>
      <c r="AR672" s="303"/>
      <c r="AS672" s="302"/>
      <c r="AT672" s="303"/>
      <c r="AU672">
        <v>111</v>
      </c>
      <c r="AV672" s="303"/>
      <c r="AW672" s="302"/>
      <c r="AX672" s="302"/>
      <c r="AY672" s="302"/>
      <c r="AZ672" s="303"/>
      <c r="BA672" s="302"/>
      <c r="BB672" s="302"/>
      <c r="BC672" s="302"/>
      <c r="BD672" s="302"/>
      <c r="BE672" s="302"/>
      <c r="BF672" s="302"/>
      <c r="BG672" s="302"/>
      <c r="BH672" s="302"/>
      <c r="BI672" s="302"/>
      <c r="BJ672" s="302"/>
      <c r="BM672">
        <v>-1.6</v>
      </c>
      <c r="BS672">
        <v>64.8</v>
      </c>
      <c r="BY672">
        <v>49.5</v>
      </c>
      <c r="CA672">
        <v>19</v>
      </c>
      <c r="CC672">
        <v>21.9</v>
      </c>
      <c r="CI672">
        <v>5.4</v>
      </c>
      <c r="CO672" t="s">
        <v>8698</v>
      </c>
      <c r="CR672">
        <v>2</v>
      </c>
      <c r="CT672" s="304" t="s">
        <v>11678</v>
      </c>
    </row>
    <row r="673" spans="1:98" s="304" customFormat="1">
      <c r="A673" s="304" t="s">
        <v>8506</v>
      </c>
      <c r="B673" s="463">
        <v>99</v>
      </c>
      <c r="C673" s="296" t="s">
        <v>7717</v>
      </c>
      <c r="D673" s="296" t="s">
        <v>7544</v>
      </c>
      <c r="E673" s="296" t="s">
        <v>7717</v>
      </c>
      <c r="F673" s="296"/>
      <c r="G673" s="296" t="s">
        <v>8506</v>
      </c>
      <c r="H673" s="297" t="s">
        <v>8697</v>
      </c>
      <c r="I673" s="297">
        <v>4</v>
      </c>
      <c r="J673" s="297">
        <v>4159</v>
      </c>
      <c r="K673" s="299"/>
      <c r="L673" s="299"/>
      <c r="M673" s="299">
        <v>110</v>
      </c>
      <c r="N673" s="299">
        <v>9</v>
      </c>
      <c r="O673" s="300">
        <v>36</v>
      </c>
      <c r="P673" s="301">
        <v>42090</v>
      </c>
      <c r="Q673" s="302"/>
      <c r="R673" s="303"/>
      <c r="S673" s="289">
        <v>4.45</v>
      </c>
      <c r="T673" s="303">
        <v>42208</v>
      </c>
      <c r="U673" s="302"/>
      <c r="V673" s="303"/>
      <c r="W673" s="302"/>
      <c r="X673" s="303"/>
      <c r="Y673" s="302">
        <v>16.84</v>
      </c>
      <c r="Z673" s="303">
        <v>42208</v>
      </c>
      <c r="AA673">
        <v>14.4</v>
      </c>
      <c r="AB673" s="303"/>
      <c r="AC673" s="302"/>
      <c r="AD673" s="303"/>
      <c r="AE673" s="302"/>
      <c r="AF673" s="303"/>
      <c r="AG673">
        <v>57419.833333333336</v>
      </c>
      <c r="AH673" s="521">
        <f>(AK673*10000)/AM673</f>
        <v>57419.833333333336</v>
      </c>
      <c r="AI673" s="302"/>
      <c r="AJ673" s="303"/>
      <c r="AK673">
        <v>28.709916666666668</v>
      </c>
      <c r="AL673" s="521"/>
      <c r="AM673">
        <v>5</v>
      </c>
      <c r="AN673" s="303">
        <v>42244</v>
      </c>
      <c r="AO673">
        <v>125</v>
      </c>
      <c r="AP673" s="303">
        <v>42170</v>
      </c>
      <c r="AQ673" s="302"/>
      <c r="AR673" s="303"/>
      <c r="AS673" s="302"/>
      <c r="AT673" s="303"/>
      <c r="AU673">
        <v>109</v>
      </c>
      <c r="AV673" s="303"/>
      <c r="AW673" s="302"/>
      <c r="AX673" s="302"/>
      <c r="AY673" s="302"/>
      <c r="AZ673" s="303"/>
      <c r="BA673" s="302"/>
      <c r="BB673" s="302"/>
      <c r="BC673" s="302"/>
      <c r="BD673" s="302"/>
      <c r="BE673" s="302"/>
      <c r="BF673" s="302"/>
      <c r="BG673" s="302"/>
      <c r="BH673" s="302"/>
      <c r="BI673" s="302"/>
      <c r="BJ673" s="302"/>
      <c r="BM673">
        <v>-3.2</v>
      </c>
      <c r="BS673">
        <v>64.7</v>
      </c>
      <c r="BY673">
        <v>52.3</v>
      </c>
      <c r="CA673">
        <v>16.5</v>
      </c>
      <c r="CC673">
        <v>17.2</v>
      </c>
      <c r="CI673">
        <v>5.2</v>
      </c>
      <c r="CO673" t="s">
        <v>8698</v>
      </c>
      <c r="CR673">
        <v>1</v>
      </c>
      <c r="CT673" s="304" t="s">
        <v>11678</v>
      </c>
    </row>
    <row r="674" spans="1:98" s="304" customFormat="1">
      <c r="A674" s="304" t="s">
        <v>8506</v>
      </c>
      <c r="B674" s="463">
        <v>129</v>
      </c>
      <c r="C674" s="296" t="s">
        <v>7757</v>
      </c>
      <c r="D674" s="296" t="s">
        <v>8687</v>
      </c>
      <c r="E674" s="296" t="s">
        <v>7757</v>
      </c>
      <c r="F674" s="296"/>
      <c r="G674" s="296" t="s">
        <v>8506</v>
      </c>
      <c r="H674" s="297" t="s">
        <v>8696</v>
      </c>
      <c r="I674" s="297">
        <v>3</v>
      </c>
      <c r="J674" s="308">
        <v>339</v>
      </c>
      <c r="K674" s="299"/>
      <c r="L674" s="299"/>
      <c r="M674" s="299">
        <v>110</v>
      </c>
      <c r="N674" s="299">
        <v>1</v>
      </c>
      <c r="O674" s="300">
        <v>30</v>
      </c>
      <c r="P674" s="301">
        <v>42090</v>
      </c>
      <c r="Q674" s="306"/>
      <c r="R674" s="303"/>
      <c r="S674" s="289">
        <v>6.65</v>
      </c>
      <c r="T674" s="303">
        <v>42208</v>
      </c>
      <c r="U674" s="307"/>
      <c r="V674" s="303"/>
      <c r="W674" s="306"/>
      <c r="X674" s="303"/>
      <c r="Y674" s="306">
        <v>23.62</v>
      </c>
      <c r="Z674" s="303">
        <v>42208</v>
      </c>
      <c r="AA674">
        <v>14.4</v>
      </c>
      <c r="AB674" s="303"/>
      <c r="AC674" s="306"/>
      <c r="AD674" s="303"/>
      <c r="AE674" s="302"/>
      <c r="AF674" s="303"/>
      <c r="AG674">
        <v>80950.157232704412</v>
      </c>
      <c r="AH674" s="521">
        <f>(AK674*10000)/AM674</f>
        <v>80950.157232704412</v>
      </c>
      <c r="AI674" s="302"/>
      <c r="AJ674" s="303"/>
      <c r="AK674">
        <v>42.903583333333337</v>
      </c>
      <c r="AL674" s="521"/>
      <c r="AM674">
        <v>5.3</v>
      </c>
      <c r="AN674" s="303">
        <v>42244</v>
      </c>
      <c r="AO674">
        <v>110</v>
      </c>
      <c r="AP674" s="303">
        <v>42170</v>
      </c>
      <c r="AQ674" s="306"/>
      <c r="AR674" s="303"/>
      <c r="AS674" s="306"/>
      <c r="AT674" s="303"/>
      <c r="AU674">
        <v>109</v>
      </c>
      <c r="AV674" s="303"/>
      <c r="AW674" s="302"/>
      <c r="AX674" s="302"/>
      <c r="AY674" s="302"/>
      <c r="AZ674" s="303"/>
      <c r="BA674" s="302"/>
      <c r="BB674" s="302"/>
      <c r="BC674" s="302"/>
      <c r="BD674" s="302"/>
      <c r="BE674" s="302"/>
      <c r="BF674" s="302"/>
      <c r="BG674" s="302"/>
      <c r="BH674" s="302"/>
      <c r="BI674" s="302"/>
      <c r="BJ674" s="302"/>
      <c r="BM674">
        <v>-0.9</v>
      </c>
      <c r="BS674">
        <v>59.2</v>
      </c>
      <c r="BY674">
        <v>49.1</v>
      </c>
      <c r="CA674">
        <v>18.2</v>
      </c>
      <c r="CC674">
        <v>23.8</v>
      </c>
      <c r="CI674">
        <v>5.2</v>
      </c>
      <c r="CO674" t="s">
        <v>8699</v>
      </c>
      <c r="CR674">
        <v>2</v>
      </c>
      <c r="CT674" s="304" t="s">
        <v>11678</v>
      </c>
    </row>
    <row r="675" spans="1:98" s="304" customFormat="1">
      <c r="A675" s="304" t="s">
        <v>8506</v>
      </c>
      <c r="B675" s="463">
        <v>33</v>
      </c>
      <c r="C675" s="296" t="s">
        <v>7647</v>
      </c>
      <c r="D675" s="296" t="s">
        <v>7482</v>
      </c>
      <c r="E675" s="296" t="s">
        <v>7647</v>
      </c>
      <c r="F675" s="296"/>
      <c r="G675" s="296" t="s">
        <v>8506</v>
      </c>
      <c r="H675" s="297" t="s">
        <v>8697</v>
      </c>
      <c r="I675" s="297">
        <v>4</v>
      </c>
      <c r="J675" s="297">
        <v>4160</v>
      </c>
      <c r="K675" s="299"/>
      <c r="L675" s="299"/>
      <c r="M675" s="299">
        <v>111</v>
      </c>
      <c r="N675" s="299">
        <v>9</v>
      </c>
      <c r="O675" s="300">
        <v>50</v>
      </c>
      <c r="P675" s="301">
        <v>42090</v>
      </c>
      <c r="Q675" s="302"/>
      <c r="R675" s="303"/>
      <c r="S675" s="289">
        <v>4.1500000000000004</v>
      </c>
      <c r="T675" s="303">
        <v>42208</v>
      </c>
      <c r="U675" s="302"/>
      <c r="V675" s="303"/>
      <c r="W675" s="302"/>
      <c r="X675" s="303"/>
      <c r="Y675" s="302">
        <v>14.56</v>
      </c>
      <c r="Z675" s="303">
        <v>42208</v>
      </c>
      <c r="AA675">
        <v>14.4</v>
      </c>
      <c r="AB675" s="303"/>
      <c r="AC675" s="302"/>
      <c r="AD675" s="303"/>
      <c r="AE675" s="302"/>
      <c r="AF675" s="303"/>
      <c r="AG675">
        <v>55426.996527777788</v>
      </c>
      <c r="AH675" s="521">
        <f>(AK675*10000)/AM675</f>
        <v>55426.996527777788</v>
      </c>
      <c r="AI675" s="302"/>
      <c r="AJ675" s="303"/>
      <c r="AK675">
        <v>26.604958333333339</v>
      </c>
      <c r="AL675" s="521"/>
      <c r="AM675">
        <v>4.8</v>
      </c>
      <c r="AN675" s="303">
        <v>42244</v>
      </c>
      <c r="AO675">
        <v>140</v>
      </c>
      <c r="AP675" s="303">
        <v>42170</v>
      </c>
      <c r="AQ675" s="302"/>
      <c r="AR675" s="303"/>
      <c r="AS675" s="302"/>
      <c r="AT675" s="303"/>
      <c r="AU675">
        <v>108</v>
      </c>
      <c r="AV675" s="303"/>
      <c r="AW675" s="302"/>
      <c r="AX675" s="302"/>
      <c r="AY675" s="302"/>
      <c r="AZ675" s="303"/>
      <c r="BA675" s="302"/>
      <c r="BB675" s="302"/>
      <c r="BC675" s="302"/>
      <c r="BD675" s="302"/>
      <c r="BE675" s="302"/>
      <c r="BF675" s="302"/>
      <c r="BG675" s="302"/>
      <c r="BH675" s="302"/>
      <c r="BI675" s="302"/>
      <c r="BJ675" s="302"/>
      <c r="BM675">
        <v>3.3</v>
      </c>
      <c r="BS675">
        <v>55.5</v>
      </c>
      <c r="BY675">
        <v>48.8</v>
      </c>
      <c r="CA675">
        <v>18.100000000000001</v>
      </c>
      <c r="CC675">
        <v>53.9</v>
      </c>
      <c r="CI675">
        <v>5.8</v>
      </c>
      <c r="CO675" t="s">
        <v>8698</v>
      </c>
      <c r="CR675">
        <v>4</v>
      </c>
      <c r="CT675" s="304" t="s">
        <v>11678</v>
      </c>
    </row>
    <row r="676" spans="1:98" s="304" customFormat="1">
      <c r="A676" s="304" t="s">
        <v>8506</v>
      </c>
      <c r="B676" s="463">
        <v>48</v>
      </c>
      <c r="C676" s="296" t="s">
        <v>7665</v>
      </c>
      <c r="D676" s="296" t="s">
        <v>7816</v>
      </c>
      <c r="E676" s="296" t="s">
        <v>7665</v>
      </c>
      <c r="F676" s="296"/>
      <c r="G676" s="296" t="s">
        <v>8506</v>
      </c>
      <c r="H676" s="297" t="s">
        <v>8696</v>
      </c>
      <c r="I676" s="297">
        <v>3</v>
      </c>
      <c r="J676" s="297">
        <v>3100</v>
      </c>
      <c r="K676" s="299"/>
      <c r="L676" s="299"/>
      <c r="M676" s="299">
        <v>111</v>
      </c>
      <c r="N676" s="299">
        <v>2</v>
      </c>
      <c r="O676" s="300">
        <v>24</v>
      </c>
      <c r="P676" s="301">
        <v>42090</v>
      </c>
      <c r="Q676" s="302"/>
      <c r="R676" s="303"/>
      <c r="S676" s="289">
        <v>4.45</v>
      </c>
      <c r="T676" s="303">
        <v>42208</v>
      </c>
      <c r="U676" s="302"/>
      <c r="V676" s="303"/>
      <c r="W676" s="302"/>
      <c r="X676" s="303"/>
      <c r="Y676" s="302">
        <v>15.71</v>
      </c>
      <c r="Z676" s="303">
        <v>42208</v>
      </c>
      <c r="AA676">
        <v>14.4</v>
      </c>
      <c r="AB676" s="303"/>
      <c r="AC676" s="302"/>
      <c r="AD676" s="303"/>
      <c r="AE676" s="302"/>
      <c r="AF676" s="303"/>
      <c r="AG676">
        <v>57662.111111111109</v>
      </c>
      <c r="AH676" s="521">
        <f>(AK676*10000)/AM676</f>
        <v>57662.111111111109</v>
      </c>
      <c r="AI676" s="302"/>
      <c r="AJ676" s="303"/>
      <c r="AK676">
        <v>28.831055555555558</v>
      </c>
      <c r="AL676" s="521"/>
      <c r="AM676">
        <v>5</v>
      </c>
      <c r="AN676" s="303">
        <v>42244</v>
      </c>
      <c r="AO676">
        <v>125</v>
      </c>
      <c r="AP676" s="303">
        <v>42170</v>
      </c>
      <c r="AQ676" s="302"/>
      <c r="AR676" s="303"/>
      <c r="AS676" s="302"/>
      <c r="AT676" s="303"/>
      <c r="AU676">
        <v>110</v>
      </c>
      <c r="AV676" s="303"/>
      <c r="AW676" s="302"/>
      <c r="AX676" s="302"/>
      <c r="AY676" s="302"/>
      <c r="AZ676" s="303"/>
      <c r="BA676" s="302"/>
      <c r="BB676" s="302"/>
      <c r="BC676" s="302"/>
      <c r="BD676" s="302"/>
      <c r="BE676" s="302"/>
      <c r="BF676" s="302"/>
      <c r="BG676" s="302"/>
      <c r="BH676" s="302"/>
      <c r="BI676" s="302"/>
      <c r="BJ676" s="302"/>
      <c r="BM676">
        <v>-0.9</v>
      </c>
      <c r="BS676">
        <v>63.6</v>
      </c>
      <c r="BY676">
        <v>48.6</v>
      </c>
      <c r="CA676">
        <v>19.899999999999999</v>
      </c>
      <c r="CC676">
        <v>21.2</v>
      </c>
      <c r="CI676">
        <v>4.8</v>
      </c>
      <c r="CO676" t="s">
        <v>8699</v>
      </c>
      <c r="CR676">
        <v>2</v>
      </c>
      <c r="CT676" s="304" t="s">
        <v>11678</v>
      </c>
    </row>
    <row r="677" spans="1:98" s="304" customFormat="1">
      <c r="A677" s="304" t="s">
        <v>8506</v>
      </c>
      <c r="B677" s="463">
        <v>76</v>
      </c>
      <c r="C677" s="296" t="s">
        <v>7694</v>
      </c>
      <c r="D677" s="296" t="s">
        <v>7523</v>
      </c>
      <c r="E677" s="296" t="s">
        <v>7694</v>
      </c>
      <c r="F677" s="296"/>
      <c r="G677" s="296" t="s">
        <v>8506</v>
      </c>
      <c r="H677" s="297" t="s">
        <v>8696</v>
      </c>
      <c r="I677" s="297">
        <v>3</v>
      </c>
      <c r="J677" s="297">
        <v>3340</v>
      </c>
      <c r="K677" s="299"/>
      <c r="L677" s="299"/>
      <c r="M677" s="299">
        <v>111</v>
      </c>
      <c r="N677" s="299">
        <v>6</v>
      </c>
      <c r="O677" s="300">
        <v>36</v>
      </c>
      <c r="P677" s="301">
        <v>42090</v>
      </c>
      <c r="Q677" s="302"/>
      <c r="R677" s="303"/>
      <c r="S677" s="289">
        <v>6.9</v>
      </c>
      <c r="T677" s="303">
        <v>42208</v>
      </c>
      <c r="U677" s="302"/>
      <c r="V677" s="303"/>
      <c r="W677" s="302"/>
      <c r="X677" s="303"/>
      <c r="Y677" s="302">
        <v>24.36</v>
      </c>
      <c r="Z677" s="303">
        <v>42208</v>
      </c>
      <c r="AA677">
        <v>14.4</v>
      </c>
      <c r="AB677" s="303"/>
      <c r="AC677" s="302"/>
      <c r="AD677" s="303"/>
      <c r="AE677" s="302"/>
      <c r="AF677" s="303"/>
      <c r="AG677">
        <v>81109.848484848495</v>
      </c>
      <c r="AH677" s="521">
        <f>(AK677*10000)/AM677</f>
        <v>81109.848484848495</v>
      </c>
      <c r="AI677" s="302"/>
      <c r="AJ677" s="303"/>
      <c r="AK677">
        <v>44.610416666666666</v>
      </c>
      <c r="AL677" s="521"/>
      <c r="AM677">
        <v>5.5</v>
      </c>
      <c r="AN677" s="303">
        <v>42244</v>
      </c>
      <c r="AO677">
        <v>130</v>
      </c>
      <c r="AP677" s="303">
        <v>42170</v>
      </c>
      <c r="AQ677" s="302"/>
      <c r="AR677" s="303"/>
      <c r="AS677" s="302"/>
      <c r="AT677" s="303"/>
      <c r="AU677">
        <v>110</v>
      </c>
      <c r="AV677" s="303"/>
      <c r="AW677" s="302"/>
      <c r="AX677" s="302"/>
      <c r="AY677" s="302"/>
      <c r="AZ677" s="303"/>
      <c r="BA677" s="302"/>
      <c r="BB677" s="302"/>
      <c r="BC677" s="302"/>
      <c r="BD677" s="302"/>
      <c r="BE677" s="302"/>
      <c r="BF677" s="302"/>
      <c r="BG677" s="302"/>
      <c r="BH677" s="302"/>
      <c r="BI677" s="302"/>
      <c r="BJ677" s="302"/>
      <c r="BM677">
        <v>7.3</v>
      </c>
      <c r="BS677">
        <v>58.1</v>
      </c>
      <c r="BY677">
        <v>48.7</v>
      </c>
      <c r="CA677">
        <v>19.5</v>
      </c>
      <c r="CC677">
        <v>20.6</v>
      </c>
      <c r="CI677">
        <v>5</v>
      </c>
      <c r="CO677" t="s">
        <v>8698</v>
      </c>
      <c r="CR677">
        <v>2</v>
      </c>
      <c r="CT677" s="304" t="s">
        <v>11678</v>
      </c>
    </row>
    <row r="678" spans="1:98" s="304" customFormat="1">
      <c r="A678" s="304" t="s">
        <v>8506</v>
      </c>
      <c r="B678" s="463">
        <v>108</v>
      </c>
      <c r="C678" s="296" t="s">
        <v>7726</v>
      </c>
      <c r="D678" s="296" t="s">
        <v>7552</v>
      </c>
      <c r="E678" s="296" t="s">
        <v>7726</v>
      </c>
      <c r="F678" s="296"/>
      <c r="G678" s="296" t="s">
        <v>8506</v>
      </c>
      <c r="H678" s="297" t="s">
        <v>8696</v>
      </c>
      <c r="I678" s="297">
        <v>3</v>
      </c>
      <c r="J678" s="297">
        <v>340</v>
      </c>
      <c r="K678" s="299"/>
      <c r="L678" s="299"/>
      <c r="M678" s="299">
        <v>111</v>
      </c>
      <c r="N678" s="299">
        <v>1</v>
      </c>
      <c r="O678" s="300">
        <v>24</v>
      </c>
      <c r="P678" s="301">
        <v>42090</v>
      </c>
      <c r="Q678" s="302"/>
      <c r="R678" s="303"/>
      <c r="S678" s="289">
        <v>5.7</v>
      </c>
      <c r="T678" s="303">
        <v>42208</v>
      </c>
      <c r="U678" s="302"/>
      <c r="V678" s="303"/>
      <c r="W678" s="302"/>
      <c r="X678" s="303"/>
      <c r="Y678" s="302">
        <v>21.42</v>
      </c>
      <c r="Z678" s="303">
        <v>42208</v>
      </c>
      <c r="AA678">
        <v>14.4</v>
      </c>
      <c r="AB678" s="303"/>
      <c r="AC678" s="302"/>
      <c r="AD678" s="303"/>
      <c r="AE678" s="302"/>
      <c r="AF678" s="303"/>
      <c r="AG678">
        <v>72182.924836601334</v>
      </c>
      <c r="AH678" s="521">
        <f>(AK678*10000)/AM678</f>
        <v>72182.924836601334</v>
      </c>
      <c r="AI678" s="302"/>
      <c r="AJ678" s="303"/>
      <c r="AK678">
        <v>36.813291666666672</v>
      </c>
      <c r="AL678" s="521"/>
      <c r="AM678">
        <v>5.0999999999999996</v>
      </c>
      <c r="AN678" s="303">
        <v>42244</v>
      </c>
      <c r="AO678">
        <v>130</v>
      </c>
      <c r="AP678" s="303">
        <v>42170</v>
      </c>
      <c r="AQ678" s="302"/>
      <c r="AR678" s="303"/>
      <c r="AS678" s="302"/>
      <c r="AT678" s="303"/>
      <c r="AU678">
        <v>108</v>
      </c>
      <c r="AV678" s="303"/>
      <c r="AW678" s="302"/>
      <c r="AX678" s="302"/>
      <c r="AY678" s="302"/>
      <c r="AZ678" s="303"/>
      <c r="BA678" s="302"/>
      <c r="BB678" s="302"/>
      <c r="BC678" s="302"/>
      <c r="BD678" s="302"/>
      <c r="BE678" s="302"/>
      <c r="BF678" s="302"/>
      <c r="BG678" s="302"/>
      <c r="BH678" s="302"/>
      <c r="BI678" s="302"/>
      <c r="BJ678" s="302"/>
      <c r="BM678">
        <v>-1.8</v>
      </c>
      <c r="BS678">
        <v>62.1</v>
      </c>
      <c r="BY678">
        <v>51.9</v>
      </c>
      <c r="CA678">
        <v>18.600000000000001</v>
      </c>
      <c r="CC678">
        <v>21.7</v>
      </c>
      <c r="CI678">
        <v>5.0999999999999996</v>
      </c>
      <c r="CO678" t="s">
        <v>8699</v>
      </c>
      <c r="CR678">
        <v>2</v>
      </c>
      <c r="CT678" s="304" t="s">
        <v>11678</v>
      </c>
    </row>
    <row r="679" spans="1:98" s="304" customFormat="1">
      <c r="A679" s="304" t="s">
        <v>8506</v>
      </c>
      <c r="B679" s="463">
        <v>113</v>
      </c>
      <c r="C679" s="296" t="s">
        <v>7732</v>
      </c>
      <c r="D679" s="296" t="s">
        <v>7558</v>
      </c>
      <c r="E679" s="296" t="s">
        <v>7732</v>
      </c>
      <c r="F679" s="296"/>
      <c r="G679" s="296" t="s">
        <v>8506</v>
      </c>
      <c r="H679" s="297" t="s">
        <v>8697</v>
      </c>
      <c r="I679" s="297">
        <v>4</v>
      </c>
      <c r="J679" s="297">
        <v>4220</v>
      </c>
      <c r="K679" s="299"/>
      <c r="L679" s="299"/>
      <c r="M679" s="299">
        <v>111</v>
      </c>
      <c r="N679" s="299">
        <v>10</v>
      </c>
      <c r="O679" s="300">
        <v>42</v>
      </c>
      <c r="P679" s="301">
        <v>42090</v>
      </c>
      <c r="Q679" s="302"/>
      <c r="R679" s="303"/>
      <c r="S679" s="289">
        <v>4.8</v>
      </c>
      <c r="T679" s="303">
        <v>42208</v>
      </c>
      <c r="U679" s="302"/>
      <c r="V679" s="303"/>
      <c r="W679" s="302"/>
      <c r="X679" s="303"/>
      <c r="Y679" s="302">
        <v>18.600000000000001</v>
      </c>
      <c r="Z679" s="303">
        <v>42208</v>
      </c>
      <c r="AA679">
        <v>14.4</v>
      </c>
      <c r="AB679" s="303"/>
      <c r="AC679" s="302"/>
      <c r="AD679" s="303"/>
      <c r="AE679" s="302"/>
      <c r="AF679" s="303"/>
      <c r="AG679">
        <v>65958.865248226939</v>
      </c>
      <c r="AH679" s="521">
        <f>(AK679*10000)/AM679</f>
        <v>65958.865248226939</v>
      </c>
      <c r="AI679" s="302"/>
      <c r="AJ679" s="303"/>
      <c r="AK679">
        <v>31.000666666666664</v>
      </c>
      <c r="AL679" s="521"/>
      <c r="AM679">
        <v>4.7</v>
      </c>
      <c r="AN679" s="303">
        <v>42244</v>
      </c>
      <c r="AO679">
        <v>130</v>
      </c>
      <c r="AP679" s="303">
        <v>42170</v>
      </c>
      <c r="AQ679" s="302"/>
      <c r="AR679" s="303"/>
      <c r="AS679" s="302"/>
      <c r="AT679" s="303"/>
      <c r="AU679">
        <v>110</v>
      </c>
      <c r="AV679" s="303"/>
      <c r="AW679" s="302"/>
      <c r="AX679" s="302"/>
      <c r="AY679" s="302"/>
      <c r="AZ679" s="303"/>
      <c r="BA679" s="302"/>
      <c r="BB679" s="302"/>
      <c r="BC679" s="302"/>
      <c r="BD679" s="302"/>
      <c r="BE679" s="302"/>
      <c r="BF679" s="302"/>
      <c r="BG679" s="302"/>
      <c r="BH679" s="302"/>
      <c r="BI679" s="302"/>
      <c r="BJ679" s="302"/>
      <c r="BM679">
        <v>-3.7</v>
      </c>
      <c r="BS679">
        <v>59.9</v>
      </c>
      <c r="BY679">
        <v>53.5</v>
      </c>
      <c r="CA679">
        <v>14.6</v>
      </c>
      <c r="CC679">
        <v>14.8</v>
      </c>
      <c r="CI679">
        <v>5.0999999999999996</v>
      </c>
      <c r="CO679" t="s">
        <v>8698</v>
      </c>
      <c r="CR679">
        <v>1</v>
      </c>
      <c r="CT679" s="304" t="s">
        <v>11678</v>
      </c>
    </row>
    <row r="680" spans="1:98" s="304" customFormat="1">
      <c r="A680" s="304" t="s">
        <v>8506</v>
      </c>
      <c r="B680" s="463">
        <v>130</v>
      </c>
      <c r="C680" s="296" t="s">
        <v>7758</v>
      </c>
      <c r="D680" s="296" t="s">
        <v>7568</v>
      </c>
      <c r="E680" s="296" t="s">
        <v>7758</v>
      </c>
      <c r="F680" s="296"/>
      <c r="G680" s="296" t="s">
        <v>8506</v>
      </c>
      <c r="H680" s="297" t="s">
        <v>8696</v>
      </c>
      <c r="I680" s="297">
        <v>3</v>
      </c>
      <c r="J680" s="297">
        <v>3220</v>
      </c>
      <c r="K680" s="299"/>
      <c r="L680" s="299"/>
      <c r="M680" s="299">
        <v>111</v>
      </c>
      <c r="N680" s="299">
        <v>4</v>
      </c>
      <c r="O680" s="300">
        <v>35</v>
      </c>
      <c r="P680" s="301">
        <v>42090</v>
      </c>
      <c r="Q680" s="302"/>
      <c r="R680" s="303"/>
      <c r="S680" s="289">
        <v>6.25</v>
      </c>
      <c r="T680" s="303">
        <v>42208</v>
      </c>
      <c r="U680" s="302"/>
      <c r="V680" s="303"/>
      <c r="W680" s="302"/>
      <c r="X680" s="303"/>
      <c r="Y680" s="302">
        <v>23.08</v>
      </c>
      <c r="Z680" s="303">
        <v>42208</v>
      </c>
      <c r="AA680">
        <v>14.4</v>
      </c>
      <c r="AB680" s="303"/>
      <c r="AC680" s="302"/>
      <c r="AD680" s="303"/>
      <c r="AE680" s="302"/>
      <c r="AF680" s="303"/>
      <c r="AG680">
        <v>73391.729797979802</v>
      </c>
      <c r="AH680" s="521">
        <f>(AK680*10000)/AM680</f>
        <v>73391.729797979802</v>
      </c>
      <c r="AI680" s="302"/>
      <c r="AJ680" s="303"/>
      <c r="AK680">
        <v>40.365451388888893</v>
      </c>
      <c r="AL680" s="521"/>
      <c r="AM680">
        <v>5.5</v>
      </c>
      <c r="AN680" s="303">
        <v>42244</v>
      </c>
      <c r="AO680">
        <v>145</v>
      </c>
      <c r="AP680" s="303">
        <v>42170</v>
      </c>
      <c r="AQ680" s="302"/>
      <c r="AR680" s="303"/>
      <c r="AS680" s="302"/>
      <c r="AT680" s="303"/>
      <c r="AU680">
        <v>107</v>
      </c>
      <c r="AV680" s="303"/>
      <c r="AW680" s="302"/>
      <c r="AX680" s="302"/>
      <c r="AY680" s="302"/>
      <c r="AZ680" s="303"/>
      <c r="BA680" s="302"/>
      <c r="BB680" s="302"/>
      <c r="BC680" s="302"/>
      <c r="BD680" s="302"/>
      <c r="BE680" s="302"/>
      <c r="BF680" s="302"/>
      <c r="BG680" s="302"/>
      <c r="BH680" s="302"/>
      <c r="BI680" s="302"/>
      <c r="BJ680" s="302"/>
      <c r="BM680">
        <v>0.4</v>
      </c>
      <c r="BS680">
        <v>60.5</v>
      </c>
      <c r="BY680">
        <v>51</v>
      </c>
      <c r="CA680">
        <v>18.3</v>
      </c>
      <c r="CC680">
        <v>19.399999999999999</v>
      </c>
      <c r="CI680">
        <v>5.0999999999999996</v>
      </c>
      <c r="CO680" t="s">
        <v>8700</v>
      </c>
      <c r="CR680">
        <v>2</v>
      </c>
      <c r="CT680" s="304" t="s">
        <v>11678</v>
      </c>
    </row>
    <row r="681" spans="1:98" s="304" customFormat="1">
      <c r="A681" s="304" t="s">
        <v>8506</v>
      </c>
      <c r="B681" s="463">
        <v>176</v>
      </c>
      <c r="C681" s="296" t="s">
        <v>7804</v>
      </c>
      <c r="D681" s="296" t="s">
        <v>7601</v>
      </c>
      <c r="E681" s="296" t="s">
        <v>7804</v>
      </c>
      <c r="F681" s="296"/>
      <c r="G681" s="296" t="s">
        <v>8506</v>
      </c>
      <c r="H681" s="297" t="s">
        <v>8697</v>
      </c>
      <c r="I681" s="297">
        <v>4</v>
      </c>
      <c r="J681" s="297">
        <v>4100</v>
      </c>
      <c r="K681" s="299"/>
      <c r="L681" s="299"/>
      <c r="M681" s="299">
        <v>111</v>
      </c>
      <c r="N681" s="299">
        <v>8</v>
      </c>
      <c r="O681" s="300">
        <v>48</v>
      </c>
      <c r="P681" s="301">
        <v>42090</v>
      </c>
      <c r="Q681" s="302"/>
      <c r="R681" s="303"/>
      <c r="S681" s="289">
        <v>5.35</v>
      </c>
      <c r="T681" s="303">
        <v>42208</v>
      </c>
      <c r="U681" s="302"/>
      <c r="V681" s="303"/>
      <c r="W681" s="302"/>
      <c r="X681" s="303"/>
      <c r="Y681" s="302">
        <v>20.190000000000001</v>
      </c>
      <c r="Z681" s="303">
        <v>42208</v>
      </c>
      <c r="AA681">
        <v>14.4</v>
      </c>
      <c r="AB681" s="303"/>
      <c r="AC681" s="302"/>
      <c r="AD681" s="303"/>
      <c r="AE681" s="302"/>
      <c r="AF681" s="303"/>
      <c r="AG681">
        <v>76945.879629629606</v>
      </c>
      <c r="AH681" s="521">
        <f>(AK681*10000)/AM681</f>
        <v>76945.879629629606</v>
      </c>
      <c r="AI681" s="302"/>
      <c r="AJ681" s="303"/>
      <c r="AK681">
        <v>34.625645833333323</v>
      </c>
      <c r="AL681" s="521"/>
      <c r="AM681">
        <v>4.5</v>
      </c>
      <c r="AN681" s="303">
        <v>42244</v>
      </c>
      <c r="AO681">
        <v>105</v>
      </c>
      <c r="AP681" s="303">
        <v>42170</v>
      </c>
      <c r="AQ681" s="302"/>
      <c r="AR681" s="303"/>
      <c r="AS681" s="302"/>
      <c r="AT681" s="303"/>
      <c r="AU681">
        <v>108</v>
      </c>
      <c r="AV681" s="303"/>
      <c r="AW681" s="302"/>
      <c r="AX681" s="302"/>
      <c r="AY681" s="302"/>
      <c r="AZ681" s="303"/>
      <c r="BA681" s="302"/>
      <c r="BB681" s="302"/>
      <c r="BC681" s="302"/>
      <c r="BD681" s="302"/>
      <c r="BE681" s="302"/>
      <c r="BF681" s="302"/>
      <c r="BG681" s="302"/>
      <c r="BH681" s="302"/>
      <c r="BI681" s="302"/>
      <c r="BJ681" s="302"/>
      <c r="BM681">
        <v>0.4</v>
      </c>
      <c r="BS681">
        <v>59.4</v>
      </c>
      <c r="BY681">
        <v>52</v>
      </c>
      <c r="CA681">
        <v>15.2</v>
      </c>
      <c r="CC681">
        <v>18.7</v>
      </c>
      <c r="CI681">
        <v>4.9000000000000004</v>
      </c>
      <c r="CO681" t="s">
        <v>8698</v>
      </c>
      <c r="CR681">
        <v>1</v>
      </c>
      <c r="CT681" s="304" t="s">
        <v>11678</v>
      </c>
    </row>
    <row r="682" spans="1:98" s="304" customFormat="1">
      <c r="A682" s="304" t="s">
        <v>8506</v>
      </c>
      <c r="B682" s="463">
        <v>9</v>
      </c>
      <c r="C682" s="296" t="s">
        <v>7618</v>
      </c>
      <c r="D682" s="296" t="s">
        <v>7458</v>
      </c>
      <c r="E682" s="296" t="s">
        <v>7618</v>
      </c>
      <c r="F682" s="296"/>
      <c r="G682" s="296" t="s">
        <v>8506</v>
      </c>
      <c r="H682" s="297" t="s">
        <v>8696</v>
      </c>
      <c r="I682" s="297">
        <v>3</v>
      </c>
      <c r="J682" s="297">
        <v>3341</v>
      </c>
      <c r="K682" s="299"/>
      <c r="L682" s="299"/>
      <c r="M682" s="299">
        <v>112</v>
      </c>
      <c r="N682" s="299">
        <v>6</v>
      </c>
      <c r="O682" s="300">
        <v>46</v>
      </c>
      <c r="P682" s="301">
        <v>42090</v>
      </c>
      <c r="Q682" s="302"/>
      <c r="R682" s="303"/>
      <c r="S682" s="289">
        <v>4.45</v>
      </c>
      <c r="T682" s="303">
        <v>42208</v>
      </c>
      <c r="U682" s="302"/>
      <c r="V682" s="303"/>
      <c r="W682" s="302"/>
      <c r="X682" s="303"/>
      <c r="Y682" s="302">
        <v>15.32</v>
      </c>
      <c r="Z682" s="303">
        <v>42208</v>
      </c>
      <c r="AA682">
        <v>14.4</v>
      </c>
      <c r="AB682" s="303"/>
      <c r="AC682" s="302"/>
      <c r="AD682" s="303"/>
      <c r="AE682" s="302"/>
      <c r="AF682" s="303"/>
      <c r="AG682">
        <v>54978.418803418805</v>
      </c>
      <c r="AH682" s="521">
        <f>(AK682*10000)/AM682</f>
        <v>54978.418803418805</v>
      </c>
      <c r="AI682" s="302"/>
      <c r="AJ682" s="303"/>
      <c r="AK682">
        <v>28.588777777777779</v>
      </c>
      <c r="AL682" s="521"/>
      <c r="AM682">
        <v>5.2</v>
      </c>
      <c r="AN682" s="303">
        <v>42244</v>
      </c>
      <c r="AO682">
        <v>145</v>
      </c>
      <c r="AP682" s="303">
        <v>42170</v>
      </c>
      <c r="AQ682" s="302"/>
      <c r="AR682" s="303"/>
      <c r="AS682" s="302"/>
      <c r="AT682" s="303"/>
      <c r="AU682">
        <v>108</v>
      </c>
      <c r="AV682" s="303"/>
      <c r="AW682" s="302"/>
      <c r="AX682" s="302"/>
      <c r="AY682" s="302"/>
      <c r="AZ682" s="303"/>
      <c r="BA682" s="302"/>
      <c r="BB682" s="302"/>
      <c r="BC682" s="302"/>
      <c r="BD682" s="302"/>
      <c r="BE682" s="302"/>
      <c r="BF682" s="302"/>
      <c r="BG682" s="302"/>
      <c r="BH682" s="302"/>
      <c r="BI682" s="302"/>
      <c r="BJ682" s="302"/>
      <c r="BM682">
        <v>40.4</v>
      </c>
      <c r="BS682">
        <v>14.4</v>
      </c>
      <c r="BY682">
        <v>47.8</v>
      </c>
      <c r="CA682">
        <v>22.5</v>
      </c>
      <c r="CC682">
        <v>70.400000000000006</v>
      </c>
      <c r="CI682">
        <v>5.6</v>
      </c>
      <c r="CO682" t="s">
        <v>8698</v>
      </c>
      <c r="CR682">
        <v>5</v>
      </c>
      <c r="CT682" s="304" t="s">
        <v>11678</v>
      </c>
    </row>
    <row r="683" spans="1:98" s="304" customFormat="1">
      <c r="A683" s="304" t="s">
        <v>8506</v>
      </c>
      <c r="B683" s="463">
        <v>13</v>
      </c>
      <c r="C683" s="296" t="s">
        <v>7622</v>
      </c>
      <c r="D683" s="296" t="s">
        <v>7813</v>
      </c>
      <c r="E683" s="296" t="s">
        <v>7622</v>
      </c>
      <c r="F683" s="296"/>
      <c r="G683" s="296" t="s">
        <v>8506</v>
      </c>
      <c r="H683" s="297" t="s">
        <v>8697</v>
      </c>
      <c r="I683" s="297">
        <v>4</v>
      </c>
      <c r="J683" s="297">
        <v>4161</v>
      </c>
      <c r="K683" s="299"/>
      <c r="L683" s="299"/>
      <c r="M683" s="299">
        <v>112</v>
      </c>
      <c r="N683" s="299">
        <v>9</v>
      </c>
      <c r="O683" s="300">
        <v>57</v>
      </c>
      <c r="P683" s="301">
        <v>42090</v>
      </c>
      <c r="Q683" s="302"/>
      <c r="R683" s="303"/>
      <c r="S683" s="289">
        <v>3.8</v>
      </c>
      <c r="T683" s="303">
        <v>42208</v>
      </c>
      <c r="U683" s="302"/>
      <c r="V683" s="303"/>
      <c r="W683" s="302"/>
      <c r="X683" s="303"/>
      <c r="Y683" s="302">
        <v>13.95</v>
      </c>
      <c r="Z683" s="303">
        <v>42208</v>
      </c>
      <c r="AA683">
        <v>14.4</v>
      </c>
      <c r="AB683" s="303"/>
      <c r="AC683" s="302"/>
      <c r="AD683" s="303"/>
      <c r="AE683" s="302"/>
      <c r="AF683" s="303"/>
      <c r="AG683">
        <v>47196.527777777774</v>
      </c>
      <c r="AH683" s="521">
        <f>(AK683*10000)/AM683</f>
        <v>47196.527777777774</v>
      </c>
      <c r="AI683" s="302"/>
      <c r="AJ683" s="303"/>
      <c r="AK683">
        <v>24.542194444444444</v>
      </c>
      <c r="AL683" s="521"/>
      <c r="AM683">
        <v>5.2</v>
      </c>
      <c r="AN683" s="303">
        <v>42244</v>
      </c>
      <c r="AO683">
        <v>145</v>
      </c>
      <c r="AP683" s="303">
        <v>42170</v>
      </c>
      <c r="AQ683" s="302"/>
      <c r="AR683" s="303"/>
      <c r="AS683" s="302"/>
      <c r="AT683" s="303"/>
      <c r="AU683">
        <v>107</v>
      </c>
      <c r="AV683" s="303"/>
      <c r="AW683" s="302"/>
      <c r="AX683" s="302"/>
      <c r="AY683" s="302"/>
      <c r="AZ683" s="303"/>
      <c r="BA683" s="302"/>
      <c r="BB683" s="302"/>
      <c r="BC683" s="302"/>
      <c r="BD683" s="302"/>
      <c r="BE683" s="302"/>
      <c r="BF683" s="302"/>
      <c r="BG683" s="302"/>
      <c r="BH683" s="302"/>
      <c r="BI683" s="302"/>
      <c r="BJ683" s="302"/>
      <c r="BM683">
        <v>16.8</v>
      </c>
      <c r="BS683">
        <v>40.299999999999997</v>
      </c>
      <c r="BY683">
        <v>50.7</v>
      </c>
      <c r="CA683">
        <v>18.399999999999999</v>
      </c>
      <c r="CC683">
        <v>43.5</v>
      </c>
      <c r="CI683">
        <v>5.0999999999999996</v>
      </c>
      <c r="CO683" t="s">
        <v>8698</v>
      </c>
      <c r="CR683">
        <v>3</v>
      </c>
      <c r="CT683" s="304" t="s">
        <v>11678</v>
      </c>
    </row>
    <row r="684" spans="1:98" s="304" customFormat="1">
      <c r="A684" s="304" t="s">
        <v>8506</v>
      </c>
      <c r="B684" s="463">
        <v>14</v>
      </c>
      <c r="C684" s="296" t="s">
        <v>7623</v>
      </c>
      <c r="D684" s="296" t="s">
        <v>7461</v>
      </c>
      <c r="E684" s="296" t="s">
        <v>7623</v>
      </c>
      <c r="F684" s="296"/>
      <c r="G684" s="296" t="s">
        <v>8506</v>
      </c>
      <c r="H684" s="297" t="s">
        <v>8697</v>
      </c>
      <c r="I684" s="297">
        <v>4</v>
      </c>
      <c r="J684" s="297">
        <v>4221</v>
      </c>
      <c r="K684" s="299"/>
      <c r="L684" s="299"/>
      <c r="M684" s="299">
        <v>112</v>
      </c>
      <c r="N684" s="299">
        <v>10</v>
      </c>
      <c r="O684" s="300">
        <v>42</v>
      </c>
      <c r="P684" s="301">
        <v>42090</v>
      </c>
      <c r="Q684" s="302"/>
      <c r="R684" s="303"/>
      <c r="S684" s="289">
        <v>3.3</v>
      </c>
      <c r="T684" s="303">
        <v>42208</v>
      </c>
      <c r="U684" s="302"/>
      <c r="V684" s="303"/>
      <c r="W684" s="302"/>
      <c r="X684" s="303"/>
      <c r="Y684" s="302">
        <v>13.11</v>
      </c>
      <c r="Z684" s="303">
        <v>42208</v>
      </c>
      <c r="AA684">
        <v>14.4</v>
      </c>
      <c r="AB684" s="303"/>
      <c r="AC684" s="302"/>
      <c r="AD684" s="303"/>
      <c r="AE684" s="302"/>
      <c r="AF684" s="303"/>
      <c r="AG684">
        <v>43541.666666666657</v>
      </c>
      <c r="AH684" s="521">
        <f>(AK684*10000)/AM684</f>
        <v>43541.666666666657</v>
      </c>
      <c r="AI684" s="302"/>
      <c r="AJ684" s="303"/>
      <c r="AK684">
        <v>21.335416666666664</v>
      </c>
      <c r="AL684" s="521"/>
      <c r="AM684">
        <v>4.9000000000000004</v>
      </c>
      <c r="AN684" s="303">
        <v>42244</v>
      </c>
      <c r="AO684">
        <v>120</v>
      </c>
      <c r="AP684" s="303">
        <v>42170</v>
      </c>
      <c r="AQ684" s="302"/>
      <c r="AR684" s="303"/>
      <c r="AS684" s="302"/>
      <c r="AT684" s="303"/>
      <c r="AU684">
        <v>109</v>
      </c>
      <c r="AV684" s="303"/>
      <c r="AW684" s="302"/>
      <c r="AX684" s="302"/>
      <c r="AY684" s="302"/>
      <c r="AZ684" s="303"/>
      <c r="BA684" s="302"/>
      <c r="BB684" s="302"/>
      <c r="BC684" s="302"/>
      <c r="BD684" s="302"/>
      <c r="BE684" s="302"/>
      <c r="BF684" s="302"/>
      <c r="BG684" s="302"/>
      <c r="BH684" s="302"/>
      <c r="BI684" s="302"/>
      <c r="BJ684" s="302"/>
      <c r="BM684">
        <v>38.299999999999997</v>
      </c>
      <c r="BS684">
        <v>17.100000000000001</v>
      </c>
      <c r="BY684">
        <v>54.8</v>
      </c>
      <c r="CA684">
        <v>16.600000000000001</v>
      </c>
      <c r="CC684">
        <v>54.9</v>
      </c>
      <c r="CI684">
        <v>5</v>
      </c>
      <c r="CO684" t="s">
        <v>8698</v>
      </c>
      <c r="CR684">
        <v>2</v>
      </c>
      <c r="CT684" s="304" t="s">
        <v>11678</v>
      </c>
    </row>
    <row r="685" spans="1:98" s="304" customFormat="1">
      <c r="A685" s="304" t="s">
        <v>8506</v>
      </c>
      <c r="B685" s="463">
        <v>90</v>
      </c>
      <c r="C685" s="296" t="s">
        <v>7708</v>
      </c>
      <c r="D685" s="296" t="s">
        <v>7537</v>
      </c>
      <c r="E685" s="296" t="s">
        <v>7708</v>
      </c>
      <c r="F685" s="296"/>
      <c r="G685" s="296" t="s">
        <v>8506</v>
      </c>
      <c r="H685" s="297" t="s">
        <v>8696</v>
      </c>
      <c r="I685" s="297">
        <v>3</v>
      </c>
      <c r="J685" s="297">
        <v>3281</v>
      </c>
      <c r="K685" s="299"/>
      <c r="L685" s="299"/>
      <c r="M685" s="299">
        <v>112</v>
      </c>
      <c r="N685" s="299">
        <v>5</v>
      </c>
      <c r="O685" s="300">
        <v>20</v>
      </c>
      <c r="P685" s="301">
        <v>42090</v>
      </c>
      <c r="Q685" s="302"/>
      <c r="R685" s="303"/>
      <c r="S685" s="289">
        <v>4.7</v>
      </c>
      <c r="T685" s="303">
        <v>42208</v>
      </c>
      <c r="U685" s="302"/>
      <c r="V685" s="303"/>
      <c r="W685" s="302"/>
      <c r="X685" s="303"/>
      <c r="Y685" s="302">
        <v>16.95</v>
      </c>
      <c r="Z685" s="303">
        <v>42208</v>
      </c>
      <c r="AA685">
        <v>14.4</v>
      </c>
      <c r="AB685" s="303"/>
      <c r="AC685" s="302"/>
      <c r="AD685" s="303"/>
      <c r="AE685" s="302"/>
      <c r="AF685" s="303"/>
      <c r="AG685">
        <v>59770.12527233117</v>
      </c>
      <c r="AH685" s="521">
        <f>(AK685*10000)/AM685</f>
        <v>59770.12527233117</v>
      </c>
      <c r="AI685" s="302"/>
      <c r="AJ685" s="303"/>
      <c r="AK685">
        <v>30.482763888888893</v>
      </c>
      <c r="AL685" s="521"/>
      <c r="AM685">
        <v>5.0999999999999996</v>
      </c>
      <c r="AN685" s="303">
        <v>42244</v>
      </c>
      <c r="AO685">
        <v>120</v>
      </c>
      <c r="AP685" s="303">
        <v>42170</v>
      </c>
      <c r="AQ685" s="302"/>
      <c r="AR685" s="303"/>
      <c r="AS685" s="302"/>
      <c r="AT685" s="303"/>
      <c r="AU685">
        <v>108</v>
      </c>
      <c r="AV685" s="303"/>
      <c r="AW685" s="302"/>
      <c r="AX685" s="302"/>
      <c r="AY685" s="302"/>
      <c r="AZ685" s="303"/>
      <c r="BA685" s="302"/>
      <c r="BB685" s="302"/>
      <c r="BC685" s="302"/>
      <c r="BD685" s="302"/>
      <c r="BE685" s="302"/>
      <c r="BF685" s="302"/>
      <c r="BG685" s="302"/>
      <c r="BH685" s="302"/>
      <c r="BI685" s="302"/>
      <c r="BJ685" s="302"/>
      <c r="BM685">
        <v>-5</v>
      </c>
      <c r="BS685">
        <v>61.6</v>
      </c>
      <c r="BY685">
        <v>49.6</v>
      </c>
      <c r="CA685">
        <v>17.5</v>
      </c>
      <c r="CC685">
        <v>16.3</v>
      </c>
      <c r="CI685">
        <v>4.7</v>
      </c>
      <c r="CO685" t="s">
        <v>8698</v>
      </c>
      <c r="CR685">
        <v>2</v>
      </c>
      <c r="CT685" s="304" t="s">
        <v>11678</v>
      </c>
    </row>
    <row r="686" spans="1:98" s="304" customFormat="1">
      <c r="A686" s="304" t="s">
        <v>8506</v>
      </c>
      <c r="B686" s="463">
        <v>35</v>
      </c>
      <c r="C686" s="296" t="s">
        <v>7650</v>
      </c>
      <c r="D686" s="296" t="s">
        <v>260</v>
      </c>
      <c r="E686" s="296" t="s">
        <v>7650</v>
      </c>
      <c r="F686" s="296"/>
      <c r="G686" s="296" t="s">
        <v>8506</v>
      </c>
      <c r="H686" s="297" t="s">
        <v>8697</v>
      </c>
      <c r="I686" s="297">
        <v>4</v>
      </c>
      <c r="J686" s="297">
        <v>4342</v>
      </c>
      <c r="K686" s="299"/>
      <c r="L686" s="299"/>
      <c r="M686" s="299">
        <v>113</v>
      </c>
      <c r="N686" s="299">
        <v>12</v>
      </c>
      <c r="O686" s="300">
        <v>51</v>
      </c>
      <c r="P686" s="301">
        <v>42090</v>
      </c>
      <c r="Q686" s="302"/>
      <c r="R686" s="303"/>
      <c r="S686" s="289">
        <v>4.3</v>
      </c>
      <c r="T686" s="303">
        <v>42208</v>
      </c>
      <c r="U686" s="302"/>
      <c r="V686" s="303"/>
      <c r="W686" s="302"/>
      <c r="X686" s="303"/>
      <c r="Y686" s="302">
        <v>16.47</v>
      </c>
      <c r="Z686" s="303">
        <v>42208</v>
      </c>
      <c r="AA686">
        <v>14.4</v>
      </c>
      <c r="AB686" s="303"/>
      <c r="AC686" s="302"/>
      <c r="AD686" s="303"/>
      <c r="AE686" s="302"/>
      <c r="AF686" s="303"/>
      <c r="AG686">
        <v>67735.196476964789</v>
      </c>
      <c r="AH686" s="521">
        <f>(AK686*10000)/AM686</f>
        <v>67735.196476964789</v>
      </c>
      <c r="AI686" s="302"/>
      <c r="AJ686" s="303"/>
      <c r="AK686">
        <v>27.771430555555561</v>
      </c>
      <c r="AL686" s="521"/>
      <c r="AM686">
        <v>4.0999999999999996</v>
      </c>
      <c r="AN686" s="303">
        <v>42244</v>
      </c>
      <c r="AO686">
        <v>105</v>
      </c>
      <c r="AP686" s="303">
        <v>42170</v>
      </c>
      <c r="AQ686" s="302"/>
      <c r="AR686" s="303"/>
      <c r="AS686" s="302"/>
      <c r="AT686" s="303"/>
      <c r="AU686">
        <v>108</v>
      </c>
      <c r="AV686" s="303"/>
      <c r="AW686" s="302"/>
      <c r="AX686" s="302"/>
      <c r="AY686" s="302"/>
      <c r="AZ686" s="303"/>
      <c r="BA686" s="302"/>
      <c r="BB686" s="302"/>
      <c r="BC686" s="302"/>
      <c r="BD686" s="302"/>
      <c r="BE686" s="302"/>
      <c r="BF686" s="302"/>
      <c r="BG686" s="302"/>
      <c r="BH686" s="302"/>
      <c r="BI686" s="302"/>
      <c r="BJ686" s="302"/>
      <c r="BM686">
        <v>-3.2</v>
      </c>
      <c r="BS686">
        <v>57.6</v>
      </c>
      <c r="BY686">
        <v>52.9</v>
      </c>
      <c r="CA686">
        <v>17</v>
      </c>
      <c r="CC686">
        <v>52.4</v>
      </c>
      <c r="CI686">
        <v>5.0999999999999996</v>
      </c>
      <c r="CO686" t="s">
        <v>8698</v>
      </c>
      <c r="CR686">
        <v>1</v>
      </c>
      <c r="CT686" s="304" t="s">
        <v>11678</v>
      </c>
    </row>
    <row r="687" spans="1:98" s="304" customFormat="1">
      <c r="A687" s="304" t="s">
        <v>8506</v>
      </c>
      <c r="B687" s="463">
        <v>62</v>
      </c>
      <c r="C687" s="296" t="s">
        <v>7680</v>
      </c>
      <c r="D687" s="296" t="s">
        <v>7510</v>
      </c>
      <c r="E687" s="296" t="s">
        <v>7680</v>
      </c>
      <c r="F687" s="296"/>
      <c r="G687" s="296" t="s">
        <v>8506</v>
      </c>
      <c r="H687" s="297" t="s">
        <v>8697</v>
      </c>
      <c r="I687" s="297">
        <v>4</v>
      </c>
      <c r="J687" s="297">
        <v>4102</v>
      </c>
      <c r="K687" s="299"/>
      <c r="L687" s="299"/>
      <c r="M687" s="299">
        <v>113</v>
      </c>
      <c r="N687" s="299">
        <v>8</v>
      </c>
      <c r="O687" s="300">
        <v>35</v>
      </c>
      <c r="P687" s="301">
        <v>42090</v>
      </c>
      <c r="Q687" s="302"/>
      <c r="R687" s="303"/>
      <c r="S687" s="289">
        <v>3.75</v>
      </c>
      <c r="T687" s="303">
        <v>42208</v>
      </c>
      <c r="U687" s="302"/>
      <c r="V687" s="303"/>
      <c r="W687" s="302"/>
      <c r="X687" s="303"/>
      <c r="Y687" s="302">
        <v>13.71</v>
      </c>
      <c r="Z687" s="303">
        <v>42208</v>
      </c>
      <c r="AA687">
        <v>14.4</v>
      </c>
      <c r="AB687" s="303"/>
      <c r="AC687" s="302"/>
      <c r="AD687" s="303"/>
      <c r="AE687" s="302"/>
      <c r="AF687" s="303"/>
      <c r="AG687">
        <v>43157.552083333343</v>
      </c>
      <c r="AH687" s="521">
        <f>(AK687*10000)/AM687</f>
        <v>43157.552083333343</v>
      </c>
      <c r="AI687" s="302"/>
      <c r="AJ687" s="303"/>
      <c r="AK687">
        <v>24.16822916666667</v>
      </c>
      <c r="AL687" s="521"/>
      <c r="AM687">
        <v>5.6</v>
      </c>
      <c r="AN687" s="303">
        <v>42244</v>
      </c>
      <c r="AO687">
        <v>120</v>
      </c>
      <c r="AP687" s="303">
        <v>42170</v>
      </c>
      <c r="AQ687" s="302"/>
      <c r="AR687" s="303"/>
      <c r="AS687" s="302"/>
      <c r="AT687" s="303"/>
      <c r="AU687">
        <v>112</v>
      </c>
      <c r="AV687" s="303"/>
      <c r="AW687" s="302"/>
      <c r="AX687" s="302"/>
      <c r="AY687" s="302"/>
      <c r="AZ687" s="303"/>
      <c r="BA687" s="302"/>
      <c r="BB687" s="302"/>
      <c r="BC687" s="302"/>
      <c r="BD687" s="302"/>
      <c r="BE687" s="302"/>
      <c r="BF687" s="302"/>
      <c r="BG687" s="302"/>
      <c r="BH687" s="302"/>
      <c r="BI687" s="302"/>
      <c r="BJ687" s="302"/>
      <c r="BM687">
        <v>1.9</v>
      </c>
      <c r="BS687">
        <v>58.2</v>
      </c>
      <c r="BY687">
        <v>50.6</v>
      </c>
      <c r="CA687">
        <v>17.600000000000001</v>
      </c>
      <c r="CC687">
        <v>28</v>
      </c>
      <c r="CI687">
        <v>5.3</v>
      </c>
      <c r="CO687" t="s">
        <v>8698</v>
      </c>
      <c r="CR687">
        <v>3</v>
      </c>
      <c r="CT687" s="304" t="s">
        <v>11678</v>
      </c>
    </row>
    <row r="688" spans="1:98" s="304" customFormat="1">
      <c r="A688" s="304" t="s">
        <v>8506</v>
      </c>
      <c r="B688" s="463">
        <v>94</v>
      </c>
      <c r="C688" s="296" t="s">
        <v>7712</v>
      </c>
      <c r="D688" s="296" t="s">
        <v>259</v>
      </c>
      <c r="E688" s="296" t="s">
        <v>7712</v>
      </c>
      <c r="F688" s="296"/>
      <c r="G688" s="296" t="s">
        <v>8506</v>
      </c>
      <c r="H688" s="297" t="s">
        <v>8696</v>
      </c>
      <c r="I688" s="297">
        <v>3</v>
      </c>
      <c r="J688" s="297">
        <v>3222</v>
      </c>
      <c r="K688" s="299"/>
      <c r="L688" s="299"/>
      <c r="M688" s="299">
        <v>113</v>
      </c>
      <c r="N688" s="299">
        <v>4</v>
      </c>
      <c r="O688" s="300">
        <v>24</v>
      </c>
      <c r="P688" s="301">
        <v>42090</v>
      </c>
      <c r="Q688" s="302"/>
      <c r="R688" s="303"/>
      <c r="S688" s="289">
        <v>6.45</v>
      </c>
      <c r="T688" s="303">
        <v>42208</v>
      </c>
      <c r="U688" s="302"/>
      <c r="V688" s="303"/>
      <c r="W688" s="302"/>
      <c r="X688" s="303"/>
      <c r="Y688" s="302">
        <v>24.79</v>
      </c>
      <c r="Z688" s="303">
        <v>42208</v>
      </c>
      <c r="AA688">
        <v>14.4</v>
      </c>
      <c r="AB688" s="303"/>
      <c r="AC688" s="302"/>
      <c r="AD688" s="303"/>
      <c r="AE688" s="302"/>
      <c r="AF688" s="303"/>
      <c r="AG688">
        <v>86237.022569444453</v>
      </c>
      <c r="AH688" s="521">
        <f>(AK688*10000)/AM688</f>
        <v>86237.022569444453</v>
      </c>
      <c r="AI688" s="302"/>
      <c r="AJ688" s="303"/>
      <c r="AK688">
        <v>41.393770833333335</v>
      </c>
      <c r="AL688" s="521"/>
      <c r="AM688">
        <v>4.8</v>
      </c>
      <c r="AN688" s="303">
        <v>42244</v>
      </c>
      <c r="AO688">
        <v>145</v>
      </c>
      <c r="AP688" s="303">
        <v>42170</v>
      </c>
      <c r="AQ688" s="302"/>
      <c r="AR688" s="303"/>
      <c r="AS688" s="302"/>
      <c r="AT688" s="303"/>
      <c r="AU688">
        <v>104</v>
      </c>
      <c r="AV688" s="303"/>
      <c r="AW688" s="302"/>
      <c r="AX688" s="302"/>
      <c r="AY688" s="302"/>
      <c r="AZ688" s="303"/>
      <c r="BA688" s="302"/>
      <c r="BB688" s="302"/>
      <c r="BC688" s="302"/>
      <c r="BD688" s="302"/>
      <c r="BE688" s="302"/>
      <c r="BF688" s="302"/>
      <c r="BG688" s="302"/>
      <c r="BH688" s="302"/>
      <c r="BI688" s="302"/>
      <c r="BJ688" s="302"/>
      <c r="BM688">
        <v>-4.0999999999999996</v>
      </c>
      <c r="BS688">
        <v>63.9</v>
      </c>
      <c r="BY688">
        <v>53.4</v>
      </c>
      <c r="CA688">
        <v>17.100000000000001</v>
      </c>
      <c r="CC688">
        <v>12.8</v>
      </c>
      <c r="CI688">
        <v>5.7</v>
      </c>
      <c r="CO688" t="s">
        <v>8698</v>
      </c>
      <c r="CR688">
        <v>3</v>
      </c>
      <c r="CT688" s="304" t="s">
        <v>11678</v>
      </c>
    </row>
    <row r="689" spans="1:98" s="304" customFormat="1">
      <c r="A689" s="304" t="s">
        <v>8506</v>
      </c>
      <c r="B689" s="463">
        <v>95</v>
      </c>
      <c r="C689" s="296" t="s">
        <v>7713</v>
      </c>
      <c r="D689" s="296" t="s">
        <v>7540</v>
      </c>
      <c r="E689" s="296" t="s">
        <v>7713</v>
      </c>
      <c r="F689" s="296"/>
      <c r="G689" s="296" t="s">
        <v>8506</v>
      </c>
      <c r="H689" s="297" t="s">
        <v>8696</v>
      </c>
      <c r="I689" s="297">
        <v>3</v>
      </c>
      <c r="J689" s="297">
        <v>342</v>
      </c>
      <c r="K689" s="299"/>
      <c r="L689" s="299"/>
      <c r="M689" s="299">
        <v>113</v>
      </c>
      <c r="N689" s="299">
        <v>1</v>
      </c>
      <c r="O689" s="300">
        <v>36</v>
      </c>
      <c r="P689" s="301">
        <v>42090</v>
      </c>
      <c r="Q689" s="302"/>
      <c r="R689" s="303"/>
      <c r="S689" s="289">
        <v>4.8</v>
      </c>
      <c r="T689" s="303">
        <v>42208</v>
      </c>
      <c r="U689" s="302"/>
      <c r="V689" s="303"/>
      <c r="W689" s="302"/>
      <c r="X689" s="303"/>
      <c r="Y689" s="302">
        <v>17.09</v>
      </c>
      <c r="Z689" s="303">
        <v>42208</v>
      </c>
      <c r="AA689">
        <v>14.4</v>
      </c>
      <c r="AB689" s="303"/>
      <c r="AC689" s="302"/>
      <c r="AD689" s="303"/>
      <c r="AE689" s="302"/>
      <c r="AF689" s="303"/>
      <c r="AG689">
        <v>67321.739130434769</v>
      </c>
      <c r="AH689" s="521">
        <f>(AK689*10000)/AM689</f>
        <v>67321.739130434769</v>
      </c>
      <c r="AI689" s="302"/>
      <c r="AJ689" s="303"/>
      <c r="AK689">
        <v>30.967999999999996</v>
      </c>
      <c r="AL689" s="521"/>
      <c r="AM689">
        <v>4.5999999999999996</v>
      </c>
      <c r="AN689" s="303">
        <v>42244</v>
      </c>
      <c r="AO689">
        <v>125</v>
      </c>
      <c r="AP689" s="303">
        <v>42170</v>
      </c>
      <c r="AQ689" s="302"/>
      <c r="AR689" s="303"/>
      <c r="AS689" s="302"/>
      <c r="AT689" s="303"/>
      <c r="AU689">
        <v>107</v>
      </c>
      <c r="AV689" s="303"/>
      <c r="AW689" s="302"/>
      <c r="AX689" s="302"/>
      <c r="AY689" s="302"/>
      <c r="AZ689" s="303"/>
      <c r="BA689" s="302"/>
      <c r="BB689" s="302"/>
      <c r="BC689" s="302"/>
      <c r="BD689" s="302"/>
      <c r="BE689" s="302"/>
      <c r="BF689" s="302"/>
      <c r="BG689" s="302"/>
      <c r="BH689" s="302"/>
      <c r="BI689" s="302"/>
      <c r="BJ689" s="302"/>
      <c r="BM689">
        <v>-2</v>
      </c>
      <c r="BS689">
        <v>61.4</v>
      </c>
      <c r="BY689">
        <v>49.2</v>
      </c>
      <c r="CA689">
        <v>19.8</v>
      </c>
      <c r="CC689">
        <v>22.7</v>
      </c>
      <c r="CI689">
        <v>5.2</v>
      </c>
      <c r="CO689" t="s">
        <v>8710</v>
      </c>
      <c r="CR689">
        <v>3</v>
      </c>
      <c r="CT689" s="304" t="s">
        <v>11677</v>
      </c>
    </row>
    <row r="690" spans="1:98" s="304" customFormat="1">
      <c r="A690" s="304" t="s">
        <v>8506</v>
      </c>
      <c r="B690" s="463">
        <v>125</v>
      </c>
      <c r="C690" s="296" t="s">
        <v>7752</v>
      </c>
      <c r="D690" s="296" t="s">
        <v>7563</v>
      </c>
      <c r="E690" s="296" t="s">
        <v>7752</v>
      </c>
      <c r="F690" s="296"/>
      <c r="G690" s="296" t="s">
        <v>8506</v>
      </c>
      <c r="H690" s="297" t="s">
        <v>8697</v>
      </c>
      <c r="I690" s="297">
        <v>4</v>
      </c>
      <c r="J690" s="297">
        <v>4222</v>
      </c>
      <c r="K690" s="299"/>
      <c r="L690" s="299"/>
      <c r="M690" s="299">
        <v>113</v>
      </c>
      <c r="N690" s="299">
        <v>10</v>
      </c>
      <c r="O690" s="300">
        <v>40</v>
      </c>
      <c r="P690" s="301">
        <v>42090</v>
      </c>
      <c r="Q690" s="302"/>
      <c r="R690" s="303"/>
      <c r="S690" s="289">
        <v>2.75</v>
      </c>
      <c r="T690" s="303">
        <v>42208</v>
      </c>
      <c r="U690" s="302"/>
      <c r="V690" s="303"/>
      <c r="W690" s="302"/>
      <c r="X690" s="303"/>
      <c r="Y690" s="302">
        <v>10.19</v>
      </c>
      <c r="Z690" s="303">
        <v>42208</v>
      </c>
      <c r="AA690">
        <v>14.4</v>
      </c>
      <c r="AB690" s="303"/>
      <c r="AC690" s="302"/>
      <c r="AD690" s="303"/>
      <c r="AE690" s="302"/>
      <c r="AF690" s="303"/>
      <c r="AG690">
        <v>40407.986111111095</v>
      </c>
      <c r="AH690" s="521">
        <f>(AK690*10000)/AM690</f>
        <v>40407.986111111095</v>
      </c>
      <c r="AI690" s="302"/>
      <c r="AJ690" s="303"/>
      <c r="AK690">
        <v>17.779513888888886</v>
      </c>
      <c r="AL690" s="521"/>
      <c r="AM690">
        <v>4.4000000000000004</v>
      </c>
      <c r="AN690" s="303">
        <v>42244</v>
      </c>
      <c r="AO690">
        <v>135</v>
      </c>
      <c r="AP690" s="303">
        <v>42170</v>
      </c>
      <c r="AQ690" s="302"/>
      <c r="AR690" s="303"/>
      <c r="AS690" s="302"/>
      <c r="AT690" s="303"/>
      <c r="AU690">
        <v>112</v>
      </c>
      <c r="AV690" s="303"/>
      <c r="AW690" s="302"/>
      <c r="AX690" s="302"/>
      <c r="AY690" s="302"/>
      <c r="AZ690" s="303"/>
      <c r="BA690" s="302"/>
      <c r="BB690" s="302"/>
      <c r="BC690" s="302"/>
      <c r="BD690" s="302"/>
      <c r="BE690" s="302"/>
      <c r="BF690" s="302"/>
      <c r="BG690" s="302"/>
      <c r="BH690" s="302"/>
      <c r="BI690" s="302"/>
      <c r="BJ690" s="302"/>
      <c r="BM690">
        <v>-2.7</v>
      </c>
      <c r="BS690">
        <v>60.2</v>
      </c>
      <c r="BY690">
        <v>51.1</v>
      </c>
      <c r="CA690">
        <v>17.2</v>
      </c>
      <c r="CC690">
        <v>13.6</v>
      </c>
      <c r="CI690">
        <v>5</v>
      </c>
      <c r="CO690" t="s">
        <v>8698</v>
      </c>
      <c r="CR690">
        <v>2</v>
      </c>
      <c r="CT690" s="304" t="s">
        <v>11678</v>
      </c>
    </row>
    <row r="691" spans="1:98" s="304" customFormat="1">
      <c r="A691" s="304" t="s">
        <v>8506</v>
      </c>
      <c r="B691" s="463">
        <v>127</v>
      </c>
      <c r="C691" s="296" t="s">
        <v>7754</v>
      </c>
      <c r="D691" s="296" t="s">
        <v>7565</v>
      </c>
      <c r="E691" s="296" t="s">
        <v>7754</v>
      </c>
      <c r="F691" s="296"/>
      <c r="G691" s="296" t="s">
        <v>8506</v>
      </c>
      <c r="H691" s="297" t="s">
        <v>8696</v>
      </c>
      <c r="I691" s="297">
        <v>3</v>
      </c>
      <c r="J691" s="297">
        <v>3342</v>
      </c>
      <c r="K691" s="299"/>
      <c r="L691" s="299"/>
      <c r="M691" s="299">
        <v>113</v>
      </c>
      <c r="N691" s="299">
        <v>6</v>
      </c>
      <c r="O691" s="300">
        <v>56</v>
      </c>
      <c r="P691" s="301">
        <v>42090</v>
      </c>
      <c r="Q691" s="302"/>
      <c r="R691" s="303"/>
      <c r="S691" s="289">
        <v>5.65</v>
      </c>
      <c r="T691" s="303">
        <v>42208</v>
      </c>
      <c r="U691" s="302"/>
      <c r="V691" s="303"/>
      <c r="W691" s="302"/>
      <c r="X691" s="303"/>
      <c r="Y691" s="302">
        <v>20.5</v>
      </c>
      <c r="Z691" s="303">
        <v>42208</v>
      </c>
      <c r="AA691">
        <v>14.4</v>
      </c>
      <c r="AB691" s="303"/>
      <c r="AC691" s="302"/>
      <c r="AD691" s="303"/>
      <c r="AE691" s="302"/>
      <c r="AF691" s="303"/>
      <c r="AG691">
        <v>67717.16820987653</v>
      </c>
      <c r="AH691" s="521">
        <f>(AK691*10000)/AM691</f>
        <v>67717.16820987653</v>
      </c>
      <c r="AI691" s="302"/>
      <c r="AJ691" s="303"/>
      <c r="AK691">
        <v>36.567270833333332</v>
      </c>
      <c r="AL691" s="521"/>
      <c r="AM691">
        <v>5.4</v>
      </c>
      <c r="AN691" s="303">
        <v>42244</v>
      </c>
      <c r="AO691">
        <v>130</v>
      </c>
      <c r="AP691" s="303">
        <v>42170</v>
      </c>
      <c r="AQ691" s="302"/>
      <c r="AR691" s="303"/>
      <c r="AS691" s="302"/>
      <c r="AT691" s="303"/>
      <c r="AU691">
        <v>109</v>
      </c>
      <c r="AV691" s="303"/>
      <c r="AW691" s="302"/>
      <c r="AX691" s="302"/>
      <c r="AY691" s="302"/>
      <c r="AZ691" s="303"/>
      <c r="BA691" s="302"/>
      <c r="BB691" s="302"/>
      <c r="BC691" s="302"/>
      <c r="BD691" s="302"/>
      <c r="BE691" s="302"/>
      <c r="BF691" s="302"/>
      <c r="BG691" s="302"/>
      <c r="BH691" s="302"/>
      <c r="BI691" s="302"/>
      <c r="BJ691" s="302"/>
      <c r="BM691">
        <v>2.2000000000000002</v>
      </c>
      <c r="BS691">
        <v>53</v>
      </c>
      <c r="BY691">
        <v>50</v>
      </c>
      <c r="CA691">
        <v>20</v>
      </c>
      <c r="CC691">
        <v>76.5</v>
      </c>
      <c r="CI691">
        <v>4.9000000000000004</v>
      </c>
      <c r="CO691" t="s">
        <v>8698</v>
      </c>
      <c r="CR691">
        <v>3</v>
      </c>
      <c r="CT691" s="304" t="s">
        <v>11678</v>
      </c>
    </row>
    <row r="692" spans="1:98" s="304" customFormat="1">
      <c r="A692" s="304" t="s">
        <v>8506</v>
      </c>
      <c r="B692" s="463">
        <v>133</v>
      </c>
      <c r="C692" s="296" t="s">
        <v>7761</v>
      </c>
      <c r="D692" s="296" t="s">
        <v>7836</v>
      </c>
      <c r="E692" s="296" t="s">
        <v>7761</v>
      </c>
      <c r="F692" s="296"/>
      <c r="G692" s="296" t="s">
        <v>8506</v>
      </c>
      <c r="H692" s="297" t="s">
        <v>8697</v>
      </c>
      <c r="I692" s="297">
        <v>4</v>
      </c>
      <c r="J692" s="297">
        <v>442</v>
      </c>
      <c r="K692" s="299"/>
      <c r="L692" s="299"/>
      <c r="M692" s="299">
        <v>113</v>
      </c>
      <c r="N692" s="299">
        <v>7</v>
      </c>
      <c r="O692" s="300">
        <v>38</v>
      </c>
      <c r="P692" s="301">
        <v>42090</v>
      </c>
      <c r="Q692" s="302"/>
      <c r="R692" s="303"/>
      <c r="S692" s="289">
        <v>5.25</v>
      </c>
      <c r="T692" s="303">
        <v>42208</v>
      </c>
      <c r="U692" s="302"/>
      <c r="V692" s="303"/>
      <c r="W692" s="302"/>
      <c r="X692" s="303"/>
      <c r="Y692" s="302">
        <v>19.899999999999999</v>
      </c>
      <c r="Z692" s="303">
        <v>42208</v>
      </c>
      <c r="AA692">
        <v>14.4</v>
      </c>
      <c r="AB692" s="303"/>
      <c r="AC692" s="302"/>
      <c r="AD692" s="303"/>
      <c r="AE692" s="302"/>
      <c r="AF692" s="303"/>
      <c r="AG692">
        <v>61584.090909090897</v>
      </c>
      <c r="AH692" s="521">
        <f>(AK692*10000)/AM692</f>
        <v>61584.090909090897</v>
      </c>
      <c r="AI692" s="302"/>
      <c r="AJ692" s="303"/>
      <c r="AK692">
        <v>33.871249999999996</v>
      </c>
      <c r="AL692" s="521"/>
      <c r="AM692">
        <v>5.5</v>
      </c>
      <c r="AN692" s="303">
        <v>42244</v>
      </c>
      <c r="AO692">
        <v>115</v>
      </c>
      <c r="AP692" s="303">
        <v>42170</v>
      </c>
      <c r="AQ692" s="302"/>
      <c r="AR692" s="303"/>
      <c r="AS692" s="302"/>
      <c r="AT692" s="303"/>
      <c r="AU692">
        <v>104</v>
      </c>
      <c r="AV692" s="303"/>
      <c r="AW692" s="302"/>
      <c r="AX692" s="302"/>
      <c r="AY692" s="302"/>
      <c r="AZ692" s="303"/>
      <c r="BA692" s="302"/>
      <c r="BB692" s="302"/>
      <c r="BC692" s="302"/>
      <c r="BD692" s="302"/>
      <c r="BE692" s="302"/>
      <c r="BF692" s="302"/>
      <c r="BG692" s="302"/>
      <c r="BH692" s="302"/>
      <c r="BI692" s="302"/>
      <c r="BJ692" s="302"/>
      <c r="BM692">
        <v>-2.9</v>
      </c>
      <c r="BS692">
        <v>64</v>
      </c>
      <c r="BY692">
        <v>52.4</v>
      </c>
      <c r="CA692">
        <v>16.399999999999999</v>
      </c>
      <c r="CC692">
        <v>17.5</v>
      </c>
      <c r="CI692">
        <v>5.2</v>
      </c>
      <c r="CO692" t="s">
        <v>8698</v>
      </c>
      <c r="CR692">
        <v>1</v>
      </c>
      <c r="CT692" s="304" t="s">
        <v>11678</v>
      </c>
    </row>
    <row r="693" spans="1:98" s="304" customFormat="1">
      <c r="A693" s="304" t="s">
        <v>8506</v>
      </c>
      <c r="B693" s="463">
        <v>147</v>
      </c>
      <c r="C693" s="296" t="s">
        <v>7775</v>
      </c>
      <c r="D693" s="296" t="s">
        <v>7576</v>
      </c>
      <c r="E693" s="296" t="s">
        <v>7775</v>
      </c>
      <c r="F693" s="296"/>
      <c r="G693" s="296" t="s">
        <v>8506</v>
      </c>
      <c r="H693" s="297" t="s">
        <v>8696</v>
      </c>
      <c r="I693" s="297">
        <v>3</v>
      </c>
      <c r="J693" s="308">
        <v>3282</v>
      </c>
      <c r="K693" s="299"/>
      <c r="L693" s="299"/>
      <c r="M693" s="299">
        <v>113</v>
      </c>
      <c r="N693" s="299">
        <v>5</v>
      </c>
      <c r="O693" s="300">
        <v>34</v>
      </c>
      <c r="P693" s="301">
        <v>42090</v>
      </c>
      <c r="Q693" s="306"/>
      <c r="R693" s="303"/>
      <c r="S693" s="289">
        <v>6.55</v>
      </c>
      <c r="T693" s="303">
        <v>42208</v>
      </c>
      <c r="U693" s="307"/>
      <c r="V693" s="303"/>
      <c r="W693" s="306"/>
      <c r="X693" s="303"/>
      <c r="Y693" s="306">
        <v>23.7</v>
      </c>
      <c r="Z693" s="303">
        <v>42208</v>
      </c>
      <c r="AA693">
        <v>14.4</v>
      </c>
      <c r="AB693" s="303"/>
      <c r="AC693" s="306"/>
      <c r="AD693" s="303"/>
      <c r="AE693" s="302"/>
      <c r="AF693" s="303"/>
      <c r="AG693">
        <v>81437.633547008532</v>
      </c>
      <c r="AH693" s="521">
        <f>(AK693*10000)/AM693</f>
        <v>81437.633547008532</v>
      </c>
      <c r="AI693" s="302"/>
      <c r="AJ693" s="303"/>
      <c r="AK693">
        <v>42.347569444444439</v>
      </c>
      <c r="AL693" s="521"/>
      <c r="AM693">
        <v>5.2</v>
      </c>
      <c r="AN693" s="303">
        <v>42244</v>
      </c>
      <c r="AO693">
        <v>125</v>
      </c>
      <c r="AP693" s="303">
        <v>42170</v>
      </c>
      <c r="AQ693" s="306"/>
      <c r="AR693" s="303"/>
      <c r="AS693" s="306"/>
      <c r="AT693" s="303"/>
      <c r="AU693">
        <v>108</v>
      </c>
      <c r="AV693" s="303"/>
      <c r="AW693" s="302"/>
      <c r="AX693" s="302"/>
      <c r="AY693" s="302"/>
      <c r="AZ693" s="303"/>
      <c r="BA693" s="302"/>
      <c r="BB693" s="302"/>
      <c r="BC693" s="302"/>
      <c r="BD693" s="302"/>
      <c r="BE693" s="302"/>
      <c r="BF693" s="302"/>
      <c r="BG693" s="302"/>
      <c r="BH693" s="302"/>
      <c r="BI693" s="302"/>
      <c r="BJ693" s="302"/>
      <c r="BM693">
        <v>-1.7</v>
      </c>
      <c r="BS693">
        <v>62.7</v>
      </c>
      <c r="BY693">
        <v>49.9</v>
      </c>
      <c r="CA693">
        <v>18.600000000000001</v>
      </c>
      <c r="CC693">
        <v>16.5</v>
      </c>
      <c r="CI693">
        <v>5</v>
      </c>
      <c r="CO693" t="s">
        <v>8698</v>
      </c>
      <c r="CR693">
        <v>2</v>
      </c>
      <c r="CT693" s="304" t="s">
        <v>11678</v>
      </c>
    </row>
    <row r="694" spans="1:98" s="304" customFormat="1">
      <c r="A694" s="304" t="s">
        <v>8506</v>
      </c>
      <c r="B694" s="463">
        <v>8</v>
      </c>
      <c r="C694" s="296" t="s">
        <v>7617</v>
      </c>
      <c r="D694" s="296" t="s">
        <v>7457</v>
      </c>
      <c r="E694" s="296" t="s">
        <v>7617</v>
      </c>
      <c r="F694" s="296"/>
      <c r="G694" s="296" t="s">
        <v>8506</v>
      </c>
      <c r="H694" s="297" t="s">
        <v>8696</v>
      </c>
      <c r="I694" s="297">
        <v>3</v>
      </c>
      <c r="J694" s="297">
        <v>3343</v>
      </c>
      <c r="K694" s="299"/>
      <c r="L694" s="299"/>
      <c r="M694" s="299">
        <v>114</v>
      </c>
      <c r="N694" s="299">
        <v>6</v>
      </c>
      <c r="O694" s="300">
        <v>30</v>
      </c>
      <c r="P694" s="301">
        <v>42090</v>
      </c>
      <c r="Q694" s="302"/>
      <c r="R694" s="303"/>
      <c r="S694" s="289">
        <v>5.8</v>
      </c>
      <c r="T694" s="303">
        <v>42208</v>
      </c>
      <c r="U694" s="302"/>
      <c r="V694" s="303"/>
      <c r="W694" s="302"/>
      <c r="X694" s="303"/>
      <c r="Y694" s="302">
        <v>21.19</v>
      </c>
      <c r="Z694" s="303">
        <v>42208</v>
      </c>
      <c r="AA694">
        <v>14.4</v>
      </c>
      <c r="AB694" s="303"/>
      <c r="AC694" s="302"/>
      <c r="AD694" s="303"/>
      <c r="AE694" s="302"/>
      <c r="AF694" s="303"/>
      <c r="AG694">
        <v>79784.27895981085</v>
      </c>
      <c r="AH694" s="521">
        <f>(AK694*10000)/AM694</f>
        <v>79784.27895981085</v>
      </c>
      <c r="AI694" s="302"/>
      <c r="AJ694" s="303"/>
      <c r="AK694">
        <v>37.498611111111103</v>
      </c>
      <c r="AL694" s="521"/>
      <c r="AM694">
        <v>4.7</v>
      </c>
      <c r="AN694" s="303">
        <v>42244</v>
      </c>
      <c r="AO694">
        <v>140</v>
      </c>
      <c r="AP694" s="303">
        <v>42170</v>
      </c>
      <c r="AQ694" s="302"/>
      <c r="AR694" s="303"/>
      <c r="AS694" s="302"/>
      <c r="AT694" s="303"/>
      <c r="AU694">
        <v>115</v>
      </c>
      <c r="AV694" s="303"/>
      <c r="AW694" s="302"/>
      <c r="AX694" s="302"/>
      <c r="AY694" s="302"/>
      <c r="AZ694" s="303"/>
      <c r="BA694" s="302"/>
      <c r="BB694" s="302"/>
      <c r="BC694" s="302"/>
      <c r="BD694" s="302"/>
      <c r="BE694" s="302"/>
      <c r="BF694" s="302"/>
      <c r="BG694" s="302"/>
      <c r="BH694" s="302"/>
      <c r="BI694" s="302"/>
      <c r="BJ694" s="302"/>
      <c r="BM694">
        <v>55.4</v>
      </c>
      <c r="BS694">
        <v>3.8</v>
      </c>
      <c r="BY694">
        <v>50.4</v>
      </c>
      <c r="CA694">
        <v>21.3</v>
      </c>
      <c r="CC694">
        <v>62.8</v>
      </c>
      <c r="CI694">
        <v>5</v>
      </c>
      <c r="CO694" t="s">
        <v>8698</v>
      </c>
      <c r="CR694">
        <v>2</v>
      </c>
      <c r="CT694" s="304" t="s">
        <v>11678</v>
      </c>
    </row>
    <row r="695" spans="1:98" s="304" customFormat="1">
      <c r="A695" s="304" t="s">
        <v>8506</v>
      </c>
      <c r="B695" s="463">
        <v>89</v>
      </c>
      <c r="C695" s="296" t="s">
        <v>7707</v>
      </c>
      <c r="D695" s="296" t="s">
        <v>7536</v>
      </c>
      <c r="E695" s="296" t="s">
        <v>7707</v>
      </c>
      <c r="F695" s="296"/>
      <c r="G695" s="296" t="s">
        <v>8506</v>
      </c>
      <c r="H695" s="297" t="s">
        <v>8697</v>
      </c>
      <c r="I695" s="297">
        <v>4</v>
      </c>
      <c r="J695" s="297">
        <v>4343</v>
      </c>
      <c r="K695" s="299"/>
      <c r="L695" s="299"/>
      <c r="M695" s="299">
        <v>114</v>
      </c>
      <c r="N695" s="299">
        <v>12</v>
      </c>
      <c r="O695" s="300">
        <v>16</v>
      </c>
      <c r="P695" s="301">
        <v>42090</v>
      </c>
      <c r="Q695" s="302"/>
      <c r="R695" s="303"/>
      <c r="S695" s="289">
        <v>4.45</v>
      </c>
      <c r="T695" s="303">
        <v>42208</v>
      </c>
      <c r="U695" s="302"/>
      <c r="V695" s="303"/>
      <c r="W695" s="302"/>
      <c r="X695" s="303"/>
      <c r="Y695" s="302">
        <v>17.02</v>
      </c>
      <c r="Z695" s="303">
        <v>42208</v>
      </c>
      <c r="AA695">
        <v>14.4</v>
      </c>
      <c r="AB695" s="303"/>
      <c r="AC695" s="302"/>
      <c r="AD695" s="303"/>
      <c r="AE695" s="302"/>
      <c r="AF695" s="303"/>
      <c r="AG695">
        <v>61149.364657210412</v>
      </c>
      <c r="AH695" s="521">
        <f>(AK695*10000)/AM695</f>
        <v>61149.364657210412</v>
      </c>
      <c r="AI695" s="302"/>
      <c r="AJ695" s="303"/>
      <c r="AK695">
        <v>28.740201388888892</v>
      </c>
      <c r="AL695" s="521"/>
      <c r="AM695">
        <v>4.7</v>
      </c>
      <c r="AN695" s="303">
        <v>42244</v>
      </c>
      <c r="AO695">
        <v>115</v>
      </c>
      <c r="AP695" s="303">
        <v>42170</v>
      </c>
      <c r="AQ695" s="302"/>
      <c r="AR695" s="303"/>
      <c r="AS695" s="302"/>
      <c r="AT695" s="303"/>
      <c r="AU695">
        <v>108</v>
      </c>
      <c r="AV695" s="303"/>
      <c r="AW695" s="302"/>
      <c r="AX695" s="302"/>
      <c r="AY695" s="302"/>
      <c r="AZ695" s="303"/>
      <c r="BA695" s="302"/>
      <c r="BB695" s="302"/>
      <c r="BC695" s="302"/>
      <c r="BD695" s="302"/>
      <c r="BE695" s="302"/>
      <c r="BF695" s="302"/>
      <c r="BG695" s="302"/>
      <c r="BH695" s="302"/>
      <c r="BI695" s="302"/>
      <c r="BJ695" s="302"/>
      <c r="BM695">
        <v>-3.9</v>
      </c>
      <c r="BS695">
        <v>65.099999999999994</v>
      </c>
      <c r="BY695">
        <v>52.8</v>
      </c>
      <c r="CA695">
        <v>16.5</v>
      </c>
      <c r="CC695">
        <v>11.8</v>
      </c>
      <c r="CI695">
        <v>5.0999999999999996</v>
      </c>
      <c r="CO695" t="s">
        <v>8698</v>
      </c>
      <c r="CR695">
        <v>1</v>
      </c>
      <c r="CT695" s="304" t="s">
        <v>11678</v>
      </c>
    </row>
    <row r="696" spans="1:98" s="304" customFormat="1">
      <c r="A696" s="304" t="s">
        <v>8506</v>
      </c>
      <c r="B696" s="463">
        <v>114</v>
      </c>
      <c r="C696" s="296" t="s">
        <v>7733</v>
      </c>
      <c r="D696" s="296" t="s">
        <v>7559</v>
      </c>
      <c r="E696" s="296" t="s">
        <v>7733</v>
      </c>
      <c r="F696" s="296"/>
      <c r="G696" s="296" t="s">
        <v>8506</v>
      </c>
      <c r="H696" s="297" t="s">
        <v>8697</v>
      </c>
      <c r="I696" s="297">
        <v>4</v>
      </c>
      <c r="J696" s="297">
        <v>4283</v>
      </c>
      <c r="K696" s="299"/>
      <c r="L696" s="299"/>
      <c r="M696" s="299">
        <v>114</v>
      </c>
      <c r="N696" s="299">
        <v>11</v>
      </c>
      <c r="O696" s="300">
        <v>44</v>
      </c>
      <c r="P696" s="301">
        <v>42090</v>
      </c>
      <c r="Q696" s="302"/>
      <c r="R696" s="303"/>
      <c r="S696" s="289">
        <v>3.75</v>
      </c>
      <c r="T696" s="303">
        <v>42208</v>
      </c>
      <c r="U696" s="302"/>
      <c r="V696" s="303"/>
      <c r="W696" s="302"/>
      <c r="X696" s="303"/>
      <c r="Y696" s="302">
        <v>14.01</v>
      </c>
      <c r="Z696" s="303">
        <v>42208</v>
      </c>
      <c r="AA696">
        <v>14.4</v>
      </c>
      <c r="AB696" s="303"/>
      <c r="AC696" s="302"/>
      <c r="AD696" s="303"/>
      <c r="AE696" s="302"/>
      <c r="AF696" s="303"/>
      <c r="AG696">
        <v>47388.684640522886</v>
      </c>
      <c r="AH696" s="521">
        <f>(AK696*10000)/AM696</f>
        <v>47388.684640522886</v>
      </c>
      <c r="AI696" s="302"/>
      <c r="AJ696" s="303"/>
      <c r="AK696">
        <v>24.16822916666667</v>
      </c>
      <c r="AL696" s="521"/>
      <c r="AM696">
        <v>5.0999999999999996</v>
      </c>
      <c r="AN696" s="303">
        <v>42244</v>
      </c>
      <c r="AO696">
        <v>130</v>
      </c>
      <c r="AP696" s="303">
        <v>42170</v>
      </c>
      <c r="AQ696" s="302"/>
      <c r="AR696" s="303"/>
      <c r="AS696" s="302"/>
      <c r="AT696" s="303"/>
      <c r="AU696">
        <v>110</v>
      </c>
      <c r="AV696" s="303"/>
      <c r="AW696" s="302"/>
      <c r="AX696" s="302"/>
      <c r="AY696" s="302"/>
      <c r="AZ696" s="303"/>
      <c r="BA696" s="302"/>
      <c r="BB696" s="302"/>
      <c r="BC696" s="302"/>
      <c r="BD696" s="302"/>
      <c r="BE696" s="302"/>
      <c r="BF696" s="302"/>
      <c r="BG696" s="302"/>
      <c r="BH696" s="302"/>
      <c r="BI696" s="302"/>
      <c r="BJ696" s="302"/>
      <c r="BM696">
        <v>-4.0999999999999996</v>
      </c>
      <c r="BS696">
        <v>62</v>
      </c>
      <c r="BY696">
        <v>51.7</v>
      </c>
      <c r="CA696">
        <v>16.100000000000001</v>
      </c>
      <c r="CC696">
        <v>15</v>
      </c>
      <c r="CI696">
        <v>5.3</v>
      </c>
      <c r="CO696" t="s">
        <v>8698</v>
      </c>
      <c r="CR696">
        <v>3</v>
      </c>
      <c r="CT696" s="304" t="s">
        <v>11678</v>
      </c>
    </row>
    <row r="697" spans="1:98" s="304" customFormat="1">
      <c r="A697" s="304" t="s">
        <v>8506</v>
      </c>
      <c r="B697" s="463">
        <v>115</v>
      </c>
      <c r="C697" s="296" t="s">
        <v>7734</v>
      </c>
      <c r="D697" s="296" t="s">
        <v>7560</v>
      </c>
      <c r="E697" s="296" t="s">
        <v>7734</v>
      </c>
      <c r="F697" s="296"/>
      <c r="G697" s="296" t="s">
        <v>8506</v>
      </c>
      <c r="H697" s="297" t="s">
        <v>8697</v>
      </c>
      <c r="I697" s="297">
        <v>4</v>
      </c>
      <c r="J697" s="297">
        <v>443</v>
      </c>
      <c r="K697" s="299"/>
      <c r="L697" s="299"/>
      <c r="M697" s="299">
        <v>114</v>
      </c>
      <c r="N697" s="299">
        <v>7</v>
      </c>
      <c r="O697" s="300">
        <v>35</v>
      </c>
      <c r="P697" s="301">
        <v>42090</v>
      </c>
      <c r="Q697" s="302"/>
      <c r="R697" s="303"/>
      <c r="S697" s="289">
        <v>4.2</v>
      </c>
      <c r="T697" s="303">
        <v>42208</v>
      </c>
      <c r="U697" s="302"/>
      <c r="V697" s="303"/>
      <c r="W697" s="302"/>
      <c r="X697" s="303"/>
      <c r="Y697" s="302">
        <v>16.309999999999999</v>
      </c>
      <c r="Z697" s="303">
        <v>42208</v>
      </c>
      <c r="AA697">
        <v>14.4</v>
      </c>
      <c r="AB697" s="303"/>
      <c r="AC697" s="302"/>
      <c r="AD697" s="303"/>
      <c r="AE697" s="302"/>
      <c r="AF697" s="303"/>
      <c r="AG697">
        <v>56452.083333333336</v>
      </c>
      <c r="AH697" s="521">
        <f>(AK697*10000)/AM697</f>
        <v>56452.083333333336</v>
      </c>
      <c r="AI697" s="302"/>
      <c r="AJ697" s="303"/>
      <c r="AK697">
        <v>27.096999999999998</v>
      </c>
      <c r="AL697" s="521"/>
      <c r="AM697">
        <v>4.8</v>
      </c>
      <c r="AN697" s="303">
        <v>42244</v>
      </c>
      <c r="AO697">
        <v>125</v>
      </c>
      <c r="AP697" s="303">
        <v>42170</v>
      </c>
      <c r="AQ697" s="302"/>
      <c r="AR697" s="303"/>
      <c r="AS697" s="302"/>
      <c r="AT697" s="303"/>
      <c r="AU697">
        <v>108</v>
      </c>
      <c r="AV697" s="303"/>
      <c r="AW697" s="302"/>
      <c r="AX697" s="302"/>
      <c r="AY697" s="302"/>
      <c r="AZ697" s="303"/>
      <c r="BA697" s="302"/>
      <c r="BB697" s="302"/>
      <c r="BC697" s="302"/>
      <c r="BD697" s="302"/>
      <c r="BE697" s="302"/>
      <c r="BF697" s="302"/>
      <c r="BG697" s="302"/>
      <c r="BH697" s="302"/>
      <c r="BI697" s="302"/>
      <c r="BJ697" s="302"/>
      <c r="BM697">
        <v>48.8</v>
      </c>
      <c r="BS697">
        <v>6.6</v>
      </c>
      <c r="BY697">
        <v>53.7</v>
      </c>
      <c r="CA697">
        <v>16.7</v>
      </c>
      <c r="CC697">
        <v>62</v>
      </c>
      <c r="CI697">
        <v>5.2</v>
      </c>
      <c r="CO697" t="s">
        <v>8698</v>
      </c>
      <c r="CR697">
        <v>2</v>
      </c>
      <c r="CT697" s="304" t="s">
        <v>11678</v>
      </c>
    </row>
    <row r="698" spans="1:98" s="304" customFormat="1">
      <c r="A698" s="304" t="s">
        <v>8506</v>
      </c>
      <c r="B698" s="463">
        <v>137</v>
      </c>
      <c r="C698" s="296" t="s">
        <v>7765</v>
      </c>
      <c r="D698" s="296" t="s">
        <v>7839</v>
      </c>
      <c r="E698" s="296" t="s">
        <v>7765</v>
      </c>
      <c r="F698" s="296"/>
      <c r="G698" s="296" t="s">
        <v>8506</v>
      </c>
      <c r="H698" s="297" t="s">
        <v>8697</v>
      </c>
      <c r="I698" s="297">
        <v>4</v>
      </c>
      <c r="J698" s="297">
        <v>4103</v>
      </c>
      <c r="K698" s="299"/>
      <c r="L698" s="299"/>
      <c r="M698" s="299">
        <v>114</v>
      </c>
      <c r="N698" s="299">
        <v>8</v>
      </c>
      <c r="O698" s="300">
        <v>38</v>
      </c>
      <c r="P698" s="301">
        <v>42090</v>
      </c>
      <c r="Q698" s="302"/>
      <c r="R698" s="303"/>
      <c r="S698" s="289">
        <v>4.8499999999999996</v>
      </c>
      <c r="T698" s="303">
        <v>42208</v>
      </c>
      <c r="U698" s="302"/>
      <c r="V698" s="303"/>
      <c r="W698" s="302"/>
      <c r="X698" s="303"/>
      <c r="Y698" s="302">
        <v>19.02</v>
      </c>
      <c r="Z698" s="303">
        <v>42208</v>
      </c>
      <c r="AA698">
        <v>14.4</v>
      </c>
      <c r="AB698" s="303"/>
      <c r="AC698" s="302"/>
      <c r="AD698" s="303"/>
      <c r="AE698" s="302"/>
      <c r="AF698" s="303"/>
      <c r="AG698">
        <v>63993.055555555547</v>
      </c>
      <c r="AH698" s="521">
        <f>(AK698*10000)/AM698</f>
        <v>63993.055555555547</v>
      </c>
      <c r="AI698" s="302"/>
      <c r="AJ698" s="303"/>
      <c r="AK698">
        <v>31.356597222222216</v>
      </c>
      <c r="AL698" s="521"/>
      <c r="AM698">
        <v>4.9000000000000004</v>
      </c>
      <c r="AN698" s="303">
        <v>42244</v>
      </c>
      <c r="AO698">
        <v>125</v>
      </c>
      <c r="AP698" s="303">
        <v>42170</v>
      </c>
      <c r="AQ698" s="302"/>
      <c r="AR698" s="303"/>
      <c r="AS698" s="302"/>
      <c r="AT698" s="303"/>
      <c r="AU698">
        <v>106</v>
      </c>
      <c r="AV698" s="303"/>
      <c r="AW698" s="302"/>
      <c r="AX698" s="302"/>
      <c r="AY698" s="302"/>
      <c r="AZ698" s="303"/>
      <c r="BA698" s="302"/>
      <c r="BB698" s="302"/>
      <c r="BC698" s="302"/>
      <c r="BD698" s="302"/>
      <c r="BE698" s="302"/>
      <c r="BF698" s="302"/>
      <c r="BG698" s="302"/>
      <c r="BH698" s="302"/>
      <c r="BI698" s="302"/>
      <c r="BJ698" s="302"/>
      <c r="BM698">
        <v>-0.8</v>
      </c>
      <c r="BS698">
        <v>62.5</v>
      </c>
      <c r="BY698">
        <v>54.1</v>
      </c>
      <c r="CA698">
        <v>15.6</v>
      </c>
      <c r="CC698">
        <v>13.7</v>
      </c>
      <c r="CI698">
        <v>5</v>
      </c>
      <c r="CO698" t="s">
        <v>8698</v>
      </c>
      <c r="CR698">
        <v>2</v>
      </c>
      <c r="CT698" s="304" t="s">
        <v>11678</v>
      </c>
    </row>
    <row r="699" spans="1:98" s="304" customFormat="1">
      <c r="A699" s="304" t="s">
        <v>8506</v>
      </c>
      <c r="B699" s="463">
        <v>160</v>
      </c>
      <c r="C699" s="296" t="s">
        <v>7788</v>
      </c>
      <c r="D699" s="296" t="s">
        <v>7589</v>
      </c>
      <c r="E699" s="296" t="s">
        <v>7788</v>
      </c>
      <c r="F699" s="296"/>
      <c r="G699" s="296" t="s">
        <v>8506</v>
      </c>
      <c r="H699" s="297" t="s">
        <v>8696</v>
      </c>
      <c r="I699" s="297">
        <v>3</v>
      </c>
      <c r="J699" s="297">
        <v>3163</v>
      </c>
      <c r="K699" s="299"/>
      <c r="L699" s="299"/>
      <c r="M699" s="299">
        <v>114</v>
      </c>
      <c r="N699" s="299">
        <v>3</v>
      </c>
      <c r="O699" s="300">
        <v>21</v>
      </c>
      <c r="P699" s="301">
        <v>42090</v>
      </c>
      <c r="Q699" s="302"/>
      <c r="R699" s="303"/>
      <c r="S699" s="289">
        <v>6.8</v>
      </c>
      <c r="T699" s="303">
        <v>42208</v>
      </c>
      <c r="U699" s="302"/>
      <c r="V699" s="303"/>
      <c r="W699" s="302"/>
      <c r="X699" s="303"/>
      <c r="Y699" s="302">
        <v>24.08</v>
      </c>
      <c r="Z699" s="303">
        <v>42208</v>
      </c>
      <c r="AA699">
        <v>14.4</v>
      </c>
      <c r="AB699" s="303"/>
      <c r="AC699" s="302"/>
      <c r="AD699" s="303"/>
      <c r="AE699" s="302"/>
      <c r="AF699" s="303"/>
      <c r="AG699">
        <v>81671.707818930023</v>
      </c>
      <c r="AH699" s="521">
        <f>(AK699*10000)/AM699</f>
        <v>81671.707818930023</v>
      </c>
      <c r="AI699" s="302"/>
      <c r="AJ699" s="303"/>
      <c r="AK699">
        <v>44.102722222222219</v>
      </c>
      <c r="AL699" s="521"/>
      <c r="AM699">
        <v>5.4</v>
      </c>
      <c r="AN699" s="303">
        <v>42244</v>
      </c>
      <c r="AO699">
        <v>140</v>
      </c>
      <c r="AP699" s="303">
        <v>42170</v>
      </c>
      <c r="AQ699" s="302"/>
      <c r="AR699" s="303"/>
      <c r="AS699" s="302"/>
      <c r="AT699" s="303"/>
      <c r="AU699">
        <v>110</v>
      </c>
      <c r="AV699" s="303"/>
      <c r="AW699" s="302"/>
      <c r="AX699" s="302"/>
      <c r="AY699" s="302"/>
      <c r="AZ699" s="303"/>
      <c r="BA699" s="302"/>
      <c r="BB699" s="302"/>
      <c r="BC699" s="302"/>
      <c r="BD699" s="302"/>
      <c r="BE699" s="302"/>
      <c r="BF699" s="302"/>
      <c r="BG699" s="302"/>
      <c r="BH699" s="302"/>
      <c r="BI699" s="302"/>
      <c r="BJ699" s="302"/>
      <c r="BM699">
        <v>1.1000000000000001</v>
      </c>
      <c r="BS699">
        <v>57.9</v>
      </c>
      <c r="BY699">
        <v>48.7</v>
      </c>
      <c r="CA699">
        <v>18.2</v>
      </c>
      <c r="CC699">
        <v>16.7</v>
      </c>
      <c r="CI699">
        <v>4.7</v>
      </c>
      <c r="CO699" t="s">
        <v>8699</v>
      </c>
      <c r="CR699">
        <v>1</v>
      </c>
      <c r="CT699" s="304" t="s">
        <v>11678</v>
      </c>
    </row>
    <row r="700" spans="1:98" s="304" customFormat="1">
      <c r="A700" s="304" t="s">
        <v>8506</v>
      </c>
      <c r="B700" s="463">
        <v>44</v>
      </c>
      <c r="C700" s="296" t="s">
        <v>7661</v>
      </c>
      <c r="D700" s="296" t="s">
        <v>7494</v>
      </c>
      <c r="E700" s="296" t="s">
        <v>7661</v>
      </c>
      <c r="F700" s="296"/>
      <c r="G700" s="296" t="s">
        <v>8506</v>
      </c>
      <c r="H700" s="297" t="s">
        <v>8696</v>
      </c>
      <c r="I700" s="297">
        <v>3</v>
      </c>
      <c r="J700" s="297">
        <v>344</v>
      </c>
      <c r="K700" s="299"/>
      <c r="L700" s="299"/>
      <c r="M700" s="299">
        <v>115</v>
      </c>
      <c r="N700" s="299">
        <v>1</v>
      </c>
      <c r="O700" s="300">
        <v>66</v>
      </c>
      <c r="P700" s="301">
        <v>42090</v>
      </c>
      <c r="Q700" s="302"/>
      <c r="R700" s="303"/>
      <c r="S700" s="289">
        <v>5.05</v>
      </c>
      <c r="T700" s="303">
        <v>42208</v>
      </c>
      <c r="U700" s="302"/>
      <c r="V700" s="303"/>
      <c r="W700" s="302"/>
      <c r="X700" s="303"/>
      <c r="Y700" s="302">
        <v>17.61</v>
      </c>
      <c r="Z700" s="303">
        <v>42208</v>
      </c>
      <c r="AA700">
        <v>14.4</v>
      </c>
      <c r="AB700" s="303"/>
      <c r="AC700" s="302"/>
      <c r="AD700" s="303"/>
      <c r="AE700" s="302"/>
      <c r="AF700" s="303"/>
      <c r="AG700">
        <v>72096.54320987653</v>
      </c>
      <c r="AH700" s="521">
        <f>(AK700*10000)/AM700</f>
        <v>72096.54320987653</v>
      </c>
      <c r="AI700" s="302"/>
      <c r="AJ700" s="303"/>
      <c r="AK700">
        <v>32.443444444444438</v>
      </c>
      <c r="AL700" s="521"/>
      <c r="AM700">
        <v>4.5</v>
      </c>
      <c r="AN700" s="303">
        <v>42244</v>
      </c>
      <c r="AO700">
        <v>130</v>
      </c>
      <c r="AP700" s="303">
        <v>42170</v>
      </c>
      <c r="AQ700" s="302"/>
      <c r="AR700" s="303"/>
      <c r="AS700" s="302"/>
      <c r="AT700" s="303"/>
      <c r="AU700">
        <v>116</v>
      </c>
      <c r="AV700" s="303"/>
      <c r="AW700" s="302"/>
      <c r="AX700" s="302"/>
      <c r="AY700" s="302"/>
      <c r="AZ700" s="303"/>
      <c r="BA700" s="302"/>
      <c r="BB700" s="302"/>
      <c r="BC700" s="302"/>
      <c r="BD700" s="302"/>
      <c r="BE700" s="302"/>
      <c r="BF700" s="302"/>
      <c r="BG700" s="302"/>
      <c r="BH700" s="302"/>
      <c r="BI700" s="302"/>
      <c r="BJ700" s="302"/>
      <c r="BM700">
        <v>4.0999999999999996</v>
      </c>
      <c r="BS700">
        <v>57.6</v>
      </c>
      <c r="BY700">
        <v>48.4</v>
      </c>
      <c r="CA700">
        <v>19.3</v>
      </c>
      <c r="CC700">
        <v>20.6</v>
      </c>
      <c r="CI700">
        <v>5.6</v>
      </c>
      <c r="CO700" t="s">
        <v>8699</v>
      </c>
      <c r="CR700">
        <v>2</v>
      </c>
      <c r="CT700" s="304" t="s">
        <v>11678</v>
      </c>
    </row>
    <row r="701" spans="1:98" s="304" customFormat="1">
      <c r="A701" s="304" t="s">
        <v>8506</v>
      </c>
      <c r="B701" s="463">
        <v>100</v>
      </c>
      <c r="C701" s="296" t="s">
        <v>7718</v>
      </c>
      <c r="D701" s="296" t="s">
        <v>7545</v>
      </c>
      <c r="E701" s="296" t="s">
        <v>7718</v>
      </c>
      <c r="F701" s="296"/>
      <c r="G701" s="296" t="s">
        <v>8506</v>
      </c>
      <c r="H701" s="297" t="s">
        <v>8696</v>
      </c>
      <c r="I701" s="297">
        <v>3</v>
      </c>
      <c r="J701" s="297">
        <v>3224</v>
      </c>
      <c r="K701" s="299"/>
      <c r="L701" s="299"/>
      <c r="M701" s="299">
        <v>115</v>
      </c>
      <c r="N701" s="299">
        <v>4</v>
      </c>
      <c r="O701" s="300">
        <v>42</v>
      </c>
      <c r="P701" s="301">
        <v>42090</v>
      </c>
      <c r="Q701" s="302"/>
      <c r="R701" s="303"/>
      <c r="S701" s="289">
        <v>6.1</v>
      </c>
      <c r="T701" s="303">
        <v>42208</v>
      </c>
      <c r="U701" s="302"/>
      <c r="V701" s="303"/>
      <c r="W701" s="302"/>
      <c r="X701" s="303"/>
      <c r="Y701" s="302">
        <v>21.69</v>
      </c>
      <c r="Z701" s="303">
        <v>42208</v>
      </c>
      <c r="AA701">
        <v>14.4</v>
      </c>
      <c r="AB701" s="303"/>
      <c r="AC701" s="302"/>
      <c r="AD701" s="303"/>
      <c r="AE701" s="302"/>
      <c r="AF701" s="303"/>
      <c r="AG701">
        <v>70351.215277777781</v>
      </c>
      <c r="AH701" s="521">
        <f>(AK701*10000)/AM701</f>
        <v>70351.215277777781</v>
      </c>
      <c r="AI701" s="302"/>
      <c r="AJ701" s="303"/>
      <c r="AK701">
        <v>39.396680555555555</v>
      </c>
      <c r="AL701" s="521"/>
      <c r="AM701">
        <v>5.6</v>
      </c>
      <c r="AN701" s="303">
        <v>42244</v>
      </c>
      <c r="AO701">
        <v>145</v>
      </c>
      <c r="AP701" s="303">
        <v>42170</v>
      </c>
      <c r="AQ701" s="302"/>
      <c r="AR701" s="303"/>
      <c r="AS701" s="302"/>
      <c r="AT701" s="303"/>
      <c r="AU701">
        <v>107</v>
      </c>
      <c r="AV701" s="303"/>
      <c r="AW701" s="302"/>
      <c r="AX701" s="302"/>
      <c r="AY701" s="302"/>
      <c r="AZ701" s="303"/>
      <c r="BA701" s="302"/>
      <c r="BB701" s="302"/>
      <c r="BC701" s="302"/>
      <c r="BD701" s="302"/>
      <c r="BE701" s="302"/>
      <c r="BF701" s="302"/>
      <c r="BG701" s="302"/>
      <c r="BH701" s="302"/>
      <c r="BI701" s="302"/>
      <c r="BJ701" s="302"/>
      <c r="BM701">
        <v>1</v>
      </c>
      <c r="BS701">
        <v>61.4</v>
      </c>
      <c r="BY701">
        <v>49.1</v>
      </c>
      <c r="CA701">
        <v>18.2</v>
      </c>
      <c r="CC701">
        <v>17.899999999999999</v>
      </c>
      <c r="CI701">
        <v>5.0999999999999996</v>
      </c>
      <c r="CO701" t="s">
        <v>8698</v>
      </c>
      <c r="CR701">
        <v>2</v>
      </c>
      <c r="CT701" s="304" t="s">
        <v>11678</v>
      </c>
    </row>
    <row r="702" spans="1:98" s="304" customFormat="1">
      <c r="A702" s="304" t="s">
        <v>8506</v>
      </c>
      <c r="B702" s="463">
        <v>158</v>
      </c>
      <c r="C702" s="296" t="s">
        <v>7786</v>
      </c>
      <c r="D702" s="296" t="s">
        <v>7587</v>
      </c>
      <c r="E702" s="296" t="s">
        <v>7786</v>
      </c>
      <c r="F702" s="296"/>
      <c r="G702" s="296" t="s">
        <v>8506</v>
      </c>
      <c r="H702" s="297" t="s">
        <v>8696</v>
      </c>
      <c r="I702" s="297">
        <v>3</v>
      </c>
      <c r="J702" s="308">
        <v>3164</v>
      </c>
      <c r="K702" s="299"/>
      <c r="L702" s="299"/>
      <c r="M702" s="299">
        <v>115</v>
      </c>
      <c r="N702" s="299">
        <v>3</v>
      </c>
      <c r="O702" s="300">
        <v>32</v>
      </c>
      <c r="P702" s="301">
        <v>42090</v>
      </c>
      <c r="Q702" s="306"/>
      <c r="R702" s="303"/>
      <c r="S702" s="289">
        <v>6.85</v>
      </c>
      <c r="T702" s="303">
        <v>42208</v>
      </c>
      <c r="U702" s="307"/>
      <c r="V702" s="303"/>
      <c r="W702" s="306"/>
      <c r="X702" s="303"/>
      <c r="Y702" s="306">
        <v>25.05</v>
      </c>
      <c r="Z702" s="303">
        <v>42208</v>
      </c>
      <c r="AA702">
        <v>14.4</v>
      </c>
      <c r="AB702" s="303"/>
      <c r="AC702" s="306"/>
      <c r="AD702" s="303"/>
      <c r="AE702" s="302"/>
      <c r="AF702" s="303"/>
      <c r="AG702">
        <v>76276.784003831417</v>
      </c>
      <c r="AH702" s="521">
        <f>(AK702*10000)/AM702</f>
        <v>76276.784003831417</v>
      </c>
      <c r="AI702" s="302"/>
      <c r="AJ702" s="303"/>
      <c r="AK702">
        <v>44.240534722222222</v>
      </c>
      <c r="AL702" s="521"/>
      <c r="AM702">
        <v>5.8</v>
      </c>
      <c r="AN702" s="303">
        <v>42244</v>
      </c>
      <c r="AO702">
        <v>140</v>
      </c>
      <c r="AP702" s="303">
        <v>42170</v>
      </c>
      <c r="AQ702" s="306"/>
      <c r="AR702" s="303"/>
      <c r="AS702" s="306"/>
      <c r="AT702" s="303"/>
      <c r="AU702">
        <v>110</v>
      </c>
      <c r="AV702" s="303"/>
      <c r="AW702" s="302"/>
      <c r="AX702" s="302"/>
      <c r="AY702" s="302"/>
      <c r="AZ702" s="303"/>
      <c r="BA702" s="302"/>
      <c r="BB702" s="302"/>
      <c r="BC702" s="302"/>
      <c r="BD702" s="302"/>
      <c r="BE702" s="302"/>
      <c r="BF702" s="302"/>
      <c r="BG702" s="302"/>
      <c r="BH702" s="302"/>
      <c r="BI702" s="302"/>
      <c r="BJ702" s="302"/>
      <c r="BM702">
        <v>-2.2000000000000002</v>
      </c>
      <c r="BS702">
        <v>59.4</v>
      </c>
      <c r="BY702">
        <v>50.5</v>
      </c>
      <c r="CA702">
        <v>18.100000000000001</v>
      </c>
      <c r="CC702">
        <v>20.5</v>
      </c>
      <c r="CI702">
        <v>5.0999999999999996</v>
      </c>
      <c r="CO702" t="s">
        <v>8699</v>
      </c>
      <c r="CR702">
        <v>2</v>
      </c>
      <c r="CT702" s="304" t="s">
        <v>11678</v>
      </c>
    </row>
    <row r="703" spans="1:98" s="304" customFormat="1">
      <c r="A703" s="304" t="s">
        <v>8506</v>
      </c>
      <c r="B703" s="463">
        <v>177</v>
      </c>
      <c r="C703" s="296" t="s">
        <v>7805</v>
      </c>
      <c r="D703" s="296" t="s">
        <v>7602</v>
      </c>
      <c r="E703" s="296" t="s">
        <v>7805</v>
      </c>
      <c r="F703" s="296"/>
      <c r="G703" s="296" t="s">
        <v>8506</v>
      </c>
      <c r="H703" s="297" t="s">
        <v>8697</v>
      </c>
      <c r="I703" s="297">
        <v>4</v>
      </c>
      <c r="J703" s="297">
        <v>4224</v>
      </c>
      <c r="K703" s="299"/>
      <c r="L703" s="299"/>
      <c r="M703" s="299">
        <v>115</v>
      </c>
      <c r="N703" s="299">
        <v>10</v>
      </c>
      <c r="O703" s="300">
        <v>38</v>
      </c>
      <c r="P703" s="301">
        <v>42090</v>
      </c>
      <c r="Q703" s="302"/>
      <c r="R703" s="303"/>
      <c r="S703" s="289">
        <v>4.8</v>
      </c>
      <c r="T703" s="303">
        <v>42208</v>
      </c>
      <c r="U703" s="302"/>
      <c r="V703" s="303"/>
      <c r="W703" s="302"/>
      <c r="X703" s="303"/>
      <c r="Y703" s="302">
        <v>18.75</v>
      </c>
      <c r="Z703" s="303">
        <v>42208</v>
      </c>
      <c r="AA703">
        <v>14.4</v>
      </c>
      <c r="AB703" s="303"/>
      <c r="AC703" s="302"/>
      <c r="AD703" s="303"/>
      <c r="AE703" s="302"/>
      <c r="AF703" s="303"/>
      <c r="AG703">
        <v>57227.160493827148</v>
      </c>
      <c r="AH703" s="521">
        <f>(AK703*10000)/AM703</f>
        <v>57227.160493827148</v>
      </c>
      <c r="AI703" s="302"/>
      <c r="AJ703" s="303"/>
      <c r="AK703">
        <v>30.902666666666661</v>
      </c>
      <c r="AL703" s="521"/>
      <c r="AM703">
        <v>5.4</v>
      </c>
      <c r="AN703" s="303">
        <v>42244</v>
      </c>
      <c r="AO703">
        <v>130</v>
      </c>
      <c r="AP703" s="303">
        <v>42170</v>
      </c>
      <c r="AQ703" s="302"/>
      <c r="AR703" s="303"/>
      <c r="AS703" s="302"/>
      <c r="AT703" s="303"/>
      <c r="AU703">
        <v>108</v>
      </c>
      <c r="AV703" s="303"/>
      <c r="AW703" s="302"/>
      <c r="AX703" s="302"/>
      <c r="AY703" s="302"/>
      <c r="AZ703" s="303"/>
      <c r="BA703" s="302"/>
      <c r="BB703" s="302"/>
      <c r="BC703" s="302"/>
      <c r="BD703" s="302"/>
      <c r="BE703" s="302"/>
      <c r="BF703" s="302"/>
      <c r="BG703" s="302"/>
      <c r="BH703" s="302"/>
      <c r="BI703" s="302"/>
      <c r="BJ703" s="302"/>
      <c r="BM703">
        <v>-7.6</v>
      </c>
      <c r="BS703">
        <v>66.900000000000006</v>
      </c>
      <c r="BY703">
        <v>54.1</v>
      </c>
      <c r="CA703">
        <v>14.3</v>
      </c>
      <c r="CC703">
        <v>21.5</v>
      </c>
      <c r="CI703">
        <v>5.4</v>
      </c>
      <c r="CO703" t="s">
        <v>8698</v>
      </c>
      <c r="CR703">
        <v>1</v>
      </c>
      <c r="CT703" s="304" t="s">
        <v>11678</v>
      </c>
    </row>
    <row r="704" spans="1:98" s="304" customFormat="1">
      <c r="A704" s="304" t="s">
        <v>8506</v>
      </c>
      <c r="B704" s="463">
        <v>7</v>
      </c>
      <c r="C704" s="296" t="s">
        <v>7616</v>
      </c>
      <c r="D704" s="296" t="s">
        <v>7456</v>
      </c>
      <c r="E704" s="296" t="s">
        <v>7616</v>
      </c>
      <c r="F704" s="296"/>
      <c r="G704" s="296" t="s">
        <v>8506</v>
      </c>
      <c r="H704" s="297" t="s">
        <v>8696</v>
      </c>
      <c r="I704" s="297">
        <v>3</v>
      </c>
      <c r="J704" s="297">
        <v>3225</v>
      </c>
      <c r="K704" s="299"/>
      <c r="L704" s="299"/>
      <c r="M704" s="299">
        <v>116</v>
      </c>
      <c r="N704" s="299">
        <v>4</v>
      </c>
      <c r="O704" s="300">
        <v>24</v>
      </c>
      <c r="P704" s="301">
        <v>42090</v>
      </c>
      <c r="Q704" s="302"/>
      <c r="R704" s="303"/>
      <c r="S704" s="289">
        <v>4.5999999999999996</v>
      </c>
      <c r="T704" s="303">
        <v>42208</v>
      </c>
      <c r="U704" s="302"/>
      <c r="V704" s="303"/>
      <c r="W704" s="302"/>
      <c r="X704" s="303"/>
      <c r="Y704" s="302">
        <v>16.64</v>
      </c>
      <c r="Z704" s="303">
        <v>42208</v>
      </c>
      <c r="AA704">
        <v>14.4</v>
      </c>
      <c r="AB704" s="303"/>
      <c r="AC704" s="302"/>
      <c r="AD704" s="303"/>
      <c r="AE704" s="302"/>
      <c r="AF704" s="303"/>
      <c r="AG704">
        <v>60566.666666666657</v>
      </c>
      <c r="AH704" s="521">
        <f>(AK704*10000)/AM704</f>
        <v>60566.666666666657</v>
      </c>
      <c r="AI704" s="302"/>
      <c r="AJ704" s="303"/>
      <c r="AK704">
        <v>29.677666666666664</v>
      </c>
      <c r="AL704" s="521"/>
      <c r="AM704">
        <v>4.9000000000000004</v>
      </c>
      <c r="AN704" s="303">
        <v>42244</v>
      </c>
      <c r="AO704">
        <v>140</v>
      </c>
      <c r="AP704" s="303">
        <v>42170</v>
      </c>
      <c r="AQ704" s="302"/>
      <c r="AR704" s="303"/>
      <c r="AS704" s="302"/>
      <c r="AT704" s="303"/>
      <c r="AU704">
        <v>107</v>
      </c>
      <c r="AV704" s="303"/>
      <c r="AW704" s="302"/>
      <c r="AX704" s="302"/>
      <c r="AY704" s="302"/>
      <c r="AZ704" s="303"/>
      <c r="BA704" s="302"/>
      <c r="BB704" s="302"/>
      <c r="BC704" s="302"/>
      <c r="BD704" s="302"/>
      <c r="BE704" s="302"/>
      <c r="BF704" s="302"/>
      <c r="BG704" s="302"/>
      <c r="BH704" s="302"/>
      <c r="BI704" s="302"/>
      <c r="BJ704" s="302"/>
      <c r="BM704">
        <v>42</v>
      </c>
      <c r="BS704">
        <v>11.6</v>
      </c>
      <c r="BY704">
        <v>50</v>
      </c>
      <c r="CA704">
        <v>20</v>
      </c>
      <c r="CC704">
        <v>70.099999999999994</v>
      </c>
      <c r="CI704">
        <v>5.2</v>
      </c>
      <c r="CO704" t="s">
        <v>8698</v>
      </c>
      <c r="CR704">
        <v>5</v>
      </c>
      <c r="CT704" s="304" t="s">
        <v>11678</v>
      </c>
    </row>
    <row r="705" spans="1:98" s="304" customFormat="1">
      <c r="A705" s="304" t="s">
        <v>8506</v>
      </c>
      <c r="B705" s="463">
        <v>47</v>
      </c>
      <c r="C705" s="296" t="s">
        <v>7664</v>
      </c>
      <c r="D705" s="296" t="s">
        <v>7497</v>
      </c>
      <c r="E705" s="296" t="s">
        <v>7664</v>
      </c>
      <c r="F705" s="296"/>
      <c r="G705" s="296" t="s">
        <v>8506</v>
      </c>
      <c r="H705" s="297" t="s">
        <v>8696</v>
      </c>
      <c r="I705" s="297">
        <v>3</v>
      </c>
      <c r="J705" s="297">
        <v>3165</v>
      </c>
      <c r="K705" s="299"/>
      <c r="L705" s="299"/>
      <c r="M705" s="299">
        <v>116</v>
      </c>
      <c r="N705" s="299">
        <v>3</v>
      </c>
      <c r="O705" s="300">
        <v>21</v>
      </c>
      <c r="P705" s="301">
        <v>42090</v>
      </c>
      <c r="Q705" s="302"/>
      <c r="R705" s="303"/>
      <c r="S705" s="289">
        <v>4.9000000000000004</v>
      </c>
      <c r="T705" s="303">
        <v>42208</v>
      </c>
      <c r="U705" s="302"/>
      <c r="V705" s="303"/>
      <c r="W705" s="302"/>
      <c r="X705" s="303"/>
      <c r="Y705" s="302">
        <v>18.47</v>
      </c>
      <c r="Z705" s="303">
        <v>42208</v>
      </c>
      <c r="AA705">
        <v>14.4</v>
      </c>
      <c r="AB705" s="303"/>
      <c r="AC705" s="302"/>
      <c r="AD705" s="303"/>
      <c r="AE705" s="302"/>
      <c r="AF705" s="303"/>
      <c r="AG705">
        <v>62117.374727668852</v>
      </c>
      <c r="AH705" s="521">
        <f>(AK705*10000)/AM705</f>
        <v>62117.374727668852</v>
      </c>
      <c r="AI705" s="302"/>
      <c r="AJ705" s="303"/>
      <c r="AK705">
        <v>31.679861111111112</v>
      </c>
      <c r="AL705" s="521"/>
      <c r="AM705">
        <v>5.0999999999999996</v>
      </c>
      <c r="AN705" s="303">
        <v>42244</v>
      </c>
      <c r="AO705">
        <v>115</v>
      </c>
      <c r="AP705" s="303">
        <v>42170</v>
      </c>
      <c r="AQ705" s="302"/>
      <c r="AR705" s="303"/>
      <c r="AS705" s="302"/>
      <c r="AT705" s="303"/>
      <c r="AU705">
        <v>109</v>
      </c>
      <c r="AV705" s="303"/>
      <c r="AW705" s="302"/>
      <c r="AX705" s="302"/>
      <c r="AY705" s="302"/>
      <c r="AZ705" s="303"/>
      <c r="BA705" s="302"/>
      <c r="BB705" s="302"/>
      <c r="BC705" s="302"/>
      <c r="BD705" s="302"/>
      <c r="BE705" s="302"/>
      <c r="BF705" s="302"/>
      <c r="BG705" s="302"/>
      <c r="BH705" s="302"/>
      <c r="BI705" s="302"/>
      <c r="BJ705" s="302"/>
      <c r="BM705">
        <v>-0.3</v>
      </c>
      <c r="BS705">
        <v>59.9</v>
      </c>
      <c r="BY705">
        <v>52</v>
      </c>
      <c r="CA705">
        <v>17.399999999999999</v>
      </c>
      <c r="CC705">
        <v>24.3</v>
      </c>
      <c r="CI705">
        <v>5</v>
      </c>
      <c r="CO705" t="s">
        <v>8699</v>
      </c>
      <c r="CR705">
        <v>3</v>
      </c>
      <c r="CT705" s="304" t="s">
        <v>11678</v>
      </c>
    </row>
    <row r="706" spans="1:98" s="304" customFormat="1">
      <c r="A706" s="304" t="s">
        <v>8506</v>
      </c>
      <c r="B706" s="463">
        <v>51</v>
      </c>
      <c r="C706" s="296" t="s">
        <v>7669</v>
      </c>
      <c r="D706" s="296" t="s">
        <v>7501</v>
      </c>
      <c r="E706" s="296" t="s">
        <v>7669</v>
      </c>
      <c r="F706" s="296"/>
      <c r="G706" s="296" t="s">
        <v>8506</v>
      </c>
      <c r="H706" s="297" t="s">
        <v>8696</v>
      </c>
      <c r="I706" s="297">
        <v>3</v>
      </c>
      <c r="J706" s="308">
        <v>3285</v>
      </c>
      <c r="K706" s="299"/>
      <c r="L706" s="299"/>
      <c r="M706" s="299">
        <v>116</v>
      </c>
      <c r="N706" s="299">
        <v>5</v>
      </c>
      <c r="O706" s="300">
        <v>38</v>
      </c>
      <c r="P706" s="301">
        <v>42090</v>
      </c>
      <c r="Q706" s="306"/>
      <c r="R706" s="303"/>
      <c r="S706" s="289">
        <v>5.0999999999999996</v>
      </c>
      <c r="T706" s="303">
        <v>42208</v>
      </c>
      <c r="U706" s="307"/>
      <c r="V706" s="303"/>
      <c r="W706" s="306"/>
      <c r="X706" s="303"/>
      <c r="Y706" s="306">
        <v>18.559999999999999</v>
      </c>
      <c r="Z706" s="303">
        <v>42208</v>
      </c>
      <c r="AA706">
        <v>14.4</v>
      </c>
      <c r="AB706" s="303"/>
      <c r="AC706" s="306"/>
      <c r="AD706" s="303"/>
      <c r="AE706" s="302"/>
      <c r="AF706" s="303"/>
      <c r="AG706">
        <v>61060.956790123448</v>
      </c>
      <c r="AH706" s="521">
        <f>(AK706*10000)/AM706</f>
        <v>61060.956790123448</v>
      </c>
      <c r="AI706" s="302"/>
      <c r="AJ706" s="303"/>
      <c r="AK706">
        <v>32.972916666666663</v>
      </c>
      <c r="AL706" s="521"/>
      <c r="AM706">
        <v>5.4</v>
      </c>
      <c r="AN706" s="303">
        <v>42244</v>
      </c>
      <c r="AO706">
        <v>110</v>
      </c>
      <c r="AP706" s="303">
        <v>42170</v>
      </c>
      <c r="AQ706" s="306"/>
      <c r="AR706" s="303"/>
      <c r="AS706" s="306"/>
      <c r="AT706" s="303"/>
      <c r="AU706">
        <v>107</v>
      </c>
      <c r="AV706" s="303"/>
      <c r="AW706" s="302"/>
      <c r="AX706" s="302"/>
      <c r="AY706" s="302"/>
      <c r="AZ706" s="303"/>
      <c r="BA706" s="302"/>
      <c r="BB706" s="302"/>
      <c r="BC706" s="302"/>
      <c r="BD706" s="302"/>
      <c r="BE706" s="302"/>
      <c r="BF706" s="302"/>
      <c r="BG706" s="302"/>
      <c r="BH706" s="302"/>
      <c r="BI706" s="302"/>
      <c r="BJ706" s="302"/>
      <c r="BM706">
        <v>6.6</v>
      </c>
      <c r="BS706">
        <v>56.6</v>
      </c>
      <c r="BY706">
        <v>50.2</v>
      </c>
      <c r="CA706">
        <v>19.8</v>
      </c>
      <c r="CC706">
        <v>21</v>
      </c>
      <c r="CI706">
        <v>5</v>
      </c>
      <c r="CO706" t="s">
        <v>8698</v>
      </c>
      <c r="CR706">
        <v>2</v>
      </c>
      <c r="CT706" s="304" t="s">
        <v>11678</v>
      </c>
    </row>
    <row r="707" spans="1:98" s="304" customFormat="1">
      <c r="A707" s="304" t="s">
        <v>8506</v>
      </c>
      <c r="B707" s="463">
        <v>65</v>
      </c>
      <c r="C707" s="296" t="s">
        <v>7683</v>
      </c>
      <c r="D707" s="296" t="s">
        <v>7513</v>
      </c>
      <c r="E707" s="296" t="s">
        <v>7683</v>
      </c>
      <c r="F707" s="296"/>
      <c r="G707" s="296" t="s">
        <v>8506</v>
      </c>
      <c r="H707" s="297" t="s">
        <v>8697</v>
      </c>
      <c r="I707" s="297">
        <v>4</v>
      </c>
      <c r="J707" s="297">
        <v>4165</v>
      </c>
      <c r="K707" s="299"/>
      <c r="L707" s="299"/>
      <c r="M707" s="299">
        <v>116</v>
      </c>
      <c r="N707" s="299">
        <v>9</v>
      </c>
      <c r="O707" s="300">
        <v>26</v>
      </c>
      <c r="P707" s="301">
        <v>42090</v>
      </c>
      <c r="Q707" s="302"/>
      <c r="R707" s="303"/>
      <c r="S707" s="289">
        <v>3.9</v>
      </c>
      <c r="T707" s="303">
        <v>42208</v>
      </c>
      <c r="U707" s="302"/>
      <c r="V707" s="303"/>
      <c r="W707" s="302"/>
      <c r="X707" s="303"/>
      <c r="Y707" s="302">
        <v>15.3</v>
      </c>
      <c r="Z707" s="303">
        <v>42208</v>
      </c>
      <c r="AA707">
        <v>14.4</v>
      </c>
      <c r="AB707" s="303"/>
      <c r="AC707" s="302"/>
      <c r="AD707" s="303"/>
      <c r="AE707" s="302"/>
      <c r="AF707" s="303"/>
      <c r="AG707">
        <v>49284.232026143793</v>
      </c>
      <c r="AH707" s="521">
        <f>(AK707*10000)/AM707</f>
        <v>49284.232026143793</v>
      </c>
      <c r="AI707" s="302"/>
      <c r="AJ707" s="303"/>
      <c r="AK707">
        <v>25.13495833333333</v>
      </c>
      <c r="AL707" s="521"/>
      <c r="AM707">
        <v>5.0999999999999996</v>
      </c>
      <c r="AN707" s="303">
        <v>42244</v>
      </c>
      <c r="AO707">
        <v>145</v>
      </c>
      <c r="AP707" s="303">
        <v>42170</v>
      </c>
      <c r="AQ707" s="302"/>
      <c r="AR707" s="303"/>
      <c r="AS707" s="302"/>
      <c r="AT707" s="303"/>
      <c r="AU707">
        <v>108</v>
      </c>
      <c r="AV707" s="303"/>
      <c r="AW707" s="302"/>
      <c r="AX707" s="302"/>
      <c r="AY707" s="302"/>
      <c r="AZ707" s="303"/>
      <c r="BA707" s="302"/>
      <c r="BB707" s="302"/>
      <c r="BC707" s="302"/>
      <c r="BD707" s="302"/>
      <c r="BE707" s="302"/>
      <c r="BF707" s="302"/>
      <c r="BG707" s="302"/>
      <c r="BH707" s="302"/>
      <c r="BI707" s="302"/>
      <c r="BJ707" s="302"/>
      <c r="BM707">
        <v>-6.4</v>
      </c>
      <c r="BS707">
        <v>66.099999999999994</v>
      </c>
      <c r="BY707">
        <v>54.3</v>
      </c>
      <c r="CA707">
        <v>15</v>
      </c>
      <c r="CC707">
        <v>15.4</v>
      </c>
      <c r="CI707">
        <v>5.3</v>
      </c>
      <c r="CO707" t="s">
        <v>8698</v>
      </c>
      <c r="CR707">
        <v>1</v>
      </c>
      <c r="CT707" s="304" t="s">
        <v>11678</v>
      </c>
    </row>
    <row r="708" spans="1:98" s="304" customFormat="1">
      <c r="A708" s="304" t="s">
        <v>8506</v>
      </c>
      <c r="B708" s="463">
        <v>67</v>
      </c>
      <c r="C708" s="296" t="s">
        <v>7685</v>
      </c>
      <c r="D708" s="296" t="s">
        <v>7515</v>
      </c>
      <c r="E708" s="296" t="s">
        <v>7685</v>
      </c>
      <c r="F708" s="296"/>
      <c r="G708" s="296" t="s">
        <v>8506</v>
      </c>
      <c r="H708" s="297" t="s">
        <v>8697</v>
      </c>
      <c r="I708" s="297">
        <v>4</v>
      </c>
      <c r="J708" s="297">
        <v>4345</v>
      </c>
      <c r="K708" s="299"/>
      <c r="L708" s="299"/>
      <c r="M708" s="299">
        <v>116</v>
      </c>
      <c r="N708" s="299">
        <v>12</v>
      </c>
      <c r="O708" s="300">
        <v>29</v>
      </c>
      <c r="P708" s="301">
        <v>42090</v>
      </c>
      <c r="Q708" s="302"/>
      <c r="R708" s="303"/>
      <c r="S708" s="289">
        <v>4.0999999999999996</v>
      </c>
      <c r="T708" s="303">
        <v>42208</v>
      </c>
      <c r="U708" s="302"/>
      <c r="V708" s="303"/>
      <c r="W708" s="302"/>
      <c r="X708" s="303"/>
      <c r="Y708" s="302">
        <v>15.07</v>
      </c>
      <c r="Z708" s="303">
        <v>42208</v>
      </c>
      <c r="AA708">
        <v>14.4</v>
      </c>
      <c r="AB708" s="303"/>
      <c r="AC708" s="302"/>
      <c r="AD708" s="303"/>
      <c r="AE708" s="302"/>
      <c r="AF708" s="303"/>
      <c r="AG708">
        <v>54211.111111111109</v>
      </c>
      <c r="AH708" s="521">
        <f>(AK708*10000)/AM708</f>
        <v>54211.111111111109</v>
      </c>
      <c r="AI708" s="302"/>
      <c r="AJ708" s="303"/>
      <c r="AK708">
        <v>26.563444444444446</v>
      </c>
      <c r="AL708" s="521"/>
      <c r="AM708">
        <v>4.9000000000000004</v>
      </c>
      <c r="AN708" s="303">
        <v>42244</v>
      </c>
      <c r="AO708">
        <v>125</v>
      </c>
      <c r="AP708" s="303">
        <v>42170</v>
      </c>
      <c r="AQ708" s="302"/>
      <c r="AR708" s="303"/>
      <c r="AS708" s="302"/>
      <c r="AT708" s="303"/>
      <c r="AU708">
        <v>107</v>
      </c>
      <c r="AV708" s="303"/>
      <c r="AW708" s="302"/>
      <c r="AX708" s="302"/>
      <c r="AY708" s="302"/>
      <c r="AZ708" s="303"/>
      <c r="BA708" s="302"/>
      <c r="BB708" s="302"/>
      <c r="BC708" s="302"/>
      <c r="BD708" s="302"/>
      <c r="BE708" s="302"/>
      <c r="BF708" s="302"/>
      <c r="BG708" s="302"/>
      <c r="BH708" s="302"/>
      <c r="BI708" s="302"/>
      <c r="BJ708" s="302"/>
      <c r="BM708">
        <v>23.6</v>
      </c>
      <c r="BS708">
        <v>35.5</v>
      </c>
      <c r="BY708">
        <v>50.6</v>
      </c>
      <c r="CA708">
        <v>17.7</v>
      </c>
      <c r="CC708"/>
      <c r="CI708">
        <v>4.8</v>
      </c>
      <c r="CO708" t="s">
        <v>8698</v>
      </c>
      <c r="CR708">
        <v>1</v>
      </c>
      <c r="CT708" s="304" t="s">
        <v>11678</v>
      </c>
    </row>
    <row r="709" spans="1:98" s="304" customFormat="1">
      <c r="A709" s="304" t="s">
        <v>8506</v>
      </c>
      <c r="B709" s="463">
        <v>68</v>
      </c>
      <c r="C709" s="296" t="s">
        <v>7686</v>
      </c>
      <c r="D709" s="296" t="s">
        <v>262</v>
      </c>
      <c r="E709" s="296" t="s">
        <v>7686</v>
      </c>
      <c r="F709" s="296"/>
      <c r="G709" s="296" t="s">
        <v>8506</v>
      </c>
      <c r="H709" s="297" t="s">
        <v>8696</v>
      </c>
      <c r="I709" s="297">
        <v>3</v>
      </c>
      <c r="J709" s="297">
        <v>3345</v>
      </c>
      <c r="K709" s="299"/>
      <c r="L709" s="299"/>
      <c r="M709" s="299">
        <v>116</v>
      </c>
      <c r="N709" s="299">
        <v>6</v>
      </c>
      <c r="O709" s="300">
        <v>32</v>
      </c>
      <c r="P709" s="301">
        <v>42090</v>
      </c>
      <c r="Q709" s="302"/>
      <c r="R709" s="303"/>
      <c r="S709" s="289">
        <v>5.8</v>
      </c>
      <c r="T709" s="303">
        <v>42208</v>
      </c>
      <c r="U709" s="302"/>
      <c r="V709" s="303"/>
      <c r="W709" s="302"/>
      <c r="X709" s="303"/>
      <c r="Y709" s="302">
        <v>21.05</v>
      </c>
      <c r="Z709" s="303">
        <v>42208</v>
      </c>
      <c r="AA709">
        <v>14.4</v>
      </c>
      <c r="AB709" s="303"/>
      <c r="AC709" s="302"/>
      <c r="AD709" s="303"/>
      <c r="AE709" s="302"/>
      <c r="AF709" s="303"/>
      <c r="AG709">
        <v>78204.340277777766</v>
      </c>
      <c r="AH709" s="521">
        <f>(AK709*10000)/AM709</f>
        <v>78204.340277777766</v>
      </c>
      <c r="AI709" s="302"/>
      <c r="AJ709" s="303"/>
      <c r="AK709">
        <v>37.538083333333326</v>
      </c>
      <c r="AL709" s="521"/>
      <c r="AM709">
        <v>4.8</v>
      </c>
      <c r="AN709" s="303">
        <v>42244</v>
      </c>
      <c r="AO709">
        <v>120</v>
      </c>
      <c r="AP709" s="303">
        <v>42170</v>
      </c>
      <c r="AQ709" s="302"/>
      <c r="AR709" s="303"/>
      <c r="AS709" s="302"/>
      <c r="AT709" s="303"/>
      <c r="AU709">
        <v>104</v>
      </c>
      <c r="AV709" s="303"/>
      <c r="AW709" s="302"/>
      <c r="AX709" s="302"/>
      <c r="AY709" s="302"/>
      <c r="AZ709" s="303"/>
      <c r="BA709" s="302"/>
      <c r="BB709" s="302"/>
      <c r="BC709" s="302"/>
      <c r="BD709" s="302"/>
      <c r="BE709" s="302"/>
      <c r="BF709" s="302"/>
      <c r="BG709" s="302"/>
      <c r="BH709" s="302"/>
      <c r="BI709" s="302"/>
      <c r="BJ709" s="302"/>
      <c r="BM709">
        <v>0.7</v>
      </c>
      <c r="BS709">
        <v>60.8</v>
      </c>
      <c r="BY709">
        <v>50</v>
      </c>
      <c r="CA709">
        <v>20</v>
      </c>
      <c r="CC709">
        <v>20.5</v>
      </c>
      <c r="CI709">
        <v>4.9000000000000004</v>
      </c>
      <c r="CO709" t="s">
        <v>8698</v>
      </c>
      <c r="CR709">
        <v>2</v>
      </c>
      <c r="CT709" s="304" t="s">
        <v>11678</v>
      </c>
    </row>
    <row r="710" spans="1:98" s="304" customFormat="1">
      <c r="A710" s="304" t="s">
        <v>8506</v>
      </c>
      <c r="B710" s="523">
        <v>360</v>
      </c>
      <c r="C710" s="296" t="s">
        <v>8686</v>
      </c>
      <c r="D710" s="296" t="s">
        <v>8299</v>
      </c>
      <c r="E710" s="296" t="s">
        <v>8299</v>
      </c>
      <c r="F710" s="296"/>
      <c r="G710" s="296" t="s">
        <v>8506</v>
      </c>
      <c r="H710" s="297" t="s">
        <v>8697</v>
      </c>
      <c r="I710" s="297">
        <v>4</v>
      </c>
      <c r="J710" s="297">
        <v>4225</v>
      </c>
      <c r="K710" s="299"/>
      <c r="L710" s="299"/>
      <c r="M710" s="299">
        <v>116</v>
      </c>
      <c r="N710" s="299">
        <v>10</v>
      </c>
      <c r="O710" s="300">
        <v>18</v>
      </c>
      <c r="P710" s="301">
        <v>42090</v>
      </c>
      <c r="Q710" s="302"/>
      <c r="R710" s="303"/>
      <c r="S710" s="289">
        <v>4</v>
      </c>
      <c r="T710" s="303">
        <v>42208</v>
      </c>
      <c r="U710" s="302"/>
      <c r="V710" s="303"/>
      <c r="W710" s="302"/>
      <c r="X710" s="303"/>
      <c r="Y710" s="302">
        <v>15.53</v>
      </c>
      <c r="Z710" s="303">
        <v>42208</v>
      </c>
      <c r="AA710">
        <v>14.4</v>
      </c>
      <c r="AB710" s="303"/>
      <c r="AC710" s="302"/>
      <c r="AD710" s="303"/>
      <c r="AE710" s="302"/>
      <c r="AF710" s="303"/>
      <c r="AG710">
        <v>51667.777777777781</v>
      </c>
      <c r="AH710" s="521">
        <f>(AK710*10000)/AM710</f>
        <v>51667.777777777781</v>
      </c>
      <c r="AI710" s="302"/>
      <c r="AJ710" s="303"/>
      <c r="AK710">
        <v>25.83388888888889</v>
      </c>
      <c r="AL710" s="521"/>
      <c r="AM710">
        <v>5</v>
      </c>
      <c r="AN710" s="303">
        <v>42244</v>
      </c>
      <c r="AO710">
        <v>135</v>
      </c>
      <c r="AP710" s="303">
        <v>42170</v>
      </c>
      <c r="AQ710" s="302"/>
      <c r="AR710" s="303"/>
      <c r="AS710" s="302"/>
      <c r="AT710" s="303"/>
      <c r="AU710">
        <v>110</v>
      </c>
      <c r="AV710" s="302"/>
      <c r="AW710" s="302"/>
      <c r="AX710" s="302"/>
      <c r="AY710" s="302"/>
      <c r="AZ710" s="302"/>
      <c r="BA710" s="302"/>
      <c r="BB710" s="302"/>
      <c r="BC710" s="302"/>
      <c r="BD710" s="302"/>
      <c r="BE710" s="302"/>
      <c r="BF710" s="302"/>
      <c r="BG710" s="302"/>
      <c r="BH710" s="302"/>
      <c r="BI710" s="302"/>
      <c r="BJ710" s="302"/>
      <c r="BM710">
        <v>-3.6</v>
      </c>
      <c r="BS710">
        <v>63.3</v>
      </c>
      <c r="BY710">
        <v>53.6</v>
      </c>
      <c r="CA710">
        <v>15.3</v>
      </c>
      <c r="CC710">
        <v>13.2</v>
      </c>
      <c r="CI710">
        <v>5.0999999999999996</v>
      </c>
      <c r="CO710" t="s">
        <v>8698</v>
      </c>
      <c r="CR710">
        <v>1</v>
      </c>
      <c r="CT710" s="304" t="s">
        <v>11678</v>
      </c>
    </row>
    <row r="711" spans="1:98" s="304" customFormat="1">
      <c r="A711" s="304" t="s">
        <v>8506</v>
      </c>
      <c r="B711" s="463">
        <v>2</v>
      </c>
      <c r="C711" s="296" t="s">
        <v>7608</v>
      </c>
      <c r="D711" s="296" t="s">
        <v>7810</v>
      </c>
      <c r="E711" s="296" t="s">
        <v>7608</v>
      </c>
      <c r="F711" s="296"/>
      <c r="G711" s="296" t="s">
        <v>8506</v>
      </c>
      <c r="H711" s="297" t="s">
        <v>8696</v>
      </c>
      <c r="I711" s="297">
        <v>3</v>
      </c>
      <c r="J711" s="297">
        <v>3166</v>
      </c>
      <c r="K711" s="299"/>
      <c r="L711" s="299"/>
      <c r="M711" s="299">
        <v>117</v>
      </c>
      <c r="N711" s="299">
        <v>3</v>
      </c>
      <c r="O711" s="300">
        <v>64</v>
      </c>
      <c r="P711" s="301">
        <v>42090</v>
      </c>
      <c r="Q711" s="302"/>
      <c r="R711" s="303"/>
      <c r="S711" s="289">
        <v>4.6500000000000004</v>
      </c>
      <c r="T711" s="303">
        <v>42208</v>
      </c>
      <c r="U711" s="302"/>
      <c r="V711" s="303"/>
      <c r="W711" s="302"/>
      <c r="X711" s="303"/>
      <c r="Y711" s="302">
        <v>15.94</v>
      </c>
      <c r="Z711" s="303">
        <v>42208</v>
      </c>
      <c r="AA711">
        <v>14.4</v>
      </c>
      <c r="AB711" s="303"/>
      <c r="AC711" s="302"/>
      <c r="AD711" s="303"/>
      <c r="AE711" s="302"/>
      <c r="AF711" s="303"/>
      <c r="AG711">
        <v>55673.225308641973</v>
      </c>
      <c r="AH711" s="521">
        <f>(AK711*10000)/AM711</f>
        <v>55673.225308641973</v>
      </c>
      <c r="AI711" s="302"/>
      <c r="AJ711" s="303"/>
      <c r="AK711">
        <v>30.063541666666666</v>
      </c>
      <c r="AL711" s="521"/>
      <c r="AM711">
        <v>5.4</v>
      </c>
      <c r="AN711" s="303">
        <v>42244</v>
      </c>
      <c r="AO711">
        <v>150</v>
      </c>
      <c r="AP711" s="303">
        <v>42170</v>
      </c>
      <c r="AQ711" s="302"/>
      <c r="AR711" s="303"/>
      <c r="AS711" s="302"/>
      <c r="AT711" s="303"/>
      <c r="AU711">
        <v>112</v>
      </c>
      <c r="AV711" s="303"/>
      <c r="AW711" s="302"/>
      <c r="AX711" s="302"/>
      <c r="AY711" s="302"/>
      <c r="AZ711" s="303"/>
      <c r="BA711" s="302"/>
      <c r="BB711" s="302"/>
      <c r="BC711" s="302"/>
      <c r="BD711" s="302"/>
      <c r="BE711" s="302"/>
      <c r="BF711" s="302"/>
      <c r="BG711" s="302"/>
      <c r="BH711" s="302"/>
      <c r="BI711" s="302"/>
      <c r="BJ711" s="302"/>
      <c r="BM711">
        <v>44.8</v>
      </c>
      <c r="BS711">
        <v>11</v>
      </c>
      <c r="BY711">
        <v>47.3</v>
      </c>
      <c r="CA711">
        <v>21.6</v>
      </c>
      <c r="CC711">
        <v>75.7</v>
      </c>
      <c r="CI711">
        <v>5</v>
      </c>
      <c r="CO711" t="s">
        <v>8699</v>
      </c>
      <c r="CR711">
        <v>4</v>
      </c>
      <c r="CT711" s="304" t="s">
        <v>11678</v>
      </c>
    </row>
    <row r="712" spans="1:98" s="304" customFormat="1">
      <c r="A712" s="304" t="s">
        <v>8506</v>
      </c>
      <c r="B712" s="463">
        <v>53</v>
      </c>
      <c r="C712" s="296" t="s">
        <v>7671</v>
      </c>
      <c r="D712" s="296" t="s">
        <v>7503</v>
      </c>
      <c r="E712" s="296" t="s">
        <v>7671</v>
      </c>
      <c r="F712" s="296"/>
      <c r="G712" s="296" t="s">
        <v>8506</v>
      </c>
      <c r="H712" s="297" t="s">
        <v>8697</v>
      </c>
      <c r="I712" s="297">
        <v>4</v>
      </c>
      <c r="J712" s="297">
        <v>4166</v>
      </c>
      <c r="K712" s="299"/>
      <c r="L712" s="299"/>
      <c r="M712" s="299">
        <v>117</v>
      </c>
      <c r="N712" s="299">
        <v>9</v>
      </c>
      <c r="O712" s="300">
        <v>70</v>
      </c>
      <c r="P712" s="301">
        <v>42090</v>
      </c>
      <c r="Q712" s="302"/>
      <c r="R712" s="303"/>
      <c r="S712" s="289">
        <v>4.9000000000000004</v>
      </c>
      <c r="T712" s="303">
        <v>42208</v>
      </c>
      <c r="U712" s="302"/>
      <c r="V712" s="303"/>
      <c r="W712" s="302"/>
      <c r="X712" s="303"/>
      <c r="Y712" s="302">
        <v>18.88</v>
      </c>
      <c r="Z712" s="303">
        <v>42208</v>
      </c>
      <c r="AA712">
        <v>14.4</v>
      </c>
      <c r="AB712" s="303"/>
      <c r="AC712" s="302"/>
      <c r="AD712" s="303"/>
      <c r="AE712" s="302"/>
      <c r="AF712" s="303"/>
      <c r="AG712">
        <v>68941.757246376816</v>
      </c>
      <c r="AH712" s="521">
        <f>(AK712*10000)/AM712</f>
        <v>68941.757246376816</v>
      </c>
      <c r="AI712" s="302"/>
      <c r="AJ712" s="303"/>
      <c r="AK712">
        <v>31.713208333333331</v>
      </c>
      <c r="AL712" s="521"/>
      <c r="AM712">
        <v>4.5999999999999996</v>
      </c>
      <c r="AN712" s="303">
        <v>42244</v>
      </c>
      <c r="AO712">
        <v>130</v>
      </c>
      <c r="AP712" s="303">
        <v>42170</v>
      </c>
      <c r="AQ712" s="302"/>
      <c r="AR712" s="303"/>
      <c r="AS712" s="302"/>
      <c r="AT712" s="303"/>
      <c r="AU712">
        <v>112</v>
      </c>
      <c r="AV712" s="303"/>
      <c r="AW712" s="302"/>
      <c r="AX712" s="302"/>
      <c r="AY712" s="302"/>
      <c r="AZ712" s="303"/>
      <c r="BA712" s="302"/>
      <c r="BB712" s="302"/>
      <c r="BC712" s="302"/>
      <c r="BD712" s="302"/>
      <c r="BE712" s="302"/>
      <c r="BF712" s="302"/>
      <c r="BG712" s="302"/>
      <c r="BH712" s="302"/>
      <c r="BI712" s="302"/>
      <c r="BJ712" s="302"/>
      <c r="BM712">
        <v>0.1</v>
      </c>
      <c r="BS712">
        <v>62.4</v>
      </c>
      <c r="BY712">
        <v>53.1</v>
      </c>
      <c r="CA712">
        <v>15.1</v>
      </c>
      <c r="CC712">
        <v>13.4</v>
      </c>
      <c r="CI712">
        <v>4.9000000000000004</v>
      </c>
      <c r="CO712" t="s">
        <v>8698</v>
      </c>
      <c r="CR712">
        <v>1</v>
      </c>
      <c r="CT712" s="304" t="s">
        <v>11678</v>
      </c>
    </row>
    <row r="713" spans="1:98" s="304" customFormat="1">
      <c r="A713" s="304" t="s">
        <v>8506</v>
      </c>
      <c r="B713" s="463">
        <v>55</v>
      </c>
      <c r="C713" s="296" t="s">
        <v>7673</v>
      </c>
      <c r="D713" s="296" t="s">
        <v>7505</v>
      </c>
      <c r="E713" s="296" t="s">
        <v>7673</v>
      </c>
      <c r="F713" s="296"/>
      <c r="G713" s="296" t="s">
        <v>8506</v>
      </c>
      <c r="H713" s="297" t="s">
        <v>8697</v>
      </c>
      <c r="I713" s="297">
        <v>4</v>
      </c>
      <c r="J713" s="297">
        <v>4286</v>
      </c>
      <c r="K713" s="299"/>
      <c r="L713" s="299"/>
      <c r="M713" s="299">
        <v>117</v>
      </c>
      <c r="N713" s="299">
        <v>11</v>
      </c>
      <c r="O713" s="300">
        <v>44</v>
      </c>
      <c r="P713" s="301">
        <v>42090</v>
      </c>
      <c r="Q713" s="302"/>
      <c r="R713" s="303"/>
      <c r="S713" s="289">
        <v>3.9</v>
      </c>
      <c r="T713" s="303">
        <v>42208</v>
      </c>
      <c r="U713" s="302"/>
      <c r="V713" s="303"/>
      <c r="W713" s="302"/>
      <c r="X713" s="303"/>
      <c r="Y713" s="302">
        <v>15.25</v>
      </c>
      <c r="Z713" s="303">
        <v>42208</v>
      </c>
      <c r="AA713">
        <v>14.4</v>
      </c>
      <c r="AB713" s="303"/>
      <c r="AC713" s="302"/>
      <c r="AD713" s="303"/>
      <c r="AE713" s="302"/>
      <c r="AF713" s="303"/>
      <c r="AG713">
        <v>48540.624999999993</v>
      </c>
      <c r="AH713" s="521">
        <f>(AK713*10000)/AM713</f>
        <v>48540.624999999993</v>
      </c>
      <c r="AI713" s="302"/>
      <c r="AJ713" s="303"/>
      <c r="AK713">
        <v>25.241124999999997</v>
      </c>
      <c r="AL713" s="521"/>
      <c r="AM713">
        <v>5.2</v>
      </c>
      <c r="AN713" s="303">
        <v>42244</v>
      </c>
      <c r="AO713">
        <v>120</v>
      </c>
      <c r="AP713" s="303">
        <v>42170</v>
      </c>
      <c r="AQ713" s="302"/>
      <c r="AR713" s="303"/>
      <c r="AS713" s="302"/>
      <c r="AT713" s="303"/>
      <c r="AU713">
        <v>112</v>
      </c>
      <c r="AV713" s="303"/>
      <c r="AW713" s="302"/>
      <c r="AX713" s="302"/>
      <c r="AY713" s="302"/>
      <c r="AZ713" s="303"/>
      <c r="BA713" s="302"/>
      <c r="BB713" s="302"/>
      <c r="BC713" s="302"/>
      <c r="BD713" s="302"/>
      <c r="BE713" s="302"/>
      <c r="BF713" s="302"/>
      <c r="BG713" s="302"/>
      <c r="BH713" s="302"/>
      <c r="BI713" s="302"/>
      <c r="BJ713" s="302"/>
      <c r="BM713">
        <v>-7.1</v>
      </c>
      <c r="BS713">
        <v>65.900000000000006</v>
      </c>
      <c r="BY713">
        <v>53.9</v>
      </c>
      <c r="CA713">
        <v>15</v>
      </c>
      <c r="CC713">
        <v>16.2</v>
      </c>
      <c r="CI713">
        <v>4.9000000000000004</v>
      </c>
      <c r="CO713" t="s">
        <v>8700</v>
      </c>
      <c r="CR713">
        <v>1</v>
      </c>
      <c r="CT713" s="304" t="s">
        <v>11678</v>
      </c>
    </row>
    <row r="714" spans="1:98" s="304" customFormat="1">
      <c r="A714" s="304" t="s">
        <v>8506</v>
      </c>
      <c r="B714" s="463">
        <v>56</v>
      </c>
      <c r="C714" s="296" t="s">
        <v>7674</v>
      </c>
      <c r="D714" s="296" t="s">
        <v>7506</v>
      </c>
      <c r="E714" s="296" t="s">
        <v>7674</v>
      </c>
      <c r="F714" s="296"/>
      <c r="G714" s="296" t="s">
        <v>8506</v>
      </c>
      <c r="H714" s="297" t="s">
        <v>8697</v>
      </c>
      <c r="I714" s="297">
        <v>4</v>
      </c>
      <c r="J714" s="297">
        <v>4346</v>
      </c>
      <c r="K714" s="299"/>
      <c r="L714" s="299"/>
      <c r="M714" s="299">
        <v>117</v>
      </c>
      <c r="N714" s="299">
        <v>12</v>
      </c>
      <c r="O714" s="300">
        <v>76</v>
      </c>
      <c r="P714" s="301">
        <v>42090</v>
      </c>
      <c r="Q714" s="302"/>
      <c r="R714" s="303"/>
      <c r="S714" s="289">
        <v>4.1500000000000004</v>
      </c>
      <c r="T714" s="303">
        <v>42208</v>
      </c>
      <c r="U714" s="302"/>
      <c r="V714" s="303"/>
      <c r="W714" s="302"/>
      <c r="X714" s="303"/>
      <c r="Y714" s="302">
        <v>15.51</v>
      </c>
      <c r="Z714" s="303">
        <v>42208</v>
      </c>
      <c r="AA714">
        <v>14.4</v>
      </c>
      <c r="AB714" s="303"/>
      <c r="AC714" s="302"/>
      <c r="AD714" s="303"/>
      <c r="AE714" s="302"/>
      <c r="AF714" s="303"/>
      <c r="AG714">
        <v>54699.305555555555</v>
      </c>
      <c r="AH714" s="521">
        <f>(AK714*10000)/AM714</f>
        <v>54699.305555555555</v>
      </c>
      <c r="AI714" s="302"/>
      <c r="AJ714" s="303"/>
      <c r="AK714">
        <v>26.802659722222227</v>
      </c>
      <c r="AL714" s="521"/>
      <c r="AM714">
        <v>4.9000000000000004</v>
      </c>
      <c r="AN714" s="303">
        <v>42244</v>
      </c>
      <c r="AO714">
        <v>110</v>
      </c>
      <c r="AP714" s="303">
        <v>42170</v>
      </c>
      <c r="AQ714" s="302"/>
      <c r="AR714" s="303"/>
      <c r="AS714" s="302"/>
      <c r="AT714" s="303"/>
      <c r="AU714">
        <v>108</v>
      </c>
      <c r="AV714" s="303"/>
      <c r="AW714" s="302"/>
      <c r="AX714" s="302"/>
      <c r="AY714" s="302"/>
      <c r="AZ714" s="303"/>
      <c r="BA714" s="302"/>
      <c r="BB714" s="302"/>
      <c r="BC714" s="302"/>
      <c r="BD714" s="302"/>
      <c r="BE714" s="302"/>
      <c r="BF714" s="302"/>
      <c r="BG714" s="302"/>
      <c r="BH714" s="302"/>
      <c r="BI714" s="302"/>
      <c r="BJ714" s="302"/>
      <c r="BM714">
        <v>-2.8</v>
      </c>
      <c r="BS714">
        <v>61.3</v>
      </c>
      <c r="BY714">
        <v>51.6</v>
      </c>
      <c r="CA714">
        <v>16</v>
      </c>
      <c r="CC714">
        <v>14.3</v>
      </c>
      <c r="CI714">
        <v>5.0999999999999996</v>
      </c>
      <c r="CO714" t="s">
        <v>8698</v>
      </c>
      <c r="CR714">
        <v>1</v>
      </c>
      <c r="CT714" s="304" t="s">
        <v>11678</v>
      </c>
    </row>
    <row r="715" spans="1:98" s="304" customFormat="1">
      <c r="A715" s="304" t="s">
        <v>8506</v>
      </c>
      <c r="B715" s="463">
        <v>85</v>
      </c>
      <c r="C715" s="296" t="s">
        <v>7703</v>
      </c>
      <c r="D715" s="296" t="s">
        <v>7532</v>
      </c>
      <c r="E715" s="296" t="s">
        <v>7703</v>
      </c>
      <c r="F715" s="296"/>
      <c r="G715" s="296" t="s">
        <v>8506</v>
      </c>
      <c r="H715" s="297" t="s">
        <v>8697</v>
      </c>
      <c r="I715" s="297">
        <v>4</v>
      </c>
      <c r="J715" s="297">
        <v>446</v>
      </c>
      <c r="K715" s="299"/>
      <c r="L715" s="299"/>
      <c r="M715" s="299">
        <v>117</v>
      </c>
      <c r="N715" s="299">
        <v>7</v>
      </c>
      <c r="O715" s="300">
        <v>42</v>
      </c>
      <c r="P715" s="301">
        <v>42090</v>
      </c>
      <c r="Q715" s="302"/>
      <c r="R715" s="303"/>
      <c r="S715" s="289">
        <v>4.55</v>
      </c>
      <c r="T715" s="303">
        <v>42208</v>
      </c>
      <c r="U715" s="302"/>
      <c r="V715" s="303"/>
      <c r="W715" s="302"/>
      <c r="X715" s="303"/>
      <c r="Y715" s="302">
        <v>16.86</v>
      </c>
      <c r="Z715" s="303">
        <v>42208</v>
      </c>
      <c r="AA715">
        <v>14.4</v>
      </c>
      <c r="AB715" s="303"/>
      <c r="AC715" s="302"/>
      <c r="AD715" s="303"/>
      <c r="AE715" s="302"/>
      <c r="AF715" s="303"/>
      <c r="AG715">
        <v>57680.419389978219</v>
      </c>
      <c r="AH715" s="521">
        <f>(AK715*10000)/AM715</f>
        <v>57680.419389978219</v>
      </c>
      <c r="AI715" s="302"/>
      <c r="AJ715" s="303"/>
      <c r="AK715">
        <v>29.417013888888889</v>
      </c>
      <c r="AL715" s="521"/>
      <c r="AM715">
        <v>5.0999999999999996</v>
      </c>
      <c r="AN715" s="303">
        <v>42244</v>
      </c>
      <c r="AO715">
        <v>130</v>
      </c>
      <c r="AP715" s="303">
        <v>42170</v>
      </c>
      <c r="AQ715" s="302"/>
      <c r="AR715" s="303"/>
      <c r="AS715" s="302"/>
      <c r="AT715" s="303"/>
      <c r="AU715">
        <v>106</v>
      </c>
      <c r="AV715" s="303"/>
      <c r="AW715" s="302"/>
      <c r="AX715" s="302"/>
      <c r="AY715" s="302"/>
      <c r="AZ715" s="303"/>
      <c r="BA715" s="302"/>
      <c r="BB715" s="302"/>
      <c r="BC715" s="302"/>
      <c r="BD715" s="302"/>
      <c r="BE715" s="302"/>
      <c r="BF715" s="302"/>
      <c r="BG715" s="302"/>
      <c r="BH715" s="302"/>
      <c r="BI715" s="302"/>
      <c r="BJ715" s="302"/>
      <c r="BM715">
        <v>2.1</v>
      </c>
      <c r="BS715">
        <v>56.5</v>
      </c>
      <c r="BY715">
        <v>51.1</v>
      </c>
      <c r="CA715">
        <v>17.5</v>
      </c>
      <c r="CC715">
        <v>15.8</v>
      </c>
      <c r="CI715">
        <v>5</v>
      </c>
      <c r="CO715" t="s">
        <v>8698</v>
      </c>
      <c r="CR715">
        <v>4</v>
      </c>
      <c r="CT715" s="304" t="s">
        <v>11678</v>
      </c>
    </row>
    <row r="716" spans="1:98" s="304" customFormat="1">
      <c r="A716" s="304" t="s">
        <v>8506</v>
      </c>
      <c r="B716" s="463">
        <v>105</v>
      </c>
      <c r="C716" s="296" t="s">
        <v>7723</v>
      </c>
      <c r="D716" s="296" t="s">
        <v>7550</v>
      </c>
      <c r="E716" s="296" t="s">
        <v>7723</v>
      </c>
      <c r="F716" s="296"/>
      <c r="G716" s="296" t="s">
        <v>8506</v>
      </c>
      <c r="H716" s="297" t="s">
        <v>8696</v>
      </c>
      <c r="I716" s="297">
        <v>3</v>
      </c>
      <c r="J716" s="297">
        <v>3106</v>
      </c>
      <c r="K716" s="299"/>
      <c r="L716" s="299"/>
      <c r="M716" s="299">
        <v>117</v>
      </c>
      <c r="N716" s="299">
        <v>2</v>
      </c>
      <c r="O716" s="300">
        <v>20</v>
      </c>
      <c r="P716" s="301">
        <v>42090</v>
      </c>
      <c r="Q716" s="302"/>
      <c r="R716" s="303"/>
      <c r="S716" s="289">
        <v>5.25</v>
      </c>
      <c r="T716" s="303">
        <v>42208</v>
      </c>
      <c r="U716" s="302"/>
      <c r="V716" s="303"/>
      <c r="W716" s="302"/>
      <c r="X716" s="303"/>
      <c r="Y716" s="302">
        <v>18.57</v>
      </c>
      <c r="Z716" s="303">
        <v>42208</v>
      </c>
      <c r="AA716">
        <v>14.4</v>
      </c>
      <c r="AB716" s="303"/>
      <c r="AC716" s="302"/>
      <c r="AD716" s="303"/>
      <c r="AE716" s="302"/>
      <c r="AF716" s="303"/>
      <c r="AG716">
        <v>61584.090909090897</v>
      </c>
      <c r="AH716" s="521">
        <f>(AK716*10000)/AM716</f>
        <v>61584.090909090897</v>
      </c>
      <c r="AI716" s="302"/>
      <c r="AJ716" s="303"/>
      <c r="AK716">
        <v>33.871249999999996</v>
      </c>
      <c r="AL716" s="521"/>
      <c r="AM716">
        <v>5.5</v>
      </c>
      <c r="AN716" s="303">
        <v>42244</v>
      </c>
      <c r="AO716">
        <v>135</v>
      </c>
      <c r="AP716" s="303">
        <v>42170</v>
      </c>
      <c r="AQ716" s="302"/>
      <c r="AR716" s="303"/>
      <c r="AS716" s="302"/>
      <c r="AT716" s="303"/>
      <c r="AU716">
        <v>109</v>
      </c>
      <c r="AV716" s="303"/>
      <c r="AW716" s="302"/>
      <c r="AX716" s="302"/>
      <c r="AY716" s="302"/>
      <c r="AZ716" s="303"/>
      <c r="BA716" s="302"/>
      <c r="BB716" s="302"/>
      <c r="BC716" s="302"/>
      <c r="BD716" s="302"/>
      <c r="BE716" s="302"/>
      <c r="BF716" s="302"/>
      <c r="BG716" s="302"/>
      <c r="BH716" s="302"/>
      <c r="BI716" s="302"/>
      <c r="BJ716" s="302"/>
      <c r="BM716">
        <v>-1.8</v>
      </c>
      <c r="BS716">
        <v>60.5</v>
      </c>
      <c r="BY716">
        <v>48.9</v>
      </c>
      <c r="CA716">
        <v>19.3</v>
      </c>
      <c r="CC716">
        <v>19.5</v>
      </c>
      <c r="CI716">
        <v>5.2</v>
      </c>
      <c r="CO716" t="s">
        <v>8699</v>
      </c>
      <c r="CR716">
        <v>3</v>
      </c>
      <c r="CT716" s="304" t="s">
        <v>11678</v>
      </c>
    </row>
    <row r="717" spans="1:98" s="304" customFormat="1">
      <c r="A717" s="304" t="s">
        <v>8506</v>
      </c>
      <c r="B717" s="463">
        <v>112</v>
      </c>
      <c r="C717" s="296" t="s">
        <v>7730</v>
      </c>
      <c r="D717" s="296" t="s">
        <v>7556</v>
      </c>
      <c r="E717" s="296" t="s">
        <v>7730</v>
      </c>
      <c r="F717" s="296"/>
      <c r="G717" s="296" t="s">
        <v>8506</v>
      </c>
      <c r="H717" s="297" t="s">
        <v>8697</v>
      </c>
      <c r="I717" s="297">
        <v>4</v>
      </c>
      <c r="J717" s="297">
        <v>4106</v>
      </c>
      <c r="K717" s="299"/>
      <c r="L717" s="299"/>
      <c r="M717" s="299">
        <v>117</v>
      </c>
      <c r="N717" s="299">
        <v>8</v>
      </c>
      <c r="O717" s="300">
        <v>80</v>
      </c>
      <c r="P717" s="301">
        <v>42090</v>
      </c>
      <c r="Q717" s="302"/>
      <c r="R717" s="303"/>
      <c r="S717" s="289">
        <v>4.3</v>
      </c>
      <c r="T717" s="303">
        <v>42208</v>
      </c>
      <c r="U717" s="302"/>
      <c r="V717" s="303"/>
      <c r="W717" s="302"/>
      <c r="X717" s="303"/>
      <c r="Y717" s="302">
        <v>16.47</v>
      </c>
      <c r="Z717" s="303">
        <v>42208</v>
      </c>
      <c r="AA717">
        <v>14.4</v>
      </c>
      <c r="AB717" s="303"/>
      <c r="AC717" s="302"/>
      <c r="AD717" s="303"/>
      <c r="AE717" s="302"/>
      <c r="AF717" s="303"/>
      <c r="AG717">
        <v>63116.887626262636</v>
      </c>
      <c r="AH717" s="521">
        <f>(AK717*10000)/AM717</f>
        <v>63116.887626262636</v>
      </c>
      <c r="AI717" s="302"/>
      <c r="AJ717" s="303"/>
      <c r="AK717">
        <v>27.771430555555561</v>
      </c>
      <c r="AL717" s="521"/>
      <c r="AM717">
        <v>4.4000000000000004</v>
      </c>
      <c r="AN717" s="303">
        <v>42244</v>
      </c>
      <c r="AO717">
        <v>125</v>
      </c>
      <c r="AP717" s="303">
        <v>42170</v>
      </c>
      <c r="AQ717" s="302"/>
      <c r="AR717" s="303"/>
      <c r="AS717" s="302"/>
      <c r="AT717" s="303"/>
      <c r="AU717">
        <v>108</v>
      </c>
      <c r="AV717" s="303"/>
      <c r="AW717" s="302"/>
      <c r="AX717" s="302"/>
      <c r="AY717" s="302"/>
      <c r="AZ717" s="303"/>
      <c r="BA717" s="302"/>
      <c r="BB717" s="302"/>
      <c r="BC717" s="302"/>
      <c r="BD717" s="302"/>
      <c r="BE717" s="302"/>
      <c r="BF717" s="302"/>
      <c r="BG717" s="302"/>
      <c r="BH717" s="302"/>
      <c r="BI717" s="302"/>
      <c r="BJ717" s="302"/>
      <c r="BM717">
        <v>-3.8</v>
      </c>
      <c r="BS717">
        <v>60.8</v>
      </c>
      <c r="BY717">
        <v>52.9</v>
      </c>
      <c r="CA717">
        <v>15.3</v>
      </c>
      <c r="CC717">
        <v>19</v>
      </c>
      <c r="CI717">
        <v>5.0999999999999996</v>
      </c>
      <c r="CO717" t="s">
        <v>8698</v>
      </c>
      <c r="CR717">
        <v>1</v>
      </c>
      <c r="CT717" s="304" t="s">
        <v>11678</v>
      </c>
    </row>
    <row r="718" spans="1:98" s="304" customFormat="1">
      <c r="A718" s="304" t="s">
        <v>8506</v>
      </c>
      <c r="B718" s="463">
        <v>15</v>
      </c>
      <c r="C718" s="296" t="s">
        <v>7624</v>
      </c>
      <c r="D718" s="296" t="s">
        <v>7462</v>
      </c>
      <c r="E718" s="296" t="s">
        <v>7624</v>
      </c>
      <c r="F718" s="296"/>
      <c r="G718" s="296" t="s">
        <v>8506</v>
      </c>
      <c r="H718" s="297" t="s">
        <v>8697</v>
      </c>
      <c r="I718" s="297">
        <v>4</v>
      </c>
      <c r="J718" s="297">
        <v>4167</v>
      </c>
      <c r="K718" s="299"/>
      <c r="L718" s="299"/>
      <c r="M718" s="299">
        <v>118</v>
      </c>
      <c r="N718" s="299">
        <v>9</v>
      </c>
      <c r="O718" s="300">
        <v>26</v>
      </c>
      <c r="P718" s="301">
        <v>42090</v>
      </c>
      <c r="Q718" s="302"/>
      <c r="R718" s="303"/>
      <c r="S718" s="289">
        <v>2.25</v>
      </c>
      <c r="T718" s="303">
        <v>42208</v>
      </c>
      <c r="U718" s="302"/>
      <c r="V718" s="303"/>
      <c r="W718" s="302"/>
      <c r="X718" s="303"/>
      <c r="Y718" s="302">
        <v>8.02</v>
      </c>
      <c r="Z718" s="303">
        <v>42208</v>
      </c>
      <c r="AA718">
        <v>14.4</v>
      </c>
      <c r="AB718" s="303"/>
      <c r="AC718" s="302"/>
      <c r="AD718" s="303"/>
      <c r="AE718" s="302"/>
      <c r="AF718" s="303"/>
      <c r="AG718">
        <v>25080.818965517235</v>
      </c>
      <c r="AH718" s="521">
        <f>(AK718*10000)/AM718</f>
        <v>25080.818965517235</v>
      </c>
      <c r="AI718" s="302"/>
      <c r="AJ718" s="303"/>
      <c r="AK718">
        <v>14.546874999999998</v>
      </c>
      <c r="AL718" s="521"/>
      <c r="AM718">
        <v>5.8</v>
      </c>
      <c r="AN718" s="303">
        <v>42244</v>
      </c>
      <c r="AO718">
        <v>155</v>
      </c>
      <c r="AP718" s="303">
        <v>42170</v>
      </c>
      <c r="AQ718" s="302"/>
      <c r="AR718" s="303"/>
      <c r="AS718" s="302"/>
      <c r="AT718" s="303"/>
      <c r="AU718">
        <v>113</v>
      </c>
      <c r="AV718" s="303"/>
      <c r="AW718" s="302"/>
      <c r="AX718" s="302"/>
      <c r="AY718" s="302"/>
      <c r="AZ718" s="303"/>
      <c r="BA718" s="302"/>
      <c r="BB718" s="302"/>
      <c r="BC718" s="302"/>
      <c r="BD718" s="302"/>
      <c r="BE718" s="302"/>
      <c r="BF718" s="302"/>
      <c r="BG718" s="302"/>
      <c r="BH718" s="302"/>
      <c r="BI718" s="302"/>
      <c r="BJ718" s="302"/>
      <c r="BM718">
        <v>29.9</v>
      </c>
      <c r="BS718">
        <v>26.2</v>
      </c>
      <c r="BY718">
        <v>49.2</v>
      </c>
      <c r="CA718">
        <v>20.399999999999999</v>
      </c>
      <c r="CC718">
        <v>71.2</v>
      </c>
      <c r="CI718">
        <v>5</v>
      </c>
      <c r="CO718" t="s">
        <v>8698</v>
      </c>
      <c r="CR718">
        <v>3</v>
      </c>
      <c r="CT718" s="304" t="s">
        <v>11678</v>
      </c>
    </row>
    <row r="719" spans="1:98" s="304" customFormat="1">
      <c r="A719" s="304" t="s">
        <v>8506</v>
      </c>
      <c r="B719" s="463">
        <v>17</v>
      </c>
      <c r="C719" s="296" t="s">
        <v>7626</v>
      </c>
      <c r="D719" s="296" t="s">
        <v>7814</v>
      </c>
      <c r="E719" s="296" t="s">
        <v>7626</v>
      </c>
      <c r="F719" s="296"/>
      <c r="G719" s="296" t="s">
        <v>8506</v>
      </c>
      <c r="H719" s="297" t="s">
        <v>8697</v>
      </c>
      <c r="I719" s="297">
        <v>4</v>
      </c>
      <c r="J719" s="297">
        <v>4107</v>
      </c>
      <c r="K719" s="299"/>
      <c r="L719" s="299"/>
      <c r="M719" s="299">
        <v>118</v>
      </c>
      <c r="N719" s="299">
        <v>8</v>
      </c>
      <c r="O719" s="300">
        <v>34</v>
      </c>
      <c r="P719" s="301">
        <v>42090</v>
      </c>
      <c r="Q719" s="302"/>
      <c r="R719" s="303"/>
      <c r="S719" s="289">
        <v>3.8</v>
      </c>
      <c r="T719" s="303">
        <v>42208</v>
      </c>
      <c r="U719" s="302"/>
      <c r="V719" s="303"/>
      <c r="W719" s="302"/>
      <c r="X719" s="303"/>
      <c r="Y719" s="302">
        <v>14.07</v>
      </c>
      <c r="Z719" s="303">
        <v>42208</v>
      </c>
      <c r="AA719">
        <v>14.4</v>
      </c>
      <c r="AB719" s="303"/>
      <c r="AC719" s="302"/>
      <c r="AD719" s="303"/>
      <c r="AE719" s="302"/>
      <c r="AF719" s="303"/>
      <c r="AG719">
        <v>51237.326388888891</v>
      </c>
      <c r="AH719" s="521">
        <f>(AK719*10000)/AM719</f>
        <v>51237.326388888891</v>
      </c>
      <c r="AI719" s="302"/>
      <c r="AJ719" s="303"/>
      <c r="AK719">
        <v>24.593916666666665</v>
      </c>
      <c r="AL719" s="521"/>
      <c r="AM719">
        <v>4.8</v>
      </c>
      <c r="AN719" s="303">
        <v>42244</v>
      </c>
      <c r="AO719">
        <v>135</v>
      </c>
      <c r="AP719" s="303">
        <v>42170</v>
      </c>
      <c r="AQ719" s="302"/>
      <c r="AR719" s="303"/>
      <c r="AS719" s="302"/>
      <c r="AT719" s="303"/>
      <c r="AU719">
        <v>110</v>
      </c>
      <c r="AV719" s="303"/>
      <c r="AW719" s="302"/>
      <c r="AX719" s="302"/>
      <c r="AY719" s="302"/>
      <c r="AZ719" s="303"/>
      <c r="BA719" s="302"/>
      <c r="BB719" s="302"/>
      <c r="BC719" s="302"/>
      <c r="BD719" s="302"/>
      <c r="BE719" s="302"/>
      <c r="BF719" s="302"/>
      <c r="BG719" s="302"/>
      <c r="BH719" s="302"/>
      <c r="BI719" s="302"/>
      <c r="BJ719" s="302"/>
      <c r="BM719">
        <v>43.4</v>
      </c>
      <c r="BS719">
        <v>14.6</v>
      </c>
      <c r="BY719">
        <v>51</v>
      </c>
      <c r="CA719">
        <v>17.600000000000001</v>
      </c>
      <c r="CC719">
        <v>69.8</v>
      </c>
      <c r="CI719">
        <v>4.9000000000000004</v>
      </c>
      <c r="CO719" t="s">
        <v>8698</v>
      </c>
      <c r="CR719">
        <v>2</v>
      </c>
      <c r="CT719" s="304" t="s">
        <v>11678</v>
      </c>
    </row>
    <row r="720" spans="1:98" s="304" customFormat="1">
      <c r="A720" s="304" t="s">
        <v>8506</v>
      </c>
      <c r="B720" s="463">
        <v>38</v>
      </c>
      <c r="C720" s="296" t="s">
        <v>7654</v>
      </c>
      <c r="D720" s="296" t="s">
        <v>7488</v>
      </c>
      <c r="E720" s="296" t="s">
        <v>7654</v>
      </c>
      <c r="F720" s="296"/>
      <c r="G720" s="296" t="s">
        <v>8506</v>
      </c>
      <c r="H720" s="297" t="s">
        <v>8697</v>
      </c>
      <c r="I720" s="297">
        <v>4</v>
      </c>
      <c r="J720" s="297">
        <v>4227</v>
      </c>
      <c r="K720" s="299"/>
      <c r="L720" s="299"/>
      <c r="M720" s="299">
        <v>118</v>
      </c>
      <c r="N720" s="299">
        <v>10</v>
      </c>
      <c r="O720" s="300">
        <v>32</v>
      </c>
      <c r="P720" s="301">
        <v>42090</v>
      </c>
      <c r="Q720" s="302"/>
      <c r="R720" s="303"/>
      <c r="S720" s="289">
        <v>4.5</v>
      </c>
      <c r="T720" s="303">
        <v>42208</v>
      </c>
      <c r="U720" s="302"/>
      <c r="V720" s="303"/>
      <c r="W720" s="302"/>
      <c r="X720" s="303"/>
      <c r="Y720" s="302">
        <v>17.09</v>
      </c>
      <c r="Z720" s="303">
        <v>42208</v>
      </c>
      <c r="AA720">
        <v>14.4</v>
      </c>
      <c r="AB720" s="303"/>
      <c r="AC720" s="302"/>
      <c r="AD720" s="303"/>
      <c r="AE720" s="302"/>
      <c r="AF720" s="303"/>
      <c r="AG720">
        <v>57046.568627450972</v>
      </c>
      <c r="AH720" s="521">
        <f>(AK720*10000)/AM720</f>
        <v>57046.568627450972</v>
      </c>
      <c r="AI720" s="302"/>
      <c r="AJ720" s="303"/>
      <c r="AK720">
        <v>29.093749999999996</v>
      </c>
      <c r="AL720" s="521"/>
      <c r="AM720">
        <v>5.0999999999999996</v>
      </c>
      <c r="AN720" s="303">
        <v>42244</v>
      </c>
      <c r="AO720">
        <v>130</v>
      </c>
      <c r="AP720" s="303">
        <v>42170</v>
      </c>
      <c r="AQ720" s="302"/>
      <c r="AR720" s="303"/>
      <c r="AS720" s="302"/>
      <c r="AT720" s="303"/>
      <c r="AU720">
        <v>110</v>
      </c>
      <c r="AV720" s="303"/>
      <c r="AW720" s="302"/>
      <c r="AX720" s="302"/>
      <c r="AY720" s="302"/>
      <c r="AZ720" s="303"/>
      <c r="BA720" s="302"/>
      <c r="BB720" s="302"/>
      <c r="BC720" s="302"/>
      <c r="BD720" s="302"/>
      <c r="BE720" s="302"/>
      <c r="BF720" s="302"/>
      <c r="BG720" s="302"/>
      <c r="BH720" s="302"/>
      <c r="BI720" s="302"/>
      <c r="BJ720" s="302"/>
      <c r="BM720">
        <v>-2.6</v>
      </c>
      <c r="BS720">
        <v>60.1</v>
      </c>
      <c r="BY720">
        <v>52.4</v>
      </c>
      <c r="CA720">
        <v>15.7</v>
      </c>
      <c r="CC720">
        <v>55.3</v>
      </c>
      <c r="CI720">
        <v>5</v>
      </c>
      <c r="CO720" t="s">
        <v>8698</v>
      </c>
      <c r="CR720">
        <v>1</v>
      </c>
      <c r="CT720" s="304" t="s">
        <v>11678</v>
      </c>
    </row>
    <row r="721" spans="1:98" s="304" customFormat="1">
      <c r="A721" s="304" t="s">
        <v>8506</v>
      </c>
      <c r="B721" s="463">
        <v>126</v>
      </c>
      <c r="C721" s="296" t="s">
        <v>7753</v>
      </c>
      <c r="D721" s="296" t="s">
        <v>7564</v>
      </c>
      <c r="E721" s="296" t="s">
        <v>7753</v>
      </c>
      <c r="F721" s="296"/>
      <c r="G721" s="296" t="s">
        <v>8506</v>
      </c>
      <c r="H721" s="297" t="s">
        <v>8697</v>
      </c>
      <c r="I721" s="297">
        <v>4</v>
      </c>
      <c r="J721" s="297">
        <v>447</v>
      </c>
      <c r="K721" s="299"/>
      <c r="L721" s="299"/>
      <c r="M721" s="299">
        <v>118</v>
      </c>
      <c r="N721" s="299">
        <v>7</v>
      </c>
      <c r="O721" s="300">
        <v>37</v>
      </c>
      <c r="P721" s="301">
        <v>42090</v>
      </c>
      <c r="Q721" s="302"/>
      <c r="R721" s="303"/>
      <c r="S721" s="289">
        <v>5.15</v>
      </c>
      <c r="T721" s="303">
        <v>42208</v>
      </c>
      <c r="U721" s="302"/>
      <c r="V721" s="303"/>
      <c r="W721" s="302"/>
      <c r="X721" s="303"/>
      <c r="Y721" s="302">
        <v>19.489999999999998</v>
      </c>
      <c r="Z721" s="303">
        <v>42208</v>
      </c>
      <c r="AA721">
        <v>14.4</v>
      </c>
      <c r="AB721" s="303"/>
      <c r="AC721" s="302"/>
      <c r="AD721" s="303"/>
      <c r="AE721" s="302"/>
      <c r="AF721" s="303"/>
      <c r="AG721">
        <v>66592.361111111095</v>
      </c>
      <c r="AH721" s="521">
        <f>(AK721*10000)/AM721</f>
        <v>66592.361111111095</v>
      </c>
      <c r="AI721" s="302"/>
      <c r="AJ721" s="303"/>
      <c r="AK721">
        <v>33.296180555555551</v>
      </c>
      <c r="AL721" s="521"/>
      <c r="AM721">
        <v>5</v>
      </c>
      <c r="AN721" s="303">
        <v>42244</v>
      </c>
      <c r="AO721">
        <v>135</v>
      </c>
      <c r="AP721" s="303">
        <v>42170</v>
      </c>
      <c r="AQ721" s="302"/>
      <c r="AR721" s="303"/>
      <c r="AS721" s="302"/>
      <c r="AT721" s="303"/>
      <c r="AU721">
        <v>107</v>
      </c>
      <c r="AV721" s="303"/>
      <c r="AW721" s="302"/>
      <c r="AX721" s="302"/>
      <c r="AY721" s="302"/>
      <c r="AZ721" s="303"/>
      <c r="BA721" s="302"/>
      <c r="BB721" s="302"/>
      <c r="BC721" s="302"/>
      <c r="BD721" s="302"/>
      <c r="BE721" s="302"/>
      <c r="BF721" s="302"/>
      <c r="BG721" s="302"/>
      <c r="BH721" s="302"/>
      <c r="BI721" s="302"/>
      <c r="BJ721" s="302"/>
      <c r="BM721">
        <v>0.8</v>
      </c>
      <c r="BS721">
        <v>58.5</v>
      </c>
      <c r="BY721">
        <v>52.2</v>
      </c>
      <c r="CA721">
        <v>16.7</v>
      </c>
      <c r="CC721">
        <v>20.9</v>
      </c>
      <c r="CI721">
        <v>5</v>
      </c>
      <c r="CO721" t="s">
        <v>8698</v>
      </c>
      <c r="CR721">
        <v>2</v>
      </c>
      <c r="CT721" s="304" t="s">
        <v>11678</v>
      </c>
    </row>
    <row r="722" spans="1:98" s="304" customFormat="1">
      <c r="A722" s="304" t="s">
        <v>8506</v>
      </c>
      <c r="B722" s="524">
        <v>139</v>
      </c>
      <c r="C722" s="296" t="s">
        <v>7767</v>
      </c>
      <c r="D722" s="296" t="s">
        <v>7841</v>
      </c>
      <c r="E722" s="296" t="s">
        <v>7767</v>
      </c>
      <c r="F722" s="296"/>
      <c r="G722" s="296" t="s">
        <v>8506</v>
      </c>
      <c r="H722" s="297" t="s">
        <v>8697</v>
      </c>
      <c r="I722" s="297">
        <v>4</v>
      </c>
      <c r="J722" s="297">
        <v>4287</v>
      </c>
      <c r="K722" s="299"/>
      <c r="L722" s="299"/>
      <c r="M722" s="299">
        <v>118</v>
      </c>
      <c r="N722" s="299">
        <v>11</v>
      </c>
      <c r="O722" s="300">
        <v>42</v>
      </c>
      <c r="P722" s="301">
        <v>42090</v>
      </c>
      <c r="Q722" s="302"/>
      <c r="R722" s="303"/>
      <c r="S722" s="289">
        <v>4.1500000000000004</v>
      </c>
      <c r="T722" s="303">
        <v>42208</v>
      </c>
      <c r="U722" s="302"/>
      <c r="V722" s="303"/>
      <c r="W722" s="302"/>
      <c r="X722" s="303"/>
      <c r="Y722" s="302">
        <v>15.75</v>
      </c>
      <c r="Z722" s="303">
        <v>42208</v>
      </c>
      <c r="AA722">
        <v>14.4</v>
      </c>
      <c r="AB722" s="303"/>
      <c r="AC722" s="302"/>
      <c r="AD722" s="303"/>
      <c r="AE722" s="302"/>
      <c r="AF722" s="303"/>
      <c r="AG722">
        <v>51652.203525641031</v>
      </c>
      <c r="AH722" s="521">
        <f>(AK722*10000)/AM722</f>
        <v>51652.203525641031</v>
      </c>
      <c r="AI722" s="302"/>
      <c r="AJ722" s="303"/>
      <c r="AK722">
        <v>26.859145833333336</v>
      </c>
      <c r="AL722" s="521"/>
      <c r="AM722">
        <v>5.2</v>
      </c>
      <c r="AN722" s="303">
        <v>42244</v>
      </c>
      <c r="AO722">
        <v>125</v>
      </c>
      <c r="AP722" s="303">
        <v>42170</v>
      </c>
      <c r="AQ722" s="302"/>
      <c r="AR722" s="303"/>
      <c r="AS722" s="302"/>
      <c r="AT722" s="303"/>
      <c r="AU722">
        <v>110</v>
      </c>
      <c r="AV722" s="303"/>
      <c r="AW722" s="302"/>
      <c r="AX722" s="302"/>
      <c r="AY722" s="302"/>
      <c r="AZ722" s="303"/>
      <c r="BA722" s="302"/>
      <c r="BB722" s="302"/>
      <c r="BC722" s="302"/>
      <c r="BD722" s="302"/>
      <c r="BE722" s="302"/>
      <c r="BF722" s="302"/>
      <c r="BG722" s="302"/>
      <c r="BH722" s="302"/>
      <c r="BI722" s="302"/>
      <c r="BJ722" s="302"/>
      <c r="BM722">
        <v>-2.2000000000000002</v>
      </c>
      <c r="BS722">
        <v>62.7</v>
      </c>
      <c r="BY722">
        <v>52.3</v>
      </c>
      <c r="CA722">
        <v>16</v>
      </c>
      <c r="CC722">
        <v>18.7</v>
      </c>
      <c r="CI722">
        <v>4.9000000000000004</v>
      </c>
      <c r="CO722" t="s">
        <v>8698</v>
      </c>
      <c r="CR722">
        <v>1</v>
      </c>
      <c r="CT722" s="304" t="s">
        <v>11678</v>
      </c>
    </row>
    <row r="723" spans="1:98" s="304" customFormat="1">
      <c r="A723" s="304" t="s">
        <v>8506</v>
      </c>
      <c r="B723" s="524">
        <v>157</v>
      </c>
      <c r="C723" s="296" t="s">
        <v>7785</v>
      </c>
      <c r="D723" s="296" t="s">
        <v>7586</v>
      </c>
      <c r="E723" s="296" t="s">
        <v>7785</v>
      </c>
      <c r="F723" s="296"/>
      <c r="G723" s="296" t="s">
        <v>8506</v>
      </c>
      <c r="H723" s="297" t="s">
        <v>8696</v>
      </c>
      <c r="I723" s="297">
        <v>3</v>
      </c>
      <c r="J723" s="297">
        <v>3227</v>
      </c>
      <c r="K723" s="299"/>
      <c r="L723" s="299"/>
      <c r="M723" s="299">
        <v>118</v>
      </c>
      <c r="N723" s="299">
        <v>4</v>
      </c>
      <c r="O723" s="300">
        <v>24</v>
      </c>
      <c r="P723" s="301">
        <v>42090</v>
      </c>
      <c r="Q723" s="302"/>
      <c r="R723" s="303"/>
      <c r="S723" s="289">
        <v>5.35</v>
      </c>
      <c r="T723" s="303">
        <v>42208</v>
      </c>
      <c r="U723" s="302"/>
      <c r="V723" s="303"/>
      <c r="W723" s="302"/>
      <c r="X723" s="303"/>
      <c r="Y723" s="302">
        <v>20.46</v>
      </c>
      <c r="Z723" s="303">
        <v>42208</v>
      </c>
      <c r="AA723">
        <v>14.4</v>
      </c>
      <c r="AB723" s="303"/>
      <c r="AC723" s="302"/>
      <c r="AD723" s="303"/>
      <c r="AE723" s="302"/>
      <c r="AF723" s="303"/>
      <c r="AG723">
        <v>73516.651891252943</v>
      </c>
      <c r="AH723" s="521">
        <f>(AK723*10000)/AM723</f>
        <v>73516.651891252943</v>
      </c>
      <c r="AI723" s="302"/>
      <c r="AJ723" s="303"/>
      <c r="AK723">
        <v>34.552826388888889</v>
      </c>
      <c r="AL723" s="521"/>
      <c r="AM723">
        <v>4.7</v>
      </c>
      <c r="AN723" s="303">
        <v>42244</v>
      </c>
      <c r="AO723">
        <v>135</v>
      </c>
      <c r="AP723" s="303">
        <v>42170</v>
      </c>
      <c r="AQ723" s="302"/>
      <c r="AR723" s="303"/>
      <c r="AS723" s="302"/>
      <c r="AT723" s="303"/>
      <c r="AU723">
        <v>108</v>
      </c>
      <c r="AV723" s="303"/>
      <c r="AW723" s="302"/>
      <c r="AX723" s="302"/>
      <c r="AY723" s="302"/>
      <c r="AZ723" s="303"/>
      <c r="BA723" s="302"/>
      <c r="BB723" s="302"/>
      <c r="BC723" s="302"/>
      <c r="BD723" s="302"/>
      <c r="BE723" s="302"/>
      <c r="BF723" s="302"/>
      <c r="BG723" s="302"/>
      <c r="BH723" s="302"/>
      <c r="BI723" s="302"/>
      <c r="BJ723" s="302"/>
      <c r="BM723">
        <v>-3.2</v>
      </c>
      <c r="BS723">
        <v>62.5</v>
      </c>
      <c r="BY723">
        <v>52.8</v>
      </c>
      <c r="CA723">
        <v>17.8</v>
      </c>
      <c r="CC723">
        <v>14.4</v>
      </c>
      <c r="CI723">
        <v>5.0999999999999996</v>
      </c>
      <c r="CO723" t="s">
        <v>8698</v>
      </c>
      <c r="CR723">
        <v>3</v>
      </c>
      <c r="CT723" s="304" t="s">
        <v>11678</v>
      </c>
    </row>
    <row r="724" spans="1:98" s="304" customFormat="1">
      <c r="A724" s="304" t="s">
        <v>8506</v>
      </c>
      <c r="B724" s="524">
        <v>174</v>
      </c>
      <c r="C724" s="296" t="s">
        <v>7802</v>
      </c>
      <c r="D724" s="296" t="s">
        <v>7843</v>
      </c>
      <c r="E724" s="296" t="s">
        <v>7802</v>
      </c>
      <c r="F724" s="296"/>
      <c r="G724" s="296" t="s">
        <v>8506</v>
      </c>
      <c r="H724" s="297" t="s">
        <v>8696</v>
      </c>
      <c r="I724" s="297">
        <v>3</v>
      </c>
      <c r="J724" s="297">
        <v>3287</v>
      </c>
      <c r="K724" s="299"/>
      <c r="L724" s="299"/>
      <c r="M724" s="299">
        <v>118</v>
      </c>
      <c r="N724" s="299">
        <v>5</v>
      </c>
      <c r="O724" s="300">
        <v>23</v>
      </c>
      <c r="P724" s="301">
        <v>42090</v>
      </c>
      <c r="Q724" s="302"/>
      <c r="R724" s="303"/>
      <c r="S724" s="289">
        <v>6.3</v>
      </c>
      <c r="T724" s="303">
        <v>42208</v>
      </c>
      <c r="U724" s="302"/>
      <c r="V724" s="303"/>
      <c r="W724" s="302"/>
      <c r="X724" s="303"/>
      <c r="Y724" s="302">
        <v>23.65</v>
      </c>
      <c r="Z724" s="303">
        <v>42208</v>
      </c>
      <c r="AA724">
        <v>14.4</v>
      </c>
      <c r="AB724" s="303"/>
      <c r="AC724" s="302"/>
      <c r="AD724" s="303"/>
      <c r="AE724" s="302"/>
      <c r="AF724" s="303"/>
      <c r="AG724">
        <v>88173.369565217392</v>
      </c>
      <c r="AH724" s="521">
        <f>(AK724*10000)/AM724</f>
        <v>88173.369565217392</v>
      </c>
      <c r="AI724" s="302"/>
      <c r="AJ724" s="303"/>
      <c r="AK724">
        <v>40.559749999999994</v>
      </c>
      <c r="AL724" s="521"/>
      <c r="AM724">
        <v>4.5999999999999996</v>
      </c>
      <c r="AN724" s="303">
        <v>42244</v>
      </c>
      <c r="AO724">
        <v>135</v>
      </c>
      <c r="AP724" s="303">
        <v>42170</v>
      </c>
      <c r="AQ724" s="302"/>
      <c r="AR724" s="303"/>
      <c r="AS724" s="302"/>
      <c r="AT724" s="303"/>
      <c r="AU724">
        <v>107</v>
      </c>
      <c r="AV724" s="303"/>
      <c r="AW724" s="302"/>
      <c r="AX724" s="302"/>
      <c r="AY724" s="302"/>
      <c r="AZ724" s="303"/>
      <c r="BA724" s="302"/>
      <c r="BB724" s="302"/>
      <c r="BC724" s="302"/>
      <c r="BD724" s="302"/>
      <c r="BE724" s="302"/>
      <c r="BF724" s="302"/>
      <c r="BG724" s="302"/>
      <c r="BH724" s="302"/>
      <c r="BI724" s="302"/>
      <c r="BJ724" s="302"/>
      <c r="BM724">
        <v>-4.0999999999999996</v>
      </c>
      <c r="BS724">
        <v>61.1</v>
      </c>
      <c r="BY724">
        <v>52</v>
      </c>
      <c r="CA724">
        <v>16.7</v>
      </c>
      <c r="CC724">
        <v>17.7</v>
      </c>
      <c r="CI724">
        <v>5.4</v>
      </c>
      <c r="CO724" t="s">
        <v>8698</v>
      </c>
      <c r="CR724">
        <v>2</v>
      </c>
      <c r="CT724" s="304" t="s">
        <v>11678</v>
      </c>
    </row>
    <row r="725" spans="1:98" s="304" customFormat="1">
      <c r="A725" s="304" t="s">
        <v>8506</v>
      </c>
      <c r="B725" s="524">
        <v>19</v>
      </c>
      <c r="C725" s="296" t="s">
        <v>7628</v>
      </c>
      <c r="D725" s="296" t="s">
        <v>7465</v>
      </c>
      <c r="E725" s="296" t="s">
        <v>7628</v>
      </c>
      <c r="F725" s="296"/>
      <c r="G725" s="296" t="s">
        <v>8506</v>
      </c>
      <c r="H725" s="297" t="s">
        <v>8696</v>
      </c>
      <c r="I725" s="297">
        <v>3</v>
      </c>
      <c r="J725" s="297">
        <v>3288</v>
      </c>
      <c r="K725" s="299"/>
      <c r="L725" s="299"/>
      <c r="M725" s="299">
        <v>119</v>
      </c>
      <c r="N725" s="299">
        <v>5</v>
      </c>
      <c r="O725" s="300">
        <v>35</v>
      </c>
      <c r="P725" s="301">
        <v>42090</v>
      </c>
      <c r="Q725" s="302"/>
      <c r="R725" s="303"/>
      <c r="S725" s="289">
        <v>4.45</v>
      </c>
      <c r="T725" s="303">
        <v>42208</v>
      </c>
      <c r="U725" s="302"/>
      <c r="V725" s="303"/>
      <c r="W725" s="302"/>
      <c r="X725" s="303"/>
      <c r="Y725" s="302">
        <v>15.29</v>
      </c>
      <c r="Z725" s="303">
        <v>42208</v>
      </c>
      <c r="AA725">
        <v>14.4</v>
      </c>
      <c r="AB725" s="303"/>
      <c r="AC725" s="302"/>
      <c r="AD725" s="303"/>
      <c r="AE725" s="302"/>
      <c r="AF725" s="303"/>
      <c r="AG725">
        <v>56412.717864923754</v>
      </c>
      <c r="AH725" s="521">
        <f>(AK725*10000)/AM725</f>
        <v>56412.717864923754</v>
      </c>
      <c r="AI725" s="302"/>
      <c r="AJ725" s="303"/>
      <c r="AK725">
        <v>28.770486111111111</v>
      </c>
      <c r="AL725" s="521"/>
      <c r="AM725">
        <v>5.0999999999999996</v>
      </c>
      <c r="AN725" s="303">
        <v>42244</v>
      </c>
      <c r="AO725">
        <v>140</v>
      </c>
      <c r="AP725" s="303">
        <v>42170</v>
      </c>
      <c r="AQ725" s="302"/>
      <c r="AR725" s="303"/>
      <c r="AS725" s="302"/>
      <c r="AT725" s="303"/>
      <c r="AU725">
        <v>110</v>
      </c>
      <c r="AV725" s="303"/>
      <c r="AW725" s="302"/>
      <c r="AX725" s="302"/>
      <c r="AY725" s="302"/>
      <c r="AZ725" s="303"/>
      <c r="BA725" s="302"/>
      <c r="BB725" s="302"/>
      <c r="BC725" s="302"/>
      <c r="BD725" s="302"/>
      <c r="BE725" s="302"/>
      <c r="BF725" s="302"/>
      <c r="BG725" s="302"/>
      <c r="BH725" s="302"/>
      <c r="BI725" s="302"/>
      <c r="BJ725" s="302"/>
      <c r="BM725">
        <v>37.700000000000003</v>
      </c>
      <c r="BS725">
        <v>14.8</v>
      </c>
      <c r="BY725">
        <v>47.4</v>
      </c>
      <c r="CA725">
        <v>20.9</v>
      </c>
      <c r="CC725">
        <v>69.900000000000006</v>
      </c>
      <c r="CI725">
        <v>5</v>
      </c>
      <c r="CO725" t="s">
        <v>8698</v>
      </c>
      <c r="CR725">
        <v>2</v>
      </c>
      <c r="CT725" s="304" t="s">
        <v>11678</v>
      </c>
    </row>
    <row r="726" spans="1:98" s="304" customFormat="1">
      <c r="A726" s="304" t="s">
        <v>8506</v>
      </c>
      <c r="B726" s="524">
        <v>28</v>
      </c>
      <c r="C726" s="296" t="s">
        <v>7640</v>
      </c>
      <c r="D726" s="296" t="s">
        <v>7475</v>
      </c>
      <c r="E726" s="296" t="s">
        <v>7640</v>
      </c>
      <c r="F726" s="296"/>
      <c r="G726" s="296" t="s">
        <v>8506</v>
      </c>
      <c r="H726" s="297" t="s">
        <v>8697</v>
      </c>
      <c r="I726" s="297">
        <v>4</v>
      </c>
      <c r="J726" s="297">
        <v>4108</v>
      </c>
      <c r="K726" s="299"/>
      <c r="L726" s="299"/>
      <c r="M726" s="299">
        <v>119</v>
      </c>
      <c r="N726" s="299">
        <v>8</v>
      </c>
      <c r="O726" s="300">
        <v>46</v>
      </c>
      <c r="P726" s="301">
        <v>42090</v>
      </c>
      <c r="Q726" s="302"/>
      <c r="R726" s="303"/>
      <c r="S726" s="289">
        <v>2.95</v>
      </c>
      <c r="T726" s="303">
        <v>42208</v>
      </c>
      <c r="U726" s="302"/>
      <c r="V726" s="303"/>
      <c r="W726" s="302"/>
      <c r="X726" s="303"/>
      <c r="Y726" s="302">
        <v>10.91</v>
      </c>
      <c r="Z726" s="303">
        <v>42208</v>
      </c>
      <c r="AA726">
        <v>14.4</v>
      </c>
      <c r="AB726" s="303"/>
      <c r="AC726" s="302"/>
      <c r="AD726" s="303"/>
      <c r="AE726" s="302"/>
      <c r="AF726" s="303"/>
      <c r="AG726">
        <v>38145.138888888891</v>
      </c>
      <c r="AH726" s="521">
        <f>(AK726*10000)/AM726</f>
        <v>38145.138888888891</v>
      </c>
      <c r="AI726" s="302"/>
      <c r="AJ726" s="303"/>
      <c r="AK726">
        <v>19.072569444444444</v>
      </c>
      <c r="AL726" s="521"/>
      <c r="AM726">
        <v>5</v>
      </c>
      <c r="AN726" s="303">
        <v>42244</v>
      </c>
      <c r="AO726">
        <v>100</v>
      </c>
      <c r="AP726" s="303">
        <v>42170</v>
      </c>
      <c r="AQ726" s="302"/>
      <c r="AR726" s="303"/>
      <c r="AS726" s="302"/>
      <c r="AT726" s="303"/>
      <c r="AU726">
        <v>105</v>
      </c>
      <c r="AV726" s="303"/>
      <c r="AW726" s="302"/>
      <c r="AX726" s="302"/>
      <c r="AY726" s="302"/>
      <c r="AZ726" s="303"/>
      <c r="BA726" s="302"/>
      <c r="BB726" s="302"/>
      <c r="BC726" s="302"/>
      <c r="BD726" s="302"/>
      <c r="BE726" s="302"/>
      <c r="BF726" s="302"/>
      <c r="BG726" s="302"/>
      <c r="BH726" s="302"/>
      <c r="BI726" s="302"/>
      <c r="BJ726" s="302"/>
      <c r="BM726">
        <v>0.4</v>
      </c>
      <c r="BS726">
        <v>55.7</v>
      </c>
      <c r="BY726">
        <v>51</v>
      </c>
      <c r="CA726">
        <v>16.399999999999999</v>
      </c>
      <c r="CC726">
        <v>70.2</v>
      </c>
      <c r="CI726">
        <v>5</v>
      </c>
      <c r="CO726" s="304" t="s">
        <v>11676</v>
      </c>
      <c r="CR726">
        <v>6</v>
      </c>
      <c r="CT726" s="304" t="s">
        <v>11678</v>
      </c>
    </row>
    <row r="727" spans="1:98" s="304" customFormat="1">
      <c r="A727" s="304" t="s">
        <v>8506</v>
      </c>
      <c r="B727" s="524">
        <v>71</v>
      </c>
      <c r="C727" s="296" t="s">
        <v>7689</v>
      </c>
      <c r="D727" s="296" t="s">
        <v>7518</v>
      </c>
      <c r="E727" s="296" t="s">
        <v>7689</v>
      </c>
      <c r="F727" s="296"/>
      <c r="G727" s="296" t="s">
        <v>8506</v>
      </c>
      <c r="H727" s="297" t="s">
        <v>8697</v>
      </c>
      <c r="I727" s="297">
        <v>4</v>
      </c>
      <c r="J727" s="297">
        <v>4168</v>
      </c>
      <c r="K727" s="299"/>
      <c r="L727" s="299"/>
      <c r="M727" s="299">
        <v>119</v>
      </c>
      <c r="N727" s="299">
        <v>9</v>
      </c>
      <c r="O727" s="300">
        <v>70</v>
      </c>
      <c r="P727" s="301">
        <v>42090</v>
      </c>
      <c r="Q727" s="302"/>
      <c r="R727" s="303"/>
      <c r="S727" s="289">
        <v>4.25</v>
      </c>
      <c r="T727" s="303">
        <v>42208</v>
      </c>
      <c r="U727" s="302"/>
      <c r="V727" s="303"/>
      <c r="W727" s="302"/>
      <c r="X727" s="303"/>
      <c r="Y727" s="302">
        <v>15.94</v>
      </c>
      <c r="Z727" s="303">
        <v>42208</v>
      </c>
      <c r="AA727">
        <v>14.4</v>
      </c>
      <c r="AB727" s="303"/>
      <c r="AC727" s="302"/>
      <c r="AD727" s="303"/>
      <c r="AE727" s="302"/>
      <c r="AF727" s="303"/>
      <c r="AG727">
        <v>57184.389467592591</v>
      </c>
      <c r="AH727" s="521">
        <f>(AK727*10000)/AM727</f>
        <v>57184.389467592591</v>
      </c>
      <c r="AI727" s="302"/>
      <c r="AJ727" s="303"/>
      <c r="AK727">
        <v>27.448506944444446</v>
      </c>
      <c r="AL727" s="521"/>
      <c r="AM727">
        <v>4.8</v>
      </c>
      <c r="AN727" s="303">
        <v>42244</v>
      </c>
      <c r="AO727">
        <v>130</v>
      </c>
      <c r="AP727" s="303">
        <v>42170</v>
      </c>
      <c r="AQ727" s="302"/>
      <c r="AR727" s="303"/>
      <c r="AS727" s="302"/>
      <c r="AT727" s="303"/>
      <c r="AU727">
        <v>112</v>
      </c>
      <c r="AV727" s="303"/>
      <c r="AW727" s="302"/>
      <c r="AX727" s="302"/>
      <c r="AY727" s="302"/>
      <c r="AZ727" s="303"/>
      <c r="BA727" s="302"/>
      <c r="BB727" s="302"/>
      <c r="BC727" s="302"/>
      <c r="BD727" s="302"/>
      <c r="BE727" s="302"/>
      <c r="BF727" s="302"/>
      <c r="BG727" s="302"/>
      <c r="BH727" s="302"/>
      <c r="BI727" s="302"/>
      <c r="BJ727" s="302"/>
      <c r="BM727">
        <v>-2.7</v>
      </c>
      <c r="BS727">
        <v>60</v>
      </c>
      <c r="BY727">
        <v>51.8</v>
      </c>
      <c r="CA727">
        <v>15.4</v>
      </c>
      <c r="CC727">
        <v>20.9</v>
      </c>
      <c r="CI727">
        <v>5.0999999999999996</v>
      </c>
      <c r="CO727" t="s">
        <v>8698</v>
      </c>
      <c r="CR727">
        <v>1</v>
      </c>
      <c r="CT727" s="304" t="s">
        <v>11678</v>
      </c>
    </row>
    <row r="728" spans="1:98" s="304" customFormat="1">
      <c r="A728" s="304" t="s">
        <v>8506</v>
      </c>
      <c r="B728" s="524">
        <v>78</v>
      </c>
      <c r="C728" s="296" t="s">
        <v>7696</v>
      </c>
      <c r="D728" s="296" t="s">
        <v>7525</v>
      </c>
      <c r="E728" s="296" t="s">
        <v>7696</v>
      </c>
      <c r="F728" s="296"/>
      <c r="G728" s="296" t="s">
        <v>8506</v>
      </c>
      <c r="H728" s="297" t="s">
        <v>8697</v>
      </c>
      <c r="I728" s="297">
        <v>4</v>
      </c>
      <c r="J728" s="297">
        <v>448</v>
      </c>
      <c r="K728" s="299"/>
      <c r="L728" s="299"/>
      <c r="M728" s="299">
        <v>119</v>
      </c>
      <c r="N728" s="299">
        <v>7</v>
      </c>
      <c r="O728" s="300">
        <v>34</v>
      </c>
      <c r="P728" s="301">
        <v>42090</v>
      </c>
      <c r="Q728" s="302"/>
      <c r="R728" s="303"/>
      <c r="S728" s="289">
        <v>4.4000000000000004</v>
      </c>
      <c r="T728" s="303">
        <v>42208</v>
      </c>
      <c r="U728" s="302"/>
      <c r="V728" s="303"/>
      <c r="W728" s="302"/>
      <c r="X728" s="303"/>
      <c r="Y728" s="302"/>
      <c r="Z728" s="303">
        <v>42208</v>
      </c>
      <c r="AA728">
        <v>14.4</v>
      </c>
      <c r="AB728" s="303"/>
      <c r="AC728" s="302"/>
      <c r="AD728" s="303"/>
      <c r="AE728" s="302"/>
      <c r="AF728" s="303"/>
      <c r="AG728">
        <v>58055.555555555555</v>
      </c>
      <c r="AH728" s="521">
        <f>(AK728*10000)/AM728</f>
        <v>58055.555555555555</v>
      </c>
      <c r="AI728" s="302"/>
      <c r="AJ728" s="303"/>
      <c r="AK728">
        <v>28.447222222222223</v>
      </c>
      <c r="AL728" s="521"/>
      <c r="AM728">
        <v>4.9000000000000004</v>
      </c>
      <c r="AN728" s="303">
        <v>42244</v>
      </c>
      <c r="AO728">
        <v>125</v>
      </c>
      <c r="AP728" s="303">
        <v>42170</v>
      </c>
      <c r="AQ728" s="302"/>
      <c r="AR728" s="303"/>
      <c r="AS728" s="302"/>
      <c r="AT728" s="303"/>
      <c r="AU728">
        <v>106</v>
      </c>
      <c r="AV728" s="303"/>
      <c r="AW728" s="302"/>
      <c r="AX728" s="302"/>
      <c r="AY728" s="302"/>
      <c r="AZ728" s="303"/>
      <c r="BA728" s="302"/>
      <c r="BB728" s="302"/>
      <c r="BC728" s="302"/>
      <c r="BD728" s="302"/>
      <c r="BE728" s="302"/>
      <c r="BF728" s="302"/>
      <c r="BG728" s="302"/>
      <c r="BH728" s="302"/>
      <c r="BI728" s="302"/>
      <c r="BJ728" s="302"/>
      <c r="BM728"/>
      <c r="BS728"/>
      <c r="BY728"/>
      <c r="CA728"/>
      <c r="CC728"/>
      <c r="CI728">
        <v>5</v>
      </c>
      <c r="CO728" t="s">
        <v>8698</v>
      </c>
      <c r="CR728">
        <v>2</v>
      </c>
      <c r="CT728" s="304" t="s">
        <v>11678</v>
      </c>
    </row>
    <row r="729" spans="1:98" s="304" customFormat="1">
      <c r="A729" s="304" t="s">
        <v>8506</v>
      </c>
      <c r="B729" s="524">
        <v>156</v>
      </c>
      <c r="C729" s="296" t="s">
        <v>7784</v>
      </c>
      <c r="D729" s="296" t="s">
        <v>7585</v>
      </c>
      <c r="E729" s="296" t="s">
        <v>7784</v>
      </c>
      <c r="F729" s="296"/>
      <c r="G729" s="296" t="s">
        <v>8506</v>
      </c>
      <c r="H729" s="297" t="s">
        <v>8696</v>
      </c>
      <c r="I729" s="297">
        <v>3</v>
      </c>
      <c r="J729" s="297">
        <v>348</v>
      </c>
      <c r="K729" s="299"/>
      <c r="L729" s="299"/>
      <c r="M729" s="299">
        <v>119</v>
      </c>
      <c r="N729" s="299">
        <v>1</v>
      </c>
      <c r="O729" s="300">
        <v>36</v>
      </c>
      <c r="P729" s="301">
        <v>42090</v>
      </c>
      <c r="Q729" s="302"/>
      <c r="R729" s="303"/>
      <c r="S729" s="289">
        <v>6</v>
      </c>
      <c r="T729" s="303">
        <v>42208</v>
      </c>
      <c r="U729" s="302"/>
      <c r="V729" s="303"/>
      <c r="W729" s="302"/>
      <c r="X729" s="303"/>
      <c r="Y729" s="302">
        <v>21.47</v>
      </c>
      <c r="Z729" s="303">
        <v>42208</v>
      </c>
      <c r="AA729">
        <v>14.4</v>
      </c>
      <c r="AB729" s="303"/>
      <c r="AC729" s="302"/>
      <c r="AD729" s="303"/>
      <c r="AE729" s="302"/>
      <c r="AF729" s="303"/>
      <c r="AG729">
        <v>62633.064516129009</v>
      </c>
      <c r="AH729" s="521">
        <f>(AK729*10000)/AM729</f>
        <v>62633.064516129009</v>
      </c>
      <c r="AI729" s="302"/>
      <c r="AJ729" s="303"/>
      <c r="AK729">
        <v>38.832499999999989</v>
      </c>
      <c r="AL729" s="521"/>
      <c r="AM729">
        <v>6.2</v>
      </c>
      <c r="AN729" s="303">
        <v>42244</v>
      </c>
      <c r="AO729">
        <v>115</v>
      </c>
      <c r="AP729" s="303">
        <v>42170</v>
      </c>
      <c r="AQ729" s="302"/>
      <c r="AR729" s="303"/>
      <c r="AS729" s="302"/>
      <c r="AT729" s="303"/>
      <c r="AU729">
        <v>108</v>
      </c>
      <c r="AV729" s="303"/>
      <c r="AW729" s="302"/>
      <c r="AX729" s="302"/>
      <c r="AY729" s="302"/>
      <c r="AZ729" s="303"/>
      <c r="BA729" s="302"/>
      <c r="BB729" s="302"/>
      <c r="BC729" s="302"/>
      <c r="BD729" s="302"/>
      <c r="BE729" s="302"/>
      <c r="BF729" s="302"/>
      <c r="BG729" s="302"/>
      <c r="BH729" s="302"/>
      <c r="BI729" s="302"/>
      <c r="BJ729" s="302"/>
      <c r="BM729">
        <v>0.2</v>
      </c>
      <c r="BS729">
        <v>62.1</v>
      </c>
      <c r="BY729">
        <v>49.3</v>
      </c>
      <c r="CA729">
        <v>20.3</v>
      </c>
      <c r="CC729">
        <v>19.100000000000001</v>
      </c>
      <c r="CI729">
        <v>4.9000000000000004</v>
      </c>
      <c r="CO729" t="s">
        <v>8699</v>
      </c>
      <c r="CR729">
        <v>2</v>
      </c>
      <c r="CT729" s="304" t="s">
        <v>11678</v>
      </c>
    </row>
    <row r="730" spans="1:98" s="304" customFormat="1">
      <c r="A730" s="304" t="s">
        <v>8506</v>
      </c>
      <c r="B730" s="288">
        <v>355</v>
      </c>
      <c r="C730" s="296" t="s">
        <v>8509</v>
      </c>
      <c r="D730" s="296" t="s">
        <v>7845</v>
      </c>
      <c r="E730" s="296" t="s">
        <v>7845</v>
      </c>
      <c r="F730" s="296"/>
      <c r="G730" s="296" t="s">
        <v>8506</v>
      </c>
      <c r="H730" s="297" t="s">
        <v>8697</v>
      </c>
      <c r="I730" s="297">
        <v>4</v>
      </c>
      <c r="J730" s="297">
        <v>4288</v>
      </c>
      <c r="K730" s="299"/>
      <c r="L730" s="299"/>
      <c r="M730" s="299">
        <v>119</v>
      </c>
      <c r="N730" s="299">
        <v>11</v>
      </c>
      <c r="O730" s="300">
        <v>30</v>
      </c>
      <c r="P730" s="301">
        <v>42090</v>
      </c>
      <c r="Q730" s="302"/>
      <c r="R730" s="303"/>
      <c r="S730" s="289">
        <v>4.5</v>
      </c>
      <c r="T730" s="303">
        <v>42208</v>
      </c>
      <c r="U730" s="302"/>
      <c r="V730" s="303"/>
      <c r="W730" s="302"/>
      <c r="X730" s="303"/>
      <c r="Y730" s="302">
        <v>17.350000000000001</v>
      </c>
      <c r="Z730" s="303">
        <v>42208</v>
      </c>
      <c r="AA730">
        <v>14.4</v>
      </c>
      <c r="AB730" s="303"/>
      <c r="AC730" s="302"/>
      <c r="AD730" s="303"/>
      <c r="AE730" s="302"/>
      <c r="AF730" s="303"/>
      <c r="AG730">
        <v>63114.130434782615</v>
      </c>
      <c r="AH730" s="521">
        <f>(AK730*10000)/AM730</f>
        <v>63114.130434782615</v>
      </c>
      <c r="AI730" s="302"/>
      <c r="AJ730" s="303"/>
      <c r="AK730">
        <v>29.032499999999999</v>
      </c>
      <c r="AL730" s="521"/>
      <c r="AM730">
        <v>4.5999999999999996</v>
      </c>
      <c r="AN730" s="303">
        <v>42244</v>
      </c>
      <c r="AO730">
        <v>125</v>
      </c>
      <c r="AP730" s="303">
        <v>42170</v>
      </c>
      <c r="AQ730" s="302"/>
      <c r="AR730" s="303"/>
      <c r="AS730" s="302"/>
      <c r="AT730" s="303"/>
      <c r="AU730">
        <v>107</v>
      </c>
      <c r="AV730" s="302"/>
      <c r="AW730" s="302"/>
      <c r="AX730" s="302"/>
      <c r="AY730" s="302"/>
      <c r="AZ730" s="302"/>
      <c r="BA730" s="302"/>
      <c r="BB730" s="302"/>
      <c r="BC730" s="302"/>
      <c r="BD730" s="302"/>
      <c r="BE730" s="302"/>
      <c r="BF730" s="302"/>
      <c r="BG730" s="302"/>
      <c r="BH730" s="302"/>
      <c r="BI730" s="302"/>
      <c r="BJ730" s="302"/>
      <c r="BM730">
        <v>-3.3</v>
      </c>
      <c r="BS730">
        <v>63.2</v>
      </c>
      <c r="BY730">
        <v>53.3</v>
      </c>
      <c r="CA730">
        <v>14.8</v>
      </c>
      <c r="CC730">
        <v>19</v>
      </c>
      <c r="CI730">
        <v>5.2</v>
      </c>
      <c r="CO730" t="s">
        <v>8698</v>
      </c>
      <c r="CR730">
        <v>1</v>
      </c>
      <c r="CT730" s="304" t="s">
        <v>11678</v>
      </c>
    </row>
    <row r="731" spans="1:98" s="304" customFormat="1">
      <c r="A731" s="304" t="s">
        <v>8506</v>
      </c>
      <c r="B731" s="288">
        <v>356</v>
      </c>
      <c r="C731" s="296" t="s">
        <v>8510</v>
      </c>
      <c r="D731" s="296" t="s">
        <v>8086</v>
      </c>
      <c r="E731" s="296" t="s">
        <v>8086</v>
      </c>
      <c r="F731" s="296"/>
      <c r="G731" s="296" t="s">
        <v>8506</v>
      </c>
      <c r="H731" s="297" t="s">
        <v>8697</v>
      </c>
      <c r="I731" s="297">
        <v>4</v>
      </c>
      <c r="J731" s="297">
        <v>4348</v>
      </c>
      <c r="K731" s="299"/>
      <c r="L731" s="299"/>
      <c r="M731" s="299">
        <v>119</v>
      </c>
      <c r="N731" s="299">
        <v>12</v>
      </c>
      <c r="O731" s="300">
        <v>41</v>
      </c>
      <c r="P731" s="301">
        <v>42090</v>
      </c>
      <c r="Q731" s="302"/>
      <c r="R731" s="303"/>
      <c r="S731" s="289">
        <v>5.6</v>
      </c>
      <c r="T731" s="303">
        <v>42208</v>
      </c>
      <c r="U731" s="302"/>
      <c r="V731" s="303"/>
      <c r="W731" s="302"/>
      <c r="X731" s="303"/>
      <c r="Y731" s="302">
        <v>21.6</v>
      </c>
      <c r="Z731" s="303">
        <v>42208</v>
      </c>
      <c r="AA731">
        <v>14.4</v>
      </c>
      <c r="AB731" s="303"/>
      <c r="AC731" s="302"/>
      <c r="AD731" s="303"/>
      <c r="AE731" s="302"/>
      <c r="AF731" s="303"/>
      <c r="AG731">
        <v>82285.353535353512</v>
      </c>
      <c r="AH731" s="521">
        <f>(AK731*10000)/AM731</f>
        <v>82285.353535353512</v>
      </c>
      <c r="AI731" s="302"/>
      <c r="AJ731" s="303"/>
      <c r="AK731">
        <v>36.205555555555549</v>
      </c>
      <c r="AL731" s="521"/>
      <c r="AM731">
        <v>4.4000000000000004</v>
      </c>
      <c r="AN731" s="303">
        <v>42244</v>
      </c>
      <c r="AO731">
        <v>130</v>
      </c>
      <c r="AP731" s="303">
        <v>42170</v>
      </c>
      <c r="AQ731" s="302"/>
      <c r="AR731" s="303"/>
      <c r="AS731" s="302"/>
      <c r="AT731" s="303"/>
      <c r="AU731">
        <v>108</v>
      </c>
      <c r="AV731" s="302"/>
      <c r="AW731" s="302"/>
      <c r="AX731" s="302"/>
      <c r="AY731" s="302"/>
      <c r="AZ731" s="302"/>
      <c r="BA731" s="302"/>
      <c r="BB731" s="302"/>
      <c r="BC731" s="302"/>
      <c r="BD731" s="302"/>
      <c r="BE731" s="302"/>
      <c r="BF731" s="302"/>
      <c r="BG731" s="302"/>
      <c r="BH731" s="302"/>
      <c r="BI731" s="302"/>
      <c r="BJ731" s="302"/>
      <c r="BM731">
        <v>-4</v>
      </c>
      <c r="BS731">
        <v>63.3</v>
      </c>
      <c r="BY731">
        <v>53.2</v>
      </c>
      <c r="CA731">
        <v>15.6</v>
      </c>
      <c r="CC731">
        <v>15.4</v>
      </c>
      <c r="CI731">
        <v>5</v>
      </c>
      <c r="CO731" t="s">
        <v>8698</v>
      </c>
      <c r="CR731">
        <v>2</v>
      </c>
      <c r="CT731" s="304" t="s">
        <v>11678</v>
      </c>
    </row>
    <row r="732" spans="1:98" s="304" customFormat="1">
      <c r="A732" s="304" t="s">
        <v>8506</v>
      </c>
      <c r="B732" s="524">
        <v>11</v>
      </c>
      <c r="C732" s="296" t="s">
        <v>7620</v>
      </c>
      <c r="D732" s="296" t="s">
        <v>263</v>
      </c>
      <c r="E732" s="296" t="s">
        <v>7620</v>
      </c>
      <c r="F732" s="296"/>
      <c r="G732" s="296" t="s">
        <v>8506</v>
      </c>
      <c r="H732" s="297" t="s">
        <v>8696</v>
      </c>
      <c r="I732" s="297">
        <v>3</v>
      </c>
      <c r="J732" s="297">
        <v>3289</v>
      </c>
      <c r="K732" s="299"/>
      <c r="L732" s="299"/>
      <c r="M732" s="299">
        <v>120</v>
      </c>
      <c r="N732" s="299">
        <v>5</v>
      </c>
      <c r="O732" s="300">
        <v>26</v>
      </c>
      <c r="P732" s="301">
        <v>42090</v>
      </c>
      <c r="Q732" s="302"/>
      <c r="R732" s="303"/>
      <c r="S732" s="289">
        <v>4.05</v>
      </c>
      <c r="T732" s="303">
        <v>42208</v>
      </c>
      <c r="U732" s="302"/>
      <c r="V732" s="303"/>
      <c r="W732" s="302"/>
      <c r="X732" s="303"/>
      <c r="Y732" s="302">
        <v>14.14</v>
      </c>
      <c r="Z732" s="303">
        <v>42208</v>
      </c>
      <c r="AA732">
        <v>14.4</v>
      </c>
      <c r="AB732" s="303"/>
      <c r="AC732" s="302"/>
      <c r="AD732" s="303"/>
      <c r="AE732" s="302"/>
      <c r="AF732" s="303"/>
      <c r="AG732">
        <v>62278.125000000015</v>
      </c>
      <c r="AH732" s="521">
        <f>(AK732*10000)/AM732</f>
        <v>62278.125000000015</v>
      </c>
      <c r="AI732" s="302"/>
      <c r="AJ732" s="303"/>
      <c r="AK732">
        <v>26.156812500000004</v>
      </c>
      <c r="AL732" s="521"/>
      <c r="AM732">
        <v>4.2</v>
      </c>
      <c r="AN732" s="303">
        <v>42244</v>
      </c>
      <c r="AO732">
        <v>100</v>
      </c>
      <c r="AP732" s="303">
        <v>42170</v>
      </c>
      <c r="AQ732" s="302"/>
      <c r="AR732" s="303"/>
      <c r="AS732" s="302"/>
      <c r="AT732" s="303"/>
      <c r="AU732">
        <v>108</v>
      </c>
      <c r="AV732" s="303"/>
      <c r="AW732" s="302"/>
      <c r="AX732" s="302"/>
      <c r="AY732" s="302"/>
      <c r="AZ732" s="303"/>
      <c r="BA732" s="302"/>
      <c r="BB732" s="302"/>
      <c r="BC732" s="302"/>
      <c r="BD732" s="302"/>
      <c r="BE732" s="302"/>
      <c r="BF732" s="302"/>
      <c r="BG732" s="302"/>
      <c r="BH732" s="302"/>
      <c r="BI732" s="302"/>
      <c r="BJ732" s="302"/>
      <c r="BM732">
        <v>48.2</v>
      </c>
      <c r="BS732">
        <v>11.6</v>
      </c>
      <c r="BY732">
        <v>48.2</v>
      </c>
      <c r="CA732">
        <v>23.3</v>
      </c>
      <c r="CC732">
        <v>63.8</v>
      </c>
      <c r="CI732">
        <v>5.0999999999999996</v>
      </c>
      <c r="CO732" t="s">
        <v>8698</v>
      </c>
      <c r="CR732">
        <v>3</v>
      </c>
      <c r="CT732" s="304" t="s">
        <v>11678</v>
      </c>
    </row>
    <row r="733" spans="1:98" s="304" customFormat="1">
      <c r="A733" s="304" t="s">
        <v>8506</v>
      </c>
      <c r="B733" s="524">
        <v>106</v>
      </c>
      <c r="C733" s="296" t="s">
        <v>7724</v>
      </c>
      <c r="D733" s="296" t="s">
        <v>7818</v>
      </c>
      <c r="E733" s="296" t="s">
        <v>7724</v>
      </c>
      <c r="F733" s="296"/>
      <c r="G733" s="296" t="s">
        <v>8506</v>
      </c>
      <c r="H733" s="297" t="s">
        <v>8697</v>
      </c>
      <c r="I733" s="297">
        <v>4</v>
      </c>
      <c r="J733" s="297">
        <v>449</v>
      </c>
      <c r="K733" s="299"/>
      <c r="L733" s="299"/>
      <c r="M733" s="299">
        <v>120</v>
      </c>
      <c r="N733" s="299">
        <v>7</v>
      </c>
      <c r="O733" s="300">
        <v>37</v>
      </c>
      <c r="P733" s="301">
        <v>42090</v>
      </c>
      <c r="Q733" s="302"/>
      <c r="R733" s="303"/>
      <c r="S733" s="289">
        <v>5.3</v>
      </c>
      <c r="T733" s="303">
        <v>42208</v>
      </c>
      <c r="U733" s="302"/>
      <c r="V733" s="303"/>
      <c r="W733" s="302"/>
      <c r="X733" s="303"/>
      <c r="Y733" s="302">
        <v>20.58</v>
      </c>
      <c r="Z733" s="303">
        <v>42208</v>
      </c>
      <c r="AA733">
        <v>14.4</v>
      </c>
      <c r="AB733" s="303"/>
      <c r="AC733" s="302"/>
      <c r="AD733" s="303"/>
      <c r="AE733" s="302"/>
      <c r="AF733" s="303"/>
      <c r="AG733">
        <v>71462.586805555547</v>
      </c>
      <c r="AH733" s="521">
        <f>(AK733*10000)/AM733</f>
        <v>71462.586805555547</v>
      </c>
      <c r="AI733" s="302"/>
      <c r="AJ733" s="303"/>
      <c r="AK733">
        <v>34.302041666666661</v>
      </c>
      <c r="AL733" s="521"/>
      <c r="AM733">
        <v>4.8</v>
      </c>
      <c r="AN733" s="303">
        <v>42244</v>
      </c>
      <c r="AO733">
        <v>125</v>
      </c>
      <c r="AP733" s="303">
        <v>42170</v>
      </c>
      <c r="AQ733" s="302"/>
      <c r="AR733" s="303"/>
      <c r="AS733" s="302"/>
      <c r="AT733" s="303"/>
      <c r="AU733">
        <v>105</v>
      </c>
      <c r="AV733" s="303"/>
      <c r="AW733" s="302"/>
      <c r="AX733" s="302"/>
      <c r="AY733" s="302"/>
      <c r="AZ733" s="303"/>
      <c r="BA733" s="302"/>
      <c r="BB733" s="302"/>
      <c r="BC733" s="302"/>
      <c r="BD733" s="302"/>
      <c r="BE733" s="302"/>
      <c r="BF733" s="302"/>
      <c r="BG733" s="302"/>
      <c r="BH733" s="302"/>
      <c r="BI733" s="302"/>
      <c r="BJ733" s="302"/>
      <c r="BM733">
        <v>-5.8</v>
      </c>
      <c r="BS733">
        <v>67.2</v>
      </c>
      <c r="BY733">
        <v>53.5</v>
      </c>
      <c r="CA733">
        <v>14.8</v>
      </c>
      <c r="CC733">
        <v>18.8</v>
      </c>
      <c r="CI733">
        <v>4.9000000000000004</v>
      </c>
      <c r="CO733" t="s">
        <v>8698</v>
      </c>
      <c r="CR733">
        <v>2</v>
      </c>
      <c r="CT733" s="304" t="s">
        <v>11678</v>
      </c>
    </row>
    <row r="734" spans="1:98" s="304" customFormat="1">
      <c r="A734" s="304" t="s">
        <v>8506</v>
      </c>
      <c r="B734" s="524">
        <v>121</v>
      </c>
      <c r="C734" s="296" t="s">
        <v>7742</v>
      </c>
      <c r="D734" s="296" t="s">
        <v>7826</v>
      </c>
      <c r="E734" s="296" t="s">
        <v>7742</v>
      </c>
      <c r="F734" s="296"/>
      <c r="G734" s="296" t="s">
        <v>8506</v>
      </c>
      <c r="H734" s="297" t="s">
        <v>8697</v>
      </c>
      <c r="I734" s="297">
        <v>4</v>
      </c>
      <c r="J734" s="297">
        <v>4229</v>
      </c>
      <c r="K734" s="299"/>
      <c r="L734" s="299"/>
      <c r="M734" s="299">
        <v>120</v>
      </c>
      <c r="N734" s="299">
        <v>10</v>
      </c>
      <c r="O734" s="300">
        <v>35</v>
      </c>
      <c r="P734" s="301">
        <v>42090</v>
      </c>
      <c r="Q734" s="302"/>
      <c r="R734" s="303"/>
      <c r="S734" s="289">
        <v>3.35</v>
      </c>
      <c r="T734" s="303">
        <v>42208</v>
      </c>
      <c r="U734" s="302"/>
      <c r="V734" s="303"/>
      <c r="W734" s="302"/>
      <c r="X734" s="303"/>
      <c r="Y734" s="302">
        <v>12.5</v>
      </c>
      <c r="Z734" s="303">
        <v>42208</v>
      </c>
      <c r="AA734">
        <v>14.4</v>
      </c>
      <c r="AB734" s="303"/>
      <c r="AC734" s="302"/>
      <c r="AD734" s="303"/>
      <c r="AE734" s="302"/>
      <c r="AF734" s="303"/>
      <c r="AG734">
        <v>44015.277777777774</v>
      </c>
      <c r="AH734" s="521">
        <f>(AK734*10000)/AM734</f>
        <v>44015.277777777774</v>
      </c>
      <c r="AI734" s="302"/>
      <c r="AJ734" s="303"/>
      <c r="AK734">
        <v>21.567486111111108</v>
      </c>
      <c r="AL734" s="521"/>
      <c r="AM734">
        <v>4.9000000000000004</v>
      </c>
      <c r="AN734" s="303">
        <v>42244</v>
      </c>
      <c r="AO734">
        <v>150</v>
      </c>
      <c r="AP734" s="303">
        <v>42170</v>
      </c>
      <c r="AQ734" s="302"/>
      <c r="AR734" s="303"/>
      <c r="AS734" s="302"/>
      <c r="AT734" s="303"/>
      <c r="AU734">
        <v>113</v>
      </c>
      <c r="AV734" s="303"/>
      <c r="AW734" s="302"/>
      <c r="AX734" s="302"/>
      <c r="AY734" s="302"/>
      <c r="AZ734" s="303"/>
      <c r="BA734" s="302"/>
      <c r="BB734" s="302"/>
      <c r="BC734" s="302"/>
      <c r="BD734" s="302"/>
      <c r="BE734" s="302"/>
      <c r="BF734" s="302"/>
      <c r="BG734" s="302"/>
      <c r="BH734" s="302"/>
      <c r="BI734" s="302"/>
      <c r="BJ734" s="302"/>
      <c r="BM734">
        <v>42.7</v>
      </c>
      <c r="BS734">
        <v>13.3</v>
      </c>
      <c r="BY734">
        <v>51.7</v>
      </c>
      <c r="CA734">
        <v>18.600000000000001</v>
      </c>
      <c r="CC734">
        <v>65.099999999999994</v>
      </c>
      <c r="CI734">
        <v>5.4</v>
      </c>
      <c r="CO734" t="s">
        <v>8698</v>
      </c>
      <c r="CR734">
        <v>3</v>
      </c>
      <c r="CT734" s="304" t="s">
        <v>11678</v>
      </c>
    </row>
    <row r="735" spans="1:98" s="304" customFormat="1">
      <c r="A735" s="304" t="s">
        <v>8506</v>
      </c>
      <c r="B735" s="524">
        <v>123</v>
      </c>
      <c r="C735" s="296" t="s">
        <v>7750</v>
      </c>
      <c r="D735" s="296" t="s">
        <v>7561</v>
      </c>
      <c r="E735" s="296" t="s">
        <v>7750</v>
      </c>
      <c r="F735" s="296"/>
      <c r="G735" s="296" t="s">
        <v>8506</v>
      </c>
      <c r="H735" s="297" t="s">
        <v>8697</v>
      </c>
      <c r="I735" s="297">
        <v>4</v>
      </c>
      <c r="J735" s="297">
        <v>4169</v>
      </c>
      <c r="K735" s="299"/>
      <c r="L735" s="299"/>
      <c r="M735" s="299">
        <v>120</v>
      </c>
      <c r="N735" s="299">
        <v>9</v>
      </c>
      <c r="O735" s="300">
        <v>42</v>
      </c>
      <c r="P735" s="301">
        <v>42090</v>
      </c>
      <c r="Q735" s="302"/>
      <c r="R735" s="303"/>
      <c r="S735" s="289">
        <v>2.95</v>
      </c>
      <c r="T735" s="303">
        <v>42208</v>
      </c>
      <c r="U735" s="302"/>
      <c r="V735" s="303"/>
      <c r="W735" s="302"/>
      <c r="X735" s="303"/>
      <c r="Y735" s="302">
        <v>11.47</v>
      </c>
      <c r="Z735" s="303">
        <v>42208</v>
      </c>
      <c r="AA735">
        <v>14.4</v>
      </c>
      <c r="AB735" s="303"/>
      <c r="AC735" s="302"/>
      <c r="AD735" s="303"/>
      <c r="AE735" s="302"/>
      <c r="AF735" s="303"/>
      <c r="AG735">
        <v>41462.107487922709</v>
      </c>
      <c r="AH735" s="521">
        <f>(AK735*10000)/AM735</f>
        <v>41462.107487922709</v>
      </c>
      <c r="AI735" s="302"/>
      <c r="AJ735" s="303"/>
      <c r="AK735">
        <v>19.072569444444444</v>
      </c>
      <c r="AL735" s="521"/>
      <c r="AM735">
        <v>4.5999999999999996</v>
      </c>
      <c r="AN735" s="303">
        <v>42244</v>
      </c>
      <c r="AO735">
        <v>140</v>
      </c>
      <c r="AP735" s="303">
        <v>42170</v>
      </c>
      <c r="AQ735" s="302"/>
      <c r="AR735" s="303"/>
      <c r="AS735" s="302"/>
      <c r="AT735" s="303"/>
      <c r="AU735">
        <v>113</v>
      </c>
      <c r="AV735" s="303"/>
      <c r="AW735" s="302"/>
      <c r="AX735" s="302"/>
      <c r="AY735" s="302"/>
      <c r="AZ735" s="303"/>
      <c r="BA735" s="302"/>
      <c r="BB735" s="302"/>
      <c r="BC735" s="302"/>
      <c r="BD735" s="302"/>
      <c r="BE735" s="302"/>
      <c r="BF735" s="302"/>
      <c r="BG735" s="302"/>
      <c r="BH735" s="302"/>
      <c r="BI735" s="302"/>
      <c r="BJ735" s="302"/>
      <c r="BM735">
        <v>46.8</v>
      </c>
      <c r="BS735">
        <v>13.7</v>
      </c>
      <c r="BY735">
        <v>53.6</v>
      </c>
      <c r="CA735">
        <v>16.899999999999999</v>
      </c>
      <c r="CC735">
        <v>44</v>
      </c>
      <c r="CI735">
        <v>5</v>
      </c>
      <c r="CO735" t="s">
        <v>8698</v>
      </c>
      <c r="CR735">
        <v>2</v>
      </c>
      <c r="CT735" s="304" t="s">
        <v>11678</v>
      </c>
    </row>
    <row r="736" spans="1:98" s="304" customFormat="1">
      <c r="A736" s="304" t="s">
        <v>8506</v>
      </c>
      <c r="B736" s="524">
        <v>153</v>
      </c>
      <c r="C736" s="296" t="s">
        <v>7781</v>
      </c>
      <c r="D736" s="296" t="s">
        <v>7582</v>
      </c>
      <c r="E736" s="296" t="s">
        <v>7781</v>
      </c>
      <c r="F736" s="296"/>
      <c r="G736" s="296" t="s">
        <v>8506</v>
      </c>
      <c r="H736" s="297" t="s">
        <v>8696</v>
      </c>
      <c r="I736" s="297">
        <v>3</v>
      </c>
      <c r="J736" s="297">
        <v>3229</v>
      </c>
      <c r="K736" s="299"/>
      <c r="L736" s="299"/>
      <c r="M736" s="299">
        <v>120</v>
      </c>
      <c r="N736" s="299">
        <v>4</v>
      </c>
      <c r="O736" s="300">
        <v>15</v>
      </c>
      <c r="P736" s="301">
        <v>42090</v>
      </c>
      <c r="Q736" s="302"/>
      <c r="R736" s="303"/>
      <c r="S736" s="289">
        <v>5.35</v>
      </c>
      <c r="T736" s="303">
        <v>42208</v>
      </c>
      <c r="U736" s="302"/>
      <c r="V736" s="303"/>
      <c r="W736" s="302"/>
      <c r="X736" s="303"/>
      <c r="Y736" s="302">
        <v>19.8</v>
      </c>
      <c r="Z736" s="303">
        <v>42208</v>
      </c>
      <c r="AA736">
        <v>14.4</v>
      </c>
      <c r="AB736" s="303"/>
      <c r="AC736" s="302"/>
      <c r="AD736" s="303"/>
      <c r="AE736" s="302"/>
      <c r="AF736" s="303"/>
      <c r="AG736">
        <v>69105.652777777781</v>
      </c>
      <c r="AH736" s="521">
        <f>(AK736*10000)/AM736</f>
        <v>69105.652777777781</v>
      </c>
      <c r="AI736" s="302"/>
      <c r="AJ736" s="303"/>
      <c r="AK736">
        <v>34.552826388888889</v>
      </c>
      <c r="AL736" s="521"/>
      <c r="AM736">
        <v>5</v>
      </c>
      <c r="AN736" s="303">
        <v>42244</v>
      </c>
      <c r="AO736">
        <v>125</v>
      </c>
      <c r="AP736" s="303">
        <v>42170</v>
      </c>
      <c r="AQ736" s="302"/>
      <c r="AR736" s="303"/>
      <c r="AS736" s="302"/>
      <c r="AT736" s="303"/>
      <c r="AU736">
        <v>106</v>
      </c>
      <c r="AV736" s="303"/>
      <c r="AW736" s="302"/>
      <c r="AX736" s="302"/>
      <c r="AY736" s="302"/>
      <c r="AZ736" s="303"/>
      <c r="BA736" s="302"/>
      <c r="BB736" s="302"/>
      <c r="BC736" s="302"/>
      <c r="BD736" s="302"/>
      <c r="BE736" s="302"/>
      <c r="BF736" s="302"/>
      <c r="BG736" s="302"/>
      <c r="BH736" s="302"/>
      <c r="BI736" s="302"/>
      <c r="BJ736" s="302"/>
      <c r="BM736">
        <v>-0.4</v>
      </c>
      <c r="BS736">
        <v>63</v>
      </c>
      <c r="BY736">
        <v>51.1</v>
      </c>
      <c r="CA736">
        <v>18</v>
      </c>
      <c r="CC736">
        <v>20.100000000000001</v>
      </c>
      <c r="CI736">
        <v>5.0999999999999996</v>
      </c>
      <c r="CO736" t="s">
        <v>8698</v>
      </c>
      <c r="CR736">
        <v>1</v>
      </c>
      <c r="CT736" s="304" t="s">
        <v>11678</v>
      </c>
    </row>
    <row r="737" spans="1:98" s="304" customFormat="1">
      <c r="A737" s="304" t="s">
        <v>8506</v>
      </c>
      <c r="B737" s="524">
        <v>172</v>
      </c>
      <c r="C737" s="296" t="s">
        <v>7800</v>
      </c>
      <c r="D737" s="296" t="s">
        <v>8688</v>
      </c>
      <c r="E737" s="296" t="s">
        <v>7800</v>
      </c>
      <c r="F737" s="296"/>
      <c r="G737" s="296" t="s">
        <v>8506</v>
      </c>
      <c r="H737" s="297" t="s">
        <v>8696</v>
      </c>
      <c r="I737" s="297">
        <v>3</v>
      </c>
      <c r="J737" s="297">
        <v>3109</v>
      </c>
      <c r="K737" s="299"/>
      <c r="L737" s="299"/>
      <c r="M737" s="299">
        <v>120</v>
      </c>
      <c r="N737" s="299">
        <v>2</v>
      </c>
      <c r="O737" s="300">
        <v>24</v>
      </c>
      <c r="P737" s="301">
        <v>42090</v>
      </c>
      <c r="Q737" s="302"/>
      <c r="R737" s="303"/>
      <c r="S737" s="289">
        <v>5.85</v>
      </c>
      <c r="T737" s="303">
        <v>42208</v>
      </c>
      <c r="U737" s="302"/>
      <c r="V737" s="303"/>
      <c r="W737" s="302"/>
      <c r="X737" s="303"/>
      <c r="Y737" s="302">
        <v>21.98</v>
      </c>
      <c r="Z737" s="303">
        <v>42208</v>
      </c>
      <c r="AA737">
        <v>14.4</v>
      </c>
      <c r="AB737" s="303"/>
      <c r="AC737" s="302"/>
      <c r="AD737" s="303"/>
      <c r="AE737" s="302"/>
      <c r="AF737" s="303"/>
      <c r="AG737">
        <v>69671.874999999985</v>
      </c>
      <c r="AH737" s="521">
        <f>(AK737*10000)/AM737</f>
        <v>69671.874999999985</v>
      </c>
      <c r="AI737" s="302"/>
      <c r="AJ737" s="303"/>
      <c r="AK737">
        <v>37.622812499999995</v>
      </c>
      <c r="AL737" s="521"/>
      <c r="AM737">
        <v>5.4</v>
      </c>
      <c r="AN737" s="303">
        <v>42244</v>
      </c>
      <c r="AO737">
        <v>125</v>
      </c>
      <c r="AP737" s="303">
        <v>42170</v>
      </c>
      <c r="AQ737" s="302"/>
      <c r="AR737" s="303"/>
      <c r="AS737" s="302"/>
      <c r="AT737" s="303"/>
      <c r="AU737">
        <v>110</v>
      </c>
      <c r="AV737" s="303"/>
      <c r="AW737" s="302"/>
      <c r="AX737" s="302"/>
      <c r="AY737" s="302"/>
      <c r="AZ737" s="303"/>
      <c r="BA737" s="302"/>
      <c r="BB737" s="302"/>
      <c r="BC737" s="302"/>
      <c r="BD737" s="302"/>
      <c r="BE737" s="302"/>
      <c r="BF737" s="302"/>
      <c r="BG737" s="302"/>
      <c r="BH737" s="302"/>
      <c r="BI737" s="302"/>
      <c r="BJ737" s="302"/>
      <c r="BM737">
        <v>-1.9</v>
      </c>
      <c r="BS737">
        <v>64.7</v>
      </c>
      <c r="BY737">
        <v>52.1</v>
      </c>
      <c r="CA737">
        <v>17.5</v>
      </c>
      <c r="CC737">
        <v>18.600000000000001</v>
      </c>
      <c r="CI737">
        <v>5.5</v>
      </c>
      <c r="CO737" t="s">
        <v>8699</v>
      </c>
      <c r="CR737">
        <v>2</v>
      </c>
      <c r="CT737" s="304" t="s">
        <v>11678</v>
      </c>
    </row>
    <row r="738" spans="1:98" s="304" customFormat="1">
      <c r="A738" s="304" t="s">
        <v>8506</v>
      </c>
      <c r="B738" s="524">
        <v>20</v>
      </c>
      <c r="C738" s="296" t="s">
        <v>7630</v>
      </c>
      <c r="D738" s="296" t="s">
        <v>7467</v>
      </c>
      <c r="E738" s="296" t="s">
        <v>7630</v>
      </c>
      <c r="F738" s="296"/>
      <c r="G738" s="296" t="s">
        <v>8506</v>
      </c>
      <c r="H738" s="297" t="s">
        <v>8697</v>
      </c>
      <c r="I738" s="297">
        <v>4</v>
      </c>
      <c r="J738" s="308">
        <v>4230</v>
      </c>
      <c r="K738" s="299"/>
      <c r="L738" s="299"/>
      <c r="M738" s="299">
        <v>121</v>
      </c>
      <c r="N738" s="299">
        <v>10</v>
      </c>
      <c r="O738" s="300">
        <v>34</v>
      </c>
      <c r="P738" s="301">
        <v>42090</v>
      </c>
      <c r="Q738" s="306"/>
      <c r="R738" s="303"/>
      <c r="S738" s="289">
        <v>3.9</v>
      </c>
      <c r="T738" s="303">
        <v>42208</v>
      </c>
      <c r="U738" s="307"/>
      <c r="V738" s="303"/>
      <c r="W738" s="306"/>
      <c r="X738" s="303"/>
      <c r="Y738" s="306">
        <v>13.46</v>
      </c>
      <c r="Z738" s="303">
        <v>42208</v>
      </c>
      <c r="AA738">
        <v>14.4</v>
      </c>
      <c r="AB738" s="303"/>
      <c r="AC738" s="306"/>
      <c r="AD738" s="303"/>
      <c r="AE738" s="302"/>
      <c r="AF738" s="303"/>
      <c r="AG738">
        <v>49440.359477124184</v>
      </c>
      <c r="AH738" s="521">
        <f>(AK738*10000)/AM738</f>
        <v>49440.359477124184</v>
      </c>
      <c r="AI738" s="302"/>
      <c r="AJ738" s="303"/>
      <c r="AK738">
        <v>25.21458333333333</v>
      </c>
      <c r="AL738" s="521"/>
      <c r="AM738">
        <v>5.0999999999999996</v>
      </c>
      <c r="AN738" s="303">
        <v>42244</v>
      </c>
      <c r="AO738">
        <v>145</v>
      </c>
      <c r="AP738" s="303">
        <v>42170</v>
      </c>
      <c r="AQ738" s="306"/>
      <c r="AR738" s="303"/>
      <c r="AS738" s="306"/>
      <c r="AT738" s="303"/>
      <c r="AU738">
        <v>113</v>
      </c>
      <c r="AV738" s="303"/>
      <c r="AW738" s="302"/>
      <c r="AX738" s="302"/>
      <c r="AY738" s="302"/>
      <c r="AZ738" s="303"/>
      <c r="BA738" s="302"/>
      <c r="BB738" s="302"/>
      <c r="BC738" s="302"/>
      <c r="BD738" s="302"/>
      <c r="BE738" s="302"/>
      <c r="BF738" s="302"/>
      <c r="BG738" s="302"/>
      <c r="BH738" s="302"/>
      <c r="BI738" s="302"/>
      <c r="BJ738" s="302"/>
      <c r="BM738">
        <v>21.2</v>
      </c>
      <c r="BS738">
        <v>38.5</v>
      </c>
      <c r="BY738">
        <v>47.6</v>
      </c>
      <c r="CA738">
        <v>20.7</v>
      </c>
      <c r="CC738">
        <v>63.1</v>
      </c>
      <c r="CI738">
        <v>5</v>
      </c>
      <c r="CO738" t="s">
        <v>8698</v>
      </c>
      <c r="CR738">
        <v>1</v>
      </c>
      <c r="CT738" s="304" t="s">
        <v>11678</v>
      </c>
    </row>
    <row r="739" spans="1:98" s="304" customFormat="1">
      <c r="A739" s="304" t="s">
        <v>8506</v>
      </c>
      <c r="B739" s="524">
        <v>54</v>
      </c>
      <c r="C739" s="296" t="s">
        <v>7672</v>
      </c>
      <c r="D739" s="296" t="s">
        <v>7504</v>
      </c>
      <c r="E739" s="296" t="s">
        <v>7672</v>
      </c>
      <c r="F739" s="296"/>
      <c r="G739" s="296" t="s">
        <v>8506</v>
      </c>
      <c r="H739" s="297" t="s">
        <v>8697</v>
      </c>
      <c r="I739" s="297">
        <v>4</v>
      </c>
      <c r="J739" s="297">
        <v>4110</v>
      </c>
      <c r="K739" s="299"/>
      <c r="L739" s="299"/>
      <c r="M739" s="299">
        <v>121</v>
      </c>
      <c r="N739" s="299">
        <v>8</v>
      </c>
      <c r="O739" s="300">
        <v>36</v>
      </c>
      <c r="P739" s="301">
        <v>42090</v>
      </c>
      <c r="Q739" s="302"/>
      <c r="R739" s="303"/>
      <c r="S739" s="289">
        <v>4.0999999999999996</v>
      </c>
      <c r="T739" s="303">
        <v>42208</v>
      </c>
      <c r="U739" s="302"/>
      <c r="V739" s="303"/>
      <c r="W739" s="302"/>
      <c r="X739" s="303"/>
      <c r="Y739" s="302">
        <v>15.37</v>
      </c>
      <c r="Z739" s="303">
        <v>42208</v>
      </c>
      <c r="AA739">
        <v>14.4</v>
      </c>
      <c r="AB739" s="303"/>
      <c r="AC739" s="302"/>
      <c r="AD739" s="303"/>
      <c r="AE739" s="302"/>
      <c r="AF739" s="303"/>
      <c r="AG739">
        <v>44179.398148148139</v>
      </c>
      <c r="AH739" s="521">
        <f>(AK739*10000)/AM739</f>
        <v>44179.398148148139</v>
      </c>
      <c r="AI739" s="302"/>
      <c r="AJ739" s="303"/>
      <c r="AK739">
        <v>26.507638888888884</v>
      </c>
      <c r="AL739" s="521"/>
      <c r="AM739">
        <v>6</v>
      </c>
      <c r="AN739" s="303">
        <v>42244</v>
      </c>
      <c r="AO739">
        <v>125</v>
      </c>
      <c r="AP739" s="303">
        <v>42170</v>
      </c>
      <c r="AQ739" s="302"/>
      <c r="AR739" s="303"/>
      <c r="AS739" s="302"/>
      <c r="AT739" s="303"/>
      <c r="AU739">
        <v>110</v>
      </c>
      <c r="AV739" s="303"/>
      <c r="AW739" s="302"/>
      <c r="AX739" s="302"/>
      <c r="AY739" s="302"/>
      <c r="AZ739" s="303"/>
      <c r="BA739" s="302"/>
      <c r="BB739" s="302"/>
      <c r="BC739" s="302"/>
      <c r="BD739" s="302"/>
      <c r="BE739" s="302"/>
      <c r="BF739" s="302"/>
      <c r="BG739" s="302"/>
      <c r="BH739" s="302"/>
      <c r="BI739" s="302"/>
      <c r="BJ739" s="302"/>
      <c r="BM739">
        <v>-3.3</v>
      </c>
      <c r="BS739">
        <v>61.7</v>
      </c>
      <c r="BY739">
        <v>51.7</v>
      </c>
      <c r="CA739">
        <v>16.600000000000001</v>
      </c>
      <c r="CC739">
        <v>21.7</v>
      </c>
      <c r="CI739">
        <v>5</v>
      </c>
      <c r="CO739" t="s">
        <v>8698</v>
      </c>
      <c r="CR739">
        <v>2</v>
      </c>
      <c r="CT739" s="304" t="s">
        <v>11678</v>
      </c>
    </row>
    <row r="740" spans="1:98" s="304" customFormat="1">
      <c r="A740" s="304" t="s">
        <v>8506</v>
      </c>
      <c r="B740" s="524">
        <v>58</v>
      </c>
      <c r="C740" s="296" t="s">
        <v>7676</v>
      </c>
      <c r="D740" s="296" t="s">
        <v>7508</v>
      </c>
      <c r="E740" s="296" t="s">
        <v>7676</v>
      </c>
      <c r="F740" s="296"/>
      <c r="G740" s="296" t="s">
        <v>8506</v>
      </c>
      <c r="H740" s="297" t="s">
        <v>8696</v>
      </c>
      <c r="I740" s="297">
        <v>3</v>
      </c>
      <c r="J740" s="297">
        <v>3110</v>
      </c>
      <c r="K740" s="299"/>
      <c r="L740" s="299"/>
      <c r="M740" s="299">
        <v>121</v>
      </c>
      <c r="N740" s="299">
        <v>2</v>
      </c>
      <c r="O740" s="300">
        <v>30</v>
      </c>
      <c r="P740" s="301">
        <v>42090</v>
      </c>
      <c r="Q740" s="302"/>
      <c r="R740" s="303"/>
      <c r="S740" s="289">
        <v>5.45</v>
      </c>
      <c r="T740" s="303">
        <v>42208</v>
      </c>
      <c r="U740" s="302"/>
      <c r="V740" s="303"/>
      <c r="W740" s="302"/>
      <c r="X740" s="303"/>
      <c r="Y740" s="302">
        <v>19.79</v>
      </c>
      <c r="Z740" s="303">
        <v>42208</v>
      </c>
      <c r="AA740">
        <v>14.4</v>
      </c>
      <c r="AB740" s="303"/>
      <c r="AC740" s="302"/>
      <c r="AD740" s="303"/>
      <c r="AE740" s="302"/>
      <c r="AF740" s="303"/>
      <c r="AG740">
        <v>70471.527777777781</v>
      </c>
      <c r="AH740" s="521">
        <f>(AK740*10000)/AM740</f>
        <v>70471.527777777781</v>
      </c>
      <c r="AI740" s="302"/>
      <c r="AJ740" s="303"/>
      <c r="AK740">
        <v>35.23576388888889</v>
      </c>
      <c r="AL740" s="521"/>
      <c r="AM740">
        <v>5</v>
      </c>
      <c r="AN740" s="303">
        <v>42244</v>
      </c>
      <c r="AO740">
        <v>120</v>
      </c>
      <c r="AP740" s="303">
        <v>42170</v>
      </c>
      <c r="AQ740" s="302"/>
      <c r="AR740" s="303"/>
      <c r="AS740" s="302"/>
      <c r="AT740" s="303"/>
      <c r="AU740">
        <v>107</v>
      </c>
      <c r="AV740" s="303"/>
      <c r="AW740" s="302"/>
      <c r="AX740" s="302"/>
      <c r="AY740" s="302"/>
      <c r="AZ740" s="303"/>
      <c r="BA740" s="302"/>
      <c r="BB740" s="302"/>
      <c r="BC740" s="302"/>
      <c r="BD740" s="302"/>
      <c r="BE740" s="302"/>
      <c r="BF740" s="302"/>
      <c r="BG740" s="302"/>
      <c r="BH740" s="302"/>
      <c r="BI740" s="302"/>
      <c r="BJ740" s="302"/>
      <c r="BM740">
        <v>-1.7</v>
      </c>
      <c r="BS740">
        <v>64.5</v>
      </c>
      <c r="BY740">
        <v>50.1</v>
      </c>
      <c r="CA740">
        <v>19</v>
      </c>
      <c r="CC740">
        <v>23</v>
      </c>
      <c r="CI740">
        <v>5</v>
      </c>
      <c r="CO740" t="s">
        <v>8699</v>
      </c>
      <c r="CR740">
        <v>1</v>
      </c>
      <c r="CT740" s="304" t="s">
        <v>11678</v>
      </c>
    </row>
    <row r="741" spans="1:98" s="304" customFormat="1">
      <c r="A741" s="304" t="s">
        <v>8506</v>
      </c>
      <c r="B741" s="524">
        <v>148</v>
      </c>
      <c r="C741" s="296" t="s">
        <v>7776</v>
      </c>
      <c r="D741" s="296" t="s">
        <v>7577</v>
      </c>
      <c r="E741" s="296" t="s">
        <v>7776</v>
      </c>
      <c r="F741" s="296"/>
      <c r="G741" s="296" t="s">
        <v>8506</v>
      </c>
      <c r="H741" s="297" t="s">
        <v>8697</v>
      </c>
      <c r="I741" s="297">
        <v>4</v>
      </c>
      <c r="J741" s="297">
        <v>450</v>
      </c>
      <c r="K741" s="299"/>
      <c r="L741" s="299"/>
      <c r="M741" s="299">
        <v>121</v>
      </c>
      <c r="N741" s="299">
        <v>7</v>
      </c>
      <c r="O741" s="300">
        <v>30</v>
      </c>
      <c r="P741" s="301">
        <v>42090</v>
      </c>
      <c r="Q741" s="302"/>
      <c r="R741" s="303"/>
      <c r="S741" s="289">
        <v>4.4000000000000004</v>
      </c>
      <c r="T741" s="303">
        <v>42208</v>
      </c>
      <c r="U741" s="302"/>
      <c r="V741" s="303"/>
      <c r="W741" s="302"/>
      <c r="X741" s="303"/>
      <c r="Y741" s="302">
        <v>16.57</v>
      </c>
      <c r="Z741" s="303">
        <v>42208</v>
      </c>
      <c r="AA741">
        <v>14.4</v>
      </c>
      <c r="AB741" s="303"/>
      <c r="AC741" s="302"/>
      <c r="AD741" s="303"/>
      <c r="AE741" s="302"/>
      <c r="AF741" s="303"/>
      <c r="AG741">
        <v>60462.293144208044</v>
      </c>
      <c r="AH741" s="521">
        <f>(AK741*10000)/AM741</f>
        <v>60462.293144208044</v>
      </c>
      <c r="AI741" s="302"/>
      <c r="AJ741" s="303"/>
      <c r="AK741">
        <v>28.417277777777784</v>
      </c>
      <c r="AL741" s="521"/>
      <c r="AM741">
        <v>4.7</v>
      </c>
      <c r="AN741" s="303">
        <v>42244</v>
      </c>
      <c r="AO741">
        <v>130</v>
      </c>
      <c r="AP741" s="303">
        <v>42170</v>
      </c>
      <c r="AQ741" s="302"/>
      <c r="AR741" s="303"/>
      <c r="AS741" s="302"/>
      <c r="AT741" s="303"/>
      <c r="AU741">
        <v>108</v>
      </c>
      <c r="AV741" s="303"/>
      <c r="AW741" s="302"/>
      <c r="AX741" s="302"/>
      <c r="AY741" s="302"/>
      <c r="AZ741" s="303"/>
      <c r="BA741" s="302"/>
      <c r="BB741" s="302"/>
      <c r="BC741" s="302"/>
      <c r="BD741" s="302"/>
      <c r="BE741" s="302"/>
      <c r="BF741" s="302"/>
      <c r="BG741" s="302"/>
      <c r="BH741" s="302"/>
      <c r="BI741" s="302"/>
      <c r="BJ741" s="302"/>
      <c r="BM741">
        <v>0.6</v>
      </c>
      <c r="BS741">
        <v>60</v>
      </c>
      <c r="BY741">
        <v>52</v>
      </c>
      <c r="CA741">
        <v>16</v>
      </c>
      <c r="CC741">
        <v>18.399999999999999</v>
      </c>
      <c r="CI741">
        <v>5.0999999999999996</v>
      </c>
      <c r="CO741" t="s">
        <v>8698</v>
      </c>
      <c r="CR741">
        <v>2</v>
      </c>
      <c r="CT741" s="304" t="s">
        <v>11678</v>
      </c>
    </row>
    <row r="742" spans="1:98" s="304" customFormat="1">
      <c r="A742" s="304" t="s">
        <v>8506</v>
      </c>
      <c r="B742" s="524">
        <v>40</v>
      </c>
      <c r="C742" s="296" t="s">
        <v>7657</v>
      </c>
      <c r="D742" s="296" t="s">
        <v>7490</v>
      </c>
      <c r="E742" s="296" t="s">
        <v>7657</v>
      </c>
      <c r="F742" s="296"/>
      <c r="G742" s="296" t="s">
        <v>8506</v>
      </c>
      <c r="H742" s="297" t="s">
        <v>8697</v>
      </c>
      <c r="I742" s="297">
        <v>4</v>
      </c>
      <c r="J742" s="297">
        <v>4291</v>
      </c>
      <c r="K742" s="299"/>
      <c r="L742" s="299"/>
      <c r="M742" s="299">
        <v>122</v>
      </c>
      <c r="N742" s="299">
        <v>11</v>
      </c>
      <c r="O742" s="300">
        <v>44</v>
      </c>
      <c r="P742" s="301">
        <v>42090</v>
      </c>
      <c r="Q742" s="302"/>
      <c r="R742" s="303"/>
      <c r="S742" s="289">
        <v>3.85</v>
      </c>
      <c r="T742" s="303">
        <v>42208</v>
      </c>
      <c r="U742" s="302"/>
      <c r="V742" s="303"/>
      <c r="W742" s="302"/>
      <c r="X742" s="303"/>
      <c r="Y742" s="302">
        <v>14.47</v>
      </c>
      <c r="Z742" s="303">
        <v>42208</v>
      </c>
      <c r="AA742">
        <v>14.4</v>
      </c>
      <c r="AB742" s="303"/>
      <c r="AC742" s="302"/>
      <c r="AD742" s="303"/>
      <c r="AE742" s="302"/>
      <c r="AF742" s="303"/>
      <c r="AG742">
        <v>55255.817901234572</v>
      </c>
      <c r="AH742" s="521">
        <f>(AK742*10000)/AM742</f>
        <v>55255.817901234572</v>
      </c>
      <c r="AI742" s="302"/>
      <c r="AJ742" s="303"/>
      <c r="AK742">
        <v>24.865118055555556</v>
      </c>
      <c r="AL742" s="521"/>
      <c r="AM742">
        <v>4.5</v>
      </c>
      <c r="AN742" s="303">
        <v>42244</v>
      </c>
      <c r="AO742">
        <v>125</v>
      </c>
      <c r="AP742" s="303">
        <v>42170</v>
      </c>
      <c r="AQ742" s="302"/>
      <c r="AR742" s="303"/>
      <c r="AS742" s="302"/>
      <c r="AT742" s="303"/>
      <c r="AU742">
        <v>112</v>
      </c>
      <c r="AV742" s="303"/>
      <c r="AW742" s="302"/>
      <c r="AX742" s="302"/>
      <c r="AY742" s="302"/>
      <c r="AZ742" s="303"/>
      <c r="BA742" s="302"/>
      <c r="BB742" s="302"/>
      <c r="BC742" s="302"/>
      <c r="BD742" s="302"/>
      <c r="BE742" s="302"/>
      <c r="BF742" s="302"/>
      <c r="BG742" s="302"/>
      <c r="BH742" s="302"/>
      <c r="BI742" s="302"/>
      <c r="BJ742" s="302"/>
      <c r="BM742">
        <v>-5.0999999999999996</v>
      </c>
      <c r="BS742">
        <v>60</v>
      </c>
      <c r="BY742">
        <v>51.9</v>
      </c>
      <c r="CA742">
        <v>15.2</v>
      </c>
      <c r="CC742">
        <v>17.5</v>
      </c>
      <c r="CI742">
        <v>5.0999999999999996</v>
      </c>
      <c r="CO742" t="s">
        <v>8698</v>
      </c>
      <c r="CR742">
        <v>1</v>
      </c>
      <c r="CT742" s="304" t="s">
        <v>11678</v>
      </c>
    </row>
    <row r="743" spans="1:98" s="304" customFormat="1">
      <c r="A743" s="304" t="s">
        <v>8506</v>
      </c>
      <c r="B743" s="524">
        <v>61</v>
      </c>
      <c r="C743" s="296" t="s">
        <v>7679</v>
      </c>
      <c r="D743" s="296" t="s">
        <v>7509</v>
      </c>
      <c r="E743" s="296" t="s">
        <v>7679</v>
      </c>
      <c r="F743" s="296"/>
      <c r="G743" s="296" t="s">
        <v>8506</v>
      </c>
      <c r="H743" s="297" t="s">
        <v>8696</v>
      </c>
      <c r="I743" s="297">
        <v>3</v>
      </c>
      <c r="J743" s="297">
        <v>3291</v>
      </c>
      <c r="K743" s="299"/>
      <c r="L743" s="299"/>
      <c r="M743" s="299">
        <v>122</v>
      </c>
      <c r="N743" s="299">
        <v>5</v>
      </c>
      <c r="O743" s="300">
        <v>31</v>
      </c>
      <c r="P743" s="301">
        <v>42090</v>
      </c>
      <c r="Q743" s="302"/>
      <c r="R743" s="303"/>
      <c r="S743" s="289">
        <v>5</v>
      </c>
      <c r="T743" s="303">
        <v>42208</v>
      </c>
      <c r="U743" s="302"/>
      <c r="V743" s="303"/>
      <c r="W743" s="302"/>
      <c r="X743" s="303"/>
      <c r="Y743" s="302">
        <v>18.52</v>
      </c>
      <c r="Z743" s="303">
        <v>42208</v>
      </c>
      <c r="AA743">
        <v>14.4</v>
      </c>
      <c r="AB743" s="303"/>
      <c r="AC743" s="302"/>
      <c r="AD743" s="303"/>
      <c r="AE743" s="302"/>
      <c r="AF743" s="303"/>
      <c r="AG743">
        <v>73469.065656565654</v>
      </c>
      <c r="AH743" s="521">
        <f>(AK743*10000)/AM743</f>
        <v>73469.065656565654</v>
      </c>
      <c r="AI743" s="302"/>
      <c r="AJ743" s="303"/>
      <c r="AK743">
        <v>32.326388888888886</v>
      </c>
      <c r="AL743" s="521"/>
      <c r="AM743">
        <v>4.4000000000000004</v>
      </c>
      <c r="AN743" s="303">
        <v>42244</v>
      </c>
      <c r="AO743">
        <v>125</v>
      </c>
      <c r="AP743" s="303">
        <v>42170</v>
      </c>
      <c r="AQ743" s="302"/>
      <c r="AR743" s="303"/>
      <c r="AS743" s="302"/>
      <c r="AT743" s="303"/>
      <c r="AU743">
        <v>108</v>
      </c>
      <c r="AV743" s="303"/>
      <c r="AW743" s="302"/>
      <c r="AX743" s="302"/>
      <c r="AY743" s="302"/>
      <c r="AZ743" s="303"/>
      <c r="BA743" s="302"/>
      <c r="BB743" s="302"/>
      <c r="BC743" s="302"/>
      <c r="BD743" s="302"/>
      <c r="BE743" s="302"/>
      <c r="BF743" s="302"/>
      <c r="BG743" s="302"/>
      <c r="BH743" s="302"/>
      <c r="BI743" s="302"/>
      <c r="BJ743" s="302"/>
      <c r="BM743">
        <v>-1.9</v>
      </c>
      <c r="BS743">
        <v>64.400000000000006</v>
      </c>
      <c r="BY743">
        <v>51.1</v>
      </c>
      <c r="CA743">
        <v>18.8</v>
      </c>
      <c r="CC743">
        <v>16.7</v>
      </c>
      <c r="CI743">
        <v>5</v>
      </c>
      <c r="CO743" t="s">
        <v>8698</v>
      </c>
      <c r="CR743">
        <v>3</v>
      </c>
      <c r="CT743" s="304" t="s">
        <v>11678</v>
      </c>
    </row>
    <row r="744" spans="1:98" s="304" customFormat="1">
      <c r="A744" s="304" t="s">
        <v>8506</v>
      </c>
      <c r="B744" s="524">
        <v>63</v>
      </c>
      <c r="C744" s="296" t="s">
        <v>7681</v>
      </c>
      <c r="D744" s="296" t="s">
        <v>7511</v>
      </c>
      <c r="E744" s="296" t="s">
        <v>7681</v>
      </c>
      <c r="F744" s="296"/>
      <c r="G744" s="296" t="s">
        <v>8506</v>
      </c>
      <c r="H744" s="297" t="s">
        <v>8696</v>
      </c>
      <c r="I744" s="297">
        <v>3</v>
      </c>
      <c r="J744" s="297">
        <v>351</v>
      </c>
      <c r="K744" s="299"/>
      <c r="L744" s="299"/>
      <c r="M744" s="299">
        <v>122</v>
      </c>
      <c r="N744" s="299">
        <v>1</v>
      </c>
      <c r="O744" s="300">
        <v>24</v>
      </c>
      <c r="P744" s="301">
        <v>42090</v>
      </c>
      <c r="Q744" s="302"/>
      <c r="R744" s="303"/>
      <c r="S744" s="289">
        <v>5.85</v>
      </c>
      <c r="T744" s="303">
        <v>42208</v>
      </c>
      <c r="U744" s="302"/>
      <c r="V744" s="303"/>
      <c r="W744" s="302"/>
      <c r="X744" s="303"/>
      <c r="Y744" s="302">
        <v>21.78</v>
      </c>
      <c r="Z744" s="303">
        <v>42208</v>
      </c>
      <c r="AA744">
        <v>14.4</v>
      </c>
      <c r="AB744" s="303"/>
      <c r="AC744" s="302"/>
      <c r="AD744" s="303"/>
      <c r="AE744" s="302"/>
      <c r="AF744" s="303"/>
      <c r="AG744">
        <v>74238.602941176447</v>
      </c>
      <c r="AH744" s="521">
        <f>(AK744*10000)/AM744</f>
        <v>74238.602941176447</v>
      </c>
      <c r="AI744" s="302"/>
      <c r="AJ744" s="303"/>
      <c r="AK744">
        <v>37.861687499999988</v>
      </c>
      <c r="AL744" s="521"/>
      <c r="AM744">
        <v>5.0999999999999996</v>
      </c>
      <c r="AN744" s="303">
        <v>42244</v>
      </c>
      <c r="AO744">
        <v>125</v>
      </c>
      <c r="AP744" s="303">
        <v>42170</v>
      </c>
      <c r="AQ744" s="302"/>
      <c r="AR744" s="303"/>
      <c r="AS744" s="302"/>
      <c r="AT744" s="303"/>
      <c r="AU744">
        <v>108</v>
      </c>
      <c r="AV744" s="303"/>
      <c r="AW744" s="302"/>
      <c r="AX744" s="302"/>
      <c r="AY744" s="302"/>
      <c r="AZ744" s="303"/>
      <c r="BA744" s="302"/>
      <c r="BB744" s="302"/>
      <c r="BC744" s="302"/>
      <c r="BD744" s="302"/>
      <c r="BE744" s="302"/>
      <c r="BF744" s="302"/>
      <c r="BG744" s="302"/>
      <c r="BH744" s="302"/>
      <c r="BI744" s="302"/>
      <c r="BJ744" s="302"/>
      <c r="BM744">
        <v>-0.7</v>
      </c>
      <c r="BS744">
        <v>62.2</v>
      </c>
      <c r="BY744">
        <v>51.3</v>
      </c>
      <c r="CA744">
        <v>18.7</v>
      </c>
      <c r="CC744">
        <v>14.3</v>
      </c>
      <c r="CI744">
        <v>4.9000000000000004</v>
      </c>
      <c r="CO744" t="s">
        <v>8699</v>
      </c>
      <c r="CR744">
        <v>4</v>
      </c>
      <c r="CT744" s="304" t="s">
        <v>11678</v>
      </c>
    </row>
    <row r="745" spans="1:98" s="304" customFormat="1">
      <c r="A745" s="304" t="s">
        <v>8506</v>
      </c>
      <c r="B745" s="524">
        <v>73</v>
      </c>
      <c r="C745" s="296" t="s">
        <v>7691</v>
      </c>
      <c r="D745" s="296" t="s">
        <v>7520</v>
      </c>
      <c r="E745" s="296" t="s">
        <v>7691</v>
      </c>
      <c r="F745" s="296"/>
      <c r="G745" s="296" t="s">
        <v>8506</v>
      </c>
      <c r="H745" s="297" t="s">
        <v>8696</v>
      </c>
      <c r="I745" s="297">
        <v>3</v>
      </c>
      <c r="J745" s="297">
        <v>3231</v>
      </c>
      <c r="K745" s="299"/>
      <c r="L745" s="299"/>
      <c r="M745" s="299">
        <v>122</v>
      </c>
      <c r="N745" s="299">
        <v>4</v>
      </c>
      <c r="O745" s="300">
        <v>18</v>
      </c>
      <c r="P745" s="301">
        <v>42090</v>
      </c>
      <c r="Q745" s="302"/>
      <c r="R745" s="303"/>
      <c r="S745" s="289">
        <v>5.2</v>
      </c>
      <c r="T745" s="303">
        <v>42208</v>
      </c>
      <c r="U745" s="302"/>
      <c r="V745" s="303"/>
      <c r="W745" s="302"/>
      <c r="X745" s="303"/>
      <c r="Y745" s="302">
        <v>19.86</v>
      </c>
      <c r="Z745" s="303">
        <v>42208</v>
      </c>
      <c r="AA745">
        <v>14.4</v>
      </c>
      <c r="AB745" s="303"/>
      <c r="AC745" s="302"/>
      <c r="AD745" s="303"/>
      <c r="AE745" s="302"/>
      <c r="AF745" s="303"/>
      <c r="AG745">
        <v>77855.555555555547</v>
      </c>
      <c r="AH745" s="521">
        <f>(AK745*10000)/AM745</f>
        <v>77855.555555555547</v>
      </c>
      <c r="AI745" s="302"/>
      <c r="AJ745" s="303"/>
      <c r="AK745">
        <v>33.477888888888884</v>
      </c>
      <c r="AL745" s="521"/>
      <c r="AM745">
        <v>4.3</v>
      </c>
      <c r="AN745" s="303">
        <v>42244</v>
      </c>
      <c r="AO745">
        <v>145</v>
      </c>
      <c r="AP745" s="303">
        <v>42170</v>
      </c>
      <c r="AQ745" s="302"/>
      <c r="AR745" s="303"/>
      <c r="AS745" s="302"/>
      <c r="AT745" s="303"/>
      <c r="AU745">
        <v>113</v>
      </c>
      <c r="AV745" s="303"/>
      <c r="AW745" s="302"/>
      <c r="AX745" s="302"/>
      <c r="AY745" s="302"/>
      <c r="AZ745" s="303"/>
      <c r="BA745" s="302"/>
      <c r="BB745" s="302"/>
      <c r="BC745" s="302"/>
      <c r="BD745" s="302"/>
      <c r="BE745" s="302"/>
      <c r="BF745" s="302"/>
      <c r="BG745" s="302"/>
      <c r="BH745" s="302"/>
      <c r="BI745" s="302"/>
      <c r="BJ745" s="302"/>
      <c r="BM745">
        <v>22.6</v>
      </c>
      <c r="BS745">
        <v>41.1</v>
      </c>
      <c r="BY745">
        <v>52.9</v>
      </c>
      <c r="CA745">
        <v>17.399999999999999</v>
      </c>
      <c r="CC745">
        <v>15.5</v>
      </c>
      <c r="CI745">
        <v>5.4</v>
      </c>
      <c r="CO745" t="s">
        <v>8698</v>
      </c>
      <c r="CR745">
        <v>1</v>
      </c>
      <c r="CT745" s="304" t="s">
        <v>11678</v>
      </c>
    </row>
    <row r="746" spans="1:98" s="304" customFormat="1">
      <c r="A746" s="304" t="s">
        <v>8506</v>
      </c>
      <c r="B746" s="463">
        <v>88</v>
      </c>
      <c r="C746" s="296" t="s">
        <v>7706</v>
      </c>
      <c r="D746" s="296" t="s">
        <v>7535</v>
      </c>
      <c r="E746" s="296" t="s">
        <v>7706</v>
      </c>
      <c r="F746" s="296"/>
      <c r="G746" s="296" t="s">
        <v>8506</v>
      </c>
      <c r="H746" s="297" t="s">
        <v>8697</v>
      </c>
      <c r="I746" s="297">
        <v>4</v>
      </c>
      <c r="J746" s="297">
        <v>451</v>
      </c>
      <c r="K746" s="299"/>
      <c r="L746" s="299"/>
      <c r="M746" s="299">
        <v>122</v>
      </c>
      <c r="N746" s="299">
        <v>7</v>
      </c>
      <c r="O746" s="300">
        <v>40</v>
      </c>
      <c r="P746" s="301">
        <v>42090</v>
      </c>
      <c r="Q746" s="302"/>
      <c r="R746" s="303"/>
      <c r="S746" s="289">
        <v>4.3</v>
      </c>
      <c r="T746" s="303">
        <v>42208</v>
      </c>
      <c r="U746" s="302"/>
      <c r="V746" s="303"/>
      <c r="W746" s="302"/>
      <c r="X746" s="303"/>
      <c r="Y746" s="302">
        <v>16.399999999999999</v>
      </c>
      <c r="Z746" s="303">
        <v>42208</v>
      </c>
      <c r="AA746">
        <v>14.4</v>
      </c>
      <c r="AB746" s="303"/>
      <c r="AC746" s="302"/>
      <c r="AD746" s="303"/>
      <c r="AE746" s="302"/>
      <c r="AF746" s="303"/>
      <c r="AG746">
        <v>55601.388888888876</v>
      </c>
      <c r="AH746" s="521">
        <f>(AK746*10000)/AM746</f>
        <v>55601.388888888876</v>
      </c>
      <c r="AI746" s="302"/>
      <c r="AJ746" s="303"/>
      <c r="AK746">
        <v>27.800694444444439</v>
      </c>
      <c r="AL746" s="521"/>
      <c r="AM746">
        <v>5</v>
      </c>
      <c r="AN746" s="303">
        <v>42244</v>
      </c>
      <c r="AO746">
        <v>130</v>
      </c>
      <c r="AP746" s="303">
        <v>42170</v>
      </c>
      <c r="AQ746" s="302"/>
      <c r="AR746" s="303"/>
      <c r="AS746" s="302"/>
      <c r="AT746" s="303"/>
      <c r="AU746">
        <v>108</v>
      </c>
      <c r="AV746" s="303"/>
      <c r="AW746" s="302"/>
      <c r="AX746" s="302"/>
      <c r="AY746" s="302"/>
      <c r="AZ746" s="303"/>
      <c r="BA746" s="302"/>
      <c r="BB746" s="302"/>
      <c r="BC746" s="302"/>
      <c r="BD746" s="302"/>
      <c r="BE746" s="302"/>
      <c r="BF746" s="302"/>
      <c r="BG746" s="302"/>
      <c r="BH746" s="302"/>
      <c r="BI746" s="302"/>
      <c r="BJ746" s="302"/>
      <c r="BM746">
        <v>-1.1000000000000001</v>
      </c>
      <c r="BS746">
        <v>60.3</v>
      </c>
      <c r="BY746">
        <v>52.6</v>
      </c>
      <c r="CA746">
        <v>15.5</v>
      </c>
      <c r="CC746">
        <v>17</v>
      </c>
      <c r="CI746">
        <v>5</v>
      </c>
      <c r="CO746" t="s">
        <v>8698</v>
      </c>
      <c r="CR746">
        <v>2</v>
      </c>
      <c r="CT746" s="304" t="s">
        <v>11678</v>
      </c>
    </row>
    <row r="747" spans="1:98" s="304" customFormat="1">
      <c r="A747" s="304" t="s">
        <v>8506</v>
      </c>
      <c r="B747" s="463">
        <v>96</v>
      </c>
      <c r="C747" s="296" t="s">
        <v>7714</v>
      </c>
      <c r="D747" s="296" t="s">
        <v>7541</v>
      </c>
      <c r="E747" s="296" t="s">
        <v>7714</v>
      </c>
      <c r="F747" s="296"/>
      <c r="G747" s="296" t="s">
        <v>8506</v>
      </c>
      <c r="H747" s="297" t="s">
        <v>8696</v>
      </c>
      <c r="I747" s="297">
        <v>3</v>
      </c>
      <c r="J747" s="297">
        <v>3111</v>
      </c>
      <c r="K747" s="299"/>
      <c r="L747" s="299"/>
      <c r="M747" s="299">
        <v>122</v>
      </c>
      <c r="N747" s="299">
        <v>2</v>
      </c>
      <c r="O747" s="300">
        <v>40</v>
      </c>
      <c r="P747" s="301">
        <v>42090</v>
      </c>
      <c r="Q747" s="302"/>
      <c r="R747" s="303"/>
      <c r="S747" s="289">
        <v>5.2</v>
      </c>
      <c r="T747" s="303">
        <v>42208</v>
      </c>
      <c r="U747" s="302"/>
      <c r="V747" s="303"/>
      <c r="W747" s="302"/>
      <c r="X747" s="303"/>
      <c r="Y747" s="302">
        <v>19.13</v>
      </c>
      <c r="Z747" s="303">
        <v>42208</v>
      </c>
      <c r="AA747">
        <v>14.4</v>
      </c>
      <c r="AB747" s="303"/>
      <c r="AC747" s="302"/>
      <c r="AD747" s="303"/>
      <c r="AE747" s="302"/>
      <c r="AF747" s="303"/>
      <c r="AG747">
        <v>68683.333333333328</v>
      </c>
      <c r="AH747" s="521">
        <f>(AK747*10000)/AM747</f>
        <v>68683.333333333328</v>
      </c>
      <c r="AI747" s="302"/>
      <c r="AJ747" s="303"/>
      <c r="AK747">
        <v>33.654833333333329</v>
      </c>
      <c r="AL747" s="521"/>
      <c r="AM747">
        <v>4.9000000000000004</v>
      </c>
      <c r="AN747" s="303">
        <v>42244</v>
      </c>
      <c r="AO747">
        <v>125</v>
      </c>
      <c r="AP747" s="303">
        <v>42170</v>
      </c>
      <c r="AQ747" s="302"/>
      <c r="AR747" s="303"/>
      <c r="AS747" s="302"/>
      <c r="AT747" s="303"/>
      <c r="AU747">
        <v>107</v>
      </c>
      <c r="AV747" s="303"/>
      <c r="AW747" s="302"/>
      <c r="AX747" s="302"/>
      <c r="AY747" s="302"/>
      <c r="AZ747" s="303"/>
      <c r="BA747" s="302"/>
      <c r="BB747" s="302"/>
      <c r="BC747" s="302"/>
      <c r="BD747" s="302"/>
      <c r="BE747" s="302"/>
      <c r="BF747" s="302"/>
      <c r="BG747" s="302"/>
      <c r="BH747" s="302"/>
      <c r="BI747" s="302"/>
      <c r="BJ747" s="302"/>
      <c r="BM747">
        <v>-1.5</v>
      </c>
      <c r="BS747">
        <v>67.900000000000006</v>
      </c>
      <c r="BY747">
        <v>50.7</v>
      </c>
      <c r="CA747">
        <v>17.8</v>
      </c>
      <c r="CC747">
        <v>19.899999999999999</v>
      </c>
      <c r="CI747">
        <v>4.9000000000000004</v>
      </c>
      <c r="CO747" t="s">
        <v>8699</v>
      </c>
      <c r="CR747">
        <v>2</v>
      </c>
      <c r="CT747" s="304" t="s">
        <v>11678</v>
      </c>
    </row>
    <row r="748" spans="1:98" s="304" customFormat="1">
      <c r="A748" s="304" t="s">
        <v>8506</v>
      </c>
      <c r="B748" s="463">
        <v>132</v>
      </c>
      <c r="C748" s="296" t="s">
        <v>7760</v>
      </c>
      <c r="D748" s="296" t="s">
        <v>7835</v>
      </c>
      <c r="E748" s="296" t="s">
        <v>7760</v>
      </c>
      <c r="F748" s="296"/>
      <c r="G748" s="296" t="s">
        <v>8506</v>
      </c>
      <c r="H748" s="297" t="s">
        <v>8697</v>
      </c>
      <c r="I748" s="297">
        <v>4</v>
      </c>
      <c r="J748" s="297">
        <v>4351</v>
      </c>
      <c r="K748" s="299"/>
      <c r="L748" s="299"/>
      <c r="M748" s="299">
        <v>122</v>
      </c>
      <c r="N748" s="299">
        <v>12</v>
      </c>
      <c r="O748" s="300">
        <v>45</v>
      </c>
      <c r="P748" s="301">
        <v>42090</v>
      </c>
      <c r="Q748" s="302"/>
      <c r="R748" s="303"/>
      <c r="S748" s="289">
        <v>4.3499999999999996</v>
      </c>
      <c r="T748" s="303">
        <v>42208</v>
      </c>
      <c r="U748" s="302"/>
      <c r="V748" s="303"/>
      <c r="W748" s="302"/>
      <c r="X748" s="303"/>
      <c r="Y748" s="302">
        <v>17.010000000000002</v>
      </c>
      <c r="Z748" s="303">
        <v>42208</v>
      </c>
      <c r="AA748">
        <v>14.4</v>
      </c>
      <c r="AB748" s="303"/>
      <c r="AC748" s="302"/>
      <c r="AD748" s="303"/>
      <c r="AE748" s="302"/>
      <c r="AF748" s="303"/>
      <c r="AG748">
        <v>59775.221631205677</v>
      </c>
      <c r="AH748" s="521">
        <f>(AK748*10000)/AM748</f>
        <v>59775.221631205677</v>
      </c>
      <c r="AI748" s="302"/>
      <c r="AJ748" s="303"/>
      <c r="AK748">
        <v>28.094354166666669</v>
      </c>
      <c r="AL748" s="521"/>
      <c r="AM748">
        <v>4.7</v>
      </c>
      <c r="AN748" s="303">
        <v>42244</v>
      </c>
      <c r="AO748">
        <v>110</v>
      </c>
      <c r="AP748" s="303">
        <v>42170</v>
      </c>
      <c r="AQ748" s="302"/>
      <c r="AR748" s="303"/>
      <c r="AS748" s="302"/>
      <c r="AT748" s="303"/>
      <c r="AU748">
        <v>107</v>
      </c>
      <c r="AV748" s="303"/>
      <c r="AW748" s="302"/>
      <c r="AX748" s="302"/>
      <c r="AY748" s="302"/>
      <c r="AZ748" s="303"/>
      <c r="BA748" s="302"/>
      <c r="BB748" s="302"/>
      <c r="BC748" s="302"/>
      <c r="BD748" s="302"/>
      <c r="BE748" s="302"/>
      <c r="BF748" s="302"/>
      <c r="BG748" s="302"/>
      <c r="BH748" s="302"/>
      <c r="BI748" s="302"/>
      <c r="BJ748" s="302"/>
      <c r="BM748">
        <v>-5.2</v>
      </c>
      <c r="BS748">
        <v>65.5</v>
      </c>
      <c r="BY748">
        <v>54</v>
      </c>
      <c r="CA748">
        <v>15.5</v>
      </c>
      <c r="CC748">
        <v>10.9</v>
      </c>
      <c r="CI748">
        <v>5.0999999999999996</v>
      </c>
      <c r="CO748" t="s">
        <v>8698</v>
      </c>
      <c r="CR748">
        <v>1</v>
      </c>
      <c r="CT748" s="304" t="s">
        <v>11678</v>
      </c>
    </row>
    <row r="749" spans="1:98" s="304" customFormat="1">
      <c r="A749" s="304" t="s">
        <v>8506</v>
      </c>
      <c r="B749" s="463">
        <v>27</v>
      </c>
      <c r="C749" s="296" t="s">
        <v>7639</v>
      </c>
      <c r="D749" s="296" t="s">
        <v>7815</v>
      </c>
      <c r="E749" s="296" t="s">
        <v>7639</v>
      </c>
      <c r="F749" s="296"/>
      <c r="G749" s="296" t="s">
        <v>8506</v>
      </c>
      <c r="H749" s="297" t="s">
        <v>8697</v>
      </c>
      <c r="I749" s="297">
        <v>4</v>
      </c>
      <c r="J749" s="308">
        <v>4352</v>
      </c>
      <c r="K749" s="299"/>
      <c r="L749" s="299"/>
      <c r="M749" s="299">
        <v>123</v>
      </c>
      <c r="N749" s="299">
        <v>12</v>
      </c>
      <c r="O749" s="300">
        <v>23</v>
      </c>
      <c r="P749" s="301">
        <v>42090</v>
      </c>
      <c r="Q749" s="306"/>
      <c r="R749" s="303"/>
      <c r="S749" s="289">
        <v>4.3499999999999996</v>
      </c>
      <c r="T749" s="303">
        <v>42208</v>
      </c>
      <c r="U749" s="307"/>
      <c r="V749" s="303"/>
      <c r="W749" s="306"/>
      <c r="X749" s="303"/>
      <c r="Y749" s="306">
        <v>16.11</v>
      </c>
      <c r="Z749" s="303">
        <v>42208</v>
      </c>
      <c r="AA749">
        <v>14.4</v>
      </c>
      <c r="AB749" s="303"/>
      <c r="AC749" s="306"/>
      <c r="AD749" s="303"/>
      <c r="AE749" s="302"/>
      <c r="AF749" s="303"/>
      <c r="AG749">
        <v>62366.111111111109</v>
      </c>
      <c r="AH749" s="521">
        <f>(AK749*10000)/AM749</f>
        <v>62366.111111111109</v>
      </c>
      <c r="AI749" s="302"/>
      <c r="AJ749" s="303"/>
      <c r="AK749">
        <v>28.06475</v>
      </c>
      <c r="AL749" s="521"/>
      <c r="AM749">
        <v>4.5</v>
      </c>
      <c r="AN749" s="303">
        <v>42244</v>
      </c>
      <c r="AO749">
        <v>120</v>
      </c>
      <c r="AP749" s="303">
        <v>42170</v>
      </c>
      <c r="AQ749" s="306"/>
      <c r="AR749" s="303"/>
      <c r="AS749" s="306"/>
      <c r="AT749" s="303"/>
      <c r="AU749">
        <v>110</v>
      </c>
      <c r="AV749" s="303"/>
      <c r="AW749" s="302"/>
      <c r="AX749" s="302"/>
      <c r="AY749" s="302"/>
      <c r="AZ749" s="303"/>
      <c r="BA749" s="302"/>
      <c r="BB749" s="302"/>
      <c r="BC749" s="302"/>
      <c r="BD749" s="302"/>
      <c r="BE749" s="302"/>
      <c r="BF749" s="302"/>
      <c r="BG749" s="302"/>
      <c r="BH749" s="302"/>
      <c r="BI749" s="302"/>
      <c r="BJ749" s="302"/>
      <c r="BM749">
        <v>2</v>
      </c>
      <c r="BS749">
        <v>56.6</v>
      </c>
      <c r="BY749">
        <v>51.2</v>
      </c>
      <c r="CA749">
        <v>16.7</v>
      </c>
      <c r="CC749">
        <v>49.4</v>
      </c>
      <c r="CI749">
        <v>5.2</v>
      </c>
      <c r="CO749" t="s">
        <v>8698</v>
      </c>
      <c r="CR749">
        <v>1</v>
      </c>
      <c r="CT749" s="304" t="s">
        <v>11678</v>
      </c>
    </row>
    <row r="750" spans="1:98" s="304" customFormat="1">
      <c r="A750" s="304" t="s">
        <v>8506</v>
      </c>
      <c r="B750" s="463">
        <v>163</v>
      </c>
      <c r="C750" s="296" t="s">
        <v>7791</v>
      </c>
      <c r="D750" s="296" t="s">
        <v>7592</v>
      </c>
      <c r="E750" s="296" t="s">
        <v>7791</v>
      </c>
      <c r="F750" s="296"/>
      <c r="G750" s="296" t="s">
        <v>8506</v>
      </c>
      <c r="H750" s="297" t="s">
        <v>8696</v>
      </c>
      <c r="I750" s="297">
        <v>3</v>
      </c>
      <c r="J750" s="297">
        <v>3112</v>
      </c>
      <c r="K750" s="299"/>
      <c r="L750" s="299"/>
      <c r="M750" s="299">
        <v>123</v>
      </c>
      <c r="N750" s="299">
        <v>2</v>
      </c>
      <c r="O750" s="300">
        <v>30</v>
      </c>
      <c r="P750" s="301">
        <v>42090</v>
      </c>
      <c r="Q750" s="302"/>
      <c r="R750" s="303"/>
      <c r="S750" s="289">
        <v>6.15</v>
      </c>
      <c r="T750" s="303">
        <v>42208</v>
      </c>
      <c r="U750" s="302"/>
      <c r="V750" s="303"/>
      <c r="W750" s="302"/>
      <c r="X750" s="303"/>
      <c r="Y750" s="302">
        <v>22.45</v>
      </c>
      <c r="Z750" s="303">
        <v>42208</v>
      </c>
      <c r="AA750">
        <v>14.4</v>
      </c>
      <c r="AB750" s="303"/>
      <c r="AC750" s="302"/>
      <c r="AD750" s="303"/>
      <c r="AE750" s="302"/>
      <c r="AF750" s="303"/>
      <c r="AG750">
        <v>82749.175347222234</v>
      </c>
      <c r="AH750" s="521">
        <f>(AK750*10000)/AM750</f>
        <v>82749.175347222234</v>
      </c>
      <c r="AI750" s="302"/>
      <c r="AJ750" s="303"/>
      <c r="AK750">
        <v>39.71960416666667</v>
      </c>
      <c r="AL750" s="521"/>
      <c r="AM750">
        <v>4.8</v>
      </c>
      <c r="AN750" s="303">
        <v>42244</v>
      </c>
      <c r="AO750">
        <v>130</v>
      </c>
      <c r="AP750" s="303">
        <v>42170</v>
      </c>
      <c r="AQ750" s="302"/>
      <c r="AR750" s="303"/>
      <c r="AS750" s="302"/>
      <c r="AT750" s="303"/>
      <c r="AU750">
        <v>108</v>
      </c>
      <c r="AV750" s="303"/>
      <c r="AW750" s="302"/>
      <c r="AX750" s="302"/>
      <c r="AY750" s="302"/>
      <c r="AZ750" s="303"/>
      <c r="BA750" s="302"/>
      <c r="BB750" s="302"/>
      <c r="BC750" s="302"/>
      <c r="BD750" s="302"/>
      <c r="BE750" s="302"/>
      <c r="BF750" s="302"/>
      <c r="BG750" s="302"/>
      <c r="BH750" s="302"/>
      <c r="BI750" s="302"/>
      <c r="BJ750" s="302"/>
      <c r="BM750">
        <v>-2.2999999999999998</v>
      </c>
      <c r="BS750">
        <v>62.2</v>
      </c>
      <c r="BY750">
        <v>50.4</v>
      </c>
      <c r="CA750">
        <v>18.7</v>
      </c>
      <c r="CC750">
        <v>20.7</v>
      </c>
      <c r="CI750">
        <v>5.0999999999999996</v>
      </c>
      <c r="CO750" t="s">
        <v>8699</v>
      </c>
      <c r="CR750">
        <v>2</v>
      </c>
      <c r="CT750" s="304" t="s">
        <v>11678</v>
      </c>
    </row>
    <row r="751" spans="1:98" s="304" customFormat="1">
      <c r="A751" s="304" t="s">
        <v>8506</v>
      </c>
      <c r="B751" s="463">
        <v>170</v>
      </c>
      <c r="C751" s="296" t="s">
        <v>7798</v>
      </c>
      <c r="D751" s="296" t="s">
        <v>7599</v>
      </c>
      <c r="E751" s="296" t="s">
        <v>7798</v>
      </c>
      <c r="F751" s="296"/>
      <c r="G751" s="296" t="s">
        <v>8506</v>
      </c>
      <c r="H751" s="297" t="s">
        <v>8696</v>
      </c>
      <c r="I751" s="297">
        <v>3</v>
      </c>
      <c r="J751" s="297">
        <v>3172</v>
      </c>
      <c r="K751" s="299"/>
      <c r="L751" s="299"/>
      <c r="M751" s="299">
        <v>123</v>
      </c>
      <c r="N751" s="299">
        <v>3</v>
      </c>
      <c r="O751" s="300">
        <v>50</v>
      </c>
      <c r="P751" s="301">
        <v>42090</v>
      </c>
      <c r="Q751" s="302"/>
      <c r="R751" s="303"/>
      <c r="S751" s="289">
        <v>6.5</v>
      </c>
      <c r="T751" s="303">
        <v>42208</v>
      </c>
      <c r="U751" s="302"/>
      <c r="V751" s="303"/>
      <c r="W751" s="302"/>
      <c r="X751" s="303"/>
      <c r="Y751" s="302">
        <v>23.73</v>
      </c>
      <c r="Z751" s="303">
        <v>42208</v>
      </c>
      <c r="AA751">
        <v>14.4</v>
      </c>
      <c r="AB751" s="303"/>
      <c r="AC751" s="302"/>
      <c r="AD751" s="303"/>
      <c r="AE751" s="302"/>
      <c r="AF751" s="303"/>
      <c r="AG751">
        <v>72531.968390804599</v>
      </c>
      <c r="AH751" s="521">
        <f>(AK751*10000)/AM751</f>
        <v>72531.968390804599</v>
      </c>
      <c r="AI751" s="302"/>
      <c r="AJ751" s="303"/>
      <c r="AK751">
        <v>42.068541666666661</v>
      </c>
      <c r="AL751" s="521"/>
      <c r="AM751">
        <v>5.8</v>
      </c>
      <c r="AN751" s="303">
        <v>42244</v>
      </c>
      <c r="AO751">
        <v>130</v>
      </c>
      <c r="AP751" s="303">
        <v>42170</v>
      </c>
      <c r="AQ751" s="302"/>
      <c r="AR751" s="303"/>
      <c r="AS751" s="302"/>
      <c r="AT751" s="303"/>
      <c r="AU751">
        <v>107</v>
      </c>
      <c r="AV751" s="303"/>
      <c r="AW751" s="302"/>
      <c r="AX751" s="302"/>
      <c r="AY751" s="302"/>
      <c r="AZ751" s="303"/>
      <c r="BA751" s="302"/>
      <c r="BB751" s="302"/>
      <c r="BC751" s="302"/>
      <c r="BD751" s="302"/>
      <c r="BE751" s="302"/>
      <c r="BF751" s="302"/>
      <c r="BG751" s="302"/>
      <c r="BH751" s="302"/>
      <c r="BI751" s="302"/>
      <c r="BJ751" s="302"/>
      <c r="BM751">
        <v>-0.7</v>
      </c>
      <c r="BS751">
        <v>63.7</v>
      </c>
      <c r="BY751">
        <v>50.3</v>
      </c>
      <c r="CA751">
        <v>18.600000000000001</v>
      </c>
      <c r="CC751">
        <v>14.9</v>
      </c>
      <c r="CI751">
        <v>4.9000000000000004</v>
      </c>
      <c r="CO751" t="s">
        <v>8699</v>
      </c>
      <c r="CR751">
        <v>2</v>
      </c>
      <c r="CT751" s="304" t="s">
        <v>11678</v>
      </c>
    </row>
    <row r="752" spans="1:98" s="304" customFormat="1">
      <c r="A752" s="304" t="s">
        <v>8506</v>
      </c>
      <c r="B752" s="463">
        <v>25</v>
      </c>
      <c r="C752" s="296" t="s">
        <v>7637</v>
      </c>
      <c r="D752" s="296" t="s">
        <v>7473</v>
      </c>
      <c r="E752" s="296" t="s">
        <v>7637</v>
      </c>
      <c r="F752" s="296"/>
      <c r="G752" s="296" t="s">
        <v>8506</v>
      </c>
      <c r="H752" s="297" t="s">
        <v>8696</v>
      </c>
      <c r="I752" s="297">
        <v>3</v>
      </c>
      <c r="J752" s="297">
        <v>3293</v>
      </c>
      <c r="K752" s="299"/>
      <c r="L752" s="299"/>
      <c r="M752" s="299">
        <v>124</v>
      </c>
      <c r="N752" s="299">
        <v>5</v>
      </c>
      <c r="O752" s="300">
        <v>22</v>
      </c>
      <c r="P752" s="301">
        <v>42090</v>
      </c>
      <c r="Q752" s="302"/>
      <c r="R752" s="303"/>
      <c r="S752" s="289">
        <v>3.95</v>
      </c>
      <c r="T752" s="303">
        <v>42208</v>
      </c>
      <c r="U752" s="302"/>
      <c r="V752" s="303"/>
      <c r="W752" s="302"/>
      <c r="X752" s="303"/>
      <c r="Y752" s="302">
        <v>13.13</v>
      </c>
      <c r="Z752" s="303">
        <v>42208</v>
      </c>
      <c r="AA752">
        <v>14.4</v>
      </c>
      <c r="AB752" s="303"/>
      <c r="AC752" s="302"/>
      <c r="AD752" s="303"/>
      <c r="AE752" s="302"/>
      <c r="AF752" s="303"/>
      <c r="AG752">
        <v>47142.965534979427</v>
      </c>
      <c r="AH752" s="521">
        <f>(AK752*10000)/AM752</f>
        <v>47142.965534979427</v>
      </c>
      <c r="AI752" s="302"/>
      <c r="AJ752" s="303"/>
      <c r="AK752">
        <v>25.45720138888889</v>
      </c>
      <c r="AL752" s="521"/>
      <c r="AM752">
        <v>5.4</v>
      </c>
      <c r="AN752" s="303">
        <v>42244</v>
      </c>
      <c r="AO752">
        <v>130</v>
      </c>
      <c r="AP752" s="303">
        <v>42170</v>
      </c>
      <c r="AQ752" s="302"/>
      <c r="AR752" s="303"/>
      <c r="AS752" s="302"/>
      <c r="AT752" s="303"/>
      <c r="AU752">
        <v>110</v>
      </c>
      <c r="AV752" s="303"/>
      <c r="AW752" s="302"/>
      <c r="AX752" s="302"/>
      <c r="AY752" s="302"/>
      <c r="AZ752" s="303"/>
      <c r="BA752" s="302"/>
      <c r="BB752" s="302"/>
      <c r="BC752" s="302"/>
      <c r="BD752" s="302"/>
      <c r="BE752" s="302"/>
      <c r="BF752" s="302"/>
      <c r="BG752" s="302"/>
      <c r="BH752" s="302"/>
      <c r="BI752" s="302"/>
      <c r="BJ752" s="302"/>
      <c r="BM752">
        <v>4.3</v>
      </c>
      <c r="BS752">
        <v>50.8</v>
      </c>
      <c r="BY752">
        <v>46</v>
      </c>
      <c r="CA752">
        <v>21.9</v>
      </c>
      <c r="CC752">
        <v>77.3</v>
      </c>
      <c r="CI752">
        <v>5.3</v>
      </c>
      <c r="CO752" t="s">
        <v>8698</v>
      </c>
      <c r="CR752">
        <v>2</v>
      </c>
      <c r="CT752" s="304" t="s">
        <v>11678</v>
      </c>
    </row>
    <row r="753" spans="1:98" s="304" customFormat="1">
      <c r="A753" s="304" t="s">
        <v>8506</v>
      </c>
      <c r="B753" s="463">
        <v>45</v>
      </c>
      <c r="C753" s="296" t="s">
        <v>7662</v>
      </c>
      <c r="D753" s="296" t="s">
        <v>7495</v>
      </c>
      <c r="E753" s="296" t="s">
        <v>7662</v>
      </c>
      <c r="F753" s="296"/>
      <c r="G753" s="296" t="s">
        <v>8506</v>
      </c>
      <c r="H753" s="297" t="s">
        <v>8697</v>
      </c>
      <c r="I753" s="297">
        <v>4</v>
      </c>
      <c r="J753" s="297">
        <v>4353</v>
      </c>
      <c r="K753" s="299"/>
      <c r="L753" s="299"/>
      <c r="M753" s="299">
        <v>124</v>
      </c>
      <c r="N753" s="299">
        <v>12</v>
      </c>
      <c r="O753" s="300">
        <v>28</v>
      </c>
      <c r="P753" s="301">
        <v>42090</v>
      </c>
      <c r="Q753" s="302"/>
      <c r="R753" s="303"/>
      <c r="S753" s="289">
        <v>4.7</v>
      </c>
      <c r="T753" s="303">
        <v>42208</v>
      </c>
      <c r="U753" s="302"/>
      <c r="V753" s="303"/>
      <c r="W753" s="302"/>
      <c r="X753" s="303"/>
      <c r="Y753" s="302">
        <v>17.670000000000002</v>
      </c>
      <c r="Z753" s="303">
        <v>42208</v>
      </c>
      <c r="AA753">
        <v>14.4</v>
      </c>
      <c r="AB753" s="303"/>
      <c r="AC753" s="302"/>
      <c r="AD753" s="303"/>
      <c r="AE753" s="302"/>
      <c r="AF753" s="303"/>
      <c r="AG753">
        <v>63372.482638888898</v>
      </c>
      <c r="AH753" s="521">
        <f>(AK753*10000)/AM753</f>
        <v>63372.482638888898</v>
      </c>
      <c r="AI753" s="302"/>
      <c r="AJ753" s="303"/>
      <c r="AK753">
        <v>30.418791666666667</v>
      </c>
      <c r="AL753" s="521"/>
      <c r="AM753">
        <v>4.8</v>
      </c>
      <c r="AN753" s="303">
        <v>42244</v>
      </c>
      <c r="AO753">
        <v>130</v>
      </c>
      <c r="AP753" s="303">
        <v>42170</v>
      </c>
      <c r="AQ753" s="302"/>
      <c r="AR753" s="303"/>
      <c r="AS753" s="302"/>
      <c r="AT753" s="303"/>
      <c r="AU753">
        <v>110</v>
      </c>
      <c r="AV753" s="303"/>
      <c r="AW753" s="302"/>
      <c r="AX753" s="302"/>
      <c r="AY753" s="302"/>
      <c r="AZ753" s="303"/>
      <c r="BA753" s="302"/>
      <c r="BB753" s="302"/>
      <c r="BC753" s="302"/>
      <c r="BD753" s="302"/>
      <c r="BE753" s="302"/>
      <c r="BF753" s="302"/>
      <c r="BG753" s="302"/>
      <c r="BH753" s="302"/>
      <c r="BI753" s="302"/>
      <c r="BJ753" s="302"/>
      <c r="BM753">
        <v>1.9</v>
      </c>
      <c r="BS753">
        <v>64.2</v>
      </c>
      <c r="BY753">
        <v>51.8</v>
      </c>
      <c r="CA753">
        <v>17.8</v>
      </c>
      <c r="CC753">
        <v>16.8</v>
      </c>
      <c r="CI753">
        <v>4.9000000000000004</v>
      </c>
      <c r="CO753" t="s">
        <v>8698</v>
      </c>
      <c r="CR753">
        <v>1</v>
      </c>
      <c r="CT753" s="304" t="s">
        <v>11678</v>
      </c>
    </row>
    <row r="754" spans="1:98" s="304" customFormat="1">
      <c r="A754" s="304" t="s">
        <v>8506</v>
      </c>
      <c r="B754" s="463">
        <v>49</v>
      </c>
      <c r="C754" s="296" t="s">
        <v>7666</v>
      </c>
      <c r="D754" s="296" t="s">
        <v>7498</v>
      </c>
      <c r="E754" s="296" t="s">
        <v>7666</v>
      </c>
      <c r="F754" s="296"/>
      <c r="G754" s="296" t="s">
        <v>8506</v>
      </c>
      <c r="H754" s="297" t="s">
        <v>8696</v>
      </c>
      <c r="I754" s="297">
        <v>3</v>
      </c>
      <c r="J754" s="297">
        <v>3233</v>
      </c>
      <c r="K754" s="299"/>
      <c r="L754" s="299"/>
      <c r="M754" s="299">
        <v>124</v>
      </c>
      <c r="N754" s="299">
        <v>4</v>
      </c>
      <c r="O754" s="300">
        <v>32</v>
      </c>
      <c r="P754" s="301">
        <v>42090</v>
      </c>
      <c r="Q754" s="302"/>
      <c r="R754" s="303"/>
      <c r="S754" s="289">
        <v>5.9</v>
      </c>
      <c r="T754" s="303">
        <v>42208</v>
      </c>
      <c r="U754" s="302"/>
      <c r="V754" s="303"/>
      <c r="W754" s="302"/>
      <c r="X754" s="303"/>
      <c r="Y754" s="302">
        <v>21.5</v>
      </c>
      <c r="Z754" s="303">
        <v>42208</v>
      </c>
      <c r="AA754">
        <v>14.4</v>
      </c>
      <c r="AB754" s="303"/>
      <c r="AC754" s="302"/>
      <c r="AD754" s="303"/>
      <c r="AE754" s="302"/>
      <c r="AF754" s="303"/>
      <c r="AG754">
        <v>70713.503086419732</v>
      </c>
      <c r="AH754" s="521">
        <f>(AK754*10000)/AM754</f>
        <v>70713.503086419732</v>
      </c>
      <c r="AI754" s="302"/>
      <c r="AJ754" s="303"/>
      <c r="AK754">
        <v>38.185291666666657</v>
      </c>
      <c r="AL754" s="521"/>
      <c r="AM754">
        <v>5.4</v>
      </c>
      <c r="AN754" s="303">
        <v>42244</v>
      </c>
      <c r="AO754">
        <v>140</v>
      </c>
      <c r="AP754" s="303">
        <v>42170</v>
      </c>
      <c r="AQ754" s="302"/>
      <c r="AR754" s="303"/>
      <c r="AS754" s="302"/>
      <c r="AT754" s="303"/>
      <c r="AU754">
        <v>108</v>
      </c>
      <c r="AV754" s="303"/>
      <c r="AW754" s="302"/>
      <c r="AX754" s="302"/>
      <c r="AY754" s="302"/>
      <c r="AZ754" s="303"/>
      <c r="BA754" s="302"/>
      <c r="BB754" s="302"/>
      <c r="BC754" s="302"/>
      <c r="BD754" s="302"/>
      <c r="BE754" s="302"/>
      <c r="BF754" s="302"/>
      <c r="BG754" s="302"/>
      <c r="BH754" s="302"/>
      <c r="BI754" s="302"/>
      <c r="BJ754" s="302"/>
      <c r="BM754">
        <v>1.8</v>
      </c>
      <c r="BS754">
        <v>60</v>
      </c>
      <c r="BY754">
        <v>50.2</v>
      </c>
      <c r="CA754">
        <v>19.100000000000001</v>
      </c>
      <c r="CC754">
        <v>18.2</v>
      </c>
      <c r="CI754">
        <v>4.9000000000000004</v>
      </c>
      <c r="CO754" t="s">
        <v>8698</v>
      </c>
      <c r="CR754">
        <v>2</v>
      </c>
      <c r="CT754" s="304" t="s">
        <v>11678</v>
      </c>
    </row>
    <row r="755" spans="1:98" s="304" customFormat="1">
      <c r="A755" s="304" t="s">
        <v>8506</v>
      </c>
      <c r="B755" s="463">
        <v>102</v>
      </c>
      <c r="C755" s="296" t="s">
        <v>7720</v>
      </c>
      <c r="D755" s="296" t="s">
        <v>7547</v>
      </c>
      <c r="E755" s="296" t="s">
        <v>7720</v>
      </c>
      <c r="F755" s="296"/>
      <c r="G755" s="296" t="s">
        <v>8506</v>
      </c>
      <c r="H755" s="297" t="s">
        <v>8696</v>
      </c>
      <c r="I755" s="297">
        <v>3</v>
      </c>
      <c r="J755" s="297">
        <v>3173</v>
      </c>
      <c r="K755" s="299"/>
      <c r="L755" s="299"/>
      <c r="M755" s="299">
        <v>124</v>
      </c>
      <c r="N755" s="299">
        <v>3</v>
      </c>
      <c r="O755" s="300">
        <v>14</v>
      </c>
      <c r="P755" s="301">
        <v>42090</v>
      </c>
      <c r="Q755" s="302"/>
      <c r="R755" s="303"/>
      <c r="S755" s="289"/>
      <c r="T755" s="303"/>
      <c r="U755" s="302"/>
      <c r="V755" s="303"/>
      <c r="W755" s="302"/>
      <c r="X755" s="303"/>
      <c r="Y755" s="302"/>
      <c r="Z755" s="303"/>
      <c r="AA755"/>
      <c r="AB755" s="303"/>
      <c r="AC755" s="302"/>
      <c r="AD755" s="303"/>
      <c r="AE755" s="302"/>
      <c r="AF755" s="303"/>
      <c r="AG755" t="e">
        <v>#DIV/0!</v>
      </c>
      <c r="AH755" s="521" t="e">
        <f>(AK755*10000)/AM755</f>
        <v>#DIV/0!</v>
      </c>
      <c r="AI755" s="302"/>
      <c r="AJ755" s="303"/>
      <c r="AK755" t="e">
        <v>#DIV/0!</v>
      </c>
      <c r="AL755" s="521"/>
      <c r="AM755"/>
      <c r="AN755" s="303"/>
      <c r="AO755"/>
      <c r="AP755" s="303"/>
      <c r="AQ755" s="302"/>
      <c r="AR755" s="303"/>
      <c r="AS755" s="302"/>
      <c r="AT755" s="303"/>
      <c r="AU755"/>
      <c r="AV755" s="303"/>
      <c r="AW755" s="302"/>
      <c r="AX755" s="302"/>
      <c r="AY755" s="302"/>
      <c r="AZ755" s="303"/>
      <c r="BA755" s="302"/>
      <c r="BB755" s="302"/>
      <c r="BC755" s="302"/>
      <c r="BD755" s="302"/>
      <c r="BE755" s="302"/>
      <c r="BF755" s="302"/>
      <c r="BG755" s="302"/>
      <c r="BH755" s="302"/>
      <c r="BI755" s="302"/>
      <c r="BJ755" s="302"/>
      <c r="BM755"/>
      <c r="BS755"/>
      <c r="BY755"/>
      <c r="CA755"/>
      <c r="CC755"/>
      <c r="CI755"/>
      <c r="CO755" t="s">
        <v>8699</v>
      </c>
      <c r="CR755"/>
      <c r="CT755" s="304" t="s">
        <v>11677</v>
      </c>
    </row>
    <row r="756" spans="1:98" s="304" customFormat="1">
      <c r="A756" s="304" t="s">
        <v>8506</v>
      </c>
      <c r="B756" s="463">
        <v>122</v>
      </c>
      <c r="C756" s="296" t="s">
        <v>7747</v>
      </c>
      <c r="D756" s="296" t="s">
        <v>7831</v>
      </c>
      <c r="E756" s="296" t="s">
        <v>7747</v>
      </c>
      <c r="F756" s="296"/>
      <c r="G756" s="296" t="s">
        <v>8506</v>
      </c>
      <c r="H756" s="297" t="s">
        <v>8696</v>
      </c>
      <c r="I756" s="297">
        <v>3</v>
      </c>
      <c r="J756" s="297">
        <v>3353</v>
      </c>
      <c r="K756" s="299"/>
      <c r="L756" s="299"/>
      <c r="M756" s="299">
        <v>124</v>
      </c>
      <c r="N756" s="299">
        <v>6</v>
      </c>
      <c r="O756" s="300">
        <v>30</v>
      </c>
      <c r="P756" s="301">
        <v>42090</v>
      </c>
      <c r="Q756" s="302"/>
      <c r="R756" s="303"/>
      <c r="S756" s="289">
        <v>3.75</v>
      </c>
      <c r="T756" s="303">
        <v>42208</v>
      </c>
      <c r="U756" s="302"/>
      <c r="V756" s="303"/>
      <c r="W756" s="302"/>
      <c r="X756" s="303"/>
      <c r="Y756" s="302">
        <v>12.49</v>
      </c>
      <c r="Z756" s="303">
        <v>42208</v>
      </c>
      <c r="AA756">
        <v>14.4</v>
      </c>
      <c r="AB756" s="303"/>
      <c r="AC756" s="302"/>
      <c r="AD756" s="303"/>
      <c r="AE756" s="302"/>
      <c r="AF756" s="303"/>
      <c r="AG756">
        <v>63869.243421052633</v>
      </c>
      <c r="AH756" s="521">
        <f>(AK756*10000)/AM756</f>
        <v>63869.243421052633</v>
      </c>
      <c r="AI756" s="302"/>
      <c r="AJ756" s="303"/>
      <c r="AK756">
        <v>24.270312499999999</v>
      </c>
      <c r="AL756" s="521"/>
      <c r="AM756">
        <v>3.8</v>
      </c>
      <c r="AN756" s="303">
        <v>42244</v>
      </c>
      <c r="AO756">
        <v>180</v>
      </c>
      <c r="AP756" s="303">
        <v>42170</v>
      </c>
      <c r="AQ756" s="302"/>
      <c r="AR756" s="303"/>
      <c r="AS756" s="302"/>
      <c r="AT756" s="303"/>
      <c r="AU756">
        <v>114</v>
      </c>
      <c r="AV756" s="303"/>
      <c r="AW756" s="302"/>
      <c r="AX756" s="302"/>
      <c r="AY756" s="302"/>
      <c r="AZ756" s="303"/>
      <c r="BA756" s="302"/>
      <c r="BB756" s="302"/>
      <c r="BC756" s="302"/>
      <c r="BD756" s="302"/>
      <c r="BE756" s="302"/>
      <c r="BF756" s="302"/>
      <c r="BG756" s="302"/>
      <c r="BH756" s="302"/>
      <c r="BI756" s="302"/>
      <c r="BJ756" s="302"/>
      <c r="BM756">
        <v>44.6</v>
      </c>
      <c r="BS756">
        <v>13.7</v>
      </c>
      <c r="BY756">
        <v>45.9</v>
      </c>
      <c r="CA756">
        <v>23.4</v>
      </c>
      <c r="CC756">
        <v>72.2</v>
      </c>
      <c r="CI756">
        <v>4.9000000000000004</v>
      </c>
      <c r="CO756" t="s">
        <v>8698</v>
      </c>
      <c r="CR756">
        <v>2</v>
      </c>
      <c r="CT756" s="304" t="s">
        <v>11678</v>
      </c>
    </row>
    <row r="757" spans="1:98" s="304" customFormat="1">
      <c r="A757" s="304" t="s">
        <v>8506</v>
      </c>
      <c r="B757" s="463">
        <v>135</v>
      </c>
      <c r="C757" s="296" t="s">
        <v>7763</v>
      </c>
      <c r="D757" s="296" t="s">
        <v>7838</v>
      </c>
      <c r="E757" s="296" t="s">
        <v>7763</v>
      </c>
      <c r="F757" s="296"/>
      <c r="G757" s="296" t="s">
        <v>8506</v>
      </c>
      <c r="H757" s="297" t="s">
        <v>8696</v>
      </c>
      <c r="I757" s="297">
        <v>3</v>
      </c>
      <c r="J757" s="297">
        <v>353</v>
      </c>
      <c r="K757" s="299"/>
      <c r="L757" s="299"/>
      <c r="M757" s="299">
        <v>124</v>
      </c>
      <c r="N757" s="299">
        <v>1</v>
      </c>
      <c r="O757" s="300">
        <v>41</v>
      </c>
      <c r="P757" s="301">
        <v>42090</v>
      </c>
      <c r="Q757" s="302"/>
      <c r="R757" s="303"/>
      <c r="S757" s="289">
        <v>5.8</v>
      </c>
      <c r="T757" s="303">
        <v>42208</v>
      </c>
      <c r="U757" s="302"/>
      <c r="V757" s="303"/>
      <c r="W757" s="302"/>
      <c r="X757" s="303"/>
      <c r="Y757" s="302">
        <v>21.53</v>
      </c>
      <c r="Z757" s="303">
        <v>42208</v>
      </c>
      <c r="AA757">
        <v>14.4</v>
      </c>
      <c r="AB757" s="303"/>
      <c r="AC757" s="302"/>
      <c r="AD757" s="303"/>
      <c r="AE757" s="302"/>
      <c r="AF757" s="303"/>
      <c r="AG757">
        <v>73681.481481481489</v>
      </c>
      <c r="AH757" s="521">
        <f>(AK757*10000)/AM757</f>
        <v>73681.481481481489</v>
      </c>
      <c r="AI757" s="302"/>
      <c r="AJ757" s="303"/>
      <c r="AK757">
        <v>37.577555555555556</v>
      </c>
      <c r="AL757" s="521"/>
      <c r="AM757">
        <v>5.0999999999999996</v>
      </c>
      <c r="AN757" s="303">
        <v>42244</v>
      </c>
      <c r="AO757">
        <v>110</v>
      </c>
      <c r="AP757" s="303">
        <v>42170</v>
      </c>
      <c r="AQ757" s="302"/>
      <c r="AR757" s="303"/>
      <c r="AS757" s="302"/>
      <c r="AT757" s="303"/>
      <c r="AU757">
        <v>107</v>
      </c>
      <c r="AV757" s="303"/>
      <c r="AW757" s="302"/>
      <c r="AX757" s="302"/>
      <c r="AY757" s="302"/>
      <c r="AZ757" s="303"/>
      <c r="BA757" s="302"/>
      <c r="BB757" s="302"/>
      <c r="BC757" s="302"/>
      <c r="BD757" s="302"/>
      <c r="BE757" s="302"/>
      <c r="BF757" s="302"/>
      <c r="BG757" s="302"/>
      <c r="BH757" s="302"/>
      <c r="BI757" s="302"/>
      <c r="BJ757" s="302"/>
      <c r="BM757">
        <v>-2.2999999999999998</v>
      </c>
      <c r="BS757">
        <v>60.6</v>
      </c>
      <c r="BY757">
        <v>51.1</v>
      </c>
      <c r="CA757">
        <v>18.600000000000001</v>
      </c>
      <c r="CC757">
        <v>14.5</v>
      </c>
      <c r="CI757">
        <v>4.8</v>
      </c>
      <c r="CO757" t="s">
        <v>8699</v>
      </c>
      <c r="CR757">
        <v>2</v>
      </c>
      <c r="CT757" s="304" t="s">
        <v>11678</v>
      </c>
    </row>
    <row r="758" spans="1:98" s="304" customFormat="1">
      <c r="A758" s="304" t="s">
        <v>8506</v>
      </c>
      <c r="B758" s="463">
        <v>138</v>
      </c>
      <c r="C758" s="296" t="s">
        <v>7766</v>
      </c>
      <c r="D758" s="296" t="s">
        <v>7840</v>
      </c>
      <c r="E758" s="296" t="s">
        <v>7766</v>
      </c>
      <c r="F758" s="296"/>
      <c r="G758" s="296" t="s">
        <v>8506</v>
      </c>
      <c r="H758" s="297" t="s">
        <v>8697</v>
      </c>
      <c r="I758" s="297">
        <v>4</v>
      </c>
      <c r="J758" s="297">
        <v>453</v>
      </c>
      <c r="K758" s="299"/>
      <c r="L758" s="299"/>
      <c r="M758" s="299">
        <v>124</v>
      </c>
      <c r="N758" s="299">
        <v>7</v>
      </c>
      <c r="O758" s="300">
        <v>27</v>
      </c>
      <c r="P758" s="301">
        <v>42090</v>
      </c>
      <c r="Q758" s="302"/>
      <c r="R758" s="303"/>
      <c r="S758" s="289">
        <v>4.1500000000000004</v>
      </c>
      <c r="T758" s="303">
        <v>42208</v>
      </c>
      <c r="U758" s="302"/>
      <c r="V758" s="303"/>
      <c r="W758" s="302"/>
      <c r="X758" s="303"/>
      <c r="Y758" s="302">
        <v>15.13</v>
      </c>
      <c r="Z758" s="303">
        <v>42208</v>
      </c>
      <c r="AA758">
        <v>14.4</v>
      </c>
      <c r="AB758" s="303"/>
      <c r="AC758" s="302"/>
      <c r="AD758" s="303"/>
      <c r="AE758" s="302"/>
      <c r="AF758" s="303"/>
      <c r="AG758">
        <v>63748.611111111109</v>
      </c>
      <c r="AH758" s="521">
        <f>(AK758*10000)/AM758</f>
        <v>63748.611111111109</v>
      </c>
      <c r="AI758" s="302"/>
      <c r="AJ758" s="303"/>
      <c r="AK758">
        <v>26.774416666666667</v>
      </c>
      <c r="AL758" s="521"/>
      <c r="AM758">
        <v>4.2</v>
      </c>
      <c r="AN758" s="303">
        <v>42244</v>
      </c>
      <c r="AO758">
        <v>130</v>
      </c>
      <c r="AP758" s="303">
        <v>42170</v>
      </c>
      <c r="AQ758" s="302"/>
      <c r="AR758" s="303"/>
      <c r="AS758" s="302"/>
      <c r="AT758" s="303"/>
      <c r="AU758">
        <v>105</v>
      </c>
      <c r="AV758" s="303"/>
      <c r="AW758" s="302"/>
      <c r="AX758" s="302"/>
      <c r="AY758" s="302"/>
      <c r="AZ758" s="303"/>
      <c r="BA758" s="302"/>
      <c r="BB758" s="302"/>
      <c r="BC758" s="302"/>
      <c r="BD758" s="302"/>
      <c r="BE758" s="302"/>
      <c r="BF758" s="302"/>
      <c r="BG758" s="302"/>
      <c r="BH758" s="302"/>
      <c r="BI758" s="302"/>
      <c r="BJ758" s="302"/>
      <c r="BM758">
        <v>5.6</v>
      </c>
      <c r="BS758">
        <v>62.5</v>
      </c>
      <c r="BY758">
        <v>50.4</v>
      </c>
      <c r="CA758">
        <v>17.600000000000001</v>
      </c>
      <c r="CC758">
        <v>15.8</v>
      </c>
      <c r="CI758">
        <v>5.2</v>
      </c>
      <c r="CO758" t="s">
        <v>8698</v>
      </c>
      <c r="CR758">
        <v>1</v>
      </c>
      <c r="CT758" s="304" t="s">
        <v>11678</v>
      </c>
    </row>
    <row r="759" spans="1:98" s="304" customFormat="1">
      <c r="A759" s="304" t="s">
        <v>8506</v>
      </c>
      <c r="B759" s="463">
        <v>36</v>
      </c>
      <c r="C759" s="296" t="s">
        <v>7652</v>
      </c>
      <c r="D759" s="296" t="s">
        <v>7486</v>
      </c>
      <c r="E759" s="296" t="s">
        <v>7652</v>
      </c>
      <c r="F759" s="296"/>
      <c r="G759" s="296" t="s">
        <v>8506</v>
      </c>
      <c r="H759" s="297" t="s">
        <v>8696</v>
      </c>
      <c r="I759" s="297">
        <v>3</v>
      </c>
      <c r="J759" s="297">
        <v>3114</v>
      </c>
      <c r="K759" s="299"/>
      <c r="L759" s="299"/>
      <c r="M759" s="299">
        <v>125</v>
      </c>
      <c r="N759" s="299">
        <v>2</v>
      </c>
      <c r="O759" s="300">
        <v>24</v>
      </c>
      <c r="P759" s="301">
        <v>42090</v>
      </c>
      <c r="Q759" s="302"/>
      <c r="R759" s="303"/>
      <c r="S759" s="289">
        <v>4.8499999999999996</v>
      </c>
      <c r="T759" s="303">
        <v>42208</v>
      </c>
      <c r="U759" s="302"/>
      <c r="V759" s="303"/>
      <c r="W759" s="302"/>
      <c r="X759" s="303"/>
      <c r="Y759" s="302">
        <v>16.68</v>
      </c>
      <c r="Z759" s="303">
        <v>42208</v>
      </c>
      <c r="AA759">
        <v>14.4</v>
      </c>
      <c r="AB759" s="303"/>
      <c r="AC759" s="302"/>
      <c r="AD759" s="303"/>
      <c r="AE759" s="302"/>
      <c r="AF759" s="303"/>
      <c r="AG759">
        <v>54120.007183908041</v>
      </c>
      <c r="AH759" s="521">
        <f>(AK759*10000)/AM759</f>
        <v>54120.007183908041</v>
      </c>
      <c r="AI759" s="302"/>
      <c r="AJ759" s="303"/>
      <c r="AK759">
        <v>31.389604166666661</v>
      </c>
      <c r="AL759" s="521"/>
      <c r="AM759">
        <v>5.8</v>
      </c>
      <c r="AN759" s="303">
        <v>42244</v>
      </c>
      <c r="AO759">
        <v>125</v>
      </c>
      <c r="AP759" s="303">
        <v>42170</v>
      </c>
      <c r="AQ759" s="302"/>
      <c r="AR759" s="303"/>
      <c r="AS759" s="302"/>
      <c r="AT759" s="303"/>
      <c r="AU759">
        <v>108</v>
      </c>
      <c r="AV759" s="303"/>
      <c r="AW759" s="302"/>
      <c r="AX759" s="302"/>
      <c r="AY759" s="302"/>
      <c r="AZ759" s="303"/>
      <c r="BA759" s="302"/>
      <c r="BB759" s="302"/>
      <c r="BC759" s="302"/>
      <c r="BD759" s="302"/>
      <c r="BE759" s="302"/>
      <c r="BF759" s="302"/>
      <c r="BG759" s="302"/>
      <c r="BH759" s="302"/>
      <c r="BI759" s="302"/>
      <c r="BJ759" s="302"/>
      <c r="BM759">
        <v>3.3</v>
      </c>
      <c r="BS759">
        <v>58.1</v>
      </c>
      <c r="BY759">
        <v>47.4</v>
      </c>
      <c r="CA759">
        <v>20.7</v>
      </c>
      <c r="CC759">
        <v>67.099999999999994</v>
      </c>
      <c r="CI759">
        <v>4.9000000000000004</v>
      </c>
      <c r="CO759" t="s">
        <v>8699</v>
      </c>
      <c r="CR759">
        <v>4</v>
      </c>
      <c r="CT759" s="304" t="s">
        <v>11678</v>
      </c>
    </row>
    <row r="760" spans="1:98" s="304" customFormat="1">
      <c r="A760" s="304" t="s">
        <v>8506</v>
      </c>
      <c r="B760" s="463">
        <v>72</v>
      </c>
      <c r="C760" s="296" t="s">
        <v>7690</v>
      </c>
      <c r="D760" s="296" t="s">
        <v>7519</v>
      </c>
      <c r="E760" s="296" t="s">
        <v>7690</v>
      </c>
      <c r="F760" s="296"/>
      <c r="G760" s="296" t="s">
        <v>8506</v>
      </c>
      <c r="H760" s="297" t="s">
        <v>8697</v>
      </c>
      <c r="I760" s="297">
        <v>4</v>
      </c>
      <c r="J760" s="308">
        <v>4294</v>
      </c>
      <c r="K760" s="299"/>
      <c r="L760" s="299"/>
      <c r="M760" s="299">
        <v>125</v>
      </c>
      <c r="N760" s="299">
        <v>11</v>
      </c>
      <c r="O760" s="300">
        <v>39</v>
      </c>
      <c r="P760" s="301">
        <v>42090</v>
      </c>
      <c r="Q760" s="306"/>
      <c r="R760" s="303"/>
      <c r="S760" s="289">
        <v>3.95</v>
      </c>
      <c r="T760" s="303">
        <v>42208</v>
      </c>
      <c r="U760" s="307"/>
      <c r="V760" s="303"/>
      <c r="W760" s="306"/>
      <c r="X760" s="303"/>
      <c r="Y760" s="306">
        <v>15.35</v>
      </c>
      <c r="Z760" s="303">
        <v>42208</v>
      </c>
      <c r="AA760">
        <v>14.4</v>
      </c>
      <c r="AB760" s="303"/>
      <c r="AC760" s="306"/>
      <c r="AD760" s="303"/>
      <c r="AE760" s="302"/>
      <c r="AF760" s="303"/>
      <c r="AG760">
        <v>63844.618055555555</v>
      </c>
      <c r="AH760" s="521">
        <f>(AK760*10000)/AM760</f>
        <v>63844.618055555555</v>
      </c>
      <c r="AI760" s="302"/>
      <c r="AJ760" s="303"/>
      <c r="AK760">
        <v>25.537847222222222</v>
      </c>
      <c r="AL760" s="521"/>
      <c r="AM760">
        <v>4</v>
      </c>
      <c r="AN760" s="303">
        <v>42244</v>
      </c>
      <c r="AO760">
        <v>110</v>
      </c>
      <c r="AP760" s="303">
        <v>42170</v>
      </c>
      <c r="AQ760" s="306"/>
      <c r="AR760" s="303"/>
      <c r="AS760" s="306"/>
      <c r="AT760" s="303"/>
      <c r="AU760">
        <v>110</v>
      </c>
      <c r="AV760" s="303"/>
      <c r="AW760" s="302"/>
      <c r="AX760" s="302"/>
      <c r="AY760" s="302"/>
      <c r="AZ760" s="303"/>
      <c r="BA760" s="302"/>
      <c r="BB760" s="302"/>
      <c r="BC760" s="302"/>
      <c r="BD760" s="302"/>
      <c r="BE760" s="302"/>
      <c r="BF760" s="302"/>
      <c r="BG760" s="302"/>
      <c r="BH760" s="302"/>
      <c r="BI760" s="302"/>
      <c r="BJ760" s="302"/>
      <c r="BM760">
        <v>-8.5</v>
      </c>
      <c r="BS760">
        <v>72.2</v>
      </c>
      <c r="BY760">
        <v>53.6</v>
      </c>
      <c r="CA760">
        <v>16.600000000000001</v>
      </c>
      <c r="CC760">
        <v>14.9</v>
      </c>
      <c r="CI760">
        <v>5</v>
      </c>
      <c r="CO760" t="s">
        <v>8698</v>
      </c>
      <c r="CR760">
        <v>1</v>
      </c>
      <c r="CT760" s="304" t="s">
        <v>11678</v>
      </c>
    </row>
    <row r="761" spans="1:98" s="304" customFormat="1">
      <c r="A761" s="304" t="s">
        <v>8506</v>
      </c>
      <c r="B761" s="463">
        <v>134</v>
      </c>
      <c r="C761" s="296" t="s">
        <v>7762</v>
      </c>
      <c r="D761" s="296" t="s">
        <v>7837</v>
      </c>
      <c r="E761" s="296" t="s">
        <v>7762</v>
      </c>
      <c r="F761" s="296"/>
      <c r="G761" s="296" t="s">
        <v>8506</v>
      </c>
      <c r="H761" s="297" t="s">
        <v>8696</v>
      </c>
      <c r="I761" s="297">
        <v>3</v>
      </c>
      <c r="J761" s="297">
        <v>3294</v>
      </c>
      <c r="K761" s="299"/>
      <c r="L761" s="299"/>
      <c r="M761" s="299">
        <v>125</v>
      </c>
      <c r="N761" s="299">
        <v>5</v>
      </c>
      <c r="O761" s="300">
        <v>24</v>
      </c>
      <c r="P761" s="301">
        <v>42090</v>
      </c>
      <c r="Q761" s="302"/>
      <c r="R761" s="303"/>
      <c r="S761" s="289">
        <v>6.15</v>
      </c>
      <c r="T761" s="303">
        <v>42208</v>
      </c>
      <c r="U761" s="302"/>
      <c r="V761" s="303"/>
      <c r="W761" s="302"/>
      <c r="X761" s="303"/>
      <c r="Y761" s="302">
        <v>22.9</v>
      </c>
      <c r="Z761" s="303">
        <v>42208</v>
      </c>
      <c r="AA761">
        <v>14.4</v>
      </c>
      <c r="AB761" s="303"/>
      <c r="AC761" s="302"/>
      <c r="AD761" s="303"/>
      <c r="AE761" s="302"/>
      <c r="AF761" s="303"/>
      <c r="AG761">
        <v>78045.71078431372</v>
      </c>
      <c r="AH761" s="521">
        <f>(AK761*10000)/AM761</f>
        <v>78045.71078431372</v>
      </c>
      <c r="AI761" s="302"/>
      <c r="AJ761" s="303"/>
      <c r="AK761">
        <v>39.803312499999997</v>
      </c>
      <c r="AL761" s="521"/>
      <c r="AM761">
        <v>5.0999999999999996</v>
      </c>
      <c r="AN761" s="303">
        <v>42244</v>
      </c>
      <c r="AO761">
        <v>145</v>
      </c>
      <c r="AP761" s="303">
        <v>42170</v>
      </c>
      <c r="AQ761" s="302"/>
      <c r="AR761" s="303"/>
      <c r="AS761" s="302"/>
      <c r="AT761" s="303"/>
      <c r="AU761">
        <v>108</v>
      </c>
      <c r="AV761" s="303"/>
      <c r="AW761" s="302"/>
      <c r="AX761" s="302"/>
      <c r="AY761" s="302"/>
      <c r="AZ761" s="303"/>
      <c r="BA761" s="302"/>
      <c r="BB761" s="302"/>
      <c r="BC761" s="302"/>
      <c r="BD761" s="302"/>
      <c r="BE761" s="302"/>
      <c r="BF761" s="302"/>
      <c r="BG761" s="302"/>
      <c r="BH761" s="302"/>
      <c r="BI761" s="302"/>
      <c r="BJ761" s="302"/>
      <c r="BM761">
        <v>-0.4</v>
      </c>
      <c r="BS761">
        <v>64.8</v>
      </c>
      <c r="BY761">
        <v>51.3</v>
      </c>
      <c r="CA761">
        <v>18.3</v>
      </c>
      <c r="CC761">
        <v>20.8</v>
      </c>
      <c r="CI761">
        <v>4.9000000000000004</v>
      </c>
      <c r="CO761" t="s">
        <v>8698</v>
      </c>
      <c r="CR761">
        <v>2</v>
      </c>
      <c r="CT761" s="304" t="s">
        <v>11678</v>
      </c>
    </row>
    <row r="762" spans="1:98" s="304" customFormat="1">
      <c r="A762" s="304" t="s">
        <v>8506</v>
      </c>
      <c r="B762" s="463">
        <v>136</v>
      </c>
      <c r="C762" s="296" t="s">
        <v>7764</v>
      </c>
      <c r="D762" s="296" t="s">
        <v>7569</v>
      </c>
      <c r="E762" s="296" t="s">
        <v>7764</v>
      </c>
      <c r="F762" s="296"/>
      <c r="G762" s="296" t="s">
        <v>8506</v>
      </c>
      <c r="H762" s="297" t="s">
        <v>8696</v>
      </c>
      <c r="I762" s="297">
        <v>3</v>
      </c>
      <c r="J762" s="297">
        <v>3174</v>
      </c>
      <c r="K762" s="299"/>
      <c r="L762" s="299"/>
      <c r="M762" s="299">
        <v>125</v>
      </c>
      <c r="N762" s="299">
        <v>3</v>
      </c>
      <c r="O762" s="300">
        <v>40</v>
      </c>
      <c r="P762" s="301">
        <v>42090</v>
      </c>
      <c r="Q762" s="302"/>
      <c r="R762" s="303"/>
      <c r="S762" s="289">
        <v>6.55</v>
      </c>
      <c r="T762" s="303">
        <v>42208</v>
      </c>
      <c r="U762" s="302"/>
      <c r="V762" s="303"/>
      <c r="W762" s="302"/>
      <c r="X762" s="303"/>
      <c r="Y762" s="302">
        <v>24.5</v>
      </c>
      <c r="Z762" s="303">
        <v>42208</v>
      </c>
      <c r="AA762">
        <v>14.4</v>
      </c>
      <c r="AB762" s="303"/>
      <c r="AC762" s="302"/>
      <c r="AD762" s="303"/>
      <c r="AE762" s="302"/>
      <c r="AF762" s="303"/>
      <c r="AG762">
        <v>86423.611111111095</v>
      </c>
      <c r="AH762" s="521">
        <f>(AK762*10000)/AM762</f>
        <v>86423.611111111095</v>
      </c>
      <c r="AI762" s="302"/>
      <c r="AJ762" s="303"/>
      <c r="AK762">
        <v>42.347569444444439</v>
      </c>
      <c r="AL762" s="521"/>
      <c r="AM762">
        <v>4.9000000000000004</v>
      </c>
      <c r="AN762" s="303">
        <v>42244</v>
      </c>
      <c r="AO762">
        <v>135</v>
      </c>
      <c r="AP762" s="303">
        <v>42170</v>
      </c>
      <c r="AQ762" s="302"/>
      <c r="AR762" s="303"/>
      <c r="AS762" s="302"/>
      <c r="AT762" s="303"/>
      <c r="AU762">
        <v>112</v>
      </c>
      <c r="AV762" s="303"/>
      <c r="AW762" s="302"/>
      <c r="AX762" s="302"/>
      <c r="AY762" s="302"/>
      <c r="AZ762" s="303"/>
      <c r="BA762" s="302"/>
      <c r="BB762" s="302"/>
      <c r="BC762" s="302"/>
      <c r="BD762" s="302"/>
      <c r="BE762" s="302"/>
      <c r="BF762" s="302"/>
      <c r="BG762" s="302"/>
      <c r="BH762" s="302"/>
      <c r="BI762" s="302"/>
      <c r="BJ762" s="302"/>
      <c r="BM762">
        <v>-2.2999999999999998</v>
      </c>
      <c r="BS762">
        <v>66.900000000000006</v>
      </c>
      <c r="BY762">
        <v>51.6</v>
      </c>
      <c r="CA762">
        <v>17.399999999999999</v>
      </c>
      <c r="CC762">
        <v>18.8</v>
      </c>
      <c r="CI762">
        <v>5</v>
      </c>
      <c r="CO762" t="s">
        <v>8699</v>
      </c>
      <c r="CR762">
        <v>3</v>
      </c>
      <c r="CT762" s="304" t="s">
        <v>11678</v>
      </c>
    </row>
    <row r="763" spans="1:98" s="304" customFormat="1">
      <c r="A763" s="304" t="s">
        <v>8506</v>
      </c>
      <c r="B763" s="463">
        <v>144</v>
      </c>
      <c r="C763" s="296" t="s">
        <v>7772</v>
      </c>
      <c r="D763" s="296" t="s">
        <v>7573</v>
      </c>
      <c r="E763" s="296" t="s">
        <v>7772</v>
      </c>
      <c r="F763" s="296"/>
      <c r="G763" s="296" t="s">
        <v>8506</v>
      </c>
      <c r="H763" s="297" t="s">
        <v>8697</v>
      </c>
      <c r="I763" s="297">
        <v>4</v>
      </c>
      <c r="J763" s="297">
        <v>4354</v>
      </c>
      <c r="K763" s="299"/>
      <c r="L763" s="299"/>
      <c r="M763" s="299">
        <v>125</v>
      </c>
      <c r="N763" s="299">
        <v>12</v>
      </c>
      <c r="O763" s="300">
        <v>42</v>
      </c>
      <c r="P763" s="301">
        <v>42090</v>
      </c>
      <c r="Q763" s="302"/>
      <c r="R763" s="303"/>
      <c r="S763" s="289">
        <v>4.1500000000000004</v>
      </c>
      <c r="T763" s="303">
        <v>42208</v>
      </c>
      <c r="U763" s="302"/>
      <c r="V763" s="303"/>
      <c r="W763" s="302"/>
      <c r="X763" s="303"/>
      <c r="Y763" s="302">
        <v>15.48</v>
      </c>
      <c r="Z763" s="303">
        <v>42208</v>
      </c>
      <c r="AA763">
        <v>14.4</v>
      </c>
      <c r="AB763" s="303"/>
      <c r="AC763" s="302"/>
      <c r="AD763" s="303"/>
      <c r="AE763" s="302"/>
      <c r="AF763" s="303"/>
      <c r="AG763">
        <v>53718.291666666672</v>
      </c>
      <c r="AH763" s="521">
        <f>(AK763*10000)/AM763</f>
        <v>53718.291666666672</v>
      </c>
      <c r="AI763" s="302"/>
      <c r="AJ763" s="303"/>
      <c r="AK763">
        <v>26.859145833333336</v>
      </c>
      <c r="AL763" s="521"/>
      <c r="AM763">
        <v>5</v>
      </c>
      <c r="AN763" s="303">
        <v>42244</v>
      </c>
      <c r="AO763">
        <v>125</v>
      </c>
      <c r="AP763" s="303">
        <v>42170</v>
      </c>
      <c r="AQ763" s="302"/>
      <c r="AR763" s="303"/>
      <c r="AS763" s="302"/>
      <c r="AT763" s="303"/>
      <c r="AU763">
        <v>110</v>
      </c>
      <c r="AV763" s="303"/>
      <c r="AW763" s="302"/>
      <c r="AX763" s="302"/>
      <c r="AY763" s="302"/>
      <c r="AZ763" s="303"/>
      <c r="BA763" s="302"/>
      <c r="BB763" s="302"/>
      <c r="BC763" s="302"/>
      <c r="BD763" s="302"/>
      <c r="BE763" s="302"/>
      <c r="BF763" s="302"/>
      <c r="BG763" s="302"/>
      <c r="BH763" s="302"/>
      <c r="BI763" s="302"/>
      <c r="BJ763" s="302"/>
      <c r="BM763">
        <v>-2.5</v>
      </c>
      <c r="BS763">
        <v>64.7</v>
      </c>
      <c r="BY763">
        <v>51.4</v>
      </c>
      <c r="CA763">
        <v>17.600000000000001</v>
      </c>
      <c r="CC763">
        <v>16.8</v>
      </c>
      <c r="CI763">
        <v>4.9000000000000004</v>
      </c>
      <c r="CO763" t="s">
        <v>8698</v>
      </c>
      <c r="CR763">
        <v>2</v>
      </c>
      <c r="CT763" s="304" t="s">
        <v>11678</v>
      </c>
    </row>
    <row r="764" spans="1:98" s="304" customFormat="1">
      <c r="A764" s="304" t="s">
        <v>8506</v>
      </c>
      <c r="B764" s="463">
        <v>152</v>
      </c>
      <c r="C764" s="296" t="s">
        <v>7780</v>
      </c>
      <c r="D764" s="296" t="s">
        <v>7581</v>
      </c>
      <c r="E764" s="296" t="s">
        <v>7780</v>
      </c>
      <c r="F764" s="296"/>
      <c r="G764" s="296" t="s">
        <v>8506</v>
      </c>
      <c r="H764" s="297" t="s">
        <v>8697</v>
      </c>
      <c r="I764" s="297">
        <v>4</v>
      </c>
      <c r="J764" s="297">
        <v>4114</v>
      </c>
      <c r="K764" s="299"/>
      <c r="L764" s="299"/>
      <c r="M764" s="299">
        <v>125</v>
      </c>
      <c r="N764" s="299">
        <v>8</v>
      </c>
      <c r="O764" s="300">
        <v>42</v>
      </c>
      <c r="P764" s="301">
        <v>42090</v>
      </c>
      <c r="Q764" s="302"/>
      <c r="R764" s="303"/>
      <c r="S764" s="289">
        <v>5.4</v>
      </c>
      <c r="T764" s="303">
        <v>42208</v>
      </c>
      <c r="U764" s="302"/>
      <c r="V764" s="303"/>
      <c r="W764" s="302"/>
      <c r="X764" s="303"/>
      <c r="Y764" s="302">
        <v>20.84</v>
      </c>
      <c r="Z764" s="303">
        <v>42208</v>
      </c>
      <c r="AA764">
        <v>14.4</v>
      </c>
      <c r="AB764" s="303"/>
      <c r="AC764" s="302"/>
      <c r="AD764" s="303"/>
      <c r="AE764" s="302"/>
      <c r="AF764" s="303"/>
      <c r="AG764">
        <v>62146.875000000007</v>
      </c>
      <c r="AH764" s="521">
        <f>(AK764*10000)/AM764</f>
        <v>62146.875000000007</v>
      </c>
      <c r="AI764" s="302"/>
      <c r="AJ764" s="303"/>
      <c r="AK764">
        <v>34.802250000000001</v>
      </c>
      <c r="AL764" s="521"/>
      <c r="AM764">
        <v>5.6</v>
      </c>
      <c r="AN764" s="303">
        <v>42244</v>
      </c>
      <c r="AO764">
        <v>120</v>
      </c>
      <c r="AP764" s="303">
        <v>42170</v>
      </c>
      <c r="AQ764" s="302"/>
      <c r="AR764" s="303"/>
      <c r="AS764" s="302"/>
      <c r="AT764" s="303"/>
      <c r="AU764">
        <v>107</v>
      </c>
      <c r="AV764" s="303"/>
      <c r="AW764" s="302"/>
      <c r="AX764" s="302"/>
      <c r="AY764" s="302"/>
      <c r="AZ764" s="303"/>
      <c r="BA764" s="302"/>
      <c r="BB764" s="302"/>
      <c r="BC764" s="302"/>
      <c r="BD764" s="302"/>
      <c r="BE764" s="302"/>
      <c r="BF764" s="302"/>
      <c r="BG764" s="302"/>
      <c r="BH764" s="302"/>
      <c r="BI764" s="302"/>
      <c r="BJ764" s="302"/>
      <c r="BM764">
        <v>-5.8</v>
      </c>
      <c r="BS764">
        <v>67.5</v>
      </c>
      <c r="BY764">
        <v>53.4</v>
      </c>
      <c r="CA764">
        <v>15.9</v>
      </c>
      <c r="CC764">
        <v>13</v>
      </c>
      <c r="CI764">
        <v>5.3</v>
      </c>
      <c r="CO764" t="s">
        <v>8698</v>
      </c>
      <c r="CR764">
        <v>3</v>
      </c>
      <c r="CT764" s="304" t="s">
        <v>11678</v>
      </c>
    </row>
    <row r="765" spans="1:98" s="304" customFormat="1">
      <c r="A765" s="304" t="s">
        <v>8506</v>
      </c>
      <c r="B765" s="463">
        <v>165</v>
      </c>
      <c r="C765" s="296" t="s">
        <v>7793</v>
      </c>
      <c r="D765" s="296" t="s">
        <v>7594</v>
      </c>
      <c r="E765" s="296" t="s">
        <v>7793</v>
      </c>
      <c r="F765" s="296"/>
      <c r="G765" s="296" t="s">
        <v>8506</v>
      </c>
      <c r="H765" s="297" t="s">
        <v>8696</v>
      </c>
      <c r="I765" s="297">
        <v>3</v>
      </c>
      <c r="J765" s="297">
        <v>3354</v>
      </c>
      <c r="K765" s="299"/>
      <c r="L765" s="299"/>
      <c r="M765" s="299">
        <v>125</v>
      </c>
      <c r="N765" s="299">
        <v>6</v>
      </c>
      <c r="O765" s="300">
        <v>20</v>
      </c>
      <c r="P765" s="301">
        <v>42090</v>
      </c>
      <c r="Q765" s="302"/>
      <c r="R765" s="303"/>
      <c r="S765" s="289">
        <v>6.6</v>
      </c>
      <c r="T765" s="303">
        <v>42208</v>
      </c>
      <c r="U765" s="302"/>
      <c r="V765" s="303"/>
      <c r="W765" s="302"/>
      <c r="X765" s="303"/>
      <c r="Y765" s="302">
        <v>24.23</v>
      </c>
      <c r="Z765" s="303">
        <v>42208</v>
      </c>
      <c r="AA765">
        <v>14.4</v>
      </c>
      <c r="AB765" s="303"/>
      <c r="AC765" s="302"/>
      <c r="AD765" s="303"/>
      <c r="AE765" s="302"/>
      <c r="AF765" s="303"/>
      <c r="AG765">
        <v>86808.333333333328</v>
      </c>
      <c r="AH765" s="521">
        <f>(AK765*10000)/AM765</f>
        <v>86808.333333333328</v>
      </c>
      <c r="AI765" s="302"/>
      <c r="AJ765" s="303"/>
      <c r="AK765">
        <v>42.53608333333333</v>
      </c>
      <c r="AL765" s="521"/>
      <c r="AM765">
        <v>4.9000000000000004</v>
      </c>
      <c r="AN765" s="303">
        <v>42244</v>
      </c>
      <c r="AO765">
        <v>130</v>
      </c>
      <c r="AP765" s="303">
        <v>42170</v>
      </c>
      <c r="AQ765" s="302"/>
      <c r="AR765" s="303"/>
      <c r="AS765" s="302"/>
      <c r="AT765" s="303"/>
      <c r="AU765">
        <v>108</v>
      </c>
      <c r="AV765" s="303"/>
      <c r="AW765" s="302"/>
      <c r="AX765" s="302"/>
      <c r="AY765" s="302"/>
      <c r="AZ765" s="303"/>
      <c r="BA765" s="302"/>
      <c r="BB765" s="302"/>
      <c r="BC765" s="302"/>
      <c r="BD765" s="302"/>
      <c r="BE765" s="302"/>
      <c r="BF765" s="302"/>
      <c r="BG765" s="302"/>
      <c r="BH765" s="302"/>
      <c r="BI765" s="302"/>
      <c r="BJ765" s="302"/>
      <c r="BM765">
        <v>-0.3</v>
      </c>
      <c r="BS765">
        <v>61.4</v>
      </c>
      <c r="BY765">
        <v>50.8</v>
      </c>
      <c r="CA765">
        <v>19.899999999999999</v>
      </c>
      <c r="CC765">
        <v>17.899999999999999</v>
      </c>
      <c r="CI765">
        <v>5.3</v>
      </c>
      <c r="CO765" t="s">
        <v>8698</v>
      </c>
      <c r="CR765">
        <v>1</v>
      </c>
      <c r="CT765" s="304" t="s">
        <v>11678</v>
      </c>
    </row>
    <row r="766" spans="1:98" s="304" customFormat="1">
      <c r="A766" s="304" t="s">
        <v>8506</v>
      </c>
      <c r="B766" s="463">
        <v>26</v>
      </c>
      <c r="C766" s="296" t="s">
        <v>7638</v>
      </c>
      <c r="D766" s="296" t="s">
        <v>7474</v>
      </c>
      <c r="E766" s="296" t="s">
        <v>7638</v>
      </c>
      <c r="F766" s="296"/>
      <c r="G766" s="296" t="s">
        <v>8506</v>
      </c>
      <c r="H766" s="297" t="s">
        <v>8697</v>
      </c>
      <c r="I766" s="297">
        <v>4</v>
      </c>
      <c r="J766" s="297">
        <v>4355</v>
      </c>
      <c r="K766" s="299"/>
      <c r="L766" s="299"/>
      <c r="M766" s="299">
        <v>126</v>
      </c>
      <c r="N766" s="299">
        <v>12</v>
      </c>
      <c r="O766" s="300">
        <v>34</v>
      </c>
      <c r="P766" s="301">
        <v>42090</v>
      </c>
      <c r="Q766" s="302"/>
      <c r="R766" s="303"/>
      <c r="S766" s="289">
        <v>2.9</v>
      </c>
      <c r="T766" s="303">
        <v>42208</v>
      </c>
      <c r="U766" s="302"/>
      <c r="V766" s="303"/>
      <c r="W766" s="302"/>
      <c r="X766" s="303"/>
      <c r="Y766" s="302">
        <v>9.89</v>
      </c>
      <c r="Z766" s="303">
        <v>42208</v>
      </c>
      <c r="AA766">
        <v>14.4</v>
      </c>
      <c r="AB766" s="303"/>
      <c r="AC766" s="302"/>
      <c r="AD766" s="303"/>
      <c r="AE766" s="302"/>
      <c r="AF766" s="303"/>
      <c r="AG766">
        <v>29729.475308641977</v>
      </c>
      <c r="AH766" s="521">
        <f>(AK766*10000)/AM766</f>
        <v>29729.475308641977</v>
      </c>
      <c r="AI766" s="302"/>
      <c r="AJ766" s="303"/>
      <c r="AK766">
        <v>18.729569444444444</v>
      </c>
      <c r="AL766" s="521"/>
      <c r="AM766">
        <v>6.3</v>
      </c>
      <c r="AN766" s="303">
        <v>42244</v>
      </c>
      <c r="AO766">
        <v>145</v>
      </c>
      <c r="AP766" s="303">
        <v>42170</v>
      </c>
      <c r="AQ766" s="302"/>
      <c r="AR766" s="303"/>
      <c r="AS766" s="302"/>
      <c r="AT766" s="303"/>
      <c r="AU766">
        <v>111</v>
      </c>
      <c r="AV766" s="303"/>
      <c r="AW766" s="302"/>
      <c r="AX766" s="302"/>
      <c r="AY766" s="302"/>
      <c r="AZ766" s="303"/>
      <c r="BA766" s="302"/>
      <c r="BB766" s="302"/>
      <c r="BC766" s="302"/>
      <c r="BD766" s="302"/>
      <c r="BE766" s="302"/>
      <c r="BF766" s="302"/>
      <c r="BG766" s="302"/>
      <c r="BH766" s="302"/>
      <c r="BI766" s="302"/>
      <c r="BJ766" s="302"/>
      <c r="BM766">
        <v>2.6</v>
      </c>
      <c r="BS766">
        <v>50.7</v>
      </c>
      <c r="BY766">
        <v>47.1</v>
      </c>
      <c r="CA766">
        <v>21.6</v>
      </c>
      <c r="CC766">
        <v>72.2</v>
      </c>
      <c r="CI766">
        <v>5.0999999999999996</v>
      </c>
      <c r="CO766" t="s">
        <v>8698</v>
      </c>
      <c r="CR766">
        <v>3</v>
      </c>
      <c r="CT766" s="304" t="s">
        <v>11678</v>
      </c>
    </row>
    <row r="767" spans="1:98" s="304" customFormat="1">
      <c r="A767" s="304" t="s">
        <v>8506</v>
      </c>
      <c r="B767" s="463">
        <v>37</v>
      </c>
      <c r="C767" s="296" t="s">
        <v>7653</v>
      </c>
      <c r="D767" s="296" t="s">
        <v>7487</v>
      </c>
      <c r="E767" s="296" t="s">
        <v>7653</v>
      </c>
      <c r="F767" s="296"/>
      <c r="G767" s="296" t="s">
        <v>8506</v>
      </c>
      <c r="H767" s="297" t="s">
        <v>8697</v>
      </c>
      <c r="I767" s="297">
        <v>4</v>
      </c>
      <c r="J767" s="297">
        <v>455</v>
      </c>
      <c r="K767" s="299"/>
      <c r="L767" s="299"/>
      <c r="M767" s="299">
        <v>126</v>
      </c>
      <c r="N767" s="299">
        <v>7</v>
      </c>
      <c r="O767" s="300">
        <v>44</v>
      </c>
      <c r="P767" s="301">
        <v>42090</v>
      </c>
      <c r="Q767" s="302"/>
      <c r="R767" s="303"/>
      <c r="S767" s="289">
        <v>3.1</v>
      </c>
      <c r="T767" s="303">
        <v>42208</v>
      </c>
      <c r="U767" s="302"/>
      <c r="V767" s="303"/>
      <c r="W767" s="302"/>
      <c r="X767" s="303"/>
      <c r="Y767" s="302">
        <v>10.78</v>
      </c>
      <c r="Z767" s="303">
        <v>42208</v>
      </c>
      <c r="AA767">
        <v>14.4</v>
      </c>
      <c r="AB767" s="303"/>
      <c r="AC767" s="302"/>
      <c r="AD767" s="303"/>
      <c r="AE767" s="302"/>
      <c r="AF767" s="303"/>
      <c r="AG767">
        <v>35752.256944444445</v>
      </c>
      <c r="AH767" s="521">
        <f>(AK767*10000)/AM767</f>
        <v>35752.256944444445</v>
      </c>
      <c r="AI767" s="302"/>
      <c r="AJ767" s="303"/>
      <c r="AK767">
        <v>20.021263888888889</v>
      </c>
      <c r="AL767" s="521"/>
      <c r="AM767">
        <v>5.6</v>
      </c>
      <c r="AN767" s="303">
        <v>42244</v>
      </c>
      <c r="AO767">
        <v>135</v>
      </c>
      <c r="AP767" s="303">
        <v>42170</v>
      </c>
      <c r="AQ767" s="302"/>
      <c r="AR767" s="303"/>
      <c r="AS767" s="302"/>
      <c r="AT767" s="303"/>
      <c r="AU767">
        <v>108</v>
      </c>
      <c r="AV767" s="303"/>
      <c r="AW767" s="302"/>
      <c r="AX767" s="302"/>
      <c r="AY767" s="302"/>
      <c r="AZ767" s="303"/>
      <c r="BA767" s="302"/>
      <c r="BB767" s="302"/>
      <c r="BC767" s="302"/>
      <c r="BD767" s="302"/>
      <c r="BE767" s="302"/>
      <c r="BF767" s="302"/>
      <c r="BG767" s="302"/>
      <c r="BH767" s="302"/>
      <c r="BI767" s="302"/>
      <c r="BJ767" s="302"/>
      <c r="BM767">
        <v>-0.2</v>
      </c>
      <c r="BS767">
        <v>56</v>
      </c>
      <c r="BY767">
        <v>48</v>
      </c>
      <c r="CA767">
        <v>20.3</v>
      </c>
      <c r="CC767">
        <v>36.6</v>
      </c>
      <c r="CI767">
        <v>5.0999999999999996</v>
      </c>
      <c r="CO767" t="s">
        <v>8698</v>
      </c>
      <c r="CR767">
        <v>3</v>
      </c>
      <c r="CT767" s="304" t="s">
        <v>11678</v>
      </c>
    </row>
    <row r="768" spans="1:98" s="304" customFormat="1">
      <c r="A768" s="304" t="s">
        <v>8506</v>
      </c>
      <c r="B768" s="463">
        <v>39</v>
      </c>
      <c r="C768" s="296" t="s">
        <v>7656</v>
      </c>
      <c r="D768" s="296" t="s">
        <v>7489</v>
      </c>
      <c r="E768" s="296" t="s">
        <v>7656</v>
      </c>
      <c r="F768" s="296"/>
      <c r="G768" s="296" t="s">
        <v>8506</v>
      </c>
      <c r="H768" s="297" t="s">
        <v>8696</v>
      </c>
      <c r="I768" s="297">
        <v>3</v>
      </c>
      <c r="J768" s="297">
        <v>3115</v>
      </c>
      <c r="K768" s="299"/>
      <c r="L768" s="299"/>
      <c r="M768" s="299">
        <v>126</v>
      </c>
      <c r="N768" s="299">
        <v>2</v>
      </c>
      <c r="O768" s="300">
        <v>16</v>
      </c>
      <c r="P768" s="301">
        <v>42090</v>
      </c>
      <c r="Q768" s="302"/>
      <c r="R768" s="303"/>
      <c r="S768" s="289">
        <v>5.85</v>
      </c>
      <c r="T768" s="303">
        <v>42208</v>
      </c>
      <c r="U768" s="302"/>
      <c r="V768" s="303"/>
      <c r="W768" s="302"/>
      <c r="X768" s="303"/>
      <c r="Y768" s="302">
        <v>22.55</v>
      </c>
      <c r="Z768" s="303">
        <v>42208</v>
      </c>
      <c r="AA768">
        <v>14.4</v>
      </c>
      <c r="AB768" s="303"/>
      <c r="AC768" s="302"/>
      <c r="AD768" s="303"/>
      <c r="AE768" s="302"/>
      <c r="AF768" s="303"/>
      <c r="AG768">
        <v>68839.431818181794</v>
      </c>
      <c r="AH768" s="521">
        <f>(AK768*10000)/AM768</f>
        <v>68839.431818181794</v>
      </c>
      <c r="AI768" s="302"/>
      <c r="AJ768" s="303"/>
      <c r="AK768">
        <v>37.861687499999988</v>
      </c>
      <c r="AL768" s="521"/>
      <c r="AM768">
        <v>5.5</v>
      </c>
      <c r="AN768" s="303">
        <v>42244</v>
      </c>
      <c r="AO768">
        <v>125</v>
      </c>
      <c r="AP768" s="303">
        <v>42170</v>
      </c>
      <c r="AQ768" s="302"/>
      <c r="AR768" s="303"/>
      <c r="AS768" s="302"/>
      <c r="AT768" s="303"/>
      <c r="AU768">
        <v>110</v>
      </c>
      <c r="AV768" s="303"/>
      <c r="AW768" s="302"/>
      <c r="AX768" s="302"/>
      <c r="AY768" s="302"/>
      <c r="AZ768" s="303"/>
      <c r="BA768" s="302"/>
      <c r="BB768" s="302"/>
      <c r="BC768" s="302"/>
      <c r="BD768" s="302"/>
      <c r="BE768" s="302"/>
      <c r="BF768" s="302"/>
      <c r="BG768" s="302"/>
      <c r="BH768" s="302"/>
      <c r="BI768" s="302"/>
      <c r="BJ768" s="302"/>
      <c r="BM768">
        <v>-5.6</v>
      </c>
      <c r="BS768">
        <v>67.099999999999994</v>
      </c>
      <c r="BY768">
        <v>53.1</v>
      </c>
      <c r="CA768">
        <v>16</v>
      </c>
      <c r="CC768">
        <v>15.2</v>
      </c>
      <c r="CI768">
        <v>4.9000000000000004</v>
      </c>
      <c r="CO768" t="s">
        <v>8699</v>
      </c>
      <c r="CR768">
        <v>4</v>
      </c>
      <c r="CT768" s="304" t="s">
        <v>11678</v>
      </c>
    </row>
    <row r="769" spans="1:98" s="304" customFormat="1">
      <c r="A769" s="304" t="s">
        <v>8506</v>
      </c>
      <c r="B769" s="463">
        <v>57</v>
      </c>
      <c r="C769" s="296" t="s">
        <v>7675</v>
      </c>
      <c r="D769" s="296" t="s">
        <v>7507</v>
      </c>
      <c r="E769" s="296" t="s">
        <v>7675</v>
      </c>
      <c r="F769" s="296"/>
      <c r="G769" s="296" t="s">
        <v>8506</v>
      </c>
      <c r="H769" s="297" t="s">
        <v>8697</v>
      </c>
      <c r="I769" s="297">
        <v>4</v>
      </c>
      <c r="J769" s="297">
        <v>4115</v>
      </c>
      <c r="K769" s="299"/>
      <c r="L769" s="299"/>
      <c r="M769" s="299">
        <v>126</v>
      </c>
      <c r="N769" s="299">
        <v>8</v>
      </c>
      <c r="O769" s="300">
        <v>26</v>
      </c>
      <c r="P769" s="301">
        <v>42090</v>
      </c>
      <c r="Q769" s="302"/>
      <c r="R769" s="303"/>
      <c r="S769" s="289">
        <v>4.3</v>
      </c>
      <c r="T769" s="303">
        <v>42208</v>
      </c>
      <c r="U769" s="302"/>
      <c r="V769" s="303"/>
      <c r="W769" s="302"/>
      <c r="X769" s="303"/>
      <c r="Y769" s="302">
        <v>16.3</v>
      </c>
      <c r="Z769" s="303">
        <v>42208</v>
      </c>
      <c r="AA769">
        <v>14.4</v>
      </c>
      <c r="AB769" s="303"/>
      <c r="AC769" s="302"/>
      <c r="AD769" s="303"/>
      <c r="AE769" s="302"/>
      <c r="AF769" s="303"/>
      <c r="AG769">
        <v>56736.111111111095</v>
      </c>
      <c r="AH769" s="521">
        <f>(AK769*10000)/AM769</f>
        <v>56736.111111111095</v>
      </c>
      <c r="AI769" s="302"/>
      <c r="AJ769" s="303"/>
      <c r="AK769">
        <v>27.800694444444439</v>
      </c>
      <c r="AL769" s="521"/>
      <c r="AM769">
        <v>4.9000000000000004</v>
      </c>
      <c r="AN769" s="303">
        <v>42244</v>
      </c>
      <c r="AO769">
        <v>140</v>
      </c>
      <c r="AP769" s="303">
        <v>42170</v>
      </c>
      <c r="AQ769" s="302"/>
      <c r="AR769" s="303"/>
      <c r="AS769" s="302"/>
      <c r="AT769" s="303"/>
      <c r="AU769">
        <v>112</v>
      </c>
      <c r="AV769" s="303"/>
      <c r="AW769" s="302"/>
      <c r="AX769" s="302"/>
      <c r="AY769" s="302"/>
      <c r="AZ769" s="303"/>
      <c r="BA769" s="302"/>
      <c r="BB769" s="302"/>
      <c r="BC769" s="302"/>
      <c r="BD769" s="302"/>
      <c r="BE769" s="302"/>
      <c r="BF769" s="302"/>
      <c r="BG769" s="302"/>
      <c r="BH769" s="302"/>
      <c r="BI769" s="302"/>
      <c r="BJ769" s="302"/>
      <c r="BM769">
        <v>3.4</v>
      </c>
      <c r="BS769">
        <v>59.9</v>
      </c>
      <c r="BY769">
        <v>52.3</v>
      </c>
      <c r="CA769">
        <v>17.2</v>
      </c>
      <c r="CC769">
        <v>19.2</v>
      </c>
      <c r="CI769">
        <v>5</v>
      </c>
      <c r="CO769" t="s">
        <v>8698</v>
      </c>
      <c r="CR769">
        <v>1</v>
      </c>
      <c r="CT769" s="304" t="s">
        <v>11678</v>
      </c>
    </row>
    <row r="770" spans="1:98" s="304" customFormat="1">
      <c r="A770" s="304" t="s">
        <v>8506</v>
      </c>
      <c r="B770" s="463">
        <v>164</v>
      </c>
      <c r="C770" s="296" t="s">
        <v>7792</v>
      </c>
      <c r="D770" s="296" t="s">
        <v>7593</v>
      </c>
      <c r="E770" s="296" t="s">
        <v>7792</v>
      </c>
      <c r="F770" s="296"/>
      <c r="G770" s="296" t="s">
        <v>8506</v>
      </c>
      <c r="H770" s="297" t="s">
        <v>8696</v>
      </c>
      <c r="I770" s="297">
        <v>3</v>
      </c>
      <c r="J770" s="297">
        <v>355</v>
      </c>
      <c r="K770" s="299"/>
      <c r="L770" s="299"/>
      <c r="M770" s="299">
        <v>126</v>
      </c>
      <c r="N770" s="299">
        <v>1</v>
      </c>
      <c r="O770" s="300">
        <v>35</v>
      </c>
      <c r="P770" s="301">
        <v>42090</v>
      </c>
      <c r="Q770" s="302"/>
      <c r="R770" s="303"/>
      <c r="S770" s="289">
        <v>6.15</v>
      </c>
      <c r="T770" s="303">
        <v>42208</v>
      </c>
      <c r="U770" s="302"/>
      <c r="V770" s="303"/>
      <c r="W770" s="302"/>
      <c r="X770" s="303"/>
      <c r="Y770" s="302">
        <v>22.49</v>
      </c>
      <c r="Z770" s="303">
        <v>42208</v>
      </c>
      <c r="AA770">
        <v>14.4</v>
      </c>
      <c r="AB770" s="303"/>
      <c r="AC770" s="302"/>
      <c r="AD770" s="303"/>
      <c r="AE770" s="302"/>
      <c r="AF770" s="303"/>
      <c r="AG770">
        <v>82400.390625</v>
      </c>
      <c r="AH770" s="521">
        <f>(AK770*10000)/AM770</f>
        <v>82400.390625</v>
      </c>
      <c r="AI770" s="302"/>
      <c r="AJ770" s="303"/>
      <c r="AK770">
        <v>39.552187500000002</v>
      </c>
      <c r="AL770" s="521"/>
      <c r="AM770">
        <v>4.8</v>
      </c>
      <c r="AN770" s="303">
        <v>42244</v>
      </c>
      <c r="AO770">
        <v>115</v>
      </c>
      <c r="AP770" s="303">
        <v>42170</v>
      </c>
      <c r="AQ770" s="302"/>
      <c r="AR770" s="303"/>
      <c r="AS770" s="302"/>
      <c r="AT770" s="303"/>
      <c r="AU770">
        <v>110</v>
      </c>
      <c r="AV770" s="303"/>
      <c r="AW770" s="302"/>
      <c r="AX770" s="302"/>
      <c r="AY770" s="302"/>
      <c r="AZ770" s="303"/>
      <c r="BA770" s="302"/>
      <c r="BB770" s="302"/>
      <c r="BC770" s="302"/>
      <c r="BD770" s="302"/>
      <c r="BE770" s="302"/>
      <c r="BF770" s="302"/>
      <c r="BG770" s="302"/>
      <c r="BH770" s="302"/>
      <c r="BI770" s="302"/>
      <c r="BJ770" s="302"/>
      <c r="BM770">
        <v>-2.2000000000000002</v>
      </c>
      <c r="BS770">
        <v>62</v>
      </c>
      <c r="BY770">
        <v>50.7</v>
      </c>
      <c r="CA770">
        <v>17.399999999999999</v>
      </c>
      <c r="CC770">
        <v>15.2</v>
      </c>
      <c r="CI770">
        <v>5.5</v>
      </c>
      <c r="CO770" t="s">
        <v>8699</v>
      </c>
      <c r="CR770">
        <v>1</v>
      </c>
      <c r="CT770" s="304" t="s">
        <v>11678</v>
      </c>
    </row>
    <row r="771" spans="1:98" s="304" customFormat="1">
      <c r="A771" s="304" t="s">
        <v>8506</v>
      </c>
      <c r="B771" s="463">
        <v>175</v>
      </c>
      <c r="C771" s="296" t="s">
        <v>7803</v>
      </c>
      <c r="D771" s="296" t="s">
        <v>7844</v>
      </c>
      <c r="E771" s="296" t="s">
        <v>7803</v>
      </c>
      <c r="F771" s="296"/>
      <c r="G771" s="296" t="s">
        <v>8506</v>
      </c>
      <c r="H771" s="297" t="s">
        <v>8696</v>
      </c>
      <c r="I771" s="297">
        <v>3</v>
      </c>
      <c r="J771" s="308">
        <v>3355</v>
      </c>
      <c r="K771" s="299"/>
      <c r="L771" s="299"/>
      <c r="M771" s="299">
        <v>126</v>
      </c>
      <c r="N771" s="299">
        <v>6</v>
      </c>
      <c r="O771" s="300">
        <v>20</v>
      </c>
      <c r="P771" s="301">
        <v>42090</v>
      </c>
      <c r="Q771" s="306"/>
      <c r="R771" s="303"/>
      <c r="S771" s="289">
        <v>6.75</v>
      </c>
      <c r="T771" s="303">
        <v>42208</v>
      </c>
      <c r="U771" s="307"/>
      <c r="V771" s="303"/>
      <c r="W771" s="306"/>
      <c r="X771" s="303"/>
      <c r="Y771" s="306">
        <v>24.59</v>
      </c>
      <c r="Z771" s="303">
        <v>42208</v>
      </c>
      <c r="AA771">
        <v>14.4</v>
      </c>
      <c r="AB771" s="303"/>
      <c r="AC771" s="306"/>
      <c r="AD771" s="303"/>
      <c r="AE771" s="302"/>
      <c r="AF771" s="303"/>
      <c r="AG771">
        <v>83835.9375</v>
      </c>
      <c r="AH771" s="521">
        <f>(AK771*10000)/AM771</f>
        <v>83835.9375</v>
      </c>
      <c r="AI771" s="302"/>
      <c r="AJ771" s="303"/>
      <c r="AK771">
        <v>43.594687499999999</v>
      </c>
      <c r="AL771" s="521"/>
      <c r="AM771">
        <v>5.2</v>
      </c>
      <c r="AN771" s="303">
        <v>42244</v>
      </c>
      <c r="AO771">
        <v>140</v>
      </c>
      <c r="AP771" s="303">
        <v>42170</v>
      </c>
      <c r="AQ771" s="306"/>
      <c r="AR771" s="303"/>
      <c r="AS771" s="306"/>
      <c r="AT771" s="303"/>
      <c r="AU771">
        <v>107</v>
      </c>
      <c r="AV771" s="303"/>
      <c r="AW771" s="302"/>
      <c r="AX771" s="302"/>
      <c r="AY771" s="302"/>
      <c r="AZ771" s="303"/>
      <c r="BA771" s="302"/>
      <c r="BB771" s="302"/>
      <c r="BC771" s="302"/>
      <c r="BD771" s="302"/>
      <c r="BE771" s="302"/>
      <c r="BF771" s="302"/>
      <c r="BG771" s="302"/>
      <c r="BH771" s="302"/>
      <c r="BI771" s="302"/>
      <c r="BJ771" s="302"/>
      <c r="BM771">
        <v>-2.8</v>
      </c>
      <c r="BS771">
        <v>59</v>
      </c>
      <c r="BY771">
        <v>50.3</v>
      </c>
      <c r="CA771">
        <v>18.5</v>
      </c>
      <c r="CC771">
        <v>16.899999999999999</v>
      </c>
      <c r="CI771">
        <v>5.0999999999999996</v>
      </c>
      <c r="CO771" t="s">
        <v>8698</v>
      </c>
      <c r="CR771">
        <v>1</v>
      </c>
      <c r="CT771" s="304" t="s">
        <v>11678</v>
      </c>
    </row>
    <row r="772" spans="1:98" s="304" customFormat="1">
      <c r="A772" s="304" t="s">
        <v>8506</v>
      </c>
      <c r="B772" s="463">
        <v>64</v>
      </c>
      <c r="C772" s="296" t="s">
        <v>7682</v>
      </c>
      <c r="D772" s="296" t="s">
        <v>7512</v>
      </c>
      <c r="E772" s="296" t="s">
        <v>7682</v>
      </c>
      <c r="F772" s="296"/>
      <c r="G772" s="296" t="s">
        <v>8506</v>
      </c>
      <c r="H772" s="297" t="s">
        <v>8696</v>
      </c>
      <c r="I772" s="297">
        <v>3</v>
      </c>
      <c r="J772" s="297">
        <v>3176</v>
      </c>
      <c r="K772" s="299"/>
      <c r="L772" s="299"/>
      <c r="M772" s="299">
        <v>127</v>
      </c>
      <c r="N772" s="299">
        <v>3</v>
      </c>
      <c r="O772" s="300">
        <v>26</v>
      </c>
      <c r="P772" s="301">
        <v>42090</v>
      </c>
      <c r="Q772" s="302"/>
      <c r="R772" s="303"/>
      <c r="S772" s="289">
        <v>5.85</v>
      </c>
      <c r="T772" s="303">
        <v>42208</v>
      </c>
      <c r="U772" s="302"/>
      <c r="V772" s="303"/>
      <c r="W772" s="302"/>
      <c r="X772" s="303"/>
      <c r="Y772" s="302">
        <v>20.97</v>
      </c>
      <c r="Z772" s="303">
        <v>42208</v>
      </c>
      <c r="AA772">
        <v>14.4</v>
      </c>
      <c r="AB772" s="303"/>
      <c r="AC772" s="302"/>
      <c r="AD772" s="303"/>
      <c r="AE772" s="302"/>
      <c r="AF772" s="303"/>
      <c r="AG772">
        <v>80217.952127659562</v>
      </c>
      <c r="AH772" s="521">
        <f>(AK772*10000)/AM772</f>
        <v>80217.952127659562</v>
      </c>
      <c r="AI772" s="302"/>
      <c r="AJ772" s="303"/>
      <c r="AK772">
        <v>37.702437499999995</v>
      </c>
      <c r="AL772" s="521"/>
      <c r="AM772">
        <v>4.7</v>
      </c>
      <c r="AN772" s="303">
        <v>42244</v>
      </c>
      <c r="AO772">
        <v>140</v>
      </c>
      <c r="AP772" s="303">
        <v>42170</v>
      </c>
      <c r="AQ772" s="302"/>
      <c r="AR772" s="303"/>
      <c r="AS772" s="302"/>
      <c r="AT772" s="303"/>
      <c r="AU772">
        <v>106</v>
      </c>
      <c r="AV772" s="303"/>
      <c r="AW772" s="302"/>
      <c r="AX772" s="302"/>
      <c r="AY772" s="302"/>
      <c r="AZ772" s="303"/>
      <c r="BA772" s="302"/>
      <c r="BB772" s="302"/>
      <c r="BC772" s="302"/>
      <c r="BD772" s="302"/>
      <c r="BE772" s="302"/>
      <c r="BF772" s="302"/>
      <c r="BG772" s="302"/>
      <c r="BH772" s="302"/>
      <c r="BI772" s="302"/>
      <c r="BJ772" s="302"/>
      <c r="BM772">
        <v>-1.6</v>
      </c>
      <c r="BS772">
        <v>62.1</v>
      </c>
      <c r="BY772">
        <v>49.6</v>
      </c>
      <c r="CA772">
        <v>20.9</v>
      </c>
      <c r="CC772">
        <v>16.3</v>
      </c>
      <c r="CI772">
        <v>5.3</v>
      </c>
      <c r="CO772" t="s">
        <v>8699</v>
      </c>
      <c r="CR772">
        <v>2</v>
      </c>
      <c r="CT772" s="304" t="s">
        <v>11678</v>
      </c>
    </row>
    <row r="773" spans="1:98" s="304" customFormat="1">
      <c r="A773" s="304" t="s">
        <v>8506</v>
      </c>
      <c r="B773" s="463">
        <v>83</v>
      </c>
      <c r="C773" s="296" t="s">
        <v>7701</v>
      </c>
      <c r="D773" s="296" t="s">
        <v>7530</v>
      </c>
      <c r="E773" s="296" t="s">
        <v>7701</v>
      </c>
      <c r="F773" s="296"/>
      <c r="G773" s="296" t="s">
        <v>8506</v>
      </c>
      <c r="H773" s="297" t="s">
        <v>8697</v>
      </c>
      <c r="I773" s="297">
        <v>4</v>
      </c>
      <c r="J773" s="297">
        <v>456</v>
      </c>
      <c r="K773" s="299"/>
      <c r="L773" s="299"/>
      <c r="M773" s="299">
        <v>127</v>
      </c>
      <c r="N773" s="299">
        <v>7</v>
      </c>
      <c r="O773" s="300">
        <v>48</v>
      </c>
      <c r="P773" s="301">
        <v>42090</v>
      </c>
      <c r="Q773" s="302"/>
      <c r="R773" s="303"/>
      <c r="S773" s="289">
        <v>3.65</v>
      </c>
      <c r="T773" s="303">
        <v>42208</v>
      </c>
      <c r="U773" s="302"/>
      <c r="V773" s="303"/>
      <c r="W773" s="302"/>
      <c r="X773" s="303"/>
      <c r="Y773" s="302">
        <v>13.82</v>
      </c>
      <c r="Z773" s="303">
        <v>42208</v>
      </c>
      <c r="AA773">
        <v>14.4</v>
      </c>
      <c r="AB773" s="303"/>
      <c r="AC773" s="302"/>
      <c r="AD773" s="303"/>
      <c r="AE773" s="302"/>
      <c r="AF773" s="303"/>
      <c r="AG773">
        <v>47146.847222222219</v>
      </c>
      <c r="AH773" s="521">
        <f>(AK773*10000)/AM773</f>
        <v>47146.847222222219</v>
      </c>
      <c r="AI773" s="302"/>
      <c r="AJ773" s="303"/>
      <c r="AK773">
        <v>23.57342361111111</v>
      </c>
      <c r="AL773" s="521"/>
      <c r="AM773">
        <v>5</v>
      </c>
      <c r="AN773" s="303">
        <v>42244</v>
      </c>
      <c r="AO773">
        <v>130</v>
      </c>
      <c r="AP773" s="303">
        <v>42170</v>
      </c>
      <c r="AQ773" s="302"/>
      <c r="AR773" s="303"/>
      <c r="AS773" s="302"/>
      <c r="AT773" s="303"/>
      <c r="AU773">
        <v>111</v>
      </c>
      <c r="AV773" s="303"/>
      <c r="AW773" s="302"/>
      <c r="AX773" s="302"/>
      <c r="AY773" s="302"/>
      <c r="AZ773" s="303"/>
      <c r="BA773" s="302"/>
      <c r="BB773" s="302"/>
      <c r="BC773" s="302"/>
      <c r="BD773" s="302"/>
      <c r="BE773" s="302"/>
      <c r="BF773" s="302"/>
      <c r="BG773" s="302"/>
      <c r="BH773" s="302"/>
      <c r="BI773" s="302"/>
      <c r="BJ773" s="302"/>
      <c r="BM773">
        <v>-0.6</v>
      </c>
      <c r="BS773">
        <v>61.7</v>
      </c>
      <c r="BY773">
        <v>52.3</v>
      </c>
      <c r="CA773">
        <v>15.5</v>
      </c>
      <c r="CC773">
        <v>20.399999999999999</v>
      </c>
      <c r="CI773">
        <v>5.0999999999999996</v>
      </c>
      <c r="CO773" t="s">
        <v>8698</v>
      </c>
      <c r="CR773">
        <v>3</v>
      </c>
      <c r="CT773" s="304" t="s">
        <v>11678</v>
      </c>
    </row>
    <row r="774" spans="1:98" s="304" customFormat="1">
      <c r="A774" s="304" t="s">
        <v>8506</v>
      </c>
      <c r="B774" s="463">
        <v>93</v>
      </c>
      <c r="C774" s="296" t="s">
        <v>7711</v>
      </c>
      <c r="D774" s="296" t="s">
        <v>7539</v>
      </c>
      <c r="E774" s="296" t="s">
        <v>7711</v>
      </c>
      <c r="F774" s="296"/>
      <c r="G774" s="296" t="s">
        <v>8506</v>
      </c>
      <c r="H774" s="297" t="s">
        <v>8697</v>
      </c>
      <c r="I774" s="297">
        <v>4</v>
      </c>
      <c r="J774" s="297">
        <v>4116</v>
      </c>
      <c r="K774" s="299"/>
      <c r="L774" s="299"/>
      <c r="M774" s="299">
        <v>127</v>
      </c>
      <c r="N774" s="299">
        <v>8</v>
      </c>
      <c r="O774" s="300">
        <v>20</v>
      </c>
      <c r="P774" s="301">
        <v>42090</v>
      </c>
      <c r="Q774" s="302"/>
      <c r="R774" s="303"/>
      <c r="S774" s="289">
        <v>3.1</v>
      </c>
      <c r="T774" s="303">
        <v>42208</v>
      </c>
      <c r="U774" s="302"/>
      <c r="V774" s="303"/>
      <c r="W774" s="302"/>
      <c r="X774" s="303"/>
      <c r="Y774" s="302">
        <v>11.74</v>
      </c>
      <c r="Z774" s="303">
        <v>42208</v>
      </c>
      <c r="AA774">
        <v>14.4</v>
      </c>
      <c r="AB774" s="303"/>
      <c r="AC774" s="302"/>
      <c r="AD774" s="303"/>
      <c r="AE774" s="302"/>
      <c r="AF774" s="303"/>
      <c r="AG774">
        <v>46561.078811369509</v>
      </c>
      <c r="AH774" s="521">
        <f>(AK774*10000)/AM774</f>
        <v>46561.078811369509</v>
      </c>
      <c r="AI774" s="302"/>
      <c r="AJ774" s="303"/>
      <c r="AK774">
        <v>20.021263888888889</v>
      </c>
      <c r="AL774" s="521"/>
      <c r="AM774">
        <v>4.3</v>
      </c>
      <c r="AN774" s="303">
        <v>42244</v>
      </c>
      <c r="AO774">
        <v>150</v>
      </c>
      <c r="AP774" s="303">
        <v>42170</v>
      </c>
      <c r="AQ774" s="302"/>
      <c r="AR774" s="303"/>
      <c r="AS774" s="302"/>
      <c r="AT774" s="303"/>
      <c r="AU774">
        <v>116</v>
      </c>
      <c r="AV774" s="303"/>
      <c r="AW774" s="302"/>
      <c r="AX774" s="302"/>
      <c r="AY774" s="302"/>
      <c r="AZ774" s="303"/>
      <c r="BA774" s="302"/>
      <c r="BB774" s="302"/>
      <c r="BC774" s="302"/>
      <c r="BD774" s="302"/>
      <c r="BE774" s="302"/>
      <c r="BF774" s="302"/>
      <c r="BG774" s="302"/>
      <c r="BH774" s="302"/>
      <c r="BI774" s="302"/>
      <c r="BJ774" s="302"/>
      <c r="BM774">
        <v>-6.6</v>
      </c>
      <c r="BS774">
        <v>67</v>
      </c>
      <c r="BY774">
        <v>52.3</v>
      </c>
      <c r="CA774">
        <v>15.5</v>
      </c>
      <c r="CC774">
        <v>15.3</v>
      </c>
      <c r="CI774">
        <v>5.0999999999999996</v>
      </c>
      <c r="CO774" t="s">
        <v>8698</v>
      </c>
      <c r="CR774">
        <v>1</v>
      </c>
      <c r="CT774" s="304" t="s">
        <v>11678</v>
      </c>
    </row>
    <row r="775" spans="1:98" s="304" customFormat="1">
      <c r="A775" s="304" t="s">
        <v>8506</v>
      </c>
      <c r="B775" s="463">
        <v>116</v>
      </c>
      <c r="C775" s="296" t="s">
        <v>7735</v>
      </c>
      <c r="D775" s="296" t="s">
        <v>7819</v>
      </c>
      <c r="E775" s="296" t="s">
        <v>7735</v>
      </c>
      <c r="F775" s="296"/>
      <c r="G775" s="296" t="s">
        <v>8506</v>
      </c>
      <c r="H775" s="297" t="s">
        <v>8696</v>
      </c>
      <c r="I775" s="297">
        <v>3</v>
      </c>
      <c r="J775" s="297">
        <v>3236</v>
      </c>
      <c r="K775" s="299"/>
      <c r="L775" s="299"/>
      <c r="M775" s="299">
        <v>127</v>
      </c>
      <c r="N775" s="299">
        <v>4</v>
      </c>
      <c r="O775" s="300">
        <v>30</v>
      </c>
      <c r="P775" s="301">
        <v>42090</v>
      </c>
      <c r="Q775" s="302"/>
      <c r="R775" s="303"/>
      <c r="S775" s="289">
        <v>3.5</v>
      </c>
      <c r="T775" s="303">
        <v>42208</v>
      </c>
      <c r="U775" s="302"/>
      <c r="V775" s="303"/>
      <c r="W775" s="302"/>
      <c r="X775" s="303"/>
      <c r="Y775" s="302">
        <v>12.13</v>
      </c>
      <c r="Z775" s="303">
        <v>42208</v>
      </c>
      <c r="AA775">
        <v>14.4</v>
      </c>
      <c r="AB775" s="303"/>
      <c r="AC775" s="302"/>
      <c r="AD775" s="303"/>
      <c r="AE775" s="302"/>
      <c r="AF775" s="303"/>
      <c r="AG775">
        <v>47142.650462962964</v>
      </c>
      <c r="AH775" s="521">
        <f>(AK775*10000)/AM775</f>
        <v>47142.650462962964</v>
      </c>
      <c r="AI775" s="302"/>
      <c r="AJ775" s="303"/>
      <c r="AK775">
        <v>22.628472222222221</v>
      </c>
      <c r="AL775" s="521"/>
      <c r="AM775">
        <v>4.8</v>
      </c>
      <c r="AN775" s="303">
        <v>42244</v>
      </c>
      <c r="AO775">
        <v>135</v>
      </c>
      <c r="AP775" s="303">
        <v>42170</v>
      </c>
      <c r="AQ775" s="302"/>
      <c r="AR775" s="303"/>
      <c r="AS775" s="302"/>
      <c r="AT775" s="303"/>
      <c r="AU775">
        <v>112</v>
      </c>
      <c r="AV775" s="303"/>
      <c r="AW775" s="302"/>
      <c r="AX775" s="302"/>
      <c r="AY775" s="302"/>
      <c r="AZ775" s="303"/>
      <c r="BA775" s="302"/>
      <c r="BB775" s="302"/>
      <c r="BC775" s="302"/>
      <c r="BD775" s="302"/>
      <c r="BE775" s="302"/>
      <c r="BF775" s="302"/>
      <c r="BG775" s="302"/>
      <c r="BH775" s="302"/>
      <c r="BI775" s="302"/>
      <c r="BJ775" s="302"/>
      <c r="BM775">
        <v>40.4</v>
      </c>
      <c r="BS775">
        <v>21.5</v>
      </c>
      <c r="BY775">
        <v>47.8</v>
      </c>
      <c r="CA775">
        <v>20.6</v>
      </c>
      <c r="CC775">
        <v>64.7</v>
      </c>
      <c r="CI775">
        <v>5</v>
      </c>
      <c r="CO775" t="s">
        <v>8698</v>
      </c>
      <c r="CR775">
        <v>4</v>
      </c>
      <c r="CT775" s="304" t="s">
        <v>11678</v>
      </c>
    </row>
    <row r="776" spans="1:98" s="304" customFormat="1">
      <c r="A776" s="304" t="s">
        <v>8506</v>
      </c>
      <c r="B776" s="463">
        <v>149</v>
      </c>
      <c r="C776" s="296" t="s">
        <v>7777</v>
      </c>
      <c r="D776" s="296" t="s">
        <v>7578</v>
      </c>
      <c r="E776" s="296" t="s">
        <v>7777</v>
      </c>
      <c r="F776" s="296"/>
      <c r="G776" s="296" t="s">
        <v>8506</v>
      </c>
      <c r="H776" s="297" t="s">
        <v>8696</v>
      </c>
      <c r="I776" s="297">
        <v>3</v>
      </c>
      <c r="J776" s="297">
        <v>3296</v>
      </c>
      <c r="K776" s="299"/>
      <c r="L776" s="299"/>
      <c r="M776" s="299">
        <v>127</v>
      </c>
      <c r="N776" s="299">
        <v>5</v>
      </c>
      <c r="O776" s="300">
        <v>30</v>
      </c>
      <c r="P776" s="301">
        <v>42090</v>
      </c>
      <c r="Q776" s="302"/>
      <c r="R776" s="303"/>
      <c r="S776" s="289"/>
      <c r="T776" s="303"/>
      <c r="U776" s="302"/>
      <c r="V776" s="303"/>
      <c r="W776" s="302"/>
      <c r="X776" s="303"/>
      <c r="Y776" s="302"/>
      <c r="Z776" s="303"/>
      <c r="AA776"/>
      <c r="AB776" s="303"/>
      <c r="AC776" s="302"/>
      <c r="AD776" s="303"/>
      <c r="AE776" s="302"/>
      <c r="AF776" s="303"/>
      <c r="AG776" t="e">
        <v>#DIV/0!</v>
      </c>
      <c r="AH776" s="521" t="e">
        <f>(AK776*10000)/AM776</f>
        <v>#DIV/0!</v>
      </c>
      <c r="AI776" s="302"/>
      <c r="AJ776" s="303"/>
      <c r="AK776" t="e">
        <v>#DIV/0!</v>
      </c>
      <c r="AL776" s="521"/>
      <c r="AM776"/>
      <c r="AN776" s="303"/>
      <c r="AO776"/>
      <c r="AP776" s="303"/>
      <c r="AQ776" s="302"/>
      <c r="AR776" s="303"/>
      <c r="AS776" s="302"/>
      <c r="AT776" s="303"/>
      <c r="AU776"/>
      <c r="AV776" s="303"/>
      <c r="AW776" s="302"/>
      <c r="AX776" s="302"/>
      <c r="AY776" s="302"/>
      <c r="AZ776" s="303"/>
      <c r="BA776" s="302"/>
      <c r="BB776" s="302"/>
      <c r="BC776" s="302"/>
      <c r="BD776" s="302"/>
      <c r="BE776" s="302"/>
      <c r="BF776" s="302"/>
      <c r="BG776" s="302"/>
      <c r="BH776" s="302"/>
      <c r="BI776" s="302"/>
      <c r="BJ776" s="302"/>
      <c r="BM776"/>
      <c r="BS776"/>
      <c r="BY776"/>
      <c r="CA776"/>
      <c r="CC776"/>
      <c r="CI776"/>
      <c r="CO776" t="s">
        <v>8711</v>
      </c>
      <c r="CR776"/>
      <c r="CT776" s="304" t="s">
        <v>11677</v>
      </c>
    </row>
    <row r="777" spans="1:98" s="304" customFormat="1">
      <c r="A777" s="304" t="s">
        <v>8506</v>
      </c>
      <c r="B777" s="463">
        <v>150</v>
      </c>
      <c r="C777" s="296" t="s">
        <v>7778</v>
      </c>
      <c r="D777" s="296" t="s">
        <v>7579</v>
      </c>
      <c r="E777" s="296" t="s">
        <v>7778</v>
      </c>
      <c r="F777" s="296"/>
      <c r="G777" s="296" t="s">
        <v>8506</v>
      </c>
      <c r="H777" s="297" t="s">
        <v>8696</v>
      </c>
      <c r="I777" s="297">
        <v>3</v>
      </c>
      <c r="J777" s="297">
        <v>3116</v>
      </c>
      <c r="K777" s="299"/>
      <c r="L777" s="299"/>
      <c r="M777" s="299">
        <v>127</v>
      </c>
      <c r="N777" s="299">
        <v>2</v>
      </c>
      <c r="O777" s="300">
        <v>30</v>
      </c>
      <c r="P777" s="301">
        <v>42090</v>
      </c>
      <c r="Q777" s="302"/>
      <c r="R777" s="303"/>
      <c r="S777" s="289">
        <v>5.65</v>
      </c>
      <c r="T777" s="303">
        <v>42208</v>
      </c>
      <c r="U777" s="302"/>
      <c r="V777" s="303"/>
      <c r="W777" s="302"/>
      <c r="X777" s="303"/>
      <c r="Y777" s="302">
        <v>21.24</v>
      </c>
      <c r="Z777" s="303">
        <v>42208</v>
      </c>
      <c r="AA777">
        <v>14.4</v>
      </c>
      <c r="AB777" s="303"/>
      <c r="AC777" s="302"/>
      <c r="AD777" s="303"/>
      <c r="AE777" s="302"/>
      <c r="AF777" s="303"/>
      <c r="AG777">
        <v>71700.531045751632</v>
      </c>
      <c r="AH777" s="521">
        <f>(AK777*10000)/AM777</f>
        <v>71700.531045751632</v>
      </c>
      <c r="AI777" s="302"/>
      <c r="AJ777" s="303"/>
      <c r="AK777">
        <v>36.567270833333332</v>
      </c>
      <c r="AL777" s="521"/>
      <c r="AM777">
        <v>5.0999999999999996</v>
      </c>
      <c r="AN777" s="303">
        <v>42244</v>
      </c>
      <c r="AO777">
        <v>125</v>
      </c>
      <c r="AP777" s="303">
        <v>42170</v>
      </c>
      <c r="AQ777" s="302"/>
      <c r="AR777" s="303"/>
      <c r="AS777" s="302"/>
      <c r="AT777" s="303"/>
      <c r="AU777">
        <v>107</v>
      </c>
      <c r="AV777" s="303"/>
      <c r="AW777" s="302"/>
      <c r="AX777" s="302"/>
      <c r="AY777" s="302"/>
      <c r="AZ777" s="303"/>
      <c r="BA777" s="302"/>
      <c r="BB777" s="302"/>
      <c r="BC777" s="302"/>
      <c r="BD777" s="302"/>
      <c r="BE777" s="302"/>
      <c r="BF777" s="302"/>
      <c r="BG777" s="302"/>
      <c r="BH777" s="302"/>
      <c r="BI777" s="302"/>
      <c r="BJ777" s="302"/>
      <c r="BM777">
        <v>-1.1000000000000001</v>
      </c>
      <c r="BS777">
        <v>60.3</v>
      </c>
      <c r="BY777">
        <v>51.8</v>
      </c>
      <c r="CA777">
        <v>17.5</v>
      </c>
      <c r="CC777">
        <v>10.199999999999999</v>
      </c>
      <c r="CI777">
        <v>4.9000000000000004</v>
      </c>
      <c r="CO777" t="s">
        <v>8699</v>
      </c>
      <c r="CR777">
        <v>5</v>
      </c>
      <c r="CT777" s="304" t="s">
        <v>11678</v>
      </c>
    </row>
    <row r="778" spans="1:98" s="304" customFormat="1">
      <c r="A778" s="304" t="s">
        <v>8506</v>
      </c>
      <c r="B778" s="463">
        <v>169</v>
      </c>
      <c r="C778" s="296" t="s">
        <v>7797</v>
      </c>
      <c r="D778" s="296" t="s">
        <v>7598</v>
      </c>
      <c r="E778" s="296" t="s">
        <v>7797</v>
      </c>
      <c r="F778" s="296"/>
      <c r="G778" s="296" t="s">
        <v>8506</v>
      </c>
      <c r="H778" s="297" t="s">
        <v>8697</v>
      </c>
      <c r="I778" s="297">
        <v>4</v>
      </c>
      <c r="J778" s="297">
        <v>4176</v>
      </c>
      <c r="K778" s="299"/>
      <c r="L778" s="299"/>
      <c r="M778" s="299">
        <v>127</v>
      </c>
      <c r="N778" s="299">
        <v>9</v>
      </c>
      <c r="O778" s="300">
        <v>50</v>
      </c>
      <c r="P778" s="301">
        <v>42090</v>
      </c>
      <c r="Q778" s="302"/>
      <c r="R778" s="303"/>
      <c r="S778" s="289">
        <v>4.5</v>
      </c>
      <c r="T778" s="303">
        <v>42208</v>
      </c>
      <c r="U778" s="302"/>
      <c r="V778" s="303"/>
      <c r="W778" s="302"/>
      <c r="X778" s="303"/>
      <c r="Y778" s="302">
        <v>17.11</v>
      </c>
      <c r="Z778" s="303">
        <v>42208</v>
      </c>
      <c r="AA778">
        <v>14.4</v>
      </c>
      <c r="AB778" s="303"/>
      <c r="AC778" s="302"/>
      <c r="AD778" s="303"/>
      <c r="AE778" s="302"/>
      <c r="AF778" s="303"/>
      <c r="AG778">
        <v>58003.75</v>
      </c>
      <c r="AH778" s="521">
        <f>(AK778*10000)/AM778</f>
        <v>58003.75</v>
      </c>
      <c r="AI778" s="302"/>
      <c r="AJ778" s="303"/>
      <c r="AK778">
        <v>29.001874999999998</v>
      </c>
      <c r="AL778" s="521"/>
      <c r="AM778">
        <v>5</v>
      </c>
      <c r="AN778" s="303">
        <v>42244</v>
      </c>
      <c r="AO778">
        <v>130</v>
      </c>
      <c r="AP778" s="303">
        <v>42170</v>
      </c>
      <c r="AQ778" s="302"/>
      <c r="AR778" s="303"/>
      <c r="AS778" s="302"/>
      <c r="AT778" s="303"/>
      <c r="AU778">
        <v>110</v>
      </c>
      <c r="AV778" s="303"/>
      <c r="AW778" s="302"/>
      <c r="AX778" s="302"/>
      <c r="AY778" s="302"/>
      <c r="AZ778" s="303"/>
      <c r="BA778" s="302"/>
      <c r="BB778" s="302"/>
      <c r="BC778" s="302"/>
      <c r="BD778" s="302"/>
      <c r="BE778" s="302"/>
      <c r="BF778" s="302"/>
      <c r="BG778" s="302"/>
      <c r="BH778" s="302"/>
      <c r="BI778" s="302"/>
      <c r="BJ778" s="302"/>
      <c r="BM778">
        <v>-3</v>
      </c>
      <c r="BS778">
        <v>59.6</v>
      </c>
      <c r="BY778">
        <v>52.6</v>
      </c>
      <c r="CA778">
        <v>14.1</v>
      </c>
      <c r="CC778">
        <v>16</v>
      </c>
      <c r="CI778">
        <v>5.3</v>
      </c>
      <c r="CO778" t="s">
        <v>8698</v>
      </c>
      <c r="CR778">
        <v>1</v>
      </c>
      <c r="CT778" s="304" t="s">
        <v>11678</v>
      </c>
    </row>
    <row r="779" spans="1:98" s="304" customFormat="1">
      <c r="A779" s="304" t="s">
        <v>8506</v>
      </c>
      <c r="B779" s="463">
        <v>75</v>
      </c>
      <c r="C779" s="296" t="s">
        <v>7693</v>
      </c>
      <c r="D779" s="296" t="s">
        <v>7522</v>
      </c>
      <c r="E779" s="296" t="s">
        <v>7693</v>
      </c>
      <c r="F779" s="296"/>
      <c r="G779" s="296" t="s">
        <v>8506</v>
      </c>
      <c r="H779" s="297" t="s">
        <v>8697</v>
      </c>
      <c r="I779" s="297">
        <v>4</v>
      </c>
      <c r="J779" s="297">
        <v>4177</v>
      </c>
      <c r="K779" s="299"/>
      <c r="L779" s="299"/>
      <c r="M779" s="299">
        <v>128</v>
      </c>
      <c r="N779" s="299">
        <v>9</v>
      </c>
      <c r="O779" s="300">
        <v>30</v>
      </c>
      <c r="P779" s="301">
        <v>42090</v>
      </c>
      <c r="Q779" s="302"/>
      <c r="R779" s="303"/>
      <c r="S779" s="289">
        <v>4.0999999999999996</v>
      </c>
      <c r="T779" s="303">
        <v>42208</v>
      </c>
      <c r="U779" s="302"/>
      <c r="V779" s="303"/>
      <c r="W779" s="302"/>
      <c r="X779" s="303"/>
      <c r="Y779" s="302">
        <v>15.18</v>
      </c>
      <c r="Z779" s="303">
        <v>42208</v>
      </c>
      <c r="AA779">
        <v>14.4</v>
      </c>
      <c r="AB779" s="303"/>
      <c r="AC779" s="302"/>
      <c r="AD779" s="303"/>
      <c r="AE779" s="302"/>
      <c r="AF779" s="303"/>
      <c r="AG779">
        <v>54154.166666666657</v>
      </c>
      <c r="AH779" s="521">
        <f>(AK779*10000)/AM779</f>
        <v>54154.166666666657</v>
      </c>
      <c r="AI779" s="302"/>
      <c r="AJ779" s="303"/>
      <c r="AK779">
        <v>26.535541666666663</v>
      </c>
      <c r="AL779" s="521"/>
      <c r="AM779">
        <v>4.9000000000000004</v>
      </c>
      <c r="AN779" s="303">
        <v>42244</v>
      </c>
      <c r="AO779">
        <v>155</v>
      </c>
      <c r="AP779" s="303">
        <v>42170</v>
      </c>
      <c r="AQ779" s="302"/>
      <c r="AR779" s="303"/>
      <c r="AS779" s="302"/>
      <c r="AT779" s="303"/>
      <c r="AU779">
        <v>108</v>
      </c>
      <c r="AV779" s="303"/>
      <c r="AW779" s="302"/>
      <c r="AX779" s="302"/>
      <c r="AY779" s="302"/>
      <c r="AZ779" s="303"/>
      <c r="BA779" s="302"/>
      <c r="BB779" s="302"/>
      <c r="BC779" s="302"/>
      <c r="BD779" s="302"/>
      <c r="BE779" s="302"/>
      <c r="BF779" s="302"/>
      <c r="BG779" s="302"/>
      <c r="BH779" s="302"/>
      <c r="BI779" s="302"/>
      <c r="BJ779" s="302"/>
      <c r="BM779">
        <v>-0.2</v>
      </c>
      <c r="BS779">
        <v>60.2</v>
      </c>
      <c r="BY779">
        <v>51</v>
      </c>
      <c r="CA779">
        <v>17.399999999999999</v>
      </c>
      <c r="CC779">
        <v>16</v>
      </c>
      <c r="CI779">
        <v>4.9000000000000004</v>
      </c>
      <c r="CO779" t="s">
        <v>8698</v>
      </c>
      <c r="CR779">
        <v>1</v>
      </c>
      <c r="CT779" s="304" t="s">
        <v>11678</v>
      </c>
    </row>
    <row r="780" spans="1:98" s="304" customFormat="1">
      <c r="A780" s="304" t="s">
        <v>8506</v>
      </c>
      <c r="B780" s="463">
        <v>81</v>
      </c>
      <c r="C780" s="296" t="s">
        <v>7699</v>
      </c>
      <c r="D780" s="296" t="s">
        <v>7528</v>
      </c>
      <c r="E780" s="296" t="s">
        <v>7699</v>
      </c>
      <c r="F780" s="296"/>
      <c r="G780" s="296" t="s">
        <v>8506</v>
      </c>
      <c r="H780" s="297" t="s">
        <v>8696</v>
      </c>
      <c r="I780" s="297">
        <v>3</v>
      </c>
      <c r="J780" s="297">
        <v>3117</v>
      </c>
      <c r="K780" s="299"/>
      <c r="L780" s="299"/>
      <c r="M780" s="299">
        <v>128</v>
      </c>
      <c r="N780" s="299">
        <v>2</v>
      </c>
      <c r="O780" s="300">
        <v>36</v>
      </c>
      <c r="P780" s="301">
        <v>42090</v>
      </c>
      <c r="Q780" s="302"/>
      <c r="R780" s="303"/>
      <c r="S780" s="289">
        <v>5.85</v>
      </c>
      <c r="T780" s="303">
        <v>42208</v>
      </c>
      <c r="U780" s="302"/>
      <c r="V780" s="303"/>
      <c r="W780" s="302"/>
      <c r="X780" s="303"/>
      <c r="Y780" s="302">
        <v>22.5</v>
      </c>
      <c r="Z780" s="303">
        <v>42208</v>
      </c>
      <c r="AA780">
        <v>14.4</v>
      </c>
      <c r="AB780" s="303"/>
      <c r="AC780" s="302"/>
      <c r="AD780" s="303"/>
      <c r="AE780" s="302"/>
      <c r="AF780" s="303"/>
      <c r="AG780">
        <v>83960.138888888876</v>
      </c>
      <c r="AH780" s="521">
        <f>(AK780*10000)/AM780</f>
        <v>83960.138888888876</v>
      </c>
      <c r="AI780" s="302"/>
      <c r="AJ780" s="303"/>
      <c r="AK780">
        <v>37.782062499999995</v>
      </c>
      <c r="AL780" s="521"/>
      <c r="AM780">
        <v>4.5</v>
      </c>
      <c r="AN780" s="303">
        <v>42244</v>
      </c>
      <c r="AO780">
        <v>130</v>
      </c>
      <c r="AP780" s="303">
        <v>42170</v>
      </c>
      <c r="AQ780" s="302"/>
      <c r="AR780" s="303"/>
      <c r="AS780" s="302"/>
      <c r="AT780" s="303"/>
      <c r="AU780">
        <v>108</v>
      </c>
      <c r="AV780" s="303"/>
      <c r="AW780" s="302"/>
      <c r="AX780" s="302"/>
      <c r="AY780" s="302"/>
      <c r="AZ780" s="303"/>
      <c r="BA780" s="302"/>
      <c r="BB780" s="302"/>
      <c r="BC780" s="302"/>
      <c r="BD780" s="302"/>
      <c r="BE780" s="302"/>
      <c r="BF780" s="302"/>
      <c r="BG780" s="302"/>
      <c r="BH780" s="302"/>
      <c r="BI780" s="302"/>
      <c r="BJ780" s="302"/>
      <c r="BM780">
        <v>-5.0999999999999996</v>
      </c>
      <c r="BS780">
        <v>67.5</v>
      </c>
      <c r="BY780">
        <v>53.1</v>
      </c>
      <c r="CA780">
        <v>17.899999999999999</v>
      </c>
      <c r="CC780">
        <v>11.9</v>
      </c>
      <c r="CI780">
        <v>5.0999999999999996</v>
      </c>
      <c r="CO780" t="s">
        <v>8699</v>
      </c>
      <c r="CR780">
        <v>3</v>
      </c>
      <c r="CT780" s="304" t="s">
        <v>11678</v>
      </c>
    </row>
    <row r="781" spans="1:98" s="304" customFormat="1">
      <c r="A781" s="304" t="s">
        <v>8506</v>
      </c>
      <c r="B781" s="463">
        <v>87</v>
      </c>
      <c r="C781" s="296" t="s">
        <v>7705</v>
      </c>
      <c r="D781" s="296" t="s">
        <v>7534</v>
      </c>
      <c r="E781" s="296" t="s">
        <v>7705</v>
      </c>
      <c r="F781" s="296"/>
      <c r="G781" s="296" t="s">
        <v>8506</v>
      </c>
      <c r="H781" s="297" t="s">
        <v>8696</v>
      </c>
      <c r="I781" s="297">
        <v>3</v>
      </c>
      <c r="J781" s="297">
        <v>3237</v>
      </c>
      <c r="K781" s="299"/>
      <c r="L781" s="299"/>
      <c r="M781" s="299">
        <v>128</v>
      </c>
      <c r="N781" s="299">
        <v>4</v>
      </c>
      <c r="O781" s="300">
        <v>18</v>
      </c>
      <c r="P781" s="301">
        <v>42090</v>
      </c>
      <c r="Q781" s="302"/>
      <c r="R781" s="303"/>
      <c r="S781" s="289">
        <v>3.7</v>
      </c>
      <c r="T781" s="303">
        <v>42208</v>
      </c>
      <c r="U781" s="302"/>
      <c r="V781" s="303"/>
      <c r="W781" s="302"/>
      <c r="X781" s="303"/>
      <c r="Y781" s="302">
        <v>13.22</v>
      </c>
      <c r="Z781" s="303">
        <v>42208</v>
      </c>
      <c r="AA781">
        <v>14.4</v>
      </c>
      <c r="AB781" s="303"/>
      <c r="AC781" s="302"/>
      <c r="AD781" s="303"/>
      <c r="AE781" s="302"/>
      <c r="AF781" s="303"/>
      <c r="AG781">
        <v>44112.602880658436</v>
      </c>
      <c r="AH781" s="521">
        <f>(AK781*10000)/AM781</f>
        <v>44112.602880658436</v>
      </c>
      <c r="AI781" s="302"/>
      <c r="AJ781" s="303"/>
      <c r="AK781">
        <v>23.820805555555555</v>
      </c>
      <c r="AL781" s="521"/>
      <c r="AM781">
        <v>5.4</v>
      </c>
      <c r="AN781" s="303">
        <v>42244</v>
      </c>
      <c r="AO781">
        <v>120</v>
      </c>
      <c r="AP781" s="303">
        <v>42170</v>
      </c>
      <c r="AQ781" s="302"/>
      <c r="AR781" s="303"/>
      <c r="AS781" s="302"/>
      <c r="AT781" s="303"/>
      <c r="AU781">
        <v>110</v>
      </c>
      <c r="AV781" s="303"/>
      <c r="AW781" s="302"/>
      <c r="AX781" s="302"/>
      <c r="AY781" s="302"/>
      <c r="AZ781" s="303"/>
      <c r="BA781" s="302"/>
      <c r="BB781" s="302"/>
      <c r="BC781" s="302"/>
      <c r="BD781" s="302"/>
      <c r="BE781" s="302"/>
      <c r="BF781" s="302"/>
      <c r="BG781" s="302"/>
      <c r="BH781" s="302"/>
      <c r="BI781" s="302"/>
      <c r="BJ781" s="302"/>
      <c r="BM781">
        <v>1.6</v>
      </c>
      <c r="BS781">
        <v>54</v>
      </c>
      <c r="BY781">
        <v>49.5</v>
      </c>
      <c r="CA781">
        <v>19.100000000000001</v>
      </c>
      <c r="CC781">
        <v>26.3</v>
      </c>
      <c r="CI781">
        <v>5.4</v>
      </c>
      <c r="CO781" t="s">
        <v>8707</v>
      </c>
      <c r="CR781">
        <v>4</v>
      </c>
      <c r="CT781" s="304" t="s">
        <v>11678</v>
      </c>
    </row>
    <row r="782" spans="1:98" s="304" customFormat="1">
      <c r="A782" s="304" t="s">
        <v>8506</v>
      </c>
      <c r="B782" s="463">
        <v>162</v>
      </c>
      <c r="C782" s="296" t="s">
        <v>7790</v>
      </c>
      <c r="D782" s="296" t="s">
        <v>7591</v>
      </c>
      <c r="E782" s="296" t="s">
        <v>7790</v>
      </c>
      <c r="F782" s="296"/>
      <c r="G782" s="296" t="s">
        <v>8506</v>
      </c>
      <c r="H782" s="297" t="s">
        <v>8696</v>
      </c>
      <c r="I782" s="297">
        <v>3</v>
      </c>
      <c r="J782" s="297">
        <v>3177</v>
      </c>
      <c r="K782" s="299"/>
      <c r="L782" s="299"/>
      <c r="M782" s="299">
        <v>128</v>
      </c>
      <c r="N782" s="299">
        <v>3</v>
      </c>
      <c r="O782" s="300">
        <v>12</v>
      </c>
      <c r="P782" s="301">
        <v>42090</v>
      </c>
      <c r="Q782" s="302"/>
      <c r="R782" s="303"/>
      <c r="S782" s="289"/>
      <c r="T782" s="303"/>
      <c r="U782" s="302"/>
      <c r="V782" s="303"/>
      <c r="W782" s="302"/>
      <c r="X782" s="303"/>
      <c r="Y782" s="302"/>
      <c r="Z782" s="303"/>
      <c r="AA782"/>
      <c r="AB782" s="303"/>
      <c r="AC782" s="302"/>
      <c r="AD782" s="303"/>
      <c r="AE782" s="302"/>
      <c r="AF782" s="303"/>
      <c r="AG782" t="e">
        <v>#DIV/0!</v>
      </c>
      <c r="AH782" s="521" t="e">
        <f>(AK782*10000)/AM782</f>
        <v>#DIV/0!</v>
      </c>
      <c r="AI782" s="302"/>
      <c r="AJ782" s="303"/>
      <c r="AK782" t="e">
        <v>#DIV/0!</v>
      </c>
      <c r="AL782" s="521"/>
      <c r="AM782"/>
      <c r="AN782" s="303"/>
      <c r="AO782"/>
      <c r="AP782" s="303"/>
      <c r="AQ782" s="302"/>
      <c r="AR782" s="303"/>
      <c r="AS782" s="302"/>
      <c r="AT782" s="303"/>
      <c r="AU782"/>
      <c r="AV782" s="303"/>
      <c r="AW782" s="302"/>
      <c r="AX782" s="302"/>
      <c r="AY782" s="302"/>
      <c r="AZ782" s="303"/>
      <c r="BA782" s="302"/>
      <c r="BB782" s="302"/>
      <c r="BC782" s="302"/>
      <c r="BD782" s="302"/>
      <c r="BE782" s="302"/>
      <c r="BF782" s="302"/>
      <c r="BG782" s="302"/>
      <c r="BH782" s="302"/>
      <c r="BI782" s="302"/>
      <c r="BJ782" s="302"/>
      <c r="BM782"/>
      <c r="BS782"/>
      <c r="BY782"/>
      <c r="CA782"/>
      <c r="CC782"/>
      <c r="CI782"/>
      <c r="CO782" t="s">
        <v>8699</v>
      </c>
      <c r="CR782"/>
      <c r="CT782" s="304" t="s">
        <v>11677</v>
      </c>
    </row>
    <row r="783" spans="1:98" s="304" customFormat="1">
      <c r="A783" s="304" t="s">
        <v>8506</v>
      </c>
      <c r="B783" s="463">
        <v>171</v>
      </c>
      <c r="C783" s="296" t="s">
        <v>7799</v>
      </c>
      <c r="D783" s="296" t="s">
        <v>7600</v>
      </c>
      <c r="E783" s="296" t="s">
        <v>7799</v>
      </c>
      <c r="F783" s="296"/>
      <c r="G783" s="296" t="s">
        <v>8506</v>
      </c>
      <c r="H783" s="297" t="s">
        <v>8697</v>
      </c>
      <c r="I783" s="297">
        <v>4</v>
      </c>
      <c r="J783" s="297">
        <v>4297</v>
      </c>
      <c r="K783" s="299"/>
      <c r="L783" s="299"/>
      <c r="M783" s="299">
        <v>128</v>
      </c>
      <c r="N783" s="299">
        <v>11</v>
      </c>
      <c r="O783" s="300">
        <v>42</v>
      </c>
      <c r="P783" s="301">
        <v>42090</v>
      </c>
      <c r="Q783" s="302"/>
      <c r="R783" s="303"/>
      <c r="S783" s="289">
        <v>4.1500000000000004</v>
      </c>
      <c r="T783" s="303">
        <v>42208</v>
      </c>
      <c r="U783" s="302"/>
      <c r="V783" s="303"/>
      <c r="W783" s="302"/>
      <c r="X783" s="303"/>
      <c r="Y783" s="302">
        <v>16.12</v>
      </c>
      <c r="Z783" s="303">
        <v>42208</v>
      </c>
      <c r="AA783">
        <v>14.4</v>
      </c>
      <c r="AB783" s="303"/>
      <c r="AC783" s="302"/>
      <c r="AD783" s="303"/>
      <c r="AE783" s="302"/>
      <c r="AF783" s="303"/>
      <c r="AG783">
        <v>51760.830662393157</v>
      </c>
      <c r="AH783" s="521">
        <f>(AK783*10000)/AM783</f>
        <v>51760.830662393157</v>
      </c>
      <c r="AI783" s="302"/>
      <c r="AJ783" s="303"/>
      <c r="AK783">
        <v>26.915631944444446</v>
      </c>
      <c r="AL783" s="521"/>
      <c r="AM783">
        <v>5.2</v>
      </c>
      <c r="AN783" s="303">
        <v>42244</v>
      </c>
      <c r="AO783">
        <v>120</v>
      </c>
      <c r="AP783" s="303">
        <v>42170</v>
      </c>
      <c r="AQ783" s="302"/>
      <c r="AR783" s="303"/>
      <c r="AS783" s="302"/>
      <c r="AT783" s="303"/>
      <c r="AU783">
        <v>110</v>
      </c>
      <c r="AV783" s="303"/>
      <c r="AW783" s="302"/>
      <c r="AX783" s="302"/>
      <c r="AY783" s="302"/>
      <c r="AZ783" s="303"/>
      <c r="BA783" s="302"/>
      <c r="BB783" s="302"/>
      <c r="BC783" s="302"/>
      <c r="BD783" s="302"/>
      <c r="BE783" s="302"/>
      <c r="BF783" s="302"/>
      <c r="BG783" s="302"/>
      <c r="BH783" s="302"/>
      <c r="BI783" s="302"/>
      <c r="BJ783" s="302"/>
      <c r="BM783">
        <v>1.3</v>
      </c>
      <c r="BS783">
        <v>61.1</v>
      </c>
      <c r="BY783">
        <v>53.4</v>
      </c>
      <c r="CA783">
        <v>16</v>
      </c>
      <c r="CC783">
        <v>17.8</v>
      </c>
      <c r="CI783">
        <v>4.7</v>
      </c>
      <c r="CO783" t="s">
        <v>8698</v>
      </c>
      <c r="CR783">
        <v>1</v>
      </c>
      <c r="CT783" s="304" t="s">
        <v>11678</v>
      </c>
    </row>
    <row r="784" spans="1:98" s="304" customFormat="1">
      <c r="A784" s="304" t="s">
        <v>8506</v>
      </c>
      <c r="B784" s="463">
        <v>5</v>
      </c>
      <c r="C784" s="296" t="s">
        <v>7612</v>
      </c>
      <c r="D784" s="296" t="s">
        <v>7811</v>
      </c>
      <c r="E784" s="296" t="s">
        <v>7612</v>
      </c>
      <c r="F784" s="296"/>
      <c r="G784" s="296" t="s">
        <v>8506</v>
      </c>
      <c r="H784" s="297" t="s">
        <v>8696</v>
      </c>
      <c r="I784" s="297">
        <v>3</v>
      </c>
      <c r="J784" s="297">
        <v>3238</v>
      </c>
      <c r="K784" s="299"/>
      <c r="L784" s="299"/>
      <c r="M784" s="299">
        <v>129</v>
      </c>
      <c r="N784" s="299">
        <v>4</v>
      </c>
      <c r="O784" s="300">
        <v>36</v>
      </c>
      <c r="P784" s="301">
        <v>42090</v>
      </c>
      <c r="Q784" s="302"/>
      <c r="R784" s="303"/>
      <c r="S784" s="289">
        <v>4.5999999999999996</v>
      </c>
      <c r="T784" s="303">
        <v>42208</v>
      </c>
      <c r="U784" s="302"/>
      <c r="V784" s="303"/>
      <c r="W784" s="302"/>
      <c r="X784" s="303"/>
      <c r="Y784" s="302">
        <v>15.22</v>
      </c>
      <c r="Z784" s="303">
        <v>42208</v>
      </c>
      <c r="AA784">
        <v>14.4</v>
      </c>
      <c r="AB784" s="303"/>
      <c r="AC784" s="302"/>
      <c r="AD784" s="303"/>
      <c r="AE784" s="302"/>
      <c r="AF784" s="303"/>
      <c r="AG784">
        <v>52121.003898635478</v>
      </c>
      <c r="AH784" s="521">
        <f>(AK784*10000)/AM784</f>
        <v>52121.003898635478</v>
      </c>
      <c r="AI784" s="302"/>
      <c r="AJ784" s="303"/>
      <c r="AK784">
        <v>29.708972222222226</v>
      </c>
      <c r="AL784" s="521"/>
      <c r="AM784">
        <v>5.7</v>
      </c>
      <c r="AN784" s="303">
        <v>42244</v>
      </c>
      <c r="AO784">
        <v>140</v>
      </c>
      <c r="AP784" s="303">
        <v>42170</v>
      </c>
      <c r="AQ784" s="302"/>
      <c r="AR784" s="303"/>
      <c r="AS784" s="302"/>
      <c r="AT784" s="303"/>
      <c r="AU784">
        <v>102</v>
      </c>
      <c r="AV784" s="303"/>
      <c r="AW784" s="302"/>
      <c r="AX784" s="302"/>
      <c r="AY784" s="302"/>
      <c r="AZ784" s="303"/>
      <c r="BA784" s="302"/>
      <c r="BB784" s="302"/>
      <c r="BC784" s="302"/>
      <c r="BD784" s="302"/>
      <c r="BE784" s="302"/>
      <c r="BF784" s="302"/>
      <c r="BG784" s="302"/>
      <c r="BH784" s="302"/>
      <c r="BI784" s="302"/>
      <c r="BJ784" s="302"/>
      <c r="BM784">
        <v>45.3</v>
      </c>
      <c r="BS784">
        <v>7</v>
      </c>
      <c r="BY784">
        <v>45.7</v>
      </c>
      <c r="CA784">
        <v>22.5</v>
      </c>
      <c r="CC784">
        <v>73.8</v>
      </c>
      <c r="CI784">
        <v>5.0999999999999996</v>
      </c>
      <c r="CO784" s="304" t="s">
        <v>11676</v>
      </c>
      <c r="CR784">
        <v>6</v>
      </c>
      <c r="CT784" s="304" t="s">
        <v>11678</v>
      </c>
    </row>
    <row r="785" spans="1:98" s="304" customFormat="1">
      <c r="A785" s="304" t="s">
        <v>8506</v>
      </c>
      <c r="B785" s="463">
        <v>18</v>
      </c>
      <c r="C785" s="296" t="s">
        <v>7627</v>
      </c>
      <c r="D785" s="296" t="s">
        <v>7464</v>
      </c>
      <c r="E785" s="296" t="s">
        <v>7627</v>
      </c>
      <c r="F785" s="296"/>
      <c r="G785" s="296" t="s">
        <v>8506</v>
      </c>
      <c r="H785" s="297" t="s">
        <v>8696</v>
      </c>
      <c r="I785" s="297">
        <v>3</v>
      </c>
      <c r="J785" s="297">
        <v>358</v>
      </c>
      <c r="K785" s="299"/>
      <c r="L785" s="299"/>
      <c r="M785" s="299">
        <v>129</v>
      </c>
      <c r="N785" s="299">
        <v>1</v>
      </c>
      <c r="O785" s="300">
        <v>16</v>
      </c>
      <c r="P785" s="301">
        <v>42090</v>
      </c>
      <c r="Q785" s="302"/>
      <c r="R785" s="303"/>
      <c r="S785" s="289">
        <v>4.8</v>
      </c>
      <c r="T785" s="303">
        <v>42208</v>
      </c>
      <c r="U785" s="302"/>
      <c r="V785" s="303"/>
      <c r="W785" s="302"/>
      <c r="X785" s="303"/>
      <c r="Y785" s="302">
        <v>16.600000000000001</v>
      </c>
      <c r="Z785" s="303">
        <v>42208</v>
      </c>
      <c r="AA785">
        <v>14.4</v>
      </c>
      <c r="AB785" s="303"/>
      <c r="AC785" s="302"/>
      <c r="AD785" s="303"/>
      <c r="AE785" s="302"/>
      <c r="AF785" s="303"/>
      <c r="AG785">
        <v>58430.188679245271</v>
      </c>
      <c r="AH785" s="521">
        <f>(AK785*10000)/AM785</f>
        <v>58430.188679245271</v>
      </c>
      <c r="AI785" s="302"/>
      <c r="AJ785" s="303"/>
      <c r="AK785">
        <v>30.967999999999996</v>
      </c>
      <c r="AL785" s="521"/>
      <c r="AM785">
        <v>5.3</v>
      </c>
      <c r="AN785" s="303">
        <v>42244</v>
      </c>
      <c r="AO785">
        <v>120</v>
      </c>
      <c r="AP785" s="303">
        <v>42170</v>
      </c>
      <c r="AQ785" s="302"/>
      <c r="AR785" s="303"/>
      <c r="AS785" s="302"/>
      <c r="AT785" s="303"/>
      <c r="AU785">
        <v>108</v>
      </c>
      <c r="AV785" s="303"/>
      <c r="AW785" s="302"/>
      <c r="AX785" s="302"/>
      <c r="AY785" s="302"/>
      <c r="AZ785" s="303"/>
      <c r="BA785" s="302"/>
      <c r="BB785" s="302"/>
      <c r="BC785" s="302"/>
      <c r="BD785" s="302"/>
      <c r="BE785" s="302"/>
      <c r="BF785" s="302"/>
      <c r="BG785" s="302"/>
      <c r="BH785" s="302"/>
      <c r="BI785" s="302"/>
      <c r="BJ785" s="302"/>
      <c r="BM785">
        <v>3.9</v>
      </c>
      <c r="BS785">
        <v>54.2</v>
      </c>
      <c r="BY785">
        <v>47.8</v>
      </c>
      <c r="CA785">
        <v>21.9</v>
      </c>
      <c r="CC785">
        <v>52.4</v>
      </c>
      <c r="CI785">
        <v>5.2</v>
      </c>
      <c r="CO785" t="s">
        <v>8699</v>
      </c>
      <c r="CR785">
        <v>3</v>
      </c>
      <c r="CT785" s="304" t="s">
        <v>11678</v>
      </c>
    </row>
    <row r="786" spans="1:98" s="304" customFormat="1">
      <c r="A786" s="304" t="s">
        <v>8506</v>
      </c>
      <c r="B786" s="463">
        <v>31</v>
      </c>
      <c r="C786" s="296" t="s">
        <v>7643</v>
      </c>
      <c r="D786" s="296" t="s">
        <v>7478</v>
      </c>
      <c r="E786" s="296" t="s">
        <v>7643</v>
      </c>
      <c r="F786" s="296"/>
      <c r="G786" s="296" t="s">
        <v>8506</v>
      </c>
      <c r="H786" s="297" t="s">
        <v>8696</v>
      </c>
      <c r="I786" s="297">
        <v>3</v>
      </c>
      <c r="J786" s="297">
        <v>3118</v>
      </c>
      <c r="K786" s="299"/>
      <c r="L786" s="299"/>
      <c r="M786" s="299">
        <v>129</v>
      </c>
      <c r="N786" s="299">
        <v>2</v>
      </c>
      <c r="O786" s="300">
        <v>26</v>
      </c>
      <c r="P786" s="301">
        <v>42090</v>
      </c>
      <c r="Q786" s="302"/>
      <c r="R786" s="303"/>
      <c r="S786" s="289">
        <v>5</v>
      </c>
      <c r="T786" s="303">
        <v>42208</v>
      </c>
      <c r="U786" s="302"/>
      <c r="V786" s="303"/>
      <c r="W786" s="302"/>
      <c r="X786" s="303"/>
      <c r="Y786" s="302">
        <v>17.05</v>
      </c>
      <c r="Z786" s="303">
        <v>42208</v>
      </c>
      <c r="AA786">
        <v>14.4</v>
      </c>
      <c r="AB786" s="303"/>
      <c r="AC786" s="302"/>
      <c r="AD786" s="303"/>
      <c r="AE786" s="302"/>
      <c r="AF786" s="303"/>
      <c r="AG786">
        <v>59800.668724279836</v>
      </c>
      <c r="AH786" s="521">
        <f>(AK786*10000)/AM786</f>
        <v>59800.668724279836</v>
      </c>
      <c r="AI786" s="302"/>
      <c r="AJ786" s="303"/>
      <c r="AK786">
        <v>32.292361111111113</v>
      </c>
      <c r="AL786" s="521"/>
      <c r="AM786">
        <v>5.4</v>
      </c>
      <c r="AN786" s="303">
        <v>42244</v>
      </c>
      <c r="AO786">
        <v>115</v>
      </c>
      <c r="AP786" s="303">
        <v>42170</v>
      </c>
      <c r="AQ786" s="302"/>
      <c r="AR786" s="303"/>
      <c r="AS786" s="302"/>
      <c r="AT786" s="303"/>
      <c r="AU786">
        <v>108</v>
      </c>
      <c r="AV786" s="303"/>
      <c r="AW786" s="302"/>
      <c r="AX786" s="302"/>
      <c r="AY786" s="302"/>
      <c r="AZ786" s="303"/>
      <c r="BA786" s="302"/>
      <c r="BB786" s="302"/>
      <c r="BC786" s="302"/>
      <c r="BD786" s="302"/>
      <c r="BE786" s="302"/>
      <c r="BF786" s="302"/>
      <c r="BG786" s="302"/>
      <c r="BH786" s="302"/>
      <c r="BI786" s="302"/>
      <c r="BJ786" s="302"/>
      <c r="BM786">
        <v>7.3</v>
      </c>
      <c r="BS786">
        <v>54.8</v>
      </c>
      <c r="BY786">
        <v>47.1</v>
      </c>
      <c r="CA786">
        <v>21.2</v>
      </c>
      <c r="CC786">
        <v>60.3</v>
      </c>
      <c r="CI786">
        <v>5.0999999999999996</v>
      </c>
      <c r="CO786" t="s">
        <v>8699</v>
      </c>
      <c r="CR786">
        <v>5</v>
      </c>
      <c r="CT786" s="304" t="s">
        <v>11678</v>
      </c>
    </row>
    <row r="787" spans="1:98" s="304" customFormat="1">
      <c r="A787" s="304" t="s">
        <v>8506</v>
      </c>
      <c r="B787" s="463">
        <v>84</v>
      </c>
      <c r="C787" s="296" t="s">
        <v>7702</v>
      </c>
      <c r="D787" s="296" t="s">
        <v>7531</v>
      </c>
      <c r="E787" s="296" t="s">
        <v>7702</v>
      </c>
      <c r="F787" s="296"/>
      <c r="G787" s="296" t="s">
        <v>8506</v>
      </c>
      <c r="H787" s="297" t="s">
        <v>8697</v>
      </c>
      <c r="I787" s="297">
        <v>4</v>
      </c>
      <c r="J787" s="297">
        <v>458</v>
      </c>
      <c r="K787" s="299"/>
      <c r="L787" s="299"/>
      <c r="M787" s="299">
        <v>129</v>
      </c>
      <c r="N787" s="299">
        <v>7</v>
      </c>
      <c r="O787" s="300">
        <v>64</v>
      </c>
      <c r="P787" s="301">
        <v>42090</v>
      </c>
      <c r="Q787" s="302"/>
      <c r="R787" s="303"/>
      <c r="S787" s="289">
        <v>4.45</v>
      </c>
      <c r="T787" s="303">
        <v>42208</v>
      </c>
      <c r="U787" s="302"/>
      <c r="V787" s="303"/>
      <c r="W787" s="302"/>
      <c r="X787" s="303"/>
      <c r="Y787" s="302">
        <v>16.23</v>
      </c>
      <c r="Z787" s="303">
        <v>42208</v>
      </c>
      <c r="AA787">
        <v>14.4</v>
      </c>
      <c r="AB787" s="303"/>
      <c r="AC787" s="302"/>
      <c r="AD787" s="303"/>
      <c r="AE787" s="302"/>
      <c r="AF787" s="303"/>
      <c r="AG787">
        <v>65387.468434343435</v>
      </c>
      <c r="AH787" s="521">
        <f>(AK787*10000)/AM787</f>
        <v>65387.468434343435</v>
      </c>
      <c r="AI787" s="302"/>
      <c r="AJ787" s="303"/>
      <c r="AK787">
        <v>28.770486111111111</v>
      </c>
      <c r="AL787" s="521"/>
      <c r="AM787">
        <v>4.4000000000000004</v>
      </c>
      <c r="AN787" s="303">
        <v>42244</v>
      </c>
      <c r="AO787">
        <v>125</v>
      </c>
      <c r="AP787" s="303">
        <v>42170</v>
      </c>
      <c r="AQ787" s="302"/>
      <c r="AR787" s="303"/>
      <c r="AS787" s="302"/>
      <c r="AT787" s="303"/>
      <c r="AU787">
        <v>111</v>
      </c>
      <c r="AV787" s="303"/>
      <c r="AW787" s="302"/>
      <c r="AX787" s="302"/>
      <c r="AY787" s="302"/>
      <c r="AZ787" s="303"/>
      <c r="BA787" s="302"/>
      <c r="BB787" s="302"/>
      <c r="BC787" s="302"/>
      <c r="BD787" s="302"/>
      <c r="BE787" s="302"/>
      <c r="BF787" s="302"/>
      <c r="BG787" s="302"/>
      <c r="BH787" s="302"/>
      <c r="BI787" s="302"/>
      <c r="BJ787" s="302"/>
      <c r="BM787">
        <v>-2.5</v>
      </c>
      <c r="BS787">
        <v>62.7</v>
      </c>
      <c r="BY787">
        <v>50.3</v>
      </c>
      <c r="CA787">
        <v>15.8</v>
      </c>
      <c r="CC787">
        <v>19.5</v>
      </c>
      <c r="CI787">
        <v>5</v>
      </c>
      <c r="CO787" t="s">
        <v>8698</v>
      </c>
      <c r="CR787">
        <v>2</v>
      </c>
      <c r="CT787" s="304" t="s">
        <v>11678</v>
      </c>
    </row>
    <row r="788" spans="1:98" s="304" customFormat="1">
      <c r="A788" s="304" t="s">
        <v>8506</v>
      </c>
      <c r="B788" s="463">
        <v>120</v>
      </c>
      <c r="C788" s="296" t="s">
        <v>7740</v>
      </c>
      <c r="D788" s="296" t="s">
        <v>7824</v>
      </c>
      <c r="E788" s="296" t="s">
        <v>7740</v>
      </c>
      <c r="F788" s="296"/>
      <c r="G788" s="296" t="s">
        <v>8506</v>
      </c>
      <c r="H788" s="297" t="s">
        <v>8697</v>
      </c>
      <c r="I788" s="297">
        <v>4</v>
      </c>
      <c r="J788" s="297">
        <v>4238</v>
      </c>
      <c r="K788" s="299"/>
      <c r="L788" s="299"/>
      <c r="M788" s="299">
        <v>129</v>
      </c>
      <c r="N788" s="299">
        <v>10</v>
      </c>
      <c r="O788" s="300">
        <v>63</v>
      </c>
      <c r="P788" s="301">
        <v>42090</v>
      </c>
      <c r="Q788" s="302"/>
      <c r="R788" s="303"/>
      <c r="S788" s="289">
        <v>3.7</v>
      </c>
      <c r="T788" s="303">
        <v>42208</v>
      </c>
      <c r="U788" s="302"/>
      <c r="V788" s="303"/>
      <c r="W788" s="302"/>
      <c r="X788" s="303"/>
      <c r="Y788" s="302">
        <v>13.24</v>
      </c>
      <c r="Z788" s="303">
        <v>42208</v>
      </c>
      <c r="AA788">
        <v>14.4</v>
      </c>
      <c r="AB788" s="303"/>
      <c r="AC788" s="302"/>
      <c r="AD788" s="303"/>
      <c r="AE788" s="302"/>
      <c r="AF788" s="303"/>
      <c r="AG788">
        <v>47691.972222222226</v>
      </c>
      <c r="AH788" s="521">
        <f>(AK788*10000)/AM788</f>
        <v>47691.972222222226</v>
      </c>
      <c r="AI788" s="302"/>
      <c r="AJ788" s="303"/>
      <c r="AK788">
        <v>23.845986111111113</v>
      </c>
      <c r="AL788" s="521"/>
      <c r="AM788">
        <v>5</v>
      </c>
      <c r="AN788" s="303">
        <v>42244</v>
      </c>
      <c r="AO788">
        <v>125</v>
      </c>
      <c r="AP788" s="303">
        <v>42170</v>
      </c>
      <c r="AQ788" s="302"/>
      <c r="AR788" s="303"/>
      <c r="AS788" s="302"/>
      <c r="AT788" s="303"/>
      <c r="AU788">
        <v>106</v>
      </c>
      <c r="AV788" s="303"/>
      <c r="AW788" s="302"/>
      <c r="AX788" s="302"/>
      <c r="AY788" s="302"/>
      <c r="AZ788" s="303"/>
      <c r="BA788" s="302"/>
      <c r="BB788" s="302"/>
      <c r="BC788" s="302"/>
      <c r="BD788" s="302"/>
      <c r="BE788" s="302"/>
      <c r="BF788" s="302"/>
      <c r="BG788" s="302"/>
      <c r="BH788" s="302"/>
      <c r="BI788" s="302"/>
      <c r="BJ788" s="302"/>
      <c r="BM788">
        <v>47.3</v>
      </c>
      <c r="BS788">
        <v>10.5</v>
      </c>
      <c r="BY788">
        <v>49.5</v>
      </c>
      <c r="CA788">
        <v>19.899999999999999</v>
      </c>
      <c r="CC788">
        <v>77.3</v>
      </c>
      <c r="CI788">
        <v>5.3</v>
      </c>
      <c r="CO788" t="s">
        <v>8698</v>
      </c>
      <c r="CR788">
        <v>3</v>
      </c>
      <c r="CT788" s="304" t="s">
        <v>11678</v>
      </c>
    </row>
    <row r="789" spans="1:98" s="304" customFormat="1">
      <c r="A789" s="304" t="s">
        <v>8506</v>
      </c>
      <c r="B789" s="463">
        <v>168</v>
      </c>
      <c r="C789" s="296" t="s">
        <v>7796</v>
      </c>
      <c r="D789" s="296" t="s">
        <v>7597</v>
      </c>
      <c r="E789" s="296" t="s">
        <v>7796</v>
      </c>
      <c r="F789" s="296"/>
      <c r="G789" s="296" t="s">
        <v>8506</v>
      </c>
      <c r="H789" s="297" t="s">
        <v>8696</v>
      </c>
      <c r="I789" s="297">
        <v>3</v>
      </c>
      <c r="J789" s="297">
        <v>3358</v>
      </c>
      <c r="K789" s="299"/>
      <c r="L789" s="299"/>
      <c r="M789" s="299">
        <v>129</v>
      </c>
      <c r="N789" s="299">
        <v>6</v>
      </c>
      <c r="O789" s="300">
        <v>46</v>
      </c>
      <c r="P789" s="301">
        <v>42090</v>
      </c>
      <c r="Q789" s="302"/>
      <c r="R789" s="303"/>
      <c r="S789" s="289">
        <v>7</v>
      </c>
      <c r="T789" s="303">
        <v>42208</v>
      </c>
      <c r="U789" s="302"/>
      <c r="V789" s="303"/>
      <c r="W789" s="302"/>
      <c r="X789" s="303"/>
      <c r="Y789" s="302">
        <v>25.83</v>
      </c>
      <c r="Z789" s="303">
        <v>42208</v>
      </c>
      <c r="AA789">
        <v>14.4</v>
      </c>
      <c r="AB789" s="303"/>
      <c r="AC789" s="302"/>
      <c r="AD789" s="303"/>
      <c r="AE789" s="302"/>
      <c r="AF789" s="303"/>
      <c r="AG789">
        <v>85570.23060796647</v>
      </c>
      <c r="AH789" s="521">
        <f>(AK789*10000)/AM789</f>
        <v>85570.23060796647</v>
      </c>
      <c r="AI789" s="302"/>
      <c r="AJ789" s="303"/>
      <c r="AK789">
        <v>45.352222222222224</v>
      </c>
      <c r="AL789" s="521"/>
      <c r="AM789">
        <v>5.3</v>
      </c>
      <c r="AN789" s="303">
        <v>42244</v>
      </c>
      <c r="AO789">
        <v>140</v>
      </c>
      <c r="AP789" s="303">
        <v>42170</v>
      </c>
      <c r="AQ789" s="302"/>
      <c r="AR789" s="303"/>
      <c r="AS789" s="302"/>
      <c r="AT789" s="303"/>
      <c r="AU789">
        <v>106</v>
      </c>
      <c r="AV789" s="303"/>
      <c r="AW789" s="302"/>
      <c r="AX789" s="302"/>
      <c r="AY789" s="302"/>
      <c r="AZ789" s="303"/>
      <c r="BA789" s="302"/>
      <c r="BB789" s="302"/>
      <c r="BC789" s="302"/>
      <c r="BD789" s="302"/>
      <c r="BE789" s="302"/>
      <c r="BF789" s="302"/>
      <c r="BG789" s="302"/>
      <c r="BH789" s="302"/>
      <c r="BI789" s="302"/>
      <c r="BJ789" s="302"/>
      <c r="BM789">
        <v>-2.4</v>
      </c>
      <c r="BS789">
        <v>60.4</v>
      </c>
      <c r="BY789">
        <v>50.8</v>
      </c>
      <c r="CA789">
        <v>18.3</v>
      </c>
      <c r="CC789">
        <v>17</v>
      </c>
      <c r="CI789">
        <v>4.8</v>
      </c>
      <c r="CO789" t="s">
        <v>8698</v>
      </c>
      <c r="CR789">
        <v>2</v>
      </c>
      <c r="CT789" s="304" t="s">
        <v>11678</v>
      </c>
    </row>
    <row r="790" spans="1:98" s="304" customFormat="1">
      <c r="A790" s="304" t="s">
        <v>8506</v>
      </c>
      <c r="B790" s="463">
        <v>178</v>
      </c>
      <c r="C790" s="296" t="s">
        <v>7806</v>
      </c>
      <c r="D790" s="296" t="s">
        <v>7603</v>
      </c>
      <c r="E790" s="296" t="s">
        <v>7806</v>
      </c>
      <c r="F790" s="296"/>
      <c r="G790" s="296" t="s">
        <v>8506</v>
      </c>
      <c r="H790" s="297" t="s">
        <v>8696</v>
      </c>
      <c r="I790" s="297">
        <v>3</v>
      </c>
      <c r="J790" s="297">
        <v>3298</v>
      </c>
      <c r="K790" s="299"/>
      <c r="L790" s="299"/>
      <c r="M790" s="299">
        <v>129</v>
      </c>
      <c r="N790" s="299">
        <v>5</v>
      </c>
      <c r="O790" s="300">
        <v>23</v>
      </c>
      <c r="P790" s="301">
        <v>42090</v>
      </c>
      <c r="Q790" s="302"/>
      <c r="R790" s="303"/>
      <c r="S790" s="289">
        <v>6.35</v>
      </c>
      <c r="T790" s="303">
        <v>42208</v>
      </c>
      <c r="U790" s="302"/>
      <c r="V790" s="303"/>
      <c r="W790" s="302"/>
      <c r="X790" s="303"/>
      <c r="Y790" s="302">
        <v>22.6</v>
      </c>
      <c r="Z790" s="303">
        <v>42208</v>
      </c>
      <c r="AA790">
        <v>14.4</v>
      </c>
      <c r="AB790" s="303"/>
      <c r="AC790" s="302"/>
      <c r="AD790" s="303"/>
      <c r="AE790" s="302"/>
      <c r="AF790" s="303"/>
      <c r="AG790">
        <v>79117.200854700845</v>
      </c>
      <c r="AH790" s="521">
        <f>(AK790*10000)/AM790</f>
        <v>79117.200854700845</v>
      </c>
      <c r="AI790" s="302"/>
      <c r="AJ790" s="303"/>
      <c r="AK790">
        <v>41.140944444444443</v>
      </c>
      <c r="AL790" s="521"/>
      <c r="AM790">
        <v>5.2</v>
      </c>
      <c r="AN790" s="303">
        <v>42244</v>
      </c>
      <c r="AO790">
        <v>135</v>
      </c>
      <c r="AP790" s="303">
        <v>42170</v>
      </c>
      <c r="AQ790" s="302"/>
      <c r="AR790" s="303"/>
      <c r="AS790" s="302"/>
      <c r="AT790" s="303"/>
      <c r="AU790">
        <v>110</v>
      </c>
      <c r="AV790" s="303"/>
      <c r="AW790" s="302"/>
      <c r="AX790" s="302"/>
      <c r="AY790" s="302"/>
      <c r="AZ790" s="303"/>
      <c r="BA790" s="302"/>
      <c r="BB790" s="302"/>
      <c r="BC790" s="302"/>
      <c r="BD790" s="302"/>
      <c r="BE790" s="302"/>
      <c r="BF790" s="302"/>
      <c r="BG790" s="302"/>
      <c r="BH790" s="302"/>
      <c r="BI790" s="302"/>
      <c r="BJ790" s="302"/>
      <c r="BM790">
        <v>1.2</v>
      </c>
      <c r="BS790">
        <v>59.5</v>
      </c>
      <c r="BY790">
        <v>49</v>
      </c>
      <c r="CA790">
        <v>19.3</v>
      </c>
      <c r="CC790">
        <v>16.399999999999999</v>
      </c>
      <c r="CI790">
        <v>4.8</v>
      </c>
      <c r="CO790" t="s">
        <v>8698</v>
      </c>
      <c r="CR790">
        <v>2</v>
      </c>
      <c r="CT790" s="304" t="s">
        <v>11678</v>
      </c>
    </row>
    <row r="791" spans="1:98" s="304" customFormat="1">
      <c r="A791" s="304" t="s">
        <v>8506</v>
      </c>
      <c r="B791" s="463">
        <v>22</v>
      </c>
      <c r="C791" s="296" t="s">
        <v>7634</v>
      </c>
      <c r="D791" s="296" t="s">
        <v>7470</v>
      </c>
      <c r="E791" s="296" t="s">
        <v>7634</v>
      </c>
      <c r="F791" s="296"/>
      <c r="G791" s="296" t="s">
        <v>8506</v>
      </c>
      <c r="H791" s="297" t="s">
        <v>8697</v>
      </c>
      <c r="I791" s="297">
        <v>4</v>
      </c>
      <c r="J791" s="297">
        <v>4179</v>
      </c>
      <c r="K791" s="299"/>
      <c r="L791" s="299"/>
      <c r="M791" s="299">
        <v>130</v>
      </c>
      <c r="N791" s="299">
        <v>9</v>
      </c>
      <c r="O791" s="300">
        <v>30</v>
      </c>
      <c r="P791" s="301">
        <v>42090</v>
      </c>
      <c r="Q791" s="302"/>
      <c r="R791" s="303"/>
      <c r="S791" s="289">
        <v>4.75</v>
      </c>
      <c r="T791" s="303">
        <v>42208</v>
      </c>
      <c r="U791" s="302"/>
      <c r="V791" s="303"/>
      <c r="W791" s="302"/>
      <c r="X791" s="303"/>
      <c r="Y791" s="302">
        <v>19.5</v>
      </c>
      <c r="Z791" s="303">
        <v>42208</v>
      </c>
      <c r="AA791">
        <v>14.4</v>
      </c>
      <c r="AB791" s="303"/>
      <c r="AC791" s="302"/>
      <c r="AD791" s="303"/>
      <c r="AE791" s="302"/>
      <c r="AF791" s="303"/>
      <c r="AG791">
        <v>60342.592592592599</v>
      </c>
      <c r="AH791" s="521">
        <f>(AK791*10000)/AM791</f>
        <v>60342.592592592599</v>
      </c>
      <c r="AI791" s="302"/>
      <c r="AJ791" s="303"/>
      <c r="AK791">
        <v>30.774722222222223</v>
      </c>
      <c r="AL791" s="521"/>
      <c r="AM791">
        <v>5.0999999999999996</v>
      </c>
      <c r="AN791" s="303">
        <v>42244</v>
      </c>
      <c r="AO791">
        <v>135</v>
      </c>
      <c r="AP791" s="303">
        <v>42170</v>
      </c>
      <c r="AQ791" s="302"/>
      <c r="AR791" s="303"/>
      <c r="AS791" s="302"/>
      <c r="AT791" s="303"/>
      <c r="AU791">
        <v>108</v>
      </c>
      <c r="AV791" s="303"/>
      <c r="AW791" s="302"/>
      <c r="AX791" s="302"/>
      <c r="AY791" s="302"/>
      <c r="AZ791" s="303"/>
      <c r="BA791" s="302"/>
      <c r="BB791" s="302"/>
      <c r="BC791" s="302"/>
      <c r="BD791" s="302"/>
      <c r="BE791" s="302"/>
      <c r="BF791" s="302"/>
      <c r="BG791" s="302"/>
      <c r="BH791" s="302"/>
      <c r="BI791" s="302"/>
      <c r="BJ791" s="302"/>
      <c r="BM791">
        <v>47.2</v>
      </c>
      <c r="BS791">
        <v>17.100000000000001</v>
      </c>
      <c r="BY791">
        <v>56.5</v>
      </c>
      <c r="CA791">
        <v>15.6</v>
      </c>
      <c r="CC791">
        <v>14.2</v>
      </c>
      <c r="CI791">
        <v>4.8</v>
      </c>
      <c r="CO791" t="s">
        <v>8698</v>
      </c>
      <c r="CR791">
        <v>1</v>
      </c>
      <c r="CT791" s="304" t="s">
        <v>11678</v>
      </c>
    </row>
    <row r="792" spans="1:98" s="304" customFormat="1">
      <c r="A792" s="304" t="s">
        <v>8506</v>
      </c>
      <c r="B792" s="463">
        <v>60</v>
      </c>
      <c r="C792" s="296" t="s">
        <v>7678</v>
      </c>
      <c r="D792" s="296" t="s">
        <v>261</v>
      </c>
      <c r="E792" s="296" t="s">
        <v>7678</v>
      </c>
      <c r="F792" s="296"/>
      <c r="G792" s="296" t="s">
        <v>8506</v>
      </c>
      <c r="H792" s="297" t="s">
        <v>8696</v>
      </c>
      <c r="I792" s="297">
        <v>3</v>
      </c>
      <c r="J792" s="297">
        <v>3359</v>
      </c>
      <c r="K792" s="299"/>
      <c r="L792" s="299"/>
      <c r="M792" s="299">
        <v>130</v>
      </c>
      <c r="N792" s="299">
        <v>6</v>
      </c>
      <c r="O792" s="300">
        <v>34</v>
      </c>
      <c r="P792" s="301">
        <v>42090</v>
      </c>
      <c r="Q792" s="302"/>
      <c r="R792" s="303"/>
      <c r="S792" s="289">
        <v>5.45</v>
      </c>
      <c r="T792" s="303">
        <v>42208</v>
      </c>
      <c r="U792" s="302"/>
      <c r="V792" s="303"/>
      <c r="W792" s="302"/>
      <c r="X792" s="303"/>
      <c r="Y792" s="302">
        <v>18.61</v>
      </c>
      <c r="Z792" s="303">
        <v>42208</v>
      </c>
      <c r="AA792">
        <v>14.4</v>
      </c>
      <c r="AB792" s="303"/>
      <c r="AC792" s="302"/>
      <c r="AD792" s="303"/>
      <c r="AE792" s="302"/>
      <c r="AF792" s="303"/>
      <c r="AG792">
        <v>62788.541666666664</v>
      </c>
      <c r="AH792" s="521">
        <f>(AK792*10000)/AM792</f>
        <v>62788.541666666664</v>
      </c>
      <c r="AI792" s="302"/>
      <c r="AJ792" s="303"/>
      <c r="AK792">
        <v>35.161583333333333</v>
      </c>
      <c r="AL792" s="521"/>
      <c r="AM792">
        <v>5.6</v>
      </c>
      <c r="AN792" s="303">
        <v>42244</v>
      </c>
      <c r="AO792">
        <v>140</v>
      </c>
      <c r="AP792" s="303">
        <v>42170</v>
      </c>
      <c r="AQ792" s="302"/>
      <c r="AR792" s="303"/>
      <c r="AS792" s="302"/>
      <c r="AT792" s="303"/>
      <c r="AU792">
        <v>112</v>
      </c>
      <c r="AV792" s="303"/>
      <c r="AW792" s="302"/>
      <c r="AX792" s="302"/>
      <c r="AY792" s="302"/>
      <c r="AZ792" s="303"/>
      <c r="BA792" s="302"/>
      <c r="BB792" s="302"/>
      <c r="BC792" s="302"/>
      <c r="BD792" s="302"/>
      <c r="BE792" s="302"/>
      <c r="BF792" s="302"/>
      <c r="BG792" s="302"/>
      <c r="BH792" s="302"/>
      <c r="BI792" s="302"/>
      <c r="BJ792" s="302"/>
      <c r="BM792">
        <v>-0.9</v>
      </c>
      <c r="BS792">
        <v>65.900000000000006</v>
      </c>
      <c r="BY792">
        <v>47.2</v>
      </c>
      <c r="CA792">
        <v>22.6</v>
      </c>
      <c r="CC792">
        <v>22.2</v>
      </c>
      <c r="CI792">
        <v>5.2</v>
      </c>
      <c r="CO792" t="s">
        <v>8698</v>
      </c>
      <c r="CR792">
        <v>2</v>
      </c>
      <c r="CT792" s="304" t="s">
        <v>11678</v>
      </c>
    </row>
    <row r="793" spans="1:98" s="304" customFormat="1">
      <c r="A793" s="304" t="s">
        <v>8506</v>
      </c>
      <c r="B793" s="463">
        <v>109</v>
      </c>
      <c r="C793" s="296" t="s">
        <v>7727</v>
      </c>
      <c r="D793" s="296" t="s">
        <v>7553</v>
      </c>
      <c r="E793" s="296" t="s">
        <v>7727</v>
      </c>
      <c r="F793" s="296"/>
      <c r="G793" s="296" t="s">
        <v>8506</v>
      </c>
      <c r="H793" s="297" t="s">
        <v>8697</v>
      </c>
      <c r="I793" s="297">
        <v>4</v>
      </c>
      <c r="J793" s="297">
        <v>4239</v>
      </c>
      <c r="K793" s="299"/>
      <c r="L793" s="299"/>
      <c r="M793" s="299">
        <v>130</v>
      </c>
      <c r="N793" s="299">
        <v>10</v>
      </c>
      <c r="O793" s="300">
        <v>26</v>
      </c>
      <c r="P793" s="301">
        <v>42090</v>
      </c>
      <c r="Q793" s="302"/>
      <c r="R793" s="303"/>
      <c r="S793" s="289">
        <v>3.75</v>
      </c>
      <c r="T793" s="303">
        <v>42208</v>
      </c>
      <c r="U793" s="302"/>
      <c r="V793" s="303"/>
      <c r="W793" s="302"/>
      <c r="X793" s="303"/>
      <c r="Y793" s="302">
        <v>14.01</v>
      </c>
      <c r="Z793" s="303">
        <v>42208</v>
      </c>
      <c r="AA793">
        <v>14.4</v>
      </c>
      <c r="AB793" s="303"/>
      <c r="AC793" s="302"/>
      <c r="AD793" s="303"/>
      <c r="AE793" s="302"/>
      <c r="AF793" s="303"/>
      <c r="AG793">
        <v>55159.801136363632</v>
      </c>
      <c r="AH793" s="521">
        <f>(AK793*10000)/AM793</f>
        <v>55159.801136363632</v>
      </c>
      <c r="AI793" s="302"/>
      <c r="AJ793" s="303"/>
      <c r="AK793">
        <v>24.270312499999999</v>
      </c>
      <c r="AL793" s="521"/>
      <c r="AM793">
        <v>4.4000000000000004</v>
      </c>
      <c r="AN793" s="303">
        <v>42244</v>
      </c>
      <c r="AO793">
        <v>145</v>
      </c>
      <c r="AP793" s="303">
        <v>42170</v>
      </c>
      <c r="AQ793" s="302"/>
      <c r="AR793" s="303"/>
      <c r="AS793" s="302"/>
      <c r="AT793" s="303"/>
      <c r="AU793">
        <v>113</v>
      </c>
      <c r="AV793" s="303"/>
      <c r="AW793" s="302"/>
      <c r="AX793" s="302"/>
      <c r="AY793" s="302"/>
      <c r="AZ793" s="303"/>
      <c r="BA793" s="302"/>
      <c r="BB793" s="302"/>
      <c r="BC793" s="302"/>
      <c r="BD793" s="302"/>
      <c r="BE793" s="302"/>
      <c r="BF793" s="302"/>
      <c r="BG793" s="302"/>
      <c r="BH793" s="302"/>
      <c r="BI793" s="302"/>
      <c r="BJ793" s="302"/>
      <c r="BM793">
        <v>-6.2</v>
      </c>
      <c r="BS793">
        <v>65.2</v>
      </c>
      <c r="BY793">
        <v>51.5</v>
      </c>
      <c r="CA793">
        <v>16.5</v>
      </c>
      <c r="CC793">
        <v>12.6</v>
      </c>
      <c r="CI793">
        <v>4.9000000000000004</v>
      </c>
      <c r="CO793" t="s">
        <v>8698</v>
      </c>
      <c r="CR793">
        <v>4</v>
      </c>
      <c r="CT793" s="304" t="s">
        <v>11678</v>
      </c>
    </row>
    <row r="794" spans="1:98" s="304" customFormat="1">
      <c r="A794" s="304" t="s">
        <v>8506</v>
      </c>
      <c r="B794" s="463">
        <v>159</v>
      </c>
      <c r="C794" s="296" t="s">
        <v>7787</v>
      </c>
      <c r="D794" s="296" t="s">
        <v>7588</v>
      </c>
      <c r="E794" s="296" t="s">
        <v>7787</v>
      </c>
      <c r="F794" s="296"/>
      <c r="G794" s="296" t="s">
        <v>8506</v>
      </c>
      <c r="H794" s="297" t="s">
        <v>8697</v>
      </c>
      <c r="I794" s="297">
        <v>4</v>
      </c>
      <c r="J794" s="297">
        <v>459</v>
      </c>
      <c r="K794" s="299"/>
      <c r="L794" s="299"/>
      <c r="M794" s="299">
        <v>130</v>
      </c>
      <c r="N794" s="299">
        <v>7</v>
      </c>
      <c r="O794" s="300">
        <v>14</v>
      </c>
      <c r="P794" s="301">
        <v>42090</v>
      </c>
      <c r="Q794" s="302"/>
      <c r="R794" s="303"/>
      <c r="S794" s="289"/>
      <c r="T794" s="303"/>
      <c r="U794" s="302"/>
      <c r="V794" s="303"/>
      <c r="W794" s="302"/>
      <c r="X794" s="303"/>
      <c r="Y794" s="302"/>
      <c r="Z794" s="303"/>
      <c r="AA794"/>
      <c r="AB794" s="303"/>
      <c r="AC794" s="302"/>
      <c r="AD794" s="303"/>
      <c r="AE794" s="302"/>
      <c r="AF794" s="303"/>
      <c r="AG794" t="e">
        <v>#DIV/0!</v>
      </c>
      <c r="AH794" s="521" t="e">
        <f>(AK794*10000)/AM794</f>
        <v>#DIV/0!</v>
      </c>
      <c r="AI794" s="302"/>
      <c r="AJ794" s="303"/>
      <c r="AK794" t="e">
        <v>#DIV/0!</v>
      </c>
      <c r="AL794" s="521"/>
      <c r="AM794"/>
      <c r="AN794" s="303"/>
      <c r="AO794"/>
      <c r="AP794" s="303"/>
      <c r="AQ794" s="302"/>
      <c r="AR794" s="303"/>
      <c r="AS794" s="302"/>
      <c r="AT794" s="303"/>
      <c r="AU794"/>
      <c r="AV794" s="303"/>
      <c r="AW794" s="302"/>
      <c r="AX794" s="302"/>
      <c r="AY794" s="302"/>
      <c r="AZ794" s="303"/>
      <c r="BA794" s="302"/>
      <c r="BB794" s="302"/>
      <c r="BC794" s="302"/>
      <c r="BD794" s="302"/>
      <c r="BE794" s="302"/>
      <c r="BF794" s="302"/>
      <c r="BG794" s="302"/>
      <c r="BH794" s="302"/>
      <c r="BI794" s="302"/>
      <c r="BJ794" s="302"/>
      <c r="BM794"/>
      <c r="BS794"/>
      <c r="BY794"/>
      <c r="CA794"/>
      <c r="CC794"/>
      <c r="CI794"/>
      <c r="CO794" t="s">
        <v>8711</v>
      </c>
      <c r="CR794"/>
      <c r="CT794" s="304" t="s">
        <v>11677</v>
      </c>
    </row>
    <row r="795" spans="1:98" s="304" customFormat="1">
      <c r="A795" s="304" t="s">
        <v>8506</v>
      </c>
      <c r="B795" s="463">
        <v>161</v>
      </c>
      <c r="C795" s="296" t="s">
        <v>7789</v>
      </c>
      <c r="D795" s="296" t="s">
        <v>7590</v>
      </c>
      <c r="E795" s="296" t="s">
        <v>7789</v>
      </c>
      <c r="F795" s="296"/>
      <c r="G795" s="296" t="s">
        <v>8506</v>
      </c>
      <c r="H795" s="297" t="s">
        <v>8696</v>
      </c>
      <c r="I795" s="297">
        <v>3</v>
      </c>
      <c r="J795" s="297">
        <v>3239</v>
      </c>
      <c r="K795" s="299"/>
      <c r="L795" s="299"/>
      <c r="M795" s="299">
        <v>130</v>
      </c>
      <c r="N795" s="299">
        <v>4</v>
      </c>
      <c r="O795" s="300">
        <v>29</v>
      </c>
      <c r="P795" s="301">
        <v>42090</v>
      </c>
      <c r="Q795" s="302"/>
      <c r="R795" s="303"/>
      <c r="S795" s="289">
        <v>5.4</v>
      </c>
      <c r="T795" s="303">
        <v>42208</v>
      </c>
      <c r="U795" s="302"/>
      <c r="V795" s="303"/>
      <c r="W795" s="302"/>
      <c r="X795" s="303"/>
      <c r="Y795" s="302">
        <v>19.5</v>
      </c>
      <c r="Z795" s="303">
        <v>42208</v>
      </c>
      <c r="AA795">
        <v>14.4</v>
      </c>
      <c r="AB795" s="303"/>
      <c r="AC795" s="302"/>
      <c r="AD795" s="303"/>
      <c r="AE795" s="302"/>
      <c r="AF795" s="303"/>
      <c r="AG795">
        <v>68455.882352941175</v>
      </c>
      <c r="AH795" s="521">
        <f>(AK795*10000)/AM795</f>
        <v>68455.882352941175</v>
      </c>
      <c r="AI795" s="302"/>
      <c r="AJ795" s="303"/>
      <c r="AK795">
        <v>34.912499999999994</v>
      </c>
      <c r="AL795" s="521"/>
      <c r="AM795">
        <v>5.0999999999999996</v>
      </c>
      <c r="AN795" s="303">
        <v>42244</v>
      </c>
      <c r="AO795">
        <v>140</v>
      </c>
      <c r="AP795" s="303">
        <v>42170</v>
      </c>
      <c r="AQ795" s="302"/>
      <c r="AR795" s="303"/>
      <c r="AS795" s="302"/>
      <c r="AT795" s="303"/>
      <c r="AU795">
        <v>109</v>
      </c>
      <c r="AV795" s="303"/>
      <c r="AW795" s="302"/>
      <c r="AX795" s="302"/>
      <c r="AY795" s="302"/>
      <c r="AZ795" s="303"/>
      <c r="BA795" s="302"/>
      <c r="BB795" s="302"/>
      <c r="BC795" s="302"/>
      <c r="BD795" s="302"/>
      <c r="BE795" s="302"/>
      <c r="BF795" s="302"/>
      <c r="BG795" s="302"/>
      <c r="BH795" s="302"/>
      <c r="BI795" s="302"/>
      <c r="BJ795" s="302"/>
      <c r="BM795">
        <v>1.7</v>
      </c>
      <c r="BS795">
        <v>61.1</v>
      </c>
      <c r="BY795">
        <v>49.8</v>
      </c>
      <c r="CA795">
        <v>19.5</v>
      </c>
      <c r="CC795">
        <v>16.100000000000001</v>
      </c>
      <c r="CI795">
        <v>5</v>
      </c>
      <c r="CO795" t="s">
        <v>8698</v>
      </c>
      <c r="CR795">
        <v>4</v>
      </c>
      <c r="CT795" s="304" t="s">
        <v>11678</v>
      </c>
    </row>
    <row r="796" spans="1:98" s="304" customFormat="1">
      <c r="A796" s="304" t="s">
        <v>8506</v>
      </c>
      <c r="B796" s="463">
        <v>12</v>
      </c>
      <c r="C796" s="296" t="s">
        <v>7621</v>
      </c>
      <c r="D796" s="296" t="s">
        <v>7460</v>
      </c>
      <c r="E796" s="296" t="s">
        <v>7621</v>
      </c>
      <c r="F796" s="296"/>
      <c r="G796" s="296" t="s">
        <v>8506</v>
      </c>
      <c r="H796" s="297" t="s">
        <v>8697</v>
      </c>
      <c r="I796" s="297">
        <v>4</v>
      </c>
      <c r="J796" s="297">
        <v>4240</v>
      </c>
      <c r="K796" s="299"/>
      <c r="L796" s="299"/>
      <c r="M796" s="299">
        <v>131</v>
      </c>
      <c r="N796" s="299">
        <v>10</v>
      </c>
      <c r="O796" s="300">
        <v>46</v>
      </c>
      <c r="P796" s="301">
        <v>42090</v>
      </c>
      <c r="Q796" s="302"/>
      <c r="R796" s="303"/>
      <c r="S796" s="289">
        <v>3.8</v>
      </c>
      <c r="T796" s="303">
        <v>42208</v>
      </c>
      <c r="U796" s="302"/>
      <c r="V796" s="303"/>
      <c r="W796" s="302"/>
      <c r="X796" s="303"/>
      <c r="Y796" s="302">
        <v>13.69</v>
      </c>
      <c r="Z796" s="303">
        <v>42208</v>
      </c>
      <c r="AA796">
        <v>14.4</v>
      </c>
      <c r="AB796" s="303"/>
      <c r="AC796" s="302"/>
      <c r="AD796" s="303"/>
      <c r="AE796" s="302"/>
      <c r="AF796" s="303"/>
      <c r="AG796">
        <v>47969.825708060998</v>
      </c>
      <c r="AH796" s="521">
        <f>(AK796*10000)/AM796</f>
        <v>47969.825708060998</v>
      </c>
      <c r="AI796" s="302"/>
      <c r="AJ796" s="303"/>
      <c r="AK796">
        <v>24.464611111111108</v>
      </c>
      <c r="AL796" s="521"/>
      <c r="AM796">
        <v>5.0999999999999996</v>
      </c>
      <c r="AN796" s="303">
        <v>42244</v>
      </c>
      <c r="AO796">
        <v>140</v>
      </c>
      <c r="AP796" s="303">
        <v>42170</v>
      </c>
      <c r="AQ796" s="302"/>
      <c r="AR796" s="303"/>
      <c r="AS796" s="302"/>
      <c r="AT796" s="303"/>
      <c r="AU796">
        <v>107</v>
      </c>
      <c r="AV796" s="303"/>
      <c r="AW796" s="302"/>
      <c r="AX796" s="302"/>
      <c r="AY796" s="302"/>
      <c r="AZ796" s="303"/>
      <c r="BA796" s="302"/>
      <c r="BB796" s="302"/>
      <c r="BC796" s="302"/>
      <c r="BD796" s="302"/>
      <c r="BE796" s="302"/>
      <c r="BF796" s="302"/>
      <c r="BG796" s="302"/>
      <c r="BH796" s="302"/>
      <c r="BI796" s="302"/>
      <c r="BJ796" s="302"/>
      <c r="BM796">
        <v>43.8</v>
      </c>
      <c r="BS796">
        <v>12.7</v>
      </c>
      <c r="BY796">
        <v>49.9</v>
      </c>
      <c r="CA796">
        <v>18.7</v>
      </c>
      <c r="CC796">
        <v>66.3</v>
      </c>
      <c r="CI796">
        <v>5.4</v>
      </c>
      <c r="CO796" t="s">
        <v>8698</v>
      </c>
      <c r="CR796">
        <v>2</v>
      </c>
      <c r="CT796" s="304" t="s">
        <v>11678</v>
      </c>
    </row>
    <row r="797" spans="1:98" s="304" customFormat="1">
      <c r="A797" s="304" t="s">
        <v>8506</v>
      </c>
      <c r="B797" s="463">
        <v>34</v>
      </c>
      <c r="C797" s="296" t="s">
        <v>7648</v>
      </c>
      <c r="D797" s="296" t="s">
        <v>7483</v>
      </c>
      <c r="E797" s="296" t="s">
        <v>7648</v>
      </c>
      <c r="F797" s="296"/>
      <c r="G797" s="296" t="s">
        <v>8506</v>
      </c>
      <c r="H797" s="297" t="s">
        <v>8696</v>
      </c>
      <c r="I797" s="297">
        <v>3</v>
      </c>
      <c r="J797" s="297">
        <v>3180</v>
      </c>
      <c r="K797" s="299"/>
      <c r="L797" s="299"/>
      <c r="M797" s="299">
        <v>131</v>
      </c>
      <c r="N797" s="299">
        <v>3</v>
      </c>
      <c r="O797" s="300">
        <v>53</v>
      </c>
      <c r="P797" s="301">
        <v>42090</v>
      </c>
      <c r="Q797" s="302"/>
      <c r="R797" s="303"/>
      <c r="S797" s="289">
        <v>5.35</v>
      </c>
      <c r="T797" s="303">
        <v>42208</v>
      </c>
      <c r="U797" s="302"/>
      <c r="V797" s="303"/>
      <c r="W797" s="302"/>
      <c r="X797" s="303"/>
      <c r="Y797" s="302"/>
      <c r="Z797" s="303">
        <v>42208</v>
      </c>
      <c r="AA797">
        <v>14.4</v>
      </c>
      <c r="AB797" s="303"/>
      <c r="AC797" s="302"/>
      <c r="AD797" s="303"/>
      <c r="AE797" s="302"/>
      <c r="AF797" s="303"/>
      <c r="AG797">
        <v>68697.589098532495</v>
      </c>
      <c r="AH797" s="521">
        <f>(AK797*10000)/AM797</f>
        <v>68697.589098532495</v>
      </c>
      <c r="AI797" s="302"/>
      <c r="AJ797" s="303"/>
      <c r="AK797">
        <v>36.409722222222221</v>
      </c>
      <c r="AL797" s="521"/>
      <c r="AM797">
        <v>5.3</v>
      </c>
      <c r="AN797" s="303">
        <v>42244</v>
      </c>
      <c r="AO797">
        <v>150</v>
      </c>
      <c r="AP797" s="303">
        <v>42170</v>
      </c>
      <c r="AQ797" s="302"/>
      <c r="AR797" s="303"/>
      <c r="AS797" s="302"/>
      <c r="AT797" s="303"/>
      <c r="AU797">
        <v>107</v>
      </c>
      <c r="AV797" s="303"/>
      <c r="AW797" s="302"/>
      <c r="AX797" s="302"/>
      <c r="AY797" s="302"/>
      <c r="AZ797" s="303"/>
      <c r="BA797" s="302"/>
      <c r="BB797" s="302"/>
      <c r="BC797" s="302"/>
      <c r="BD797" s="302"/>
      <c r="BE797" s="302"/>
      <c r="BF797" s="302"/>
      <c r="BG797" s="302"/>
      <c r="BH797" s="302"/>
      <c r="BI797" s="302"/>
      <c r="BJ797" s="302"/>
      <c r="BM797"/>
      <c r="BS797"/>
      <c r="BY797"/>
      <c r="CA797"/>
      <c r="CC797"/>
      <c r="CI797"/>
      <c r="CO797" t="s">
        <v>8699</v>
      </c>
      <c r="CR797">
        <v>3</v>
      </c>
      <c r="CT797" s="304" t="s">
        <v>11678</v>
      </c>
    </row>
    <row r="798" spans="1:98" s="304" customFormat="1">
      <c r="A798" s="304" t="s">
        <v>8506</v>
      </c>
      <c r="B798" s="463">
        <v>74</v>
      </c>
      <c r="C798" s="296" t="s">
        <v>7692</v>
      </c>
      <c r="D798" s="296" t="s">
        <v>7521</v>
      </c>
      <c r="E798" s="296" t="s">
        <v>7692</v>
      </c>
      <c r="F798" s="296"/>
      <c r="G798" s="296" t="s">
        <v>8506</v>
      </c>
      <c r="H798" s="297" t="s">
        <v>8697</v>
      </c>
      <c r="I798" s="297">
        <v>4</v>
      </c>
      <c r="J798" s="297">
        <v>4300</v>
      </c>
      <c r="K798" s="299"/>
      <c r="L798" s="299"/>
      <c r="M798" s="299">
        <v>131</v>
      </c>
      <c r="N798" s="299">
        <v>11</v>
      </c>
      <c r="O798" s="300">
        <v>11</v>
      </c>
      <c r="P798" s="301">
        <v>42090</v>
      </c>
      <c r="Q798" s="302"/>
      <c r="R798" s="303"/>
      <c r="S798" s="289"/>
      <c r="T798" s="303"/>
      <c r="U798" s="302"/>
      <c r="V798" s="303"/>
      <c r="W798" s="302"/>
      <c r="X798" s="303"/>
      <c r="Y798" s="302"/>
      <c r="Z798" s="303"/>
      <c r="AA798"/>
      <c r="AB798" s="303"/>
      <c r="AC798" s="302"/>
      <c r="AD798" s="303"/>
      <c r="AE798" s="302"/>
      <c r="AF798" s="303"/>
      <c r="AG798" t="e">
        <v>#DIV/0!</v>
      </c>
      <c r="AH798" s="521" t="e">
        <f>(AK798*10000)/AM798</f>
        <v>#DIV/0!</v>
      </c>
      <c r="AI798" s="302"/>
      <c r="AJ798" s="303"/>
      <c r="AK798" t="e">
        <v>#DIV/0!</v>
      </c>
      <c r="AL798" s="521"/>
      <c r="AM798"/>
      <c r="AN798" s="303"/>
      <c r="AO798"/>
      <c r="AP798" s="303"/>
      <c r="AQ798" s="302"/>
      <c r="AR798" s="303"/>
      <c r="AS798" s="302"/>
      <c r="AT798" s="303"/>
      <c r="AU798"/>
      <c r="AV798" s="303"/>
      <c r="AW798" s="302"/>
      <c r="AX798" s="302"/>
      <c r="AY798" s="302"/>
      <c r="AZ798" s="303"/>
      <c r="BA798" s="302"/>
      <c r="BB798" s="302"/>
      <c r="BC798" s="302"/>
      <c r="BD798" s="302"/>
      <c r="BE798" s="302"/>
      <c r="BF798" s="302"/>
      <c r="BG798" s="302"/>
      <c r="BH798" s="302"/>
      <c r="BI798" s="302"/>
      <c r="BJ798" s="302"/>
      <c r="BM798"/>
      <c r="BS798"/>
      <c r="BY798"/>
      <c r="CA798"/>
      <c r="CC798"/>
      <c r="CI798"/>
      <c r="CO798" t="s">
        <v>8698</v>
      </c>
      <c r="CR798"/>
      <c r="CT798" s="304" t="s">
        <v>11678</v>
      </c>
    </row>
    <row r="799" spans="1:98" s="304" customFormat="1">
      <c r="A799" s="304" t="s">
        <v>8506</v>
      </c>
      <c r="B799" s="463">
        <v>80</v>
      </c>
      <c r="C799" s="296" t="s">
        <v>7698</v>
      </c>
      <c r="D799" s="296" t="s">
        <v>7527</v>
      </c>
      <c r="E799" s="296" t="s">
        <v>7698</v>
      </c>
      <c r="F799" s="296"/>
      <c r="G799" s="296" t="s">
        <v>8506</v>
      </c>
      <c r="H799" s="297" t="s">
        <v>8696</v>
      </c>
      <c r="I799" s="297">
        <v>3</v>
      </c>
      <c r="J799" s="297">
        <v>3300</v>
      </c>
      <c r="K799" s="299"/>
      <c r="L799" s="299"/>
      <c r="M799" s="299">
        <v>131</v>
      </c>
      <c r="N799" s="299">
        <v>5</v>
      </c>
      <c r="O799" s="300">
        <v>30</v>
      </c>
      <c r="P799" s="301">
        <v>42090</v>
      </c>
      <c r="Q799" s="302"/>
      <c r="R799" s="303"/>
      <c r="S799" s="289">
        <v>5.7</v>
      </c>
      <c r="T799" s="303">
        <v>42208</v>
      </c>
      <c r="U799" s="302"/>
      <c r="V799" s="303"/>
      <c r="W799" s="302"/>
      <c r="X799" s="303"/>
      <c r="Y799" s="302">
        <v>20.51</v>
      </c>
      <c r="Z799" s="303">
        <v>42208</v>
      </c>
      <c r="AA799">
        <v>14.4</v>
      </c>
      <c r="AB799" s="303"/>
      <c r="AC799" s="302"/>
      <c r="AD799" s="303"/>
      <c r="AE799" s="302"/>
      <c r="AF799" s="303"/>
      <c r="AG799">
        <v>89599.288617886195</v>
      </c>
      <c r="AH799" s="521">
        <f>(AK799*10000)/AM799</f>
        <v>89599.288617886195</v>
      </c>
      <c r="AI799" s="302"/>
      <c r="AJ799" s="303"/>
      <c r="AK799">
        <v>36.735708333333335</v>
      </c>
      <c r="AL799" s="521"/>
      <c r="AM799">
        <v>4.0999999999999996</v>
      </c>
      <c r="AN799" s="303">
        <v>42244</v>
      </c>
      <c r="AO799">
        <v>110</v>
      </c>
      <c r="AP799" s="303">
        <v>42170</v>
      </c>
      <c r="AQ799" s="302"/>
      <c r="AR799" s="303"/>
      <c r="AS799" s="302"/>
      <c r="AT799" s="303"/>
      <c r="AU799">
        <v>116</v>
      </c>
      <c r="AV799" s="303"/>
      <c r="AW799" s="302"/>
      <c r="AX799" s="302"/>
      <c r="AY799" s="302"/>
      <c r="AZ799" s="303"/>
      <c r="BA799" s="302"/>
      <c r="BB799" s="302"/>
      <c r="BC799" s="302"/>
      <c r="BD799" s="302"/>
      <c r="BE799" s="302"/>
      <c r="BF799" s="302"/>
      <c r="BG799" s="302"/>
      <c r="BH799" s="302"/>
      <c r="BI799" s="302"/>
      <c r="BJ799" s="302"/>
      <c r="BM799">
        <v>-0.4</v>
      </c>
      <c r="BS799">
        <v>63.5</v>
      </c>
      <c r="BY799">
        <v>49.8</v>
      </c>
      <c r="CA799">
        <v>18.899999999999999</v>
      </c>
      <c r="CC799">
        <v>20.6</v>
      </c>
      <c r="CI799">
        <v>5.3</v>
      </c>
      <c r="CO799" t="s">
        <v>8698</v>
      </c>
      <c r="CR799">
        <v>2</v>
      </c>
      <c r="CT799" s="304" t="s">
        <v>11678</v>
      </c>
    </row>
    <row r="800" spans="1:98" s="304" customFormat="1">
      <c r="A800" s="304" t="s">
        <v>8506</v>
      </c>
      <c r="B800" s="463">
        <v>124</v>
      </c>
      <c r="C800" s="296" t="s">
        <v>7751</v>
      </c>
      <c r="D800" s="296" t="s">
        <v>7562</v>
      </c>
      <c r="E800" s="296" t="s">
        <v>7751</v>
      </c>
      <c r="F800" s="296"/>
      <c r="G800" s="296" t="s">
        <v>8506</v>
      </c>
      <c r="H800" s="297" t="s">
        <v>8696</v>
      </c>
      <c r="I800" s="297">
        <v>3</v>
      </c>
      <c r="J800" s="297">
        <v>3120</v>
      </c>
      <c r="K800" s="299"/>
      <c r="L800" s="299"/>
      <c r="M800" s="299">
        <v>131</v>
      </c>
      <c r="N800" s="299">
        <v>2</v>
      </c>
      <c r="O800" s="300">
        <v>23</v>
      </c>
      <c r="P800" s="301">
        <v>42090</v>
      </c>
      <c r="Q800" s="302"/>
      <c r="R800" s="303"/>
      <c r="S800" s="289">
        <v>5.5</v>
      </c>
      <c r="T800" s="303">
        <v>42208</v>
      </c>
      <c r="U800" s="302"/>
      <c r="V800" s="303"/>
      <c r="W800" s="302"/>
      <c r="X800" s="303"/>
      <c r="Y800" s="302">
        <v>20.69</v>
      </c>
      <c r="Z800" s="303">
        <v>42208</v>
      </c>
      <c r="AA800">
        <v>14.4</v>
      </c>
      <c r="AB800" s="303"/>
      <c r="AC800" s="302"/>
      <c r="AD800" s="303"/>
      <c r="AE800" s="302"/>
      <c r="AF800" s="303"/>
      <c r="AG800">
        <v>67092.505241090126</v>
      </c>
      <c r="AH800" s="521">
        <f>(AK800*10000)/AM800</f>
        <v>67092.505241090126</v>
      </c>
      <c r="AI800" s="302"/>
      <c r="AJ800" s="303"/>
      <c r="AK800">
        <v>35.559027777777771</v>
      </c>
      <c r="AL800" s="521"/>
      <c r="AM800">
        <v>5.3</v>
      </c>
      <c r="AN800" s="303">
        <v>42244</v>
      </c>
      <c r="AO800">
        <v>140</v>
      </c>
      <c r="AP800" s="303">
        <v>42170</v>
      </c>
      <c r="AQ800" s="302"/>
      <c r="AR800" s="303"/>
      <c r="AS800" s="302"/>
      <c r="AT800" s="303"/>
      <c r="AU800">
        <v>105</v>
      </c>
      <c r="AV800" s="303"/>
      <c r="AW800" s="302"/>
      <c r="AX800" s="302"/>
      <c r="AY800" s="302"/>
      <c r="AZ800" s="303"/>
      <c r="BA800" s="302"/>
      <c r="BB800" s="302"/>
      <c r="BC800" s="302"/>
      <c r="BD800" s="302"/>
      <c r="BE800" s="302"/>
      <c r="BF800" s="302"/>
      <c r="BG800" s="302"/>
      <c r="BH800" s="302"/>
      <c r="BI800" s="302"/>
      <c r="BJ800" s="302"/>
      <c r="BM800">
        <v>0.4</v>
      </c>
      <c r="BS800">
        <v>62.8</v>
      </c>
      <c r="BY800">
        <v>51.9</v>
      </c>
      <c r="CA800">
        <v>18.2</v>
      </c>
      <c r="CC800">
        <v>21.6</v>
      </c>
      <c r="CI800">
        <v>5</v>
      </c>
      <c r="CO800" t="s">
        <v>8699</v>
      </c>
      <c r="CR800">
        <v>2</v>
      </c>
      <c r="CT800" s="304" t="s">
        <v>11678</v>
      </c>
    </row>
    <row r="801" spans="1:99" s="304" customFormat="1">
      <c r="A801" s="304" t="s">
        <v>8506</v>
      </c>
      <c r="B801" s="463">
        <v>173</v>
      </c>
      <c r="C801" s="296" t="s">
        <v>7801</v>
      </c>
      <c r="D801" s="296" t="s">
        <v>8689</v>
      </c>
      <c r="E801" s="296" t="s">
        <v>7801</v>
      </c>
      <c r="F801" s="296"/>
      <c r="G801" s="296" t="s">
        <v>8506</v>
      </c>
      <c r="H801" s="297" t="s">
        <v>8696</v>
      </c>
      <c r="I801" s="297">
        <v>3</v>
      </c>
      <c r="J801" s="308">
        <v>3240</v>
      </c>
      <c r="K801" s="299"/>
      <c r="L801" s="299"/>
      <c r="M801" s="299">
        <v>131</v>
      </c>
      <c r="N801" s="299">
        <v>4</v>
      </c>
      <c r="O801" s="300">
        <v>34</v>
      </c>
      <c r="P801" s="301">
        <v>42090</v>
      </c>
      <c r="Q801" s="306"/>
      <c r="R801" s="303"/>
      <c r="S801" s="289">
        <v>6.5</v>
      </c>
      <c r="T801" s="303">
        <v>42208</v>
      </c>
      <c r="U801" s="307"/>
      <c r="V801" s="303"/>
      <c r="W801" s="306"/>
      <c r="X801" s="303"/>
      <c r="Y801" s="306">
        <v>23.51</v>
      </c>
      <c r="Z801" s="303">
        <v>42208</v>
      </c>
      <c r="AA801">
        <v>14.4</v>
      </c>
      <c r="AB801" s="303"/>
      <c r="AC801" s="306"/>
      <c r="AD801" s="303"/>
      <c r="AE801" s="302"/>
      <c r="AF801" s="303"/>
      <c r="AG801">
        <v>77658.950617283946</v>
      </c>
      <c r="AH801" s="521">
        <f>(AK801*10000)/AM801</f>
        <v>77658.950617283946</v>
      </c>
      <c r="AI801" s="302"/>
      <c r="AJ801" s="303"/>
      <c r="AK801">
        <v>41.935833333333335</v>
      </c>
      <c r="AL801" s="521"/>
      <c r="AM801">
        <v>5.4</v>
      </c>
      <c r="AN801" s="303">
        <v>42244</v>
      </c>
      <c r="AO801">
        <v>145</v>
      </c>
      <c r="AP801" s="303">
        <v>42170</v>
      </c>
      <c r="AQ801" s="306"/>
      <c r="AR801" s="303"/>
      <c r="AS801" s="306"/>
      <c r="AT801" s="303"/>
      <c r="AU801">
        <v>110</v>
      </c>
      <c r="AV801" s="303"/>
      <c r="AW801" s="302"/>
      <c r="AX801" s="302"/>
      <c r="AY801" s="302"/>
      <c r="AZ801" s="303"/>
      <c r="BA801" s="302"/>
      <c r="BB801" s="302"/>
      <c r="BC801" s="302"/>
      <c r="BD801" s="302"/>
      <c r="BE801" s="302"/>
      <c r="BF801" s="302"/>
      <c r="BG801" s="302"/>
      <c r="BH801" s="302"/>
      <c r="BI801" s="302"/>
      <c r="BJ801" s="302"/>
      <c r="BM801">
        <v>0</v>
      </c>
      <c r="BS801">
        <v>64.599999999999994</v>
      </c>
      <c r="BY801">
        <v>50</v>
      </c>
      <c r="CA801">
        <v>18.8</v>
      </c>
      <c r="CC801">
        <v>19.5</v>
      </c>
      <c r="CI801">
        <v>5.2</v>
      </c>
      <c r="CO801" t="s">
        <v>8698</v>
      </c>
      <c r="CR801">
        <v>2</v>
      </c>
      <c r="CT801" s="304" t="s">
        <v>11678</v>
      </c>
    </row>
    <row r="802" spans="1:99" s="304" customFormat="1">
      <c r="A802" s="178" t="s">
        <v>11649</v>
      </c>
      <c r="B802" s="523">
        <v>1</v>
      </c>
      <c r="C802" s="154" t="s">
        <v>8299</v>
      </c>
      <c r="D802" s="296" t="s">
        <v>8299</v>
      </c>
      <c r="E802" s="173" t="s">
        <v>7753</v>
      </c>
      <c r="F802" s="173"/>
      <c r="G802" s="173" t="s">
        <v>11649</v>
      </c>
      <c r="H802" s="174" t="s">
        <v>8696</v>
      </c>
      <c r="I802" s="174">
        <v>3</v>
      </c>
      <c r="J802" s="174">
        <v>302</v>
      </c>
      <c r="K802" s="175"/>
      <c r="L802" s="175"/>
      <c r="M802" s="175">
        <v>133</v>
      </c>
      <c r="N802" s="175">
        <v>3</v>
      </c>
      <c r="O802" s="294">
        <v>34</v>
      </c>
      <c r="P802" s="172">
        <v>42090</v>
      </c>
      <c r="Q802" s="176"/>
      <c r="R802" s="177"/>
      <c r="S802" s="177"/>
      <c r="T802" s="177"/>
      <c r="U802" s="176"/>
      <c r="V802" s="177"/>
      <c r="W802" s="176"/>
      <c r="X802" s="177"/>
      <c r="Y802" s="176"/>
      <c r="Z802" s="177"/>
      <c r="AA802">
        <v>14.4</v>
      </c>
      <c r="AB802" s="177"/>
      <c r="AC802" s="176"/>
      <c r="AD802" s="177"/>
      <c r="AE802" s="176"/>
      <c r="AF802" s="177"/>
      <c r="AG802" s="176" t="e">
        <v>#DIV/0!</v>
      </c>
      <c r="AH802" s="521" t="e">
        <f>(AK802*10000)/AM802</f>
        <v>#DIV/0!</v>
      </c>
      <c r="AI802" s="176"/>
      <c r="AJ802" s="177"/>
      <c r="AK802" s="176">
        <v>0</v>
      </c>
      <c r="AL802" s="521"/>
      <c r="AM802" s="177"/>
      <c r="AN802" s="177"/>
      <c r="AO802">
        <v>135</v>
      </c>
      <c r="AP802" s="303">
        <v>42170</v>
      </c>
      <c r="AQ802" s="176"/>
      <c r="AR802" s="177"/>
      <c r="AS802" s="176"/>
      <c r="AT802" s="177"/>
      <c r="AU802">
        <v>108</v>
      </c>
      <c r="AV802" s="176"/>
      <c r="AW802" s="176"/>
      <c r="AX802" s="176"/>
      <c r="AY802" s="176"/>
      <c r="AZ802" s="176"/>
      <c r="BA802" s="176"/>
      <c r="BB802" s="176"/>
      <c r="BC802" s="176"/>
      <c r="BD802" s="176"/>
      <c r="BE802" s="176"/>
      <c r="BF802" s="176"/>
      <c r="BG802" s="176"/>
      <c r="BH802" s="176"/>
      <c r="BI802" s="176"/>
      <c r="BJ802" s="176"/>
      <c r="BK802" s="178"/>
      <c r="BL802" s="178"/>
      <c r="BM802" s="178"/>
      <c r="BN802" s="178"/>
      <c r="BO802" s="178"/>
      <c r="BP802" s="178"/>
      <c r="BQ802" s="178"/>
      <c r="BR802" s="178"/>
      <c r="BS802" s="178"/>
      <c r="BT802" s="178"/>
      <c r="BU802" s="178"/>
      <c r="BV802" s="178"/>
      <c r="BW802" s="178"/>
      <c r="BX802" s="178"/>
      <c r="BY802" s="178"/>
      <c r="BZ802" s="178"/>
      <c r="CA802" s="178"/>
      <c r="CB802" s="178"/>
      <c r="CC802" s="178"/>
      <c r="CD802" s="178"/>
      <c r="CE802" s="178"/>
      <c r="CF802" s="178"/>
      <c r="CG802" s="178"/>
      <c r="CH802" s="178"/>
      <c r="CI802" s="178"/>
      <c r="CJ802" s="178"/>
      <c r="CK802" s="178"/>
      <c r="CL802" s="178"/>
      <c r="CM802" s="178"/>
      <c r="CN802" s="178"/>
      <c r="CO802" t="s">
        <v>8159</v>
      </c>
      <c r="CP802" s="178"/>
      <c r="CQ802" s="178"/>
      <c r="CR802">
        <v>6</v>
      </c>
      <c r="CS802" s="178"/>
      <c r="CT802" s="304" t="s">
        <v>11678</v>
      </c>
      <c r="CU802" s="178"/>
    </row>
    <row r="803" spans="1:99" s="304" customFormat="1">
      <c r="A803" s="178" t="s">
        <v>11649</v>
      </c>
      <c r="B803" s="523">
        <v>1</v>
      </c>
      <c r="C803" s="154" t="s">
        <v>8299</v>
      </c>
      <c r="D803" s="296" t="s">
        <v>8299</v>
      </c>
      <c r="E803" s="173" t="s">
        <v>7753</v>
      </c>
      <c r="F803" s="173"/>
      <c r="G803" s="173" t="s">
        <v>11649</v>
      </c>
      <c r="H803" s="174" t="s">
        <v>8697</v>
      </c>
      <c r="I803" s="174">
        <v>4</v>
      </c>
      <c r="J803" s="174">
        <v>403</v>
      </c>
      <c r="K803" s="175"/>
      <c r="L803" s="175"/>
      <c r="M803" s="175">
        <v>133</v>
      </c>
      <c r="N803" s="175">
        <v>10</v>
      </c>
      <c r="O803" s="294">
        <v>52</v>
      </c>
      <c r="P803" s="172">
        <v>42090</v>
      </c>
      <c r="Q803" s="176"/>
      <c r="R803" s="177"/>
      <c r="S803" s="177"/>
      <c r="T803" s="177"/>
      <c r="U803" s="176"/>
      <c r="V803" s="177"/>
      <c r="W803" s="176"/>
      <c r="X803" s="177"/>
      <c r="Y803" s="176"/>
      <c r="Z803" s="177"/>
      <c r="AA803">
        <v>14.4</v>
      </c>
      <c r="AB803" s="177"/>
      <c r="AC803" s="176"/>
      <c r="AD803" s="177"/>
      <c r="AE803" s="176"/>
      <c r="AF803" s="177"/>
      <c r="AG803" s="176" t="e">
        <v>#DIV/0!</v>
      </c>
      <c r="AH803" s="521" t="e">
        <f>(AK803*10000)/AM803</f>
        <v>#DIV/0!</v>
      </c>
      <c r="AI803" s="176"/>
      <c r="AJ803" s="177"/>
      <c r="AK803" s="176">
        <v>0</v>
      </c>
      <c r="AL803" s="521"/>
      <c r="AM803" s="177"/>
      <c r="AN803" s="177"/>
      <c r="AO803">
        <v>135</v>
      </c>
      <c r="AP803" s="303">
        <v>42170</v>
      </c>
      <c r="AQ803" s="176"/>
      <c r="AR803" s="177"/>
      <c r="AS803" s="176"/>
      <c r="AT803" s="177"/>
      <c r="AU803">
        <v>108</v>
      </c>
      <c r="AV803" s="176"/>
      <c r="AW803" s="176"/>
      <c r="AX803" s="176"/>
      <c r="AY803" s="176"/>
      <c r="AZ803" s="176"/>
      <c r="BA803" s="176"/>
      <c r="BB803" s="176"/>
      <c r="BC803" s="176"/>
      <c r="BD803" s="176"/>
      <c r="BE803" s="176"/>
      <c r="BF803" s="176"/>
      <c r="BG803" s="176"/>
      <c r="BH803" s="176"/>
      <c r="BI803" s="176"/>
      <c r="BJ803" s="176"/>
      <c r="BK803" s="178"/>
      <c r="BL803" s="178"/>
      <c r="BM803" s="178"/>
      <c r="BN803" s="178"/>
      <c r="BO803" s="178"/>
      <c r="BP803" s="178"/>
      <c r="BQ803" s="178"/>
      <c r="BR803" s="178"/>
      <c r="BS803" s="178"/>
      <c r="BT803" s="178"/>
      <c r="BU803" s="178"/>
      <c r="BV803" s="178"/>
      <c r="BW803" s="178"/>
      <c r="BX803" s="178"/>
      <c r="BY803" s="178"/>
      <c r="BZ803" s="178"/>
      <c r="CA803" s="178"/>
      <c r="CB803" s="178"/>
      <c r="CC803" s="178"/>
      <c r="CD803" s="178"/>
      <c r="CE803" s="178"/>
      <c r="CF803" s="178"/>
      <c r="CG803" s="178"/>
      <c r="CH803" s="178"/>
      <c r="CI803" s="178"/>
      <c r="CJ803" s="178"/>
      <c r="CK803" s="178"/>
      <c r="CL803" s="178"/>
      <c r="CM803" s="178"/>
      <c r="CN803" s="178"/>
      <c r="CO803" t="s">
        <v>8159</v>
      </c>
      <c r="CP803" s="178"/>
      <c r="CQ803" s="178"/>
      <c r="CR803">
        <v>1</v>
      </c>
      <c r="CS803" s="178"/>
      <c r="CT803" s="304" t="s">
        <v>11678</v>
      </c>
      <c r="CU803" s="178"/>
    </row>
    <row r="804" spans="1:99" s="304" customFormat="1">
      <c r="A804" s="178" t="s">
        <v>11649</v>
      </c>
      <c r="B804" s="523">
        <v>2</v>
      </c>
      <c r="C804" s="296" t="s">
        <v>8269</v>
      </c>
      <c r="D804" s="296" t="s">
        <v>8269</v>
      </c>
      <c r="E804" s="173" t="s">
        <v>7707</v>
      </c>
      <c r="F804" s="173"/>
      <c r="G804" s="173" t="s">
        <v>11649</v>
      </c>
      <c r="H804" s="174" t="s">
        <v>8696</v>
      </c>
      <c r="I804" s="174">
        <v>3</v>
      </c>
      <c r="J804" s="174">
        <v>303</v>
      </c>
      <c r="K804" s="175"/>
      <c r="L804" s="175"/>
      <c r="M804" s="175">
        <v>133</v>
      </c>
      <c r="N804" s="175">
        <v>4</v>
      </c>
      <c r="O804" s="294">
        <v>15</v>
      </c>
      <c r="P804" s="172">
        <v>42090</v>
      </c>
      <c r="Q804" s="176"/>
      <c r="R804" s="177"/>
      <c r="S804" s="177"/>
      <c r="T804" s="177"/>
      <c r="U804" s="176"/>
      <c r="V804" s="177"/>
      <c r="W804" s="176"/>
      <c r="X804" s="177"/>
      <c r="Y804" s="176"/>
      <c r="Z804" s="177"/>
      <c r="AA804">
        <v>14.4</v>
      </c>
      <c r="AB804" s="177"/>
      <c r="AC804" s="176"/>
      <c r="AD804" s="177"/>
      <c r="AE804" s="176"/>
      <c r="AF804" s="177"/>
      <c r="AG804" s="176" t="e">
        <v>#DIV/0!</v>
      </c>
      <c r="AH804" s="521" t="e">
        <f>(AK804*10000)/AM804</f>
        <v>#DIV/0!</v>
      </c>
      <c r="AI804" s="176"/>
      <c r="AJ804" s="177"/>
      <c r="AK804" s="176">
        <v>0</v>
      </c>
      <c r="AL804" s="521"/>
      <c r="AM804" s="177"/>
      <c r="AN804" s="177"/>
      <c r="AO804">
        <v>120</v>
      </c>
      <c r="AP804" s="303">
        <v>42170</v>
      </c>
      <c r="AQ804" s="176"/>
      <c r="AR804" s="177"/>
      <c r="AS804" s="176"/>
      <c r="AT804" s="177"/>
      <c r="AU804">
        <v>105</v>
      </c>
      <c r="AV804" s="176"/>
      <c r="AW804" s="176"/>
      <c r="AX804" s="176"/>
      <c r="AY804" s="176"/>
      <c r="AZ804" s="176"/>
      <c r="BA804" s="176"/>
      <c r="BB804" s="176"/>
      <c r="BC804" s="176"/>
      <c r="BD804" s="176"/>
      <c r="BE804" s="176"/>
      <c r="BF804" s="176"/>
      <c r="BG804" s="176"/>
      <c r="BH804" s="176"/>
      <c r="BI804" s="176"/>
      <c r="BJ804" s="176"/>
      <c r="BK804" s="178"/>
      <c r="BL804" s="178"/>
      <c r="BM804" s="178"/>
      <c r="BN804" s="178"/>
      <c r="BO804" s="178"/>
      <c r="BP804" s="178"/>
      <c r="BQ804" s="178"/>
      <c r="BR804" s="178"/>
      <c r="BS804" s="178"/>
      <c r="BT804" s="178"/>
      <c r="BU804" s="178"/>
      <c r="BV804" s="178"/>
      <c r="BW804" s="178"/>
      <c r="BX804" s="178"/>
      <c r="BY804" s="178"/>
      <c r="BZ804" s="178"/>
      <c r="CA804" s="178"/>
      <c r="CB804" s="178"/>
      <c r="CC804" s="178"/>
      <c r="CD804" s="178"/>
      <c r="CE804" s="178"/>
      <c r="CF804" s="178"/>
      <c r="CG804" s="178"/>
      <c r="CH804" s="178"/>
      <c r="CI804" s="178"/>
      <c r="CJ804" s="178"/>
      <c r="CK804" s="178"/>
      <c r="CL804" s="178"/>
      <c r="CM804" s="178"/>
      <c r="CN804" s="178"/>
      <c r="CO804" t="s">
        <v>8159</v>
      </c>
      <c r="CP804" s="178"/>
      <c r="CQ804" s="178"/>
      <c r="CR804">
        <v>3</v>
      </c>
      <c r="CS804" s="178"/>
      <c r="CT804" s="304" t="s">
        <v>11678</v>
      </c>
      <c r="CU804" s="178"/>
    </row>
    <row r="805" spans="1:99" s="304" customFormat="1">
      <c r="A805" s="178" t="s">
        <v>11649</v>
      </c>
      <c r="B805" s="523">
        <v>2</v>
      </c>
      <c r="C805" s="296" t="s">
        <v>8269</v>
      </c>
      <c r="D805" s="296" t="s">
        <v>8269</v>
      </c>
      <c r="E805" s="173" t="s">
        <v>7707</v>
      </c>
      <c r="F805" s="173"/>
      <c r="G805" s="173" t="s">
        <v>11649</v>
      </c>
      <c r="H805" s="174" t="s">
        <v>8697</v>
      </c>
      <c r="I805" s="174">
        <v>4</v>
      </c>
      <c r="J805" s="174">
        <v>401</v>
      </c>
      <c r="K805" s="175"/>
      <c r="L805" s="175"/>
      <c r="M805" s="175">
        <v>133</v>
      </c>
      <c r="N805" s="175">
        <v>8</v>
      </c>
      <c r="O805" s="294">
        <v>74</v>
      </c>
      <c r="P805" s="172">
        <v>42090</v>
      </c>
      <c r="Q805" s="176"/>
      <c r="R805" s="177"/>
      <c r="S805" s="177"/>
      <c r="T805" s="177"/>
      <c r="U805" s="176"/>
      <c r="V805" s="177"/>
      <c r="W805" s="176"/>
      <c r="X805" s="177"/>
      <c r="Y805" s="176"/>
      <c r="Z805" s="177"/>
      <c r="AA805">
        <v>14.4</v>
      </c>
      <c r="AB805" s="177"/>
      <c r="AC805" s="176"/>
      <c r="AD805" s="177"/>
      <c r="AE805" s="176"/>
      <c r="AF805" s="177"/>
      <c r="AG805" s="176" t="e">
        <v>#DIV/0!</v>
      </c>
      <c r="AH805" s="521" t="e">
        <f>(AK805*10000)/AM805</f>
        <v>#DIV/0!</v>
      </c>
      <c r="AI805" s="176"/>
      <c r="AJ805" s="177"/>
      <c r="AK805" s="176">
        <v>0</v>
      </c>
      <c r="AL805" s="521"/>
      <c r="AM805" s="177"/>
      <c r="AN805" s="177"/>
      <c r="AO805">
        <v>115</v>
      </c>
      <c r="AP805" s="303">
        <v>42170</v>
      </c>
      <c r="AQ805" s="176"/>
      <c r="AR805" s="177"/>
      <c r="AS805" s="176"/>
      <c r="AT805" s="177"/>
      <c r="AU805">
        <v>106</v>
      </c>
      <c r="AV805" s="176"/>
      <c r="AW805" s="176"/>
      <c r="AX805" s="176"/>
      <c r="AY805" s="176"/>
      <c r="AZ805" s="176"/>
      <c r="BA805" s="176"/>
      <c r="BB805" s="176"/>
      <c r="BC805" s="176"/>
      <c r="BD805" s="176"/>
      <c r="BE805" s="176"/>
      <c r="BF805" s="176"/>
      <c r="BG805" s="176"/>
      <c r="BH805" s="176"/>
      <c r="BI805" s="176"/>
      <c r="BJ805" s="176"/>
      <c r="BK805" s="178"/>
      <c r="BL805" s="178"/>
      <c r="BM805" s="178"/>
      <c r="BN805" s="178"/>
      <c r="BO805" s="178"/>
      <c r="BP805" s="178"/>
      <c r="BQ805" s="178"/>
      <c r="BR805" s="178"/>
      <c r="BS805" s="178"/>
      <c r="BT805" s="178"/>
      <c r="BU805" s="178"/>
      <c r="BV805" s="178"/>
      <c r="BW805" s="178"/>
      <c r="BX805" s="178"/>
      <c r="BY805" s="178"/>
      <c r="BZ805" s="178"/>
      <c r="CA805" s="178"/>
      <c r="CB805" s="178"/>
      <c r="CC805" s="178"/>
      <c r="CD805" s="178"/>
      <c r="CE805" s="178"/>
      <c r="CF805" s="178"/>
      <c r="CG805" s="178"/>
      <c r="CH805" s="178"/>
      <c r="CI805" s="178"/>
      <c r="CJ805" s="178"/>
      <c r="CK805" s="178"/>
      <c r="CL805" s="178"/>
      <c r="CM805" s="178"/>
      <c r="CN805" s="178"/>
      <c r="CO805" t="s">
        <v>8159</v>
      </c>
      <c r="CP805" s="178"/>
      <c r="CQ805" s="178"/>
      <c r="CR805">
        <v>1</v>
      </c>
      <c r="CS805" s="178"/>
      <c r="CT805" s="304" t="s">
        <v>11678</v>
      </c>
      <c r="CU805" s="178"/>
    </row>
    <row r="806" spans="1:99" s="304" customFormat="1">
      <c r="A806" s="178" t="s">
        <v>11649</v>
      </c>
      <c r="B806" s="523">
        <v>3</v>
      </c>
      <c r="C806" s="296" t="s">
        <v>7845</v>
      </c>
      <c r="D806" s="296" t="s">
        <v>7845</v>
      </c>
      <c r="E806" s="173"/>
      <c r="F806" s="173"/>
      <c r="G806" s="173" t="s">
        <v>11649</v>
      </c>
      <c r="H806" s="174" t="s">
        <v>8696</v>
      </c>
      <c r="I806" s="174">
        <v>3</v>
      </c>
      <c r="J806" s="174">
        <v>301</v>
      </c>
      <c r="K806" s="175"/>
      <c r="L806" s="175"/>
      <c r="M806" s="175">
        <v>133</v>
      </c>
      <c r="N806" s="175">
        <v>2</v>
      </c>
      <c r="O806" s="294">
        <v>28</v>
      </c>
      <c r="P806" s="172">
        <v>42090</v>
      </c>
      <c r="Q806" s="176"/>
      <c r="R806" s="177"/>
      <c r="S806" s="177"/>
      <c r="T806" s="177"/>
      <c r="U806" s="176"/>
      <c r="V806" s="177"/>
      <c r="W806" s="176"/>
      <c r="X806" s="177"/>
      <c r="Y806" s="176"/>
      <c r="Z806" s="177"/>
      <c r="AA806">
        <v>14.4</v>
      </c>
      <c r="AB806" s="177"/>
      <c r="AC806" s="176"/>
      <c r="AD806" s="177"/>
      <c r="AE806" s="176"/>
      <c r="AF806" s="177"/>
      <c r="AG806" s="176" t="e">
        <v>#DIV/0!</v>
      </c>
      <c r="AH806" s="521" t="e">
        <f>(AK806*10000)/AM806</f>
        <v>#DIV/0!</v>
      </c>
      <c r="AI806" s="176"/>
      <c r="AJ806" s="177"/>
      <c r="AK806" s="176">
        <v>0</v>
      </c>
      <c r="AL806" s="521"/>
      <c r="AM806" s="177"/>
      <c r="AN806" s="177"/>
      <c r="AO806">
        <v>140</v>
      </c>
      <c r="AP806" s="303">
        <v>42170</v>
      </c>
      <c r="AQ806" s="176"/>
      <c r="AR806" s="177"/>
      <c r="AS806" s="176"/>
      <c r="AT806" s="177"/>
      <c r="AU806">
        <v>105</v>
      </c>
      <c r="AV806" s="176"/>
      <c r="AW806" s="176"/>
      <c r="AX806" s="176"/>
      <c r="AY806" s="176"/>
      <c r="AZ806" s="176"/>
      <c r="BA806" s="176"/>
      <c r="BB806" s="176"/>
      <c r="BC806" s="176"/>
      <c r="BD806" s="176"/>
      <c r="BE806" s="176"/>
      <c r="BF806" s="176"/>
      <c r="BG806" s="176"/>
      <c r="BH806" s="176"/>
      <c r="BI806" s="176"/>
      <c r="BJ806" s="176"/>
      <c r="BK806" s="178"/>
      <c r="BL806" s="178"/>
      <c r="BM806" s="178"/>
      <c r="BN806" s="178"/>
      <c r="BO806" s="178"/>
      <c r="BP806" s="178"/>
      <c r="BQ806" s="178"/>
      <c r="BR806" s="178"/>
      <c r="BS806" s="178"/>
      <c r="BT806" s="178"/>
      <c r="BU806" s="178"/>
      <c r="BV806" s="178"/>
      <c r="BW806" s="178"/>
      <c r="BX806" s="178"/>
      <c r="BY806" s="178"/>
      <c r="BZ806" s="178"/>
      <c r="CA806" s="178"/>
      <c r="CB806" s="178"/>
      <c r="CC806" s="178"/>
      <c r="CD806" s="178"/>
      <c r="CE806" s="178"/>
      <c r="CF806" s="178"/>
      <c r="CG806" s="178"/>
      <c r="CH806" s="178"/>
      <c r="CI806" s="178"/>
      <c r="CJ806" s="178"/>
      <c r="CK806" s="178"/>
      <c r="CL806" s="178"/>
      <c r="CM806" s="178"/>
      <c r="CN806" s="178"/>
      <c r="CO806" t="s">
        <v>8159</v>
      </c>
      <c r="CP806" s="178"/>
      <c r="CQ806" s="178"/>
      <c r="CR806">
        <v>4</v>
      </c>
      <c r="CS806" s="178"/>
      <c r="CT806" s="304" t="s">
        <v>11678</v>
      </c>
      <c r="CU806" s="178"/>
    </row>
    <row r="807" spans="1:99" s="304" customFormat="1">
      <c r="A807" s="178" t="s">
        <v>11649</v>
      </c>
      <c r="B807" s="523">
        <v>3</v>
      </c>
      <c r="C807" s="296" t="s">
        <v>7845</v>
      </c>
      <c r="D807" s="296" t="s">
        <v>7845</v>
      </c>
      <c r="E807" s="173"/>
      <c r="F807" s="173"/>
      <c r="G807" s="173" t="s">
        <v>11649</v>
      </c>
      <c r="H807" s="174" t="s">
        <v>8697</v>
      </c>
      <c r="I807" s="174">
        <v>4</v>
      </c>
      <c r="J807" s="174">
        <v>402</v>
      </c>
      <c r="K807" s="175"/>
      <c r="L807" s="175"/>
      <c r="M807" s="175">
        <v>133</v>
      </c>
      <c r="N807" s="175">
        <v>9</v>
      </c>
      <c r="O807" s="294">
        <v>40</v>
      </c>
      <c r="P807" s="172">
        <v>42090</v>
      </c>
      <c r="Q807" s="176"/>
      <c r="R807" s="177"/>
      <c r="S807" s="177"/>
      <c r="T807" s="177"/>
      <c r="U807" s="176"/>
      <c r="V807" s="177"/>
      <c r="W807" s="176"/>
      <c r="X807" s="177"/>
      <c r="Y807" s="176"/>
      <c r="Z807" s="177"/>
      <c r="AA807">
        <v>14.4</v>
      </c>
      <c r="AB807" s="177"/>
      <c r="AC807" s="176"/>
      <c r="AD807" s="177"/>
      <c r="AE807" s="176"/>
      <c r="AF807" s="177"/>
      <c r="AG807" s="176" t="e">
        <v>#DIV/0!</v>
      </c>
      <c r="AH807" s="521" t="e">
        <f>(AK807*10000)/AM807</f>
        <v>#DIV/0!</v>
      </c>
      <c r="AI807" s="176"/>
      <c r="AJ807" s="177"/>
      <c r="AK807" s="176">
        <v>0</v>
      </c>
      <c r="AL807" s="521"/>
      <c r="AM807" s="177"/>
      <c r="AN807" s="177"/>
      <c r="AO807">
        <v>135</v>
      </c>
      <c r="AP807" s="303">
        <v>42170</v>
      </c>
      <c r="AQ807" s="176"/>
      <c r="AR807" s="177"/>
      <c r="AS807" s="176"/>
      <c r="AT807" s="177"/>
      <c r="AU807">
        <v>106</v>
      </c>
      <c r="AV807" s="176"/>
      <c r="AW807" s="176"/>
      <c r="AX807" s="176"/>
      <c r="AY807" s="176"/>
      <c r="AZ807" s="176"/>
      <c r="BA807" s="176"/>
      <c r="BB807" s="176"/>
      <c r="BC807" s="176"/>
      <c r="BD807" s="176"/>
      <c r="BE807" s="176"/>
      <c r="BF807" s="176"/>
      <c r="BG807" s="176"/>
      <c r="BH807" s="176"/>
      <c r="BI807" s="176"/>
      <c r="BJ807" s="176"/>
      <c r="BK807" s="178"/>
      <c r="BL807" s="178"/>
      <c r="BM807" s="178"/>
      <c r="BN807" s="178"/>
      <c r="BO807" s="178"/>
      <c r="BP807" s="178"/>
      <c r="BQ807" s="178"/>
      <c r="BR807" s="178"/>
      <c r="BS807" s="178"/>
      <c r="BT807" s="178"/>
      <c r="BU807" s="178"/>
      <c r="BV807" s="178"/>
      <c r="BW807" s="178"/>
      <c r="BX807" s="178"/>
      <c r="BY807" s="178"/>
      <c r="BZ807" s="178"/>
      <c r="CA807" s="178"/>
      <c r="CB807" s="178"/>
      <c r="CC807" s="178"/>
      <c r="CD807" s="178"/>
      <c r="CE807" s="178"/>
      <c r="CF807" s="178"/>
      <c r="CG807" s="178"/>
      <c r="CH807" s="178"/>
      <c r="CI807" s="178"/>
      <c r="CJ807" s="178"/>
      <c r="CK807" s="178"/>
      <c r="CL807" s="178"/>
      <c r="CM807" s="178"/>
      <c r="CN807" s="178"/>
      <c r="CO807" t="s">
        <v>8159</v>
      </c>
      <c r="CP807" s="178"/>
      <c r="CQ807" s="178"/>
      <c r="CR807">
        <v>1</v>
      </c>
      <c r="CS807" s="178"/>
      <c r="CT807" s="304" t="s">
        <v>11678</v>
      </c>
      <c r="CU807" s="178"/>
    </row>
    <row r="808" spans="1:99" s="304" customFormat="1">
      <c r="A808" s="178" t="s">
        <v>11649</v>
      </c>
      <c r="B808" s="523">
        <v>4</v>
      </c>
      <c r="C808" s="154" t="s">
        <v>8299</v>
      </c>
      <c r="D808" s="296" t="s">
        <v>8299</v>
      </c>
      <c r="E808" s="173" t="s">
        <v>7753</v>
      </c>
      <c r="F808" s="173"/>
      <c r="G808" s="173" t="s">
        <v>11649</v>
      </c>
      <c r="H808" s="174" t="s">
        <v>8696</v>
      </c>
      <c r="I808" s="174">
        <v>3</v>
      </c>
      <c r="J808" s="174">
        <v>304</v>
      </c>
      <c r="K808" s="175"/>
      <c r="L808" s="175"/>
      <c r="M808" s="175">
        <v>133</v>
      </c>
      <c r="N808" s="175">
        <v>5</v>
      </c>
      <c r="O808" s="294">
        <v>41</v>
      </c>
      <c r="P808" s="172">
        <v>42090</v>
      </c>
      <c r="Q808" s="176"/>
      <c r="R808" s="177"/>
      <c r="S808" s="177"/>
      <c r="T808" s="177"/>
      <c r="U808" s="176"/>
      <c r="V808" s="177"/>
      <c r="W808" s="176"/>
      <c r="X808" s="177"/>
      <c r="Y808" s="176"/>
      <c r="Z808" s="177"/>
      <c r="AA808">
        <v>14.4</v>
      </c>
      <c r="AB808" s="177"/>
      <c r="AC808" s="176"/>
      <c r="AD808" s="177"/>
      <c r="AE808" s="176"/>
      <c r="AF808" s="177"/>
      <c r="AG808" s="176" t="e">
        <v>#DIV/0!</v>
      </c>
      <c r="AH808" s="521" t="e">
        <f>(AK808*10000)/AM808</f>
        <v>#DIV/0!</v>
      </c>
      <c r="AI808" s="176"/>
      <c r="AJ808" s="177"/>
      <c r="AK808" s="176">
        <v>0</v>
      </c>
      <c r="AL808" s="521"/>
      <c r="AM808" s="177"/>
      <c r="AN808" s="177"/>
      <c r="AO808">
        <v>135</v>
      </c>
      <c r="AP808" s="303">
        <v>42170</v>
      </c>
      <c r="AQ808" s="176"/>
      <c r="AR808" s="177"/>
      <c r="AS808" s="176"/>
      <c r="AT808" s="177"/>
      <c r="AU808">
        <v>108</v>
      </c>
      <c r="AV808" s="176"/>
      <c r="AW808" s="176"/>
      <c r="AX808" s="176"/>
      <c r="AY808" s="176"/>
      <c r="AZ808" s="176"/>
      <c r="BA808" s="176"/>
      <c r="BB808" s="176"/>
      <c r="BC808" s="176"/>
      <c r="BD808" s="176"/>
      <c r="BE808" s="176"/>
      <c r="BF808" s="176"/>
      <c r="BG808" s="176"/>
      <c r="BH808" s="176"/>
      <c r="BI808" s="176"/>
      <c r="BJ808" s="176"/>
      <c r="BK808" s="178"/>
      <c r="BL808" s="178"/>
      <c r="BM808" s="178"/>
      <c r="BN808" s="178"/>
      <c r="BO808" s="178"/>
      <c r="BP808" s="178"/>
      <c r="BQ808" s="178"/>
      <c r="BR808" s="178"/>
      <c r="BS808" s="178"/>
      <c r="BT808" s="178"/>
      <c r="BU808" s="178"/>
      <c r="BV808" s="178"/>
      <c r="BW808" s="178"/>
      <c r="BX808" s="178"/>
      <c r="BY808" s="178"/>
      <c r="BZ808" s="178"/>
      <c r="CA808" s="178"/>
      <c r="CB808" s="178"/>
      <c r="CC808" s="178"/>
      <c r="CD808" s="178"/>
      <c r="CE808" s="178"/>
      <c r="CF808" s="178"/>
      <c r="CG808" s="178"/>
      <c r="CH808" s="178"/>
      <c r="CI808" s="178"/>
      <c r="CJ808" s="178"/>
      <c r="CK808" s="178"/>
      <c r="CL808" s="178"/>
      <c r="CM808" s="178"/>
      <c r="CN808" s="178"/>
      <c r="CO808" t="s">
        <v>8159</v>
      </c>
      <c r="CP808" s="178"/>
      <c r="CQ808" s="178"/>
      <c r="CR808">
        <v>2</v>
      </c>
      <c r="CS808" s="178"/>
      <c r="CT808" s="304" t="s">
        <v>11678</v>
      </c>
      <c r="CU808" s="178"/>
    </row>
    <row r="809" spans="1:99" s="304" customFormat="1">
      <c r="A809" s="178" t="s">
        <v>11649</v>
      </c>
      <c r="B809" s="523">
        <v>4</v>
      </c>
      <c r="C809" s="154" t="s">
        <v>8299</v>
      </c>
      <c r="D809" s="296" t="s">
        <v>8299</v>
      </c>
      <c r="E809" s="173" t="s">
        <v>7753</v>
      </c>
      <c r="F809" s="173"/>
      <c r="G809" s="173" t="s">
        <v>11649</v>
      </c>
      <c r="H809" s="174" t="s">
        <v>8697</v>
      </c>
      <c r="I809" s="174">
        <v>4</v>
      </c>
      <c r="J809" s="174">
        <v>404</v>
      </c>
      <c r="K809" s="175"/>
      <c r="L809" s="175"/>
      <c r="M809" s="175">
        <v>133</v>
      </c>
      <c r="N809" s="175">
        <v>11</v>
      </c>
      <c r="O809" s="294">
        <v>40</v>
      </c>
      <c r="P809" s="172">
        <v>42090</v>
      </c>
      <c r="Q809" s="176"/>
      <c r="R809" s="177"/>
      <c r="S809" s="177"/>
      <c r="T809" s="177"/>
      <c r="U809" s="176"/>
      <c r="V809" s="177"/>
      <c r="W809" s="176"/>
      <c r="X809" s="177"/>
      <c r="Y809" s="176"/>
      <c r="Z809" s="177"/>
      <c r="AA809">
        <v>14.4</v>
      </c>
      <c r="AB809" s="177"/>
      <c r="AC809" s="176"/>
      <c r="AD809" s="177"/>
      <c r="AE809" s="176"/>
      <c r="AF809" s="177"/>
      <c r="AG809" s="176" t="e">
        <v>#DIV/0!</v>
      </c>
      <c r="AH809" s="521" t="e">
        <f>(AK809*10000)/AM809</f>
        <v>#DIV/0!</v>
      </c>
      <c r="AI809" s="176"/>
      <c r="AJ809" s="177"/>
      <c r="AK809" s="176">
        <v>0</v>
      </c>
      <c r="AL809" s="521"/>
      <c r="AM809" s="177"/>
      <c r="AN809" s="177"/>
      <c r="AO809">
        <v>135</v>
      </c>
      <c r="AP809" s="303">
        <v>42170</v>
      </c>
      <c r="AQ809" s="176"/>
      <c r="AR809" s="177"/>
      <c r="AS809" s="176"/>
      <c r="AT809" s="177"/>
      <c r="AU809">
        <v>110</v>
      </c>
      <c r="AV809" s="176"/>
      <c r="AW809" s="176"/>
      <c r="AX809" s="176"/>
      <c r="AY809" s="176"/>
      <c r="AZ809" s="176"/>
      <c r="BA809" s="176"/>
      <c r="BB809" s="176"/>
      <c r="BC809" s="176"/>
      <c r="BD809" s="176"/>
      <c r="BE809" s="176"/>
      <c r="BF809" s="176"/>
      <c r="BG809" s="176"/>
      <c r="BH809" s="176"/>
      <c r="BI809" s="176"/>
      <c r="BJ809" s="176"/>
      <c r="BK809" s="178"/>
      <c r="BL809" s="178"/>
      <c r="BM809" s="178"/>
      <c r="BN809" s="178"/>
      <c r="BO809" s="178"/>
      <c r="BP809" s="178"/>
      <c r="BQ809" s="178"/>
      <c r="BR809" s="178"/>
      <c r="BS809" s="178"/>
      <c r="BT809" s="178"/>
      <c r="BU809" s="178"/>
      <c r="BV809" s="178"/>
      <c r="BW809" s="178"/>
      <c r="BX809" s="178"/>
      <c r="BY809" s="178"/>
      <c r="BZ809" s="178"/>
      <c r="CA809" s="178"/>
      <c r="CB809" s="178"/>
      <c r="CC809" s="178"/>
      <c r="CD809" s="178"/>
      <c r="CE809" s="178"/>
      <c r="CF809" s="178"/>
      <c r="CG809" s="178"/>
      <c r="CH809" s="178"/>
      <c r="CI809" s="178"/>
      <c r="CJ809" s="178"/>
      <c r="CK809" s="178"/>
      <c r="CL809" s="178"/>
      <c r="CM809" s="178"/>
      <c r="CN809" s="178"/>
      <c r="CO809" t="s">
        <v>8159</v>
      </c>
      <c r="CP809" s="178"/>
      <c r="CQ809" s="178"/>
      <c r="CR809">
        <v>1</v>
      </c>
      <c r="CS809" s="178"/>
      <c r="CT809" s="304" t="s">
        <v>11678</v>
      </c>
      <c r="CU809" s="178"/>
    </row>
    <row r="810" spans="1:99" s="304" customFormat="1">
      <c r="A810" s="304" t="s">
        <v>8507</v>
      </c>
      <c r="B810" s="463">
        <v>2</v>
      </c>
      <c r="C810" s="296" t="s">
        <v>7609</v>
      </c>
      <c r="D810" s="296" t="s">
        <v>257</v>
      </c>
      <c r="E810" s="296" t="s">
        <v>7609</v>
      </c>
      <c r="F810" s="296"/>
      <c r="G810" s="296" t="s">
        <v>8507</v>
      </c>
      <c r="H810" s="297" t="s">
        <v>8696</v>
      </c>
      <c r="I810" s="297">
        <v>3</v>
      </c>
      <c r="J810" s="297">
        <v>309</v>
      </c>
      <c r="K810" s="299"/>
      <c r="L810" s="299"/>
      <c r="M810" s="299">
        <v>135</v>
      </c>
      <c r="N810" s="299">
        <v>3</v>
      </c>
      <c r="O810" s="300">
        <v>37</v>
      </c>
      <c r="P810" s="301">
        <v>42090</v>
      </c>
      <c r="Q810" s="302"/>
      <c r="R810" s="303"/>
      <c r="S810" s="289">
        <v>3.35</v>
      </c>
      <c r="T810" s="303">
        <v>42208</v>
      </c>
      <c r="U810" s="302"/>
      <c r="V810" s="303"/>
      <c r="W810" s="302"/>
      <c r="X810" s="303"/>
      <c r="Y810" s="302">
        <v>11.04</v>
      </c>
      <c r="Z810" s="303">
        <v>42208</v>
      </c>
      <c r="AA810">
        <v>14.4</v>
      </c>
      <c r="AB810" s="303"/>
      <c r="AC810" s="302"/>
      <c r="AD810" s="303"/>
      <c r="AE810" s="302"/>
      <c r="AF810" s="303"/>
      <c r="AG810">
        <v>44789.771412037036</v>
      </c>
      <c r="AH810" s="521">
        <f>(AK810*10000)/AM810</f>
        <v>44789.771412037036</v>
      </c>
      <c r="AI810" s="302"/>
      <c r="AJ810" s="303"/>
      <c r="AK810">
        <v>21.499090277777778</v>
      </c>
      <c r="AL810" s="521"/>
      <c r="AM810">
        <v>4.8</v>
      </c>
      <c r="AN810" s="303">
        <v>42244</v>
      </c>
      <c r="AO810">
        <v>135</v>
      </c>
      <c r="AP810" s="303">
        <v>42170</v>
      </c>
      <c r="AQ810" s="302"/>
      <c r="AR810" s="303"/>
      <c r="AS810" s="302"/>
      <c r="AT810" s="303"/>
      <c r="AU810">
        <v>107</v>
      </c>
      <c r="AV810" s="302"/>
      <c r="AW810" s="302"/>
      <c r="AX810" s="302"/>
      <c r="AY810" s="302"/>
      <c r="AZ810" s="302"/>
      <c r="BA810" s="302"/>
      <c r="BB810" s="302"/>
      <c r="BC810" s="302"/>
      <c r="BD810" s="302"/>
      <c r="BE810" s="302"/>
      <c r="BF810" s="302"/>
      <c r="BG810" s="302"/>
      <c r="BH810" s="302"/>
      <c r="BI810" s="302"/>
      <c r="BJ810" s="302"/>
      <c r="BM810">
        <v>35.200000000000003</v>
      </c>
      <c r="BS810">
        <v>21.2</v>
      </c>
      <c r="BY810">
        <v>45.8</v>
      </c>
      <c r="CA810">
        <v>23.2</v>
      </c>
      <c r="CC810">
        <v>67.7</v>
      </c>
      <c r="CI810">
        <v>5.7</v>
      </c>
      <c r="CO810" t="s">
        <v>8698</v>
      </c>
      <c r="CR810">
        <v>2</v>
      </c>
      <c r="CT810" s="304" t="s">
        <v>11678</v>
      </c>
    </row>
    <row r="811" spans="1:99" s="304" customFormat="1">
      <c r="A811" s="304" t="s">
        <v>8507</v>
      </c>
      <c r="B811" s="463">
        <v>3</v>
      </c>
      <c r="C811" s="296" t="s">
        <v>7613</v>
      </c>
      <c r="D811" s="296" t="s">
        <v>7454</v>
      </c>
      <c r="E811" s="296" t="s">
        <v>7613</v>
      </c>
      <c r="F811" s="296"/>
      <c r="G811" s="296" t="s">
        <v>8507</v>
      </c>
      <c r="H811" s="297" t="s">
        <v>8697</v>
      </c>
      <c r="I811" s="297">
        <v>4</v>
      </c>
      <c r="J811" s="297">
        <v>405</v>
      </c>
      <c r="K811" s="299"/>
      <c r="L811" s="299"/>
      <c r="M811" s="299">
        <v>135</v>
      </c>
      <c r="N811" s="299">
        <v>8</v>
      </c>
      <c r="O811" s="300">
        <v>44</v>
      </c>
      <c r="P811" s="301">
        <v>42090</v>
      </c>
      <c r="Q811" s="302"/>
      <c r="R811" s="303"/>
      <c r="S811" s="289">
        <v>3.85</v>
      </c>
      <c r="T811" s="303">
        <v>42208</v>
      </c>
      <c r="U811" s="302"/>
      <c r="V811" s="303"/>
      <c r="W811" s="302"/>
      <c r="X811" s="303"/>
      <c r="Y811" s="302">
        <v>14.49</v>
      </c>
      <c r="Z811" s="303">
        <v>42208</v>
      </c>
      <c r="AA811">
        <v>14.4</v>
      </c>
      <c r="AB811" s="303"/>
      <c r="AC811" s="302"/>
      <c r="AD811" s="303"/>
      <c r="AE811" s="302"/>
      <c r="AF811" s="303"/>
      <c r="AG811">
        <v>46095.03600823044</v>
      </c>
      <c r="AH811" s="521">
        <f>(AK811*10000)/AM811</f>
        <v>46095.03600823044</v>
      </c>
      <c r="AI811" s="302"/>
      <c r="AJ811" s="303"/>
      <c r="AK811">
        <v>24.891319444444441</v>
      </c>
      <c r="AL811" s="521"/>
      <c r="AM811">
        <v>5.4</v>
      </c>
      <c r="AN811" s="303">
        <v>42244</v>
      </c>
      <c r="AO811">
        <v>125</v>
      </c>
      <c r="AP811" s="303">
        <v>42170</v>
      </c>
      <c r="AQ811" s="302"/>
      <c r="AR811" s="303"/>
      <c r="AS811" s="302"/>
      <c r="AT811" s="303"/>
      <c r="AU811">
        <v>106</v>
      </c>
      <c r="AV811" s="302"/>
      <c r="AW811" s="302"/>
      <c r="AX811" s="302"/>
      <c r="AY811" s="302"/>
      <c r="AZ811" s="302"/>
      <c r="BA811" s="302"/>
      <c r="BB811" s="302"/>
      <c r="BC811" s="302"/>
      <c r="BD811" s="302"/>
      <c r="BE811" s="302"/>
      <c r="BF811" s="302"/>
      <c r="BG811" s="302"/>
      <c r="BH811" s="302"/>
      <c r="BI811" s="302"/>
      <c r="BJ811" s="302"/>
      <c r="BM811">
        <v>41.2</v>
      </c>
      <c r="BS811">
        <v>12.1</v>
      </c>
      <c r="BY811">
        <v>51.9</v>
      </c>
      <c r="CA811">
        <v>18.100000000000001</v>
      </c>
      <c r="CC811">
        <v>66.8</v>
      </c>
      <c r="CI811">
        <v>5</v>
      </c>
      <c r="CO811" t="s">
        <v>8698</v>
      </c>
      <c r="CR811">
        <v>5</v>
      </c>
      <c r="CT811" s="304" t="s">
        <v>11678</v>
      </c>
    </row>
    <row r="812" spans="1:99" s="304" customFormat="1">
      <c r="A812" s="304" t="s">
        <v>8507</v>
      </c>
      <c r="B812" s="463">
        <v>5</v>
      </c>
      <c r="C812" s="296" t="s">
        <v>7629</v>
      </c>
      <c r="D812" s="296" t="s">
        <v>7466</v>
      </c>
      <c r="E812" s="296" t="s">
        <v>7629</v>
      </c>
      <c r="F812" s="296"/>
      <c r="G812" s="296" t="s">
        <v>8507</v>
      </c>
      <c r="H812" s="297" t="s">
        <v>8696</v>
      </c>
      <c r="I812" s="297">
        <v>3</v>
      </c>
      <c r="J812" s="297">
        <v>313</v>
      </c>
      <c r="K812" s="299"/>
      <c r="L812" s="299"/>
      <c r="M812" s="299">
        <v>135</v>
      </c>
      <c r="N812" s="299">
        <v>4</v>
      </c>
      <c r="O812" s="300">
        <v>26</v>
      </c>
      <c r="P812" s="301">
        <v>42090</v>
      </c>
      <c r="Q812" s="302"/>
      <c r="R812" s="303"/>
      <c r="S812" s="289">
        <v>3.8</v>
      </c>
      <c r="T812" s="303">
        <v>42208</v>
      </c>
      <c r="U812" s="302"/>
      <c r="V812" s="303"/>
      <c r="W812" s="302"/>
      <c r="X812" s="303"/>
      <c r="Y812" s="302">
        <v>13.03</v>
      </c>
      <c r="Z812" s="303">
        <v>42208</v>
      </c>
      <c r="AA812">
        <v>14.4</v>
      </c>
      <c r="AB812" s="303"/>
      <c r="AC812" s="302"/>
      <c r="AD812" s="303"/>
      <c r="AE812" s="302"/>
      <c r="AF812" s="303"/>
      <c r="AG812">
        <v>47146.794871794875</v>
      </c>
      <c r="AH812" s="521">
        <f>(AK812*10000)/AM812</f>
        <v>47146.794871794875</v>
      </c>
      <c r="AI812" s="302"/>
      <c r="AJ812" s="303"/>
      <c r="AK812">
        <v>24.516333333333336</v>
      </c>
      <c r="AL812" s="521"/>
      <c r="AM812">
        <v>5.2</v>
      </c>
      <c r="AN812" s="303">
        <v>42244</v>
      </c>
      <c r="AO812">
        <v>130</v>
      </c>
      <c r="AP812" s="303">
        <v>42170</v>
      </c>
      <c r="AQ812" s="302"/>
      <c r="AR812" s="303"/>
      <c r="AS812" s="302"/>
      <c r="AT812" s="303"/>
      <c r="AU812">
        <v>106</v>
      </c>
      <c r="AV812" s="302"/>
      <c r="AW812" s="302"/>
      <c r="AX812" s="302"/>
      <c r="AY812" s="302"/>
      <c r="AZ812" s="302"/>
      <c r="BA812" s="302"/>
      <c r="BB812" s="302"/>
      <c r="BC812" s="302"/>
      <c r="BD812" s="302"/>
      <c r="BE812" s="302"/>
      <c r="BF812" s="302"/>
      <c r="BG812" s="302"/>
      <c r="BH812" s="302"/>
      <c r="BI812" s="302"/>
      <c r="BJ812" s="302"/>
      <c r="BM812">
        <v>6.4</v>
      </c>
      <c r="BS812">
        <v>51.1</v>
      </c>
      <c r="BY812">
        <v>47.4</v>
      </c>
      <c r="CA812">
        <v>22.7</v>
      </c>
      <c r="CC812">
        <v>68</v>
      </c>
      <c r="CI812">
        <v>5.2</v>
      </c>
      <c r="CO812" s="304" t="s">
        <v>11676</v>
      </c>
      <c r="CR812">
        <v>6</v>
      </c>
      <c r="CT812" s="304" t="s">
        <v>11678</v>
      </c>
    </row>
    <row r="813" spans="1:99" s="304" customFormat="1">
      <c r="A813" s="304" t="s">
        <v>8507</v>
      </c>
      <c r="B813" s="463">
        <v>10</v>
      </c>
      <c r="C813" s="296" t="s">
        <v>7649</v>
      </c>
      <c r="D813" s="296" t="s">
        <v>7484</v>
      </c>
      <c r="E813" s="296" t="s">
        <v>7649</v>
      </c>
      <c r="F813" s="296"/>
      <c r="G813" s="296" t="s">
        <v>8507</v>
      </c>
      <c r="H813" s="297" t="s">
        <v>8696</v>
      </c>
      <c r="I813" s="297">
        <v>3</v>
      </c>
      <c r="J813" s="297">
        <v>317</v>
      </c>
      <c r="K813" s="299"/>
      <c r="L813" s="299"/>
      <c r="M813" s="299">
        <v>135</v>
      </c>
      <c r="N813" s="299">
        <v>5</v>
      </c>
      <c r="O813" s="300">
        <v>35</v>
      </c>
      <c r="P813" s="301">
        <v>42090</v>
      </c>
      <c r="Q813" s="302"/>
      <c r="R813" s="303"/>
      <c r="S813" s="289">
        <v>4</v>
      </c>
      <c r="T813" s="303">
        <v>42208</v>
      </c>
      <c r="U813" s="302"/>
      <c r="V813" s="303"/>
      <c r="W813" s="302"/>
      <c r="X813" s="303"/>
      <c r="Y813" s="302">
        <v>13.02</v>
      </c>
      <c r="Z813" s="303">
        <v>42208</v>
      </c>
      <c r="AA813">
        <v>14.4</v>
      </c>
      <c r="AB813" s="303"/>
      <c r="AC813" s="302"/>
      <c r="AD813" s="303"/>
      <c r="AE813" s="302"/>
      <c r="AF813" s="303"/>
      <c r="AG813">
        <v>51722.222222222234</v>
      </c>
      <c r="AH813" s="521">
        <f>(AK813*10000)/AM813</f>
        <v>51722.222222222234</v>
      </c>
      <c r="AI813" s="302"/>
      <c r="AJ813" s="303"/>
      <c r="AK813">
        <v>25.861111111111114</v>
      </c>
      <c r="AL813" s="521"/>
      <c r="AM813">
        <v>5</v>
      </c>
      <c r="AN813" s="303">
        <v>42244</v>
      </c>
      <c r="AO813">
        <v>135</v>
      </c>
      <c r="AP813" s="303">
        <v>42170</v>
      </c>
      <c r="AQ813" s="302"/>
      <c r="AR813" s="303"/>
      <c r="AS813" s="302"/>
      <c r="AT813" s="303"/>
      <c r="AU813">
        <v>109</v>
      </c>
      <c r="AV813" s="302"/>
      <c r="AW813" s="302"/>
      <c r="AX813" s="302"/>
      <c r="AY813" s="302"/>
      <c r="AZ813" s="302"/>
      <c r="BA813" s="302"/>
      <c r="BB813" s="302"/>
      <c r="BC813" s="302"/>
      <c r="BD813" s="302"/>
      <c r="BE813" s="302"/>
      <c r="BF813" s="302"/>
      <c r="BG813" s="302"/>
      <c r="BH813" s="302"/>
      <c r="BI813" s="302"/>
      <c r="BJ813" s="302"/>
      <c r="BM813">
        <v>3</v>
      </c>
      <c r="BS813">
        <v>48.7</v>
      </c>
      <c r="BY813">
        <v>44.9</v>
      </c>
      <c r="CA813">
        <v>23.4</v>
      </c>
      <c r="CC813">
        <v>77.099999999999994</v>
      </c>
      <c r="CI813">
        <v>5</v>
      </c>
      <c r="CO813" s="304" t="s">
        <v>11676</v>
      </c>
      <c r="CR813">
        <v>7</v>
      </c>
      <c r="CT813" s="304" t="s">
        <v>11678</v>
      </c>
    </row>
    <row r="814" spans="1:99" s="304" customFormat="1">
      <c r="A814" s="304" t="s">
        <v>8507</v>
      </c>
      <c r="B814" s="463">
        <v>11</v>
      </c>
      <c r="C814" s="296" t="s">
        <v>7651</v>
      </c>
      <c r="D814" s="296" t="s">
        <v>7485</v>
      </c>
      <c r="E814" s="296" t="s">
        <v>7651</v>
      </c>
      <c r="F814" s="296"/>
      <c r="G814" s="296" t="s">
        <v>8507</v>
      </c>
      <c r="H814" s="297" t="s">
        <v>8697</v>
      </c>
      <c r="I814" s="297">
        <v>4</v>
      </c>
      <c r="J814" s="297">
        <v>413</v>
      </c>
      <c r="K814" s="299"/>
      <c r="L814" s="299"/>
      <c r="M814" s="299">
        <v>135</v>
      </c>
      <c r="N814" s="299">
        <v>10</v>
      </c>
      <c r="O814" s="300">
        <v>33</v>
      </c>
      <c r="P814" s="301">
        <v>42090</v>
      </c>
      <c r="Q814" s="302"/>
      <c r="R814" s="303"/>
      <c r="S814" s="289">
        <v>4.75</v>
      </c>
      <c r="T814" s="303">
        <v>42208</v>
      </c>
      <c r="U814" s="302"/>
      <c r="V814" s="303"/>
      <c r="W814" s="302"/>
      <c r="X814" s="303"/>
      <c r="Y814" s="302">
        <v>17.41</v>
      </c>
      <c r="Z814" s="303">
        <v>42208</v>
      </c>
      <c r="AA814">
        <v>14.4</v>
      </c>
      <c r="AB814" s="303"/>
      <c r="AC814" s="302"/>
      <c r="AD814" s="303"/>
      <c r="AE814" s="302"/>
      <c r="AF814" s="303"/>
      <c r="AG814">
        <v>65271.793735224586</v>
      </c>
      <c r="AH814" s="521">
        <f>(AK814*10000)/AM814</f>
        <v>65271.793735224586</v>
      </c>
      <c r="AI814" s="302"/>
      <c r="AJ814" s="303"/>
      <c r="AK814">
        <v>30.677743055555556</v>
      </c>
      <c r="AL814" s="521"/>
      <c r="AM814">
        <v>4.7</v>
      </c>
      <c r="AN814" s="303">
        <v>42244</v>
      </c>
      <c r="AO814">
        <v>130</v>
      </c>
      <c r="AP814" s="303">
        <v>42170</v>
      </c>
      <c r="AQ814" s="302"/>
      <c r="AR814" s="303"/>
      <c r="AS814" s="302"/>
      <c r="AT814" s="303"/>
      <c r="AU814">
        <v>107</v>
      </c>
      <c r="AV814" s="302"/>
      <c r="AW814" s="302"/>
      <c r="AX814" s="302"/>
      <c r="AY814" s="302"/>
      <c r="AZ814" s="302"/>
      <c r="BA814" s="302"/>
      <c r="BB814" s="302"/>
      <c r="BC814" s="302"/>
      <c r="BD814" s="302"/>
      <c r="BE814" s="302"/>
      <c r="BF814" s="302"/>
      <c r="BG814" s="302"/>
      <c r="BH814" s="302"/>
      <c r="BI814" s="302"/>
      <c r="BJ814" s="302"/>
      <c r="BM814">
        <v>3.4</v>
      </c>
      <c r="BS814">
        <v>51.4</v>
      </c>
      <c r="BY814">
        <v>50.6</v>
      </c>
      <c r="CA814">
        <v>17.899999999999999</v>
      </c>
      <c r="CC814">
        <v>64.7</v>
      </c>
      <c r="CI814">
        <v>5.0999999999999996</v>
      </c>
      <c r="CO814" t="s">
        <v>8698</v>
      </c>
      <c r="CR814">
        <v>3</v>
      </c>
      <c r="CT814" s="304" t="s">
        <v>11678</v>
      </c>
    </row>
    <row r="815" spans="1:99" s="304" customFormat="1">
      <c r="A815" s="304" t="s">
        <v>8507</v>
      </c>
      <c r="B815" s="463">
        <v>12</v>
      </c>
      <c r="C815" s="296" t="s">
        <v>7655</v>
      </c>
      <c r="D815" s="296" t="s">
        <v>8501</v>
      </c>
      <c r="E815" s="296" t="s">
        <v>7655</v>
      </c>
      <c r="F815" s="296"/>
      <c r="G815" s="296" t="s">
        <v>8507</v>
      </c>
      <c r="H815" s="297" t="s">
        <v>8697</v>
      </c>
      <c r="I815" s="297">
        <v>4</v>
      </c>
      <c r="J815" s="297">
        <v>417</v>
      </c>
      <c r="K815" s="299"/>
      <c r="L815" s="299"/>
      <c r="M815" s="299">
        <v>135</v>
      </c>
      <c r="N815" s="299">
        <v>11</v>
      </c>
      <c r="O815" s="300">
        <v>31</v>
      </c>
      <c r="P815" s="301">
        <v>42090</v>
      </c>
      <c r="Q815" s="302"/>
      <c r="R815" s="303"/>
      <c r="S815" s="289">
        <v>3.5</v>
      </c>
      <c r="T815" s="303">
        <v>42208</v>
      </c>
      <c r="U815" s="302"/>
      <c r="V815" s="303"/>
      <c r="W815" s="302"/>
      <c r="X815" s="303"/>
      <c r="Y815" s="302">
        <v>12.66</v>
      </c>
      <c r="Z815" s="303">
        <v>42208</v>
      </c>
      <c r="AA815">
        <v>14.4</v>
      </c>
      <c r="AB815" s="303"/>
      <c r="AC815" s="302"/>
      <c r="AD815" s="303"/>
      <c r="AE815" s="302"/>
      <c r="AF815" s="303"/>
      <c r="AG815">
        <v>40407.986111111109</v>
      </c>
      <c r="AH815" s="521">
        <f>(AK815*10000)/AM815</f>
        <v>40407.986111111109</v>
      </c>
      <c r="AI815" s="302"/>
      <c r="AJ815" s="303"/>
      <c r="AK815">
        <v>22.628472222222221</v>
      </c>
      <c r="AL815" s="521"/>
      <c r="AM815">
        <v>5.6</v>
      </c>
      <c r="AN815" s="303">
        <v>42244</v>
      </c>
      <c r="AO815">
        <v>140</v>
      </c>
      <c r="AP815" s="303">
        <v>42170</v>
      </c>
      <c r="AQ815" s="302"/>
      <c r="AR815" s="303"/>
      <c r="AS815" s="302"/>
      <c r="AT815" s="303"/>
      <c r="AU815">
        <v>108</v>
      </c>
      <c r="AV815" s="302"/>
      <c r="AW815" s="302"/>
      <c r="AX815" s="302"/>
      <c r="AY815" s="302"/>
      <c r="AZ815" s="302"/>
      <c r="BA815" s="302"/>
      <c r="BB815" s="302"/>
      <c r="BC815" s="302"/>
      <c r="BD815" s="302"/>
      <c r="BE815" s="302"/>
      <c r="BF815" s="302"/>
      <c r="BG815" s="302"/>
      <c r="BH815" s="302"/>
      <c r="BI815" s="302"/>
      <c r="BJ815" s="302"/>
      <c r="BM815">
        <v>1.4</v>
      </c>
      <c r="BS815">
        <v>50.4</v>
      </c>
      <c r="BY815">
        <v>49.9</v>
      </c>
      <c r="CA815">
        <v>20</v>
      </c>
      <c r="CC815">
        <v>73.900000000000006</v>
      </c>
      <c r="CI815">
        <v>5</v>
      </c>
      <c r="CO815" t="s">
        <v>8698</v>
      </c>
      <c r="CR815">
        <v>3</v>
      </c>
      <c r="CT815" s="304" t="s">
        <v>11678</v>
      </c>
    </row>
    <row r="816" spans="1:99" s="304" customFormat="1">
      <c r="A816" s="304" t="s">
        <v>8507</v>
      </c>
      <c r="B816" s="463">
        <v>17</v>
      </c>
      <c r="C816" s="296" t="s">
        <v>7743</v>
      </c>
      <c r="D816" s="296" t="s">
        <v>7827</v>
      </c>
      <c r="E816" s="296" t="s">
        <v>7743</v>
      </c>
      <c r="F816" s="296"/>
      <c r="G816" s="296" t="s">
        <v>8507</v>
      </c>
      <c r="H816" s="297" t="s">
        <v>8697</v>
      </c>
      <c r="I816" s="297">
        <v>4</v>
      </c>
      <c r="J816" s="297">
        <v>421</v>
      </c>
      <c r="K816" s="299"/>
      <c r="L816" s="299"/>
      <c r="M816" s="299">
        <v>135</v>
      </c>
      <c r="N816" s="299">
        <v>12</v>
      </c>
      <c r="O816" s="300">
        <v>46</v>
      </c>
      <c r="P816" s="301">
        <v>42090</v>
      </c>
      <c r="Q816" s="302"/>
      <c r="R816" s="303"/>
      <c r="S816" s="289">
        <v>3.05</v>
      </c>
      <c r="T816" s="303">
        <v>42208</v>
      </c>
      <c r="U816" s="302"/>
      <c r="V816" s="303"/>
      <c r="W816" s="302"/>
      <c r="X816" s="303"/>
      <c r="Y816" s="302">
        <v>10.92</v>
      </c>
      <c r="Z816" s="303">
        <v>42208</v>
      </c>
      <c r="AA816">
        <v>14.4</v>
      </c>
      <c r="AB816" s="303"/>
      <c r="AC816" s="302"/>
      <c r="AD816" s="303"/>
      <c r="AE816" s="302"/>
      <c r="AF816" s="303"/>
      <c r="AG816">
        <v>45761.821705426344</v>
      </c>
      <c r="AH816" s="521">
        <f>(AK816*10000)/AM816</f>
        <v>45761.821705426344</v>
      </c>
      <c r="AI816" s="302"/>
      <c r="AJ816" s="303"/>
      <c r="AK816">
        <v>19.677583333333327</v>
      </c>
      <c r="AL816" s="521"/>
      <c r="AM816">
        <v>4.3</v>
      </c>
      <c r="AN816" s="303">
        <v>42244</v>
      </c>
      <c r="AO816">
        <v>140</v>
      </c>
      <c r="AP816" s="303">
        <v>42170</v>
      </c>
      <c r="AQ816" s="302"/>
      <c r="AR816" s="303"/>
      <c r="AS816" s="302"/>
      <c r="AT816" s="303"/>
      <c r="AU816">
        <v>109</v>
      </c>
      <c r="AV816" s="302"/>
      <c r="AW816" s="302"/>
      <c r="AX816" s="302"/>
      <c r="AY816" s="302"/>
      <c r="AZ816" s="302"/>
      <c r="BA816" s="302"/>
      <c r="BB816" s="302"/>
      <c r="BC816" s="302"/>
      <c r="BD816" s="302"/>
      <c r="BE816" s="302"/>
      <c r="BF816" s="302"/>
      <c r="BG816" s="302"/>
      <c r="BH816" s="302"/>
      <c r="BI816" s="302"/>
      <c r="BJ816" s="302"/>
      <c r="BM816">
        <v>49.1</v>
      </c>
      <c r="BS816">
        <v>5.5</v>
      </c>
      <c r="BY816">
        <v>49.5</v>
      </c>
      <c r="CA816">
        <v>20.3</v>
      </c>
      <c r="CC816">
        <v>75.5</v>
      </c>
      <c r="CI816">
        <v>5.2</v>
      </c>
      <c r="CO816" t="s">
        <v>8698</v>
      </c>
      <c r="CR816">
        <v>5</v>
      </c>
      <c r="CT816" s="304" t="s">
        <v>11678</v>
      </c>
    </row>
    <row r="817" spans="1:98" s="304" customFormat="1">
      <c r="A817" s="304" t="s">
        <v>8507</v>
      </c>
      <c r="B817" s="463">
        <v>18</v>
      </c>
      <c r="C817" s="296" t="s">
        <v>7744</v>
      </c>
      <c r="D817" s="296" t="s">
        <v>7828</v>
      </c>
      <c r="E817" s="296" t="s">
        <v>7744</v>
      </c>
      <c r="F817" s="296"/>
      <c r="G817" s="296" t="s">
        <v>8507</v>
      </c>
      <c r="H817" s="297" t="s">
        <v>8696</v>
      </c>
      <c r="I817" s="297">
        <v>3</v>
      </c>
      <c r="J817" s="297">
        <v>321</v>
      </c>
      <c r="K817" s="299"/>
      <c r="L817" s="299"/>
      <c r="M817" s="299">
        <v>135</v>
      </c>
      <c r="N817" s="299">
        <v>6</v>
      </c>
      <c r="O817" s="300">
        <v>60</v>
      </c>
      <c r="P817" s="301">
        <v>42090</v>
      </c>
      <c r="Q817" s="302"/>
      <c r="R817" s="303"/>
      <c r="S817" s="289">
        <v>3.55</v>
      </c>
      <c r="T817" s="303">
        <v>42208</v>
      </c>
      <c r="U817" s="302"/>
      <c r="V817" s="303"/>
      <c r="W817" s="302"/>
      <c r="X817" s="303"/>
      <c r="Y817" s="302">
        <v>11.21</v>
      </c>
      <c r="Z817" s="303">
        <v>42208</v>
      </c>
      <c r="AA817">
        <v>14.4</v>
      </c>
      <c r="AB817" s="303"/>
      <c r="AC817" s="302"/>
      <c r="AD817" s="303"/>
      <c r="AE817" s="302"/>
      <c r="AF817" s="303"/>
      <c r="AG817">
        <v>48782.077423167852</v>
      </c>
      <c r="AH817" s="521">
        <f>(AK817*10000)/AM817</f>
        <v>48782.077423167852</v>
      </c>
      <c r="AI817" s="302"/>
      <c r="AJ817" s="303"/>
      <c r="AK817">
        <v>22.927576388888891</v>
      </c>
      <c r="AL817" s="521"/>
      <c r="AM817">
        <v>4.7</v>
      </c>
      <c r="AN817" s="303">
        <v>42244</v>
      </c>
      <c r="AO817">
        <v>130</v>
      </c>
      <c r="AP817" s="303">
        <v>42170</v>
      </c>
      <c r="AQ817" s="302"/>
      <c r="AR817" s="303"/>
      <c r="AS817" s="302"/>
      <c r="AT817" s="303"/>
      <c r="AU817">
        <v>108</v>
      </c>
      <c r="AV817" s="302"/>
      <c r="AW817" s="302"/>
      <c r="AX817" s="302"/>
      <c r="AY817" s="302"/>
      <c r="AZ817" s="302"/>
      <c r="BA817" s="302"/>
      <c r="BB817" s="302"/>
      <c r="BC817" s="302"/>
      <c r="BD817" s="302"/>
      <c r="BE817" s="302"/>
      <c r="BF817" s="302"/>
      <c r="BG817" s="302"/>
      <c r="BH817" s="302"/>
      <c r="BI817" s="302"/>
      <c r="BJ817" s="302"/>
      <c r="BM817">
        <v>34.299999999999997</v>
      </c>
      <c r="BS817">
        <v>20.3</v>
      </c>
      <c r="BY817">
        <v>43.6</v>
      </c>
      <c r="CA817">
        <v>23.9</v>
      </c>
      <c r="CC817">
        <v>74</v>
      </c>
      <c r="CI817">
        <v>5.0999999999999996</v>
      </c>
      <c r="CO817" s="304" t="s">
        <v>11676</v>
      </c>
      <c r="CR817">
        <v>6</v>
      </c>
      <c r="CT817" s="304" t="s">
        <v>11678</v>
      </c>
    </row>
    <row r="818" spans="1:98" s="304" customFormat="1">
      <c r="A818" s="304" t="s">
        <v>8507</v>
      </c>
      <c r="B818" s="463">
        <v>18</v>
      </c>
      <c r="C818" s="296" t="s">
        <v>7744</v>
      </c>
      <c r="D818" s="296" t="s">
        <v>7828</v>
      </c>
      <c r="E818" s="296" t="s">
        <v>7744</v>
      </c>
      <c r="F818" s="296"/>
      <c r="G818" s="296" t="s">
        <v>8507</v>
      </c>
      <c r="H818" s="297" t="s">
        <v>8697</v>
      </c>
      <c r="I818" s="297">
        <v>4</v>
      </c>
      <c r="J818" s="297">
        <v>401</v>
      </c>
      <c r="K818" s="299"/>
      <c r="L818" s="299"/>
      <c r="M818" s="299">
        <v>135</v>
      </c>
      <c r="N818" s="299">
        <v>7</v>
      </c>
      <c r="O818" s="300">
        <v>56</v>
      </c>
      <c r="P818" s="301">
        <v>42090</v>
      </c>
      <c r="Q818" s="302"/>
      <c r="R818" s="303"/>
      <c r="S818" s="289">
        <v>2.4500000000000002</v>
      </c>
      <c r="T818" s="303">
        <v>42208</v>
      </c>
      <c r="U818" s="302"/>
      <c r="V818" s="303"/>
      <c r="W818" s="302"/>
      <c r="X818" s="303"/>
      <c r="Y818" s="302">
        <v>8.23</v>
      </c>
      <c r="Z818" s="303">
        <v>42208</v>
      </c>
      <c r="AA818">
        <v>14.4</v>
      </c>
      <c r="AB818" s="303"/>
      <c r="AC818" s="302"/>
      <c r="AD818" s="303"/>
      <c r="AE818" s="302"/>
      <c r="AF818" s="303"/>
      <c r="AG818">
        <v>31546.472222222219</v>
      </c>
      <c r="AH818" s="521">
        <f>(AK818*10000)/AM818</f>
        <v>31546.472222222219</v>
      </c>
      <c r="AI818" s="302"/>
      <c r="AJ818" s="303"/>
      <c r="AK818">
        <v>15.77323611111111</v>
      </c>
      <c r="AL818" s="521"/>
      <c r="AM818">
        <v>5</v>
      </c>
      <c r="AN818" s="303">
        <v>42244</v>
      </c>
      <c r="AO818">
        <v>130</v>
      </c>
      <c r="AP818" s="303">
        <v>42170</v>
      </c>
      <c r="AQ818" s="302"/>
      <c r="AR818" s="303"/>
      <c r="AS818" s="302"/>
      <c r="AT818" s="303"/>
      <c r="AU818">
        <v>111</v>
      </c>
      <c r="AV818" s="302"/>
      <c r="AW818" s="302"/>
      <c r="AX818" s="302"/>
      <c r="AY818" s="302"/>
      <c r="AZ818" s="302"/>
      <c r="BA818" s="302"/>
      <c r="BB818" s="302"/>
      <c r="BC818" s="302"/>
      <c r="BD818" s="302"/>
      <c r="BE818" s="302"/>
      <c r="BF818" s="302"/>
      <c r="BG818" s="302"/>
      <c r="BH818" s="302"/>
      <c r="BI818" s="302"/>
      <c r="BJ818" s="302"/>
      <c r="BM818">
        <v>37.700000000000003</v>
      </c>
      <c r="BS818">
        <v>14.7</v>
      </c>
      <c r="BY818">
        <v>46.5</v>
      </c>
      <c r="CA818">
        <v>21.5</v>
      </c>
      <c r="CC818">
        <v>73.8</v>
      </c>
      <c r="CI818">
        <v>5.4</v>
      </c>
      <c r="CO818" s="304" t="s">
        <v>11676</v>
      </c>
      <c r="CR818">
        <v>6</v>
      </c>
      <c r="CT818" s="304" t="s">
        <v>11678</v>
      </c>
    </row>
    <row r="819" spans="1:98" s="304" customFormat="1">
      <c r="A819" s="304" t="s">
        <v>8507</v>
      </c>
      <c r="B819" s="463">
        <v>19</v>
      </c>
      <c r="C819" s="296" t="s">
        <v>7745</v>
      </c>
      <c r="D819" s="296" t="s">
        <v>7829</v>
      </c>
      <c r="E819" s="296" t="s">
        <v>7745</v>
      </c>
      <c r="F819" s="296"/>
      <c r="G819" s="296" t="s">
        <v>8507</v>
      </c>
      <c r="H819" s="297" t="s">
        <v>8697</v>
      </c>
      <c r="I819" s="297">
        <v>4</v>
      </c>
      <c r="J819" s="297">
        <v>409</v>
      </c>
      <c r="K819" s="299"/>
      <c r="L819" s="299"/>
      <c r="M819" s="299">
        <v>135</v>
      </c>
      <c r="N819" s="299">
        <v>9</v>
      </c>
      <c r="O819" s="300">
        <v>64</v>
      </c>
      <c r="P819" s="301">
        <v>42090</v>
      </c>
      <c r="Q819" s="302"/>
      <c r="R819" s="303"/>
      <c r="S819" s="289">
        <v>3.6</v>
      </c>
      <c r="T819" s="303">
        <v>42208</v>
      </c>
      <c r="U819" s="302"/>
      <c r="V819" s="303"/>
      <c r="W819" s="302"/>
      <c r="X819" s="303"/>
      <c r="Y819" s="302">
        <v>13.23</v>
      </c>
      <c r="Z819" s="303">
        <v>42208</v>
      </c>
      <c r="AA819">
        <v>14.4</v>
      </c>
      <c r="AB819" s="303"/>
      <c r="AC819" s="302"/>
      <c r="AD819" s="303"/>
      <c r="AE819" s="302"/>
      <c r="AF819" s="303"/>
      <c r="AG819">
        <v>43011.111111111109</v>
      </c>
      <c r="AH819" s="521">
        <f>(AK819*10000)/AM819</f>
        <v>43011.111111111109</v>
      </c>
      <c r="AI819" s="302"/>
      <c r="AJ819" s="303"/>
      <c r="AK819">
        <v>23.225999999999999</v>
      </c>
      <c r="AL819" s="521"/>
      <c r="AM819">
        <v>5.4</v>
      </c>
      <c r="AN819" s="303">
        <v>42244</v>
      </c>
      <c r="AO819">
        <v>120</v>
      </c>
      <c r="AP819" s="303">
        <v>42170</v>
      </c>
      <c r="AQ819" s="302"/>
      <c r="AR819" s="303"/>
      <c r="AS819" s="302"/>
      <c r="AT819" s="303"/>
      <c r="AU819">
        <v>109</v>
      </c>
      <c r="AV819" s="302"/>
      <c r="AW819" s="302"/>
      <c r="AX819" s="302"/>
      <c r="AY819" s="302"/>
      <c r="AZ819" s="302"/>
      <c r="BA819" s="302"/>
      <c r="BB819" s="302"/>
      <c r="BC819" s="302"/>
      <c r="BD819" s="302"/>
      <c r="BE819" s="302"/>
      <c r="BF819" s="302"/>
      <c r="BG819" s="302"/>
      <c r="BH819" s="302"/>
      <c r="BI819" s="302"/>
      <c r="BJ819" s="302"/>
      <c r="BM819">
        <v>48.5</v>
      </c>
      <c r="BS819">
        <v>5.2</v>
      </c>
      <c r="BY819">
        <v>50.8</v>
      </c>
      <c r="CA819">
        <v>19.600000000000001</v>
      </c>
      <c r="CC819">
        <v>78</v>
      </c>
      <c r="CI819">
        <v>5.2</v>
      </c>
      <c r="CO819" t="s">
        <v>8698</v>
      </c>
      <c r="CR819">
        <v>4</v>
      </c>
      <c r="CT819" s="304" t="s">
        <v>11678</v>
      </c>
    </row>
    <row r="820" spans="1:98" s="304" customFormat="1">
      <c r="A820" s="304" t="s">
        <v>8507</v>
      </c>
      <c r="B820" s="463">
        <v>22</v>
      </c>
      <c r="C820" s="296" t="s">
        <v>7749</v>
      </c>
      <c r="D820" s="296" t="s">
        <v>7833</v>
      </c>
      <c r="E820" s="296" t="s">
        <v>7749</v>
      </c>
      <c r="F820" s="296"/>
      <c r="G820" s="296" t="s">
        <v>8507</v>
      </c>
      <c r="H820" s="297" t="s">
        <v>8696</v>
      </c>
      <c r="I820" s="297">
        <v>3</v>
      </c>
      <c r="J820" s="297">
        <v>301</v>
      </c>
      <c r="K820" s="299"/>
      <c r="L820" s="299"/>
      <c r="M820" s="299">
        <v>135</v>
      </c>
      <c r="N820" s="299">
        <v>1</v>
      </c>
      <c r="O820" s="300">
        <v>44</v>
      </c>
      <c r="P820" s="301">
        <v>42090</v>
      </c>
      <c r="Q820" s="302"/>
      <c r="R820" s="303"/>
      <c r="S820" s="289">
        <v>3.6</v>
      </c>
      <c r="T820" s="303">
        <v>42208</v>
      </c>
      <c r="U820" s="302"/>
      <c r="V820" s="303"/>
      <c r="W820" s="302"/>
      <c r="X820" s="303"/>
      <c r="Y820" s="302">
        <v>12.15</v>
      </c>
      <c r="Z820" s="303">
        <v>42208</v>
      </c>
      <c r="AA820">
        <v>14.4</v>
      </c>
      <c r="AB820" s="303"/>
      <c r="AC820" s="302"/>
      <c r="AD820" s="303"/>
      <c r="AE820" s="302"/>
      <c r="AF820" s="303"/>
      <c r="AG820">
        <v>47350</v>
      </c>
      <c r="AH820" s="521">
        <f>(AK820*10000)/AM820</f>
        <v>47350</v>
      </c>
      <c r="AI820" s="302"/>
      <c r="AJ820" s="303"/>
      <c r="AK820">
        <v>23.201499999999999</v>
      </c>
      <c r="AL820" s="521"/>
      <c r="AM820">
        <v>4.9000000000000004</v>
      </c>
      <c r="AN820" s="303">
        <v>42244</v>
      </c>
      <c r="AO820">
        <v>105</v>
      </c>
      <c r="AP820" s="303">
        <v>42170</v>
      </c>
      <c r="AQ820" s="302"/>
      <c r="AR820" s="303"/>
      <c r="AS820" s="302"/>
      <c r="AT820" s="303"/>
      <c r="AU820">
        <v>107</v>
      </c>
      <c r="AV820" s="302"/>
      <c r="AW820" s="302"/>
      <c r="AX820" s="302"/>
      <c r="AY820" s="302"/>
      <c r="AZ820" s="302"/>
      <c r="BA820" s="302"/>
      <c r="BB820" s="302"/>
      <c r="BC820" s="302"/>
      <c r="BD820" s="302"/>
      <c r="BE820" s="302"/>
      <c r="BF820" s="302"/>
      <c r="BG820" s="302"/>
      <c r="BH820" s="302"/>
      <c r="BI820" s="302"/>
      <c r="BJ820" s="302"/>
      <c r="BM820">
        <v>3.9</v>
      </c>
      <c r="BS820">
        <v>53</v>
      </c>
      <c r="BY820">
        <v>46.7</v>
      </c>
      <c r="CA820">
        <v>22.6</v>
      </c>
      <c r="CC820">
        <v>67.5</v>
      </c>
      <c r="CI820">
        <v>5.3</v>
      </c>
      <c r="CO820" s="304" t="s">
        <v>11676</v>
      </c>
      <c r="CR820">
        <v>6</v>
      </c>
      <c r="CT820" s="304" t="s">
        <v>11678</v>
      </c>
    </row>
    <row r="821" spans="1:98" s="304" customFormat="1">
      <c r="A821" s="304" t="s">
        <v>8507</v>
      </c>
      <c r="B821" s="463">
        <v>23</v>
      </c>
      <c r="C821" s="296" t="s">
        <v>7755</v>
      </c>
      <c r="D821" s="296" t="s">
        <v>7566</v>
      </c>
      <c r="E821" s="296" t="s">
        <v>7755</v>
      </c>
      <c r="F821" s="296"/>
      <c r="G821" s="296" t="s">
        <v>8507</v>
      </c>
      <c r="H821" s="297" t="s">
        <v>8696</v>
      </c>
      <c r="I821" s="297">
        <v>3</v>
      </c>
      <c r="J821" s="297">
        <v>305</v>
      </c>
      <c r="K821" s="299"/>
      <c r="L821" s="299"/>
      <c r="M821" s="299">
        <v>135</v>
      </c>
      <c r="N821" s="299">
        <v>2</v>
      </c>
      <c r="O821" s="300">
        <v>24</v>
      </c>
      <c r="P821" s="301">
        <v>42090</v>
      </c>
      <c r="Q821" s="302"/>
      <c r="R821" s="303"/>
      <c r="S821" s="289">
        <v>4</v>
      </c>
      <c r="T821" s="303">
        <v>42208</v>
      </c>
      <c r="U821" s="302"/>
      <c r="V821" s="303"/>
      <c r="W821" s="302"/>
      <c r="X821" s="303"/>
      <c r="Y821" s="302">
        <v>13.22</v>
      </c>
      <c r="Z821" s="303">
        <v>42208</v>
      </c>
      <c r="AA821">
        <v>14.4</v>
      </c>
      <c r="AB821" s="303"/>
      <c r="AC821" s="302"/>
      <c r="AD821" s="303"/>
      <c r="AE821" s="302"/>
      <c r="AF821" s="303"/>
      <c r="AG821">
        <v>55023.640661938538</v>
      </c>
      <c r="AH821" s="521">
        <f>(AK821*10000)/AM821</f>
        <v>55023.640661938538</v>
      </c>
      <c r="AI821" s="302"/>
      <c r="AJ821" s="303"/>
      <c r="AK821">
        <v>25.861111111111114</v>
      </c>
      <c r="AL821" s="521"/>
      <c r="AM821">
        <v>4.7</v>
      </c>
      <c r="AN821" s="303">
        <v>42244</v>
      </c>
      <c r="AO821">
        <v>140</v>
      </c>
      <c r="AP821" s="303">
        <v>42170</v>
      </c>
      <c r="AQ821" s="302"/>
      <c r="AR821" s="303"/>
      <c r="AS821" s="302"/>
      <c r="AT821" s="303"/>
      <c r="AU821">
        <v>112</v>
      </c>
      <c r="AV821" s="302"/>
      <c r="AW821" s="302"/>
      <c r="AX821" s="302"/>
      <c r="AY821" s="302"/>
      <c r="AZ821" s="302"/>
      <c r="BA821" s="302"/>
      <c r="BB821" s="302"/>
      <c r="BC821" s="302"/>
      <c r="BD821" s="302"/>
      <c r="BE821" s="302"/>
      <c r="BF821" s="302"/>
      <c r="BG821" s="302"/>
      <c r="BH821" s="302"/>
      <c r="BI821" s="302"/>
      <c r="BJ821" s="302"/>
      <c r="BM821">
        <v>9.1999999999999993</v>
      </c>
      <c r="BS821">
        <v>49.3</v>
      </c>
      <c r="BY821">
        <v>45.6</v>
      </c>
      <c r="CA821">
        <v>21.9</v>
      </c>
      <c r="CC821">
        <v>65.900000000000006</v>
      </c>
      <c r="CI821">
        <v>5</v>
      </c>
      <c r="CO821" s="304" t="s">
        <v>11676</v>
      </c>
      <c r="CR821">
        <v>6</v>
      </c>
      <c r="CT821" s="304" t="s">
        <v>11678</v>
      </c>
    </row>
    <row r="822" spans="1:98" s="304" customFormat="1">
      <c r="A822" s="304" t="s">
        <v>8507</v>
      </c>
      <c r="B822" s="463">
        <v>4</v>
      </c>
      <c r="C822" s="296" t="s">
        <v>7614</v>
      </c>
      <c r="D822" s="296" t="s">
        <v>7812</v>
      </c>
      <c r="E822" s="296" t="s">
        <v>7614</v>
      </c>
      <c r="F822" s="296"/>
      <c r="G822" s="296" t="s">
        <v>8507</v>
      </c>
      <c r="H822" s="297" t="s">
        <v>8696</v>
      </c>
      <c r="I822" s="297">
        <v>3</v>
      </c>
      <c r="J822" s="297">
        <v>306</v>
      </c>
      <c r="K822" s="299"/>
      <c r="L822" s="299"/>
      <c r="M822" s="299">
        <v>136</v>
      </c>
      <c r="N822" s="299">
        <v>2</v>
      </c>
      <c r="O822" s="300">
        <v>22</v>
      </c>
      <c r="P822" s="301">
        <v>42090</v>
      </c>
      <c r="Q822" s="302"/>
      <c r="R822" s="303"/>
      <c r="S822" s="289">
        <v>3.5</v>
      </c>
      <c r="T822" s="303">
        <v>42208</v>
      </c>
      <c r="U822" s="302"/>
      <c r="V822" s="303"/>
      <c r="W822" s="302"/>
      <c r="X822" s="303"/>
      <c r="Y822" s="302">
        <v>11.69</v>
      </c>
      <c r="Z822" s="303">
        <v>42208</v>
      </c>
      <c r="AA822">
        <v>14.4</v>
      </c>
      <c r="AB822" s="303"/>
      <c r="AC822" s="302"/>
      <c r="AD822" s="303"/>
      <c r="AE822" s="302"/>
      <c r="AF822" s="303"/>
      <c r="AG822">
        <v>46131.944444444445</v>
      </c>
      <c r="AH822" s="521">
        <f>(AK822*10000)/AM822</f>
        <v>46131.944444444445</v>
      </c>
      <c r="AI822" s="302"/>
      <c r="AJ822" s="303"/>
      <c r="AK822">
        <v>22.60465277777778</v>
      </c>
      <c r="AL822" s="521"/>
      <c r="AM822">
        <v>4.9000000000000004</v>
      </c>
      <c r="AN822" s="303">
        <v>42244</v>
      </c>
      <c r="AO822">
        <v>135</v>
      </c>
      <c r="AP822" s="303">
        <v>42170</v>
      </c>
      <c r="AQ822" s="302"/>
      <c r="AR822" s="303"/>
      <c r="AS822" s="302"/>
      <c r="AT822" s="303"/>
      <c r="AU822">
        <v>105</v>
      </c>
      <c r="AV822" s="302"/>
      <c r="AW822" s="302"/>
      <c r="AX822" s="302"/>
      <c r="AY822" s="302"/>
      <c r="AZ822" s="302"/>
      <c r="BA822" s="302"/>
      <c r="BB822" s="302"/>
      <c r="BC822" s="302"/>
      <c r="BD822" s="302"/>
      <c r="BE822" s="302"/>
      <c r="BF822" s="302"/>
      <c r="BG822" s="302"/>
      <c r="BH822" s="302"/>
      <c r="BI822" s="302"/>
      <c r="BJ822" s="302"/>
      <c r="BM822">
        <v>32.6</v>
      </c>
      <c r="BS822">
        <v>23.1</v>
      </c>
      <c r="BY822">
        <v>46.1</v>
      </c>
      <c r="CA822">
        <v>23.5</v>
      </c>
      <c r="CC822">
        <v>70.5</v>
      </c>
      <c r="CI822">
        <v>5.0999999999999996</v>
      </c>
      <c r="CO822" s="304" t="s">
        <v>11676</v>
      </c>
      <c r="CR822">
        <v>6</v>
      </c>
      <c r="CT822" s="304" t="s">
        <v>11678</v>
      </c>
    </row>
    <row r="823" spans="1:98" s="304" customFormat="1">
      <c r="A823" s="304" t="s">
        <v>8507</v>
      </c>
      <c r="B823" s="463">
        <v>4</v>
      </c>
      <c r="C823" s="296" t="s">
        <v>7614</v>
      </c>
      <c r="D823" s="296" t="s">
        <v>7812</v>
      </c>
      <c r="E823" s="296" t="s">
        <v>7614</v>
      </c>
      <c r="F823" s="296"/>
      <c r="G823" s="296" t="s">
        <v>8507</v>
      </c>
      <c r="H823" s="297" t="s">
        <v>8697</v>
      </c>
      <c r="I823" s="297">
        <v>4</v>
      </c>
      <c r="J823" s="297">
        <v>422</v>
      </c>
      <c r="K823" s="299"/>
      <c r="L823" s="299"/>
      <c r="M823" s="299">
        <v>136</v>
      </c>
      <c r="N823" s="299">
        <v>12</v>
      </c>
      <c r="O823" s="300">
        <v>24</v>
      </c>
      <c r="P823" s="301">
        <v>42090</v>
      </c>
      <c r="Q823" s="302"/>
      <c r="R823" s="303"/>
      <c r="S823" s="289">
        <v>2.35</v>
      </c>
      <c r="T823" s="303">
        <v>42208</v>
      </c>
      <c r="U823" s="302"/>
      <c r="V823" s="303"/>
      <c r="W823" s="302"/>
      <c r="X823" s="303"/>
      <c r="Y823" s="302">
        <v>8.23</v>
      </c>
      <c r="Z823" s="303">
        <v>42208</v>
      </c>
      <c r="AA823">
        <v>14.4</v>
      </c>
      <c r="AB823" s="303"/>
      <c r="AC823" s="302"/>
      <c r="AD823" s="303"/>
      <c r="AE823" s="302"/>
      <c r="AF823" s="303"/>
      <c r="AG823">
        <v>31202.777777777777</v>
      </c>
      <c r="AH823" s="521">
        <f>(AK823*10000)/AM823</f>
        <v>31202.777777777777</v>
      </c>
      <c r="AI823" s="302"/>
      <c r="AJ823" s="303"/>
      <c r="AK823">
        <v>15.289361111111111</v>
      </c>
      <c r="AL823" s="521"/>
      <c r="AM823">
        <v>4.9000000000000004</v>
      </c>
      <c r="AN823" s="303">
        <v>42244</v>
      </c>
      <c r="AO823">
        <v>130</v>
      </c>
      <c r="AP823" s="303">
        <v>42170</v>
      </c>
      <c r="AQ823" s="302"/>
      <c r="AR823" s="303"/>
      <c r="AS823" s="302"/>
      <c r="AT823" s="303"/>
      <c r="AU823">
        <v>107</v>
      </c>
      <c r="AV823" s="302"/>
      <c r="AW823" s="302"/>
      <c r="AX823" s="302"/>
      <c r="AY823" s="302"/>
      <c r="AZ823" s="302"/>
      <c r="BA823" s="302"/>
      <c r="BB823" s="302"/>
      <c r="BC823" s="302"/>
      <c r="BD823" s="302"/>
      <c r="BE823" s="302"/>
      <c r="BF823" s="302"/>
      <c r="BG823" s="302"/>
      <c r="BH823" s="302"/>
      <c r="BI823" s="302"/>
      <c r="BJ823" s="302"/>
      <c r="BM823">
        <v>34.799999999999997</v>
      </c>
      <c r="BS823">
        <v>19.7</v>
      </c>
      <c r="BY823">
        <v>48</v>
      </c>
      <c r="CA823">
        <v>21.4</v>
      </c>
      <c r="CC823">
        <v>69.8</v>
      </c>
      <c r="CI823">
        <v>4.4000000000000004</v>
      </c>
      <c r="CO823" s="304" t="s">
        <v>11676</v>
      </c>
      <c r="CR823">
        <v>7</v>
      </c>
      <c r="CT823" s="304" t="s">
        <v>11678</v>
      </c>
    </row>
    <row r="824" spans="1:98" s="304" customFormat="1">
      <c r="A824" s="304" t="s">
        <v>8507</v>
      </c>
      <c r="B824" s="463">
        <v>7</v>
      </c>
      <c r="C824" s="296" t="s">
        <v>7633</v>
      </c>
      <c r="D824" s="296" t="s">
        <v>256</v>
      </c>
      <c r="E824" s="296" t="s">
        <v>7633</v>
      </c>
      <c r="F824" s="296"/>
      <c r="G824" s="296" t="s">
        <v>8507</v>
      </c>
      <c r="H824" s="297" t="s">
        <v>8696</v>
      </c>
      <c r="I824" s="297">
        <v>3</v>
      </c>
      <c r="J824" s="297">
        <v>310</v>
      </c>
      <c r="K824" s="299"/>
      <c r="L824" s="299"/>
      <c r="M824" s="299">
        <v>136</v>
      </c>
      <c r="N824" s="299">
        <v>3</v>
      </c>
      <c r="O824" s="300">
        <v>48</v>
      </c>
      <c r="P824" s="301">
        <v>42090</v>
      </c>
      <c r="Q824" s="302"/>
      <c r="R824" s="303"/>
      <c r="S824" s="289">
        <v>4.6500000000000004</v>
      </c>
      <c r="T824" s="303">
        <v>42208</v>
      </c>
      <c r="U824" s="302"/>
      <c r="V824" s="303"/>
      <c r="W824" s="302"/>
      <c r="X824" s="303"/>
      <c r="Y824" s="302">
        <v>16.07</v>
      </c>
      <c r="Z824" s="303">
        <v>42208</v>
      </c>
      <c r="AA824">
        <v>14.4</v>
      </c>
      <c r="AB824" s="303"/>
      <c r="AC824" s="302"/>
      <c r="AD824" s="303"/>
      <c r="AE824" s="302"/>
      <c r="AF824" s="303"/>
      <c r="AG824">
        <v>71504.513888888891</v>
      </c>
      <c r="AH824" s="521">
        <f>(AK824*10000)/AM824</f>
        <v>71504.513888888891</v>
      </c>
      <c r="AI824" s="302"/>
      <c r="AJ824" s="303"/>
      <c r="AK824">
        <v>30.031895833333337</v>
      </c>
      <c r="AL824" s="521"/>
      <c r="AM824">
        <v>4.2</v>
      </c>
      <c r="AN824" s="303">
        <v>42244</v>
      </c>
      <c r="AO824">
        <v>120</v>
      </c>
      <c r="AP824" s="303">
        <v>42170</v>
      </c>
      <c r="AQ824" s="302"/>
      <c r="AR824" s="303"/>
      <c r="AS824" s="302"/>
      <c r="AT824" s="303"/>
      <c r="AU824">
        <v>106</v>
      </c>
      <c r="AV824" s="302"/>
      <c r="AW824" s="302"/>
      <c r="AX824" s="302"/>
      <c r="AY824" s="302"/>
      <c r="AZ824" s="302"/>
      <c r="BA824" s="302"/>
      <c r="BB824" s="302"/>
      <c r="BC824" s="302"/>
      <c r="BD824" s="302"/>
      <c r="BE824" s="302"/>
      <c r="BF824" s="302"/>
      <c r="BG824" s="302"/>
      <c r="BH824" s="302"/>
      <c r="BI824" s="302"/>
      <c r="BJ824" s="302"/>
      <c r="BM824">
        <v>46.9</v>
      </c>
      <c r="BS824">
        <v>5.7</v>
      </c>
      <c r="BY824">
        <v>47.7</v>
      </c>
      <c r="CA824">
        <v>22.2</v>
      </c>
      <c r="CC824">
        <v>76.3</v>
      </c>
      <c r="CI824">
        <v>5.0999999999999996</v>
      </c>
      <c r="CO824" t="s">
        <v>8698</v>
      </c>
      <c r="CR824">
        <v>3</v>
      </c>
      <c r="CT824" s="304" t="s">
        <v>11678</v>
      </c>
    </row>
    <row r="825" spans="1:98" s="304" customFormat="1">
      <c r="A825" s="304" t="s">
        <v>8507</v>
      </c>
      <c r="B825" s="463">
        <v>8</v>
      </c>
      <c r="C825" s="296" t="s">
        <v>7645</v>
      </c>
      <c r="D825" s="296" t="s">
        <v>7480</v>
      </c>
      <c r="E825" s="296" t="s">
        <v>7645</v>
      </c>
      <c r="F825" s="296"/>
      <c r="G825" s="296" t="s">
        <v>8507</v>
      </c>
      <c r="H825" s="297" t="s">
        <v>8696</v>
      </c>
      <c r="I825" s="297">
        <v>3</v>
      </c>
      <c r="J825" s="297">
        <v>314</v>
      </c>
      <c r="K825" s="299"/>
      <c r="L825" s="299"/>
      <c r="M825" s="299">
        <v>136</v>
      </c>
      <c r="N825" s="299">
        <v>4</v>
      </c>
      <c r="O825" s="300">
        <v>19</v>
      </c>
      <c r="P825" s="301">
        <v>42090</v>
      </c>
      <c r="Q825" s="302"/>
      <c r="R825" s="303"/>
      <c r="S825" s="289">
        <v>3.75</v>
      </c>
      <c r="T825" s="303">
        <v>42208</v>
      </c>
      <c r="U825" s="302"/>
      <c r="V825" s="303"/>
      <c r="W825" s="302"/>
      <c r="X825" s="303"/>
      <c r="Y825" s="302">
        <v>12.55</v>
      </c>
      <c r="Z825" s="303">
        <v>42208</v>
      </c>
      <c r="AA825">
        <v>14.4</v>
      </c>
      <c r="AB825" s="303"/>
      <c r="AC825" s="302"/>
      <c r="AD825" s="303"/>
      <c r="AE825" s="302"/>
      <c r="AF825" s="303"/>
      <c r="AG825">
        <v>46575.520833333336</v>
      </c>
      <c r="AH825" s="521">
        <f>(AK825*10000)/AM825</f>
        <v>46575.520833333336</v>
      </c>
      <c r="AI825" s="302"/>
      <c r="AJ825" s="303"/>
      <c r="AK825">
        <v>24.219270833333336</v>
      </c>
      <c r="AL825" s="521"/>
      <c r="AM825">
        <v>5.2</v>
      </c>
      <c r="AN825" s="303">
        <v>42244</v>
      </c>
      <c r="AO825">
        <v>155</v>
      </c>
      <c r="AP825" s="303">
        <v>42170</v>
      </c>
      <c r="AQ825" s="302"/>
      <c r="AR825" s="303"/>
      <c r="AS825" s="302"/>
      <c r="AT825" s="303"/>
      <c r="AU825">
        <v>110</v>
      </c>
      <c r="AV825" s="302"/>
      <c r="AW825" s="302"/>
      <c r="AX825" s="302"/>
      <c r="AY825" s="302"/>
      <c r="AZ825" s="302"/>
      <c r="BA825" s="302"/>
      <c r="BB825" s="302"/>
      <c r="BC825" s="302"/>
      <c r="BD825" s="302"/>
      <c r="BE825" s="302"/>
      <c r="BF825" s="302"/>
      <c r="BG825" s="302"/>
      <c r="BH825" s="302"/>
      <c r="BI825" s="302"/>
      <c r="BJ825" s="302"/>
      <c r="BM825">
        <v>3.7</v>
      </c>
      <c r="BS825">
        <v>50.6</v>
      </c>
      <c r="BY825">
        <v>46.2</v>
      </c>
      <c r="CA825">
        <v>23.2</v>
      </c>
      <c r="CC825">
        <v>72.5</v>
      </c>
      <c r="CI825">
        <v>5.0999999999999996</v>
      </c>
      <c r="CO825" t="s">
        <v>8698</v>
      </c>
      <c r="CR825">
        <v>5</v>
      </c>
      <c r="CT825" s="304" t="s">
        <v>11678</v>
      </c>
    </row>
    <row r="826" spans="1:98" s="304" customFormat="1">
      <c r="A826" s="304" t="s">
        <v>8507</v>
      </c>
      <c r="B826" s="463">
        <v>8</v>
      </c>
      <c r="C826" s="296" t="s">
        <v>7645</v>
      </c>
      <c r="D826" s="296" t="s">
        <v>7480</v>
      </c>
      <c r="E826" s="296" t="s">
        <v>7645</v>
      </c>
      <c r="F826" s="296"/>
      <c r="G826" s="296" t="s">
        <v>8507</v>
      </c>
      <c r="H826" s="297" t="s">
        <v>8697</v>
      </c>
      <c r="I826" s="297">
        <v>4</v>
      </c>
      <c r="J826" s="297">
        <v>402</v>
      </c>
      <c r="K826" s="299"/>
      <c r="L826" s="299"/>
      <c r="M826" s="299">
        <v>136</v>
      </c>
      <c r="N826" s="299">
        <v>7</v>
      </c>
      <c r="O826" s="300">
        <v>45</v>
      </c>
      <c r="P826" s="301">
        <v>42090</v>
      </c>
      <c r="Q826" s="302"/>
      <c r="R826" s="303"/>
      <c r="S826" s="289">
        <v>2.7</v>
      </c>
      <c r="T826" s="303">
        <v>42208</v>
      </c>
      <c r="U826" s="302"/>
      <c r="V826" s="303"/>
      <c r="W826" s="302"/>
      <c r="X826" s="303"/>
      <c r="Y826" s="302">
        <v>9.5</v>
      </c>
      <c r="Z826" s="303">
        <v>42208</v>
      </c>
      <c r="AA826">
        <v>14.4</v>
      </c>
      <c r="AB826" s="303"/>
      <c r="AC826" s="302"/>
      <c r="AD826" s="303"/>
      <c r="AE826" s="302"/>
      <c r="AF826" s="303"/>
      <c r="AG826">
        <v>31571.590909090908</v>
      </c>
      <c r="AH826" s="521">
        <f>(AK826*10000)/AM826</f>
        <v>31571.590909090908</v>
      </c>
      <c r="AI826" s="302"/>
      <c r="AJ826" s="303"/>
      <c r="AK826">
        <v>17.364374999999999</v>
      </c>
      <c r="AL826" s="521"/>
      <c r="AM826">
        <v>5.5</v>
      </c>
      <c r="AN826" s="303">
        <v>42244</v>
      </c>
      <c r="AO826">
        <v>145</v>
      </c>
      <c r="AP826" s="303">
        <v>42170</v>
      </c>
      <c r="AQ826" s="302"/>
      <c r="AR826" s="303"/>
      <c r="AS826" s="302"/>
      <c r="AT826" s="303"/>
      <c r="AU826">
        <v>110</v>
      </c>
      <c r="AV826" s="302"/>
      <c r="AW826" s="302"/>
      <c r="AX826" s="302"/>
      <c r="AY826" s="302"/>
      <c r="AZ826" s="302"/>
      <c r="BA826" s="302"/>
      <c r="BB826" s="302"/>
      <c r="BC826" s="302"/>
      <c r="BD826" s="302"/>
      <c r="BE826" s="302"/>
      <c r="BF826" s="302"/>
      <c r="BG826" s="302"/>
      <c r="BH826" s="302"/>
      <c r="BI826" s="302"/>
      <c r="BJ826" s="302"/>
      <c r="BM826">
        <v>6.5</v>
      </c>
      <c r="BS826">
        <v>50</v>
      </c>
      <c r="BY826">
        <v>48.8</v>
      </c>
      <c r="CA826">
        <v>21.1</v>
      </c>
      <c r="CC826">
        <v>70.3</v>
      </c>
      <c r="CI826">
        <v>5.5</v>
      </c>
      <c r="CO826" t="s">
        <v>8698</v>
      </c>
      <c r="CR826">
        <v>4</v>
      </c>
      <c r="CT826" s="304" t="s">
        <v>11678</v>
      </c>
    </row>
    <row r="827" spans="1:98" s="304" customFormat="1">
      <c r="A827" s="304" t="s">
        <v>8507</v>
      </c>
      <c r="B827" s="463">
        <v>10</v>
      </c>
      <c r="C827" s="296" t="s">
        <v>7649</v>
      </c>
      <c r="D827" s="296" t="s">
        <v>7484</v>
      </c>
      <c r="E827" s="296" t="s">
        <v>7649</v>
      </c>
      <c r="F827" s="296"/>
      <c r="G827" s="296" t="s">
        <v>8507</v>
      </c>
      <c r="H827" s="297" t="s">
        <v>8697</v>
      </c>
      <c r="I827" s="297">
        <v>4</v>
      </c>
      <c r="J827" s="297">
        <v>406</v>
      </c>
      <c r="K827" s="299"/>
      <c r="L827" s="299"/>
      <c r="M827" s="299">
        <v>136</v>
      </c>
      <c r="N827" s="299">
        <v>8</v>
      </c>
      <c r="O827" s="300">
        <v>48</v>
      </c>
      <c r="P827" s="301">
        <v>42090</v>
      </c>
      <c r="Q827" s="302"/>
      <c r="R827" s="303"/>
      <c r="S827" s="289">
        <v>3.15</v>
      </c>
      <c r="T827" s="303">
        <v>42208</v>
      </c>
      <c r="U827" s="302"/>
      <c r="V827" s="303"/>
      <c r="W827" s="302"/>
      <c r="X827" s="303"/>
      <c r="Y827" s="302">
        <v>10.88</v>
      </c>
      <c r="Z827" s="303">
        <v>42208</v>
      </c>
      <c r="AA827">
        <v>14.4</v>
      </c>
      <c r="AB827" s="303"/>
      <c r="AC827" s="302"/>
      <c r="AD827" s="303"/>
      <c r="AE827" s="302"/>
      <c r="AF827" s="303"/>
      <c r="AG827">
        <v>41518.75</v>
      </c>
      <c r="AH827" s="521">
        <f>(AK827*10000)/AM827</f>
        <v>41518.75</v>
      </c>
      <c r="AI827" s="302"/>
      <c r="AJ827" s="303"/>
      <c r="AK827">
        <v>20.344187500000004</v>
      </c>
      <c r="AL827" s="521"/>
      <c r="AM827">
        <v>4.9000000000000004</v>
      </c>
      <c r="AN827" s="303">
        <v>42244</v>
      </c>
      <c r="AO827">
        <v>135</v>
      </c>
      <c r="AP827" s="303">
        <v>42170</v>
      </c>
      <c r="AQ827" s="302"/>
      <c r="AR827" s="303"/>
      <c r="AS827" s="302"/>
      <c r="AT827" s="303"/>
      <c r="AU827">
        <v>110</v>
      </c>
      <c r="AV827" s="302"/>
      <c r="AW827" s="302"/>
      <c r="AX827" s="302"/>
      <c r="AY827" s="302"/>
      <c r="AZ827" s="302"/>
      <c r="BA827" s="302"/>
      <c r="BB827" s="302"/>
      <c r="BC827" s="302"/>
      <c r="BD827" s="302"/>
      <c r="BE827" s="302"/>
      <c r="BF827" s="302"/>
      <c r="BG827" s="302"/>
      <c r="BH827" s="302"/>
      <c r="BI827" s="302"/>
      <c r="BJ827" s="302"/>
      <c r="BM827">
        <v>0.7</v>
      </c>
      <c r="BS827">
        <v>52.9</v>
      </c>
      <c r="BY827">
        <v>47.7</v>
      </c>
      <c r="CA827">
        <v>20.100000000000001</v>
      </c>
      <c r="CC827">
        <v>69.599999999999994</v>
      </c>
      <c r="CI827">
        <v>5.0999999999999996</v>
      </c>
      <c r="CO827" t="s">
        <v>8698</v>
      </c>
      <c r="CR827">
        <v>5</v>
      </c>
      <c r="CT827" s="304" t="s">
        <v>11678</v>
      </c>
    </row>
    <row r="828" spans="1:98" s="304" customFormat="1">
      <c r="A828" s="304" t="s">
        <v>8507</v>
      </c>
      <c r="B828" s="463">
        <v>14</v>
      </c>
      <c r="C828" s="296" t="s">
        <v>7731</v>
      </c>
      <c r="D828" s="296" t="s">
        <v>7557</v>
      </c>
      <c r="E828" s="296" t="s">
        <v>7731</v>
      </c>
      <c r="F828" s="296"/>
      <c r="G828" s="296" t="s">
        <v>8507</v>
      </c>
      <c r="H828" s="297" t="s">
        <v>8697</v>
      </c>
      <c r="I828" s="297">
        <v>4</v>
      </c>
      <c r="J828" s="297">
        <v>410</v>
      </c>
      <c r="K828" s="299"/>
      <c r="L828" s="299"/>
      <c r="M828" s="299">
        <v>136</v>
      </c>
      <c r="N828" s="299">
        <v>9</v>
      </c>
      <c r="O828" s="300">
        <v>39</v>
      </c>
      <c r="P828" s="301">
        <v>42090</v>
      </c>
      <c r="Q828" s="302"/>
      <c r="R828" s="303"/>
      <c r="S828" s="289">
        <v>3.3</v>
      </c>
      <c r="T828" s="303">
        <v>42208</v>
      </c>
      <c r="U828" s="302"/>
      <c r="V828" s="303"/>
      <c r="W828" s="302"/>
      <c r="X828" s="303"/>
      <c r="Y828" s="302">
        <v>11.95</v>
      </c>
      <c r="Z828" s="303">
        <v>42208</v>
      </c>
      <c r="AA828">
        <v>14.4</v>
      </c>
      <c r="AB828" s="303"/>
      <c r="AC828" s="302"/>
      <c r="AD828" s="303"/>
      <c r="AE828" s="302"/>
      <c r="AF828" s="303"/>
      <c r="AG828">
        <v>44495.572916666672</v>
      </c>
      <c r="AH828" s="521">
        <f>(AK828*10000)/AM828</f>
        <v>44495.572916666672</v>
      </c>
      <c r="AI828" s="302"/>
      <c r="AJ828" s="303"/>
      <c r="AK828">
        <v>21.357875</v>
      </c>
      <c r="AL828" s="521"/>
      <c r="AM828">
        <v>4.8</v>
      </c>
      <c r="AN828" s="303">
        <v>42244</v>
      </c>
      <c r="AO828">
        <v>130</v>
      </c>
      <c r="AP828" s="303">
        <v>42170</v>
      </c>
      <c r="AQ828" s="302"/>
      <c r="AR828" s="303"/>
      <c r="AS828" s="302"/>
      <c r="AT828" s="303"/>
      <c r="AU828">
        <v>107</v>
      </c>
      <c r="AV828" s="302"/>
      <c r="AW828" s="302"/>
      <c r="AX828" s="302"/>
      <c r="AY828" s="302"/>
      <c r="AZ828" s="302"/>
      <c r="BA828" s="302"/>
      <c r="BB828" s="302"/>
      <c r="BC828" s="302"/>
      <c r="BD828" s="302"/>
      <c r="BE828" s="302"/>
      <c r="BF828" s="302"/>
      <c r="BG828" s="302"/>
      <c r="BH828" s="302"/>
      <c r="BI828" s="302"/>
      <c r="BJ828" s="302"/>
      <c r="BM828">
        <v>50.6</v>
      </c>
      <c r="BS828">
        <v>6.6</v>
      </c>
      <c r="BY828">
        <v>49.9</v>
      </c>
      <c r="CA828">
        <v>19.8</v>
      </c>
      <c r="CC828">
        <v>70.900000000000006</v>
      </c>
      <c r="CI828">
        <v>4.9000000000000004</v>
      </c>
      <c r="CO828" t="s">
        <v>8698</v>
      </c>
      <c r="CR828">
        <v>4</v>
      </c>
      <c r="CT828" s="304" t="s">
        <v>11678</v>
      </c>
    </row>
    <row r="829" spans="1:98" s="304" customFormat="1">
      <c r="A829" s="304" t="s">
        <v>8507</v>
      </c>
      <c r="B829" s="463">
        <v>15</v>
      </c>
      <c r="C829" s="296" t="s">
        <v>7739</v>
      </c>
      <c r="D829" s="296" t="s">
        <v>7823</v>
      </c>
      <c r="E829" s="296" t="s">
        <v>7739</v>
      </c>
      <c r="F829" s="296"/>
      <c r="G829" s="296" t="s">
        <v>8507</v>
      </c>
      <c r="H829" s="297" t="s">
        <v>8696</v>
      </c>
      <c r="I829" s="297">
        <v>3</v>
      </c>
      <c r="J829" s="297">
        <v>318</v>
      </c>
      <c r="K829" s="299"/>
      <c r="L829" s="299"/>
      <c r="M829" s="299">
        <v>136</v>
      </c>
      <c r="N829" s="299">
        <v>5</v>
      </c>
      <c r="O829" s="300">
        <v>35</v>
      </c>
      <c r="P829" s="301">
        <v>42090</v>
      </c>
      <c r="Q829" s="302"/>
      <c r="R829" s="303"/>
      <c r="S829" s="289">
        <v>3.85</v>
      </c>
      <c r="T829" s="303">
        <v>42208</v>
      </c>
      <c r="U829" s="302"/>
      <c r="V829" s="303"/>
      <c r="W829" s="302"/>
      <c r="X829" s="303"/>
      <c r="Y829" s="302">
        <v>12.96</v>
      </c>
      <c r="Z829" s="303">
        <v>42208</v>
      </c>
      <c r="AA829">
        <v>14.4</v>
      </c>
      <c r="AB829" s="303"/>
      <c r="AC829" s="302"/>
      <c r="AD829" s="303"/>
      <c r="AE829" s="302"/>
      <c r="AF829" s="303"/>
      <c r="AG829">
        <v>37112.116500829186</v>
      </c>
      <c r="AH829" s="521">
        <f>(AK829*10000)/AM829</f>
        <v>37112.116500829186</v>
      </c>
      <c r="AI829" s="302"/>
      <c r="AJ829" s="303"/>
      <c r="AK829">
        <v>24.865118055555556</v>
      </c>
      <c r="AL829" s="521"/>
      <c r="AM829">
        <v>6.7</v>
      </c>
      <c r="AN829" s="303">
        <v>42244</v>
      </c>
      <c r="AO829">
        <v>110</v>
      </c>
      <c r="AP829" s="303">
        <v>42170</v>
      </c>
      <c r="AQ829" s="302"/>
      <c r="AR829" s="303"/>
      <c r="AS829" s="302"/>
      <c r="AT829" s="303"/>
      <c r="AU829">
        <v>107</v>
      </c>
      <c r="AV829" s="302"/>
      <c r="AW829" s="302"/>
      <c r="AX829" s="302"/>
      <c r="AY829" s="302"/>
      <c r="AZ829" s="302"/>
      <c r="BA829" s="302"/>
      <c r="BB829" s="302"/>
      <c r="BC829" s="302"/>
      <c r="BD829" s="302"/>
      <c r="BE829" s="302"/>
      <c r="BF829" s="302"/>
      <c r="BG829" s="302"/>
      <c r="BH829" s="302"/>
      <c r="BI829" s="302"/>
      <c r="BJ829" s="302"/>
      <c r="BM829">
        <v>46.3</v>
      </c>
      <c r="BS829">
        <v>6.3</v>
      </c>
      <c r="BY829">
        <v>46.5</v>
      </c>
      <c r="CA829">
        <v>24.1</v>
      </c>
      <c r="CC829">
        <v>90.3</v>
      </c>
      <c r="CI829">
        <v>5.0999999999999996</v>
      </c>
      <c r="CO829" s="304" t="s">
        <v>11676</v>
      </c>
      <c r="CR829">
        <v>7</v>
      </c>
      <c r="CT829" s="304" t="s">
        <v>11678</v>
      </c>
    </row>
    <row r="830" spans="1:98" s="304" customFormat="1">
      <c r="A830" s="304" t="s">
        <v>8507</v>
      </c>
      <c r="B830" s="463">
        <v>17</v>
      </c>
      <c r="C830" s="296" t="s">
        <v>7743</v>
      </c>
      <c r="D830" s="296" t="s">
        <v>7827</v>
      </c>
      <c r="E830" s="296" t="s">
        <v>7743</v>
      </c>
      <c r="F830" s="296"/>
      <c r="G830" s="296" t="s">
        <v>8507</v>
      </c>
      <c r="H830" s="297" t="s">
        <v>8696</v>
      </c>
      <c r="I830" s="297">
        <v>3</v>
      </c>
      <c r="J830" s="297">
        <v>302</v>
      </c>
      <c r="K830" s="299"/>
      <c r="L830" s="299"/>
      <c r="M830" s="299">
        <v>136</v>
      </c>
      <c r="N830" s="299">
        <v>1</v>
      </c>
      <c r="O830" s="300">
        <v>24</v>
      </c>
      <c r="P830" s="301">
        <v>42090</v>
      </c>
      <c r="Q830" s="302"/>
      <c r="R830" s="303"/>
      <c r="S830" s="289">
        <v>3.6</v>
      </c>
      <c r="T830" s="303">
        <v>42208</v>
      </c>
      <c r="U830" s="302"/>
      <c r="V830" s="303"/>
      <c r="W830" s="302"/>
      <c r="X830" s="303"/>
      <c r="Y830" s="302">
        <v>12.6</v>
      </c>
      <c r="Z830" s="303">
        <v>42208</v>
      </c>
      <c r="AA830">
        <v>14.4</v>
      </c>
      <c r="AB830" s="303"/>
      <c r="AC830" s="302"/>
      <c r="AD830" s="303"/>
      <c r="AE830" s="302"/>
      <c r="AF830" s="303"/>
      <c r="AG830">
        <v>55300</v>
      </c>
      <c r="AH830" s="521">
        <f>(AK830*10000)/AM830</f>
        <v>55300</v>
      </c>
      <c r="AI830" s="302"/>
      <c r="AJ830" s="303"/>
      <c r="AK830">
        <v>23.225999999999999</v>
      </c>
      <c r="AL830" s="521"/>
      <c r="AM830">
        <v>4.2</v>
      </c>
      <c r="AN830" s="303">
        <v>42244</v>
      </c>
      <c r="AO830">
        <v>110</v>
      </c>
      <c r="AP830" s="303">
        <v>42170</v>
      </c>
      <c r="AQ830" s="302"/>
      <c r="AR830" s="303"/>
      <c r="AS830" s="302"/>
      <c r="AT830" s="303"/>
      <c r="AU830">
        <v>108</v>
      </c>
      <c r="AV830" s="302"/>
      <c r="AW830" s="302"/>
      <c r="AX830" s="302"/>
      <c r="AY830" s="302"/>
      <c r="AZ830" s="302"/>
      <c r="BA830" s="302"/>
      <c r="BB830" s="302"/>
      <c r="BC830" s="302"/>
      <c r="BD830" s="302"/>
      <c r="BE830" s="302"/>
      <c r="BF830" s="302"/>
      <c r="BG830" s="302"/>
      <c r="BH830" s="302"/>
      <c r="BI830" s="302"/>
      <c r="BJ830" s="302"/>
      <c r="BM830">
        <v>51.5</v>
      </c>
      <c r="BS830">
        <v>5.7</v>
      </c>
      <c r="BY830">
        <v>48.4</v>
      </c>
      <c r="CA830">
        <v>22</v>
      </c>
      <c r="CC830">
        <v>73.099999999999994</v>
      </c>
      <c r="CI830">
        <v>5.2</v>
      </c>
      <c r="CO830" s="304" t="s">
        <v>11676</v>
      </c>
      <c r="CR830">
        <v>6</v>
      </c>
      <c r="CT830" s="304" t="s">
        <v>11678</v>
      </c>
    </row>
    <row r="831" spans="1:98" s="304" customFormat="1">
      <c r="A831" s="304" t="s">
        <v>8507</v>
      </c>
      <c r="B831" s="463">
        <v>19</v>
      </c>
      <c r="C831" s="296" t="s">
        <v>7745</v>
      </c>
      <c r="D831" s="296" t="s">
        <v>7829</v>
      </c>
      <c r="E831" s="296" t="s">
        <v>7745</v>
      </c>
      <c r="F831" s="296"/>
      <c r="G831" s="296" t="s">
        <v>8507</v>
      </c>
      <c r="H831" s="297" t="s">
        <v>8696</v>
      </c>
      <c r="I831" s="297">
        <v>3</v>
      </c>
      <c r="J831" s="297">
        <v>322</v>
      </c>
      <c r="K831" s="299"/>
      <c r="L831" s="299"/>
      <c r="M831" s="299">
        <v>136</v>
      </c>
      <c r="N831" s="299">
        <v>6</v>
      </c>
      <c r="O831" s="300">
        <v>48</v>
      </c>
      <c r="P831" s="301">
        <v>42090</v>
      </c>
      <c r="Q831" s="302"/>
      <c r="R831" s="303"/>
      <c r="S831" s="289">
        <v>4.55</v>
      </c>
      <c r="T831" s="303">
        <v>42208</v>
      </c>
      <c r="U831" s="302"/>
      <c r="V831" s="303"/>
      <c r="W831" s="302"/>
      <c r="X831" s="303"/>
      <c r="Y831" s="302">
        <v>15.11</v>
      </c>
      <c r="Z831" s="303">
        <v>42208</v>
      </c>
      <c r="AA831">
        <v>14.4</v>
      </c>
      <c r="AB831" s="303"/>
      <c r="AC831" s="302"/>
      <c r="AD831" s="303"/>
      <c r="AE831" s="302"/>
      <c r="AF831" s="303"/>
      <c r="AG831">
        <v>54361.265432098757</v>
      </c>
      <c r="AH831" s="521">
        <f>(AK831*10000)/AM831</f>
        <v>54361.265432098757</v>
      </c>
      <c r="AI831" s="302"/>
      <c r="AJ831" s="303"/>
      <c r="AK831">
        <v>29.355083333333333</v>
      </c>
      <c r="AL831" s="521"/>
      <c r="AM831">
        <v>5.4</v>
      </c>
      <c r="AN831" s="303">
        <v>42244</v>
      </c>
      <c r="AO831">
        <v>120</v>
      </c>
      <c r="AP831" s="303">
        <v>42170</v>
      </c>
      <c r="AQ831" s="302"/>
      <c r="AR831" s="303"/>
      <c r="AS831" s="302"/>
      <c r="AT831" s="303"/>
      <c r="AU831">
        <v>108</v>
      </c>
      <c r="AV831" s="302"/>
      <c r="AW831" s="302"/>
      <c r="AX831" s="302"/>
      <c r="AY831" s="302"/>
      <c r="AZ831" s="302"/>
      <c r="BA831" s="302"/>
      <c r="BB831" s="302"/>
      <c r="BC831" s="302"/>
      <c r="BD831" s="302"/>
      <c r="BE831" s="302"/>
      <c r="BF831" s="302"/>
      <c r="BG831" s="302"/>
      <c r="BH831" s="302"/>
      <c r="BI831" s="302"/>
      <c r="BJ831" s="302"/>
      <c r="BM831">
        <v>47.1</v>
      </c>
      <c r="BS831">
        <v>6</v>
      </c>
      <c r="BY831">
        <v>45.9</v>
      </c>
      <c r="CA831">
        <v>24.9</v>
      </c>
      <c r="CC831">
        <v>91.3</v>
      </c>
      <c r="CI831">
        <v>5.2</v>
      </c>
      <c r="CO831" s="304" t="s">
        <v>11676</v>
      </c>
      <c r="CR831">
        <v>6</v>
      </c>
      <c r="CT831" s="304" t="s">
        <v>11678</v>
      </c>
    </row>
    <row r="832" spans="1:98" s="304" customFormat="1">
      <c r="A832" s="304" t="s">
        <v>8507</v>
      </c>
      <c r="B832" s="463">
        <v>20</v>
      </c>
      <c r="C832" s="296" t="s">
        <v>7746</v>
      </c>
      <c r="D832" s="296" t="s">
        <v>7830</v>
      </c>
      <c r="E832" s="296" t="s">
        <v>7746</v>
      </c>
      <c r="F832" s="296"/>
      <c r="G832" s="296" t="s">
        <v>8507</v>
      </c>
      <c r="H832" s="297" t="s">
        <v>8697</v>
      </c>
      <c r="I832" s="297">
        <v>4</v>
      </c>
      <c r="J832" s="297">
        <v>414</v>
      </c>
      <c r="K832" s="299"/>
      <c r="L832" s="299"/>
      <c r="M832" s="299">
        <v>136</v>
      </c>
      <c r="N832" s="299">
        <v>10</v>
      </c>
      <c r="O832" s="300">
        <v>50</v>
      </c>
      <c r="P832" s="301">
        <v>42090</v>
      </c>
      <c r="Q832" s="302"/>
      <c r="R832" s="303"/>
      <c r="S832" s="289">
        <v>2.85</v>
      </c>
      <c r="T832" s="303">
        <v>42208</v>
      </c>
      <c r="U832" s="302"/>
      <c r="V832" s="303"/>
      <c r="W832" s="302"/>
      <c r="X832" s="303"/>
      <c r="Y832" s="302">
        <v>10.42</v>
      </c>
      <c r="Z832" s="303">
        <v>42208</v>
      </c>
      <c r="AA832">
        <v>14.4</v>
      </c>
      <c r="AB832" s="303"/>
      <c r="AC832" s="302"/>
      <c r="AD832" s="303"/>
      <c r="AE832" s="302"/>
      <c r="AF832" s="303"/>
      <c r="AG832">
        <v>32730.468750000004</v>
      </c>
      <c r="AH832" s="521">
        <f>(AK832*10000)/AM832</f>
        <v>32730.468750000004</v>
      </c>
      <c r="AI832" s="302"/>
      <c r="AJ832" s="303"/>
      <c r="AK832">
        <v>18.329062499999999</v>
      </c>
      <c r="AL832" s="521"/>
      <c r="AM832">
        <v>5.6</v>
      </c>
      <c r="AN832" s="303">
        <v>42244</v>
      </c>
      <c r="AO832">
        <v>130</v>
      </c>
      <c r="AP832" s="303">
        <v>42170</v>
      </c>
      <c r="AQ832" s="302"/>
      <c r="AR832" s="303"/>
      <c r="AS832" s="302"/>
      <c r="AT832" s="303"/>
      <c r="AU832">
        <v>113</v>
      </c>
      <c r="AV832" s="302"/>
      <c r="AW832" s="302"/>
      <c r="AX832" s="302"/>
      <c r="AY832" s="302"/>
      <c r="AZ832" s="302"/>
      <c r="BA832" s="302"/>
      <c r="BB832" s="302"/>
      <c r="BC832" s="302"/>
      <c r="BD832" s="302"/>
      <c r="BE832" s="302"/>
      <c r="BF832" s="302"/>
      <c r="BG832" s="302"/>
      <c r="BH832" s="302"/>
      <c r="BI832" s="302"/>
      <c r="BJ832" s="302"/>
      <c r="BM832">
        <v>43.4</v>
      </c>
      <c r="BS832">
        <v>12.4</v>
      </c>
      <c r="BY832">
        <v>50.7</v>
      </c>
      <c r="CA832">
        <v>21.3</v>
      </c>
      <c r="CC832">
        <v>79.7</v>
      </c>
      <c r="CI832">
        <v>5.5</v>
      </c>
      <c r="CO832" t="s">
        <v>8698</v>
      </c>
      <c r="CR832">
        <v>5</v>
      </c>
      <c r="CT832" s="304" t="s">
        <v>11678</v>
      </c>
    </row>
    <row r="833" spans="1:99" s="304" customFormat="1">
      <c r="A833" s="304" t="s">
        <v>8507</v>
      </c>
      <c r="B833" s="463">
        <v>22</v>
      </c>
      <c r="C833" s="296" t="s">
        <v>7749</v>
      </c>
      <c r="D833" s="296" t="s">
        <v>7833</v>
      </c>
      <c r="E833" s="296" t="s">
        <v>7749</v>
      </c>
      <c r="F833" s="296"/>
      <c r="G833" s="296" t="s">
        <v>8507</v>
      </c>
      <c r="H833" s="297" t="s">
        <v>8697</v>
      </c>
      <c r="I833" s="297">
        <v>4</v>
      </c>
      <c r="J833" s="297">
        <v>418</v>
      </c>
      <c r="K833" s="299"/>
      <c r="L833" s="299"/>
      <c r="M833" s="299">
        <v>136</v>
      </c>
      <c r="N833" s="299">
        <v>11</v>
      </c>
      <c r="O833" s="300">
        <v>25</v>
      </c>
      <c r="P833" s="301">
        <v>42090</v>
      </c>
      <c r="Q833" s="302"/>
      <c r="R833" s="303"/>
      <c r="S833" s="289">
        <v>2.75</v>
      </c>
      <c r="T833" s="303">
        <v>42208</v>
      </c>
      <c r="U833" s="302"/>
      <c r="V833" s="303"/>
      <c r="W833" s="302"/>
      <c r="X833" s="303"/>
      <c r="Y833" s="302">
        <v>9.5299999999999994</v>
      </c>
      <c r="Z833" s="303">
        <v>42208</v>
      </c>
      <c r="AA833">
        <v>14.4</v>
      </c>
      <c r="AB833" s="303"/>
      <c r="AC833" s="302"/>
      <c r="AD833" s="303"/>
      <c r="AE833" s="302"/>
      <c r="AF833" s="303"/>
      <c r="AG833">
        <v>35633.888888888891</v>
      </c>
      <c r="AH833" s="521">
        <f>(AK833*10000)/AM833</f>
        <v>35633.888888888891</v>
      </c>
      <c r="AI833" s="302"/>
      <c r="AJ833" s="303"/>
      <c r="AK833">
        <v>17.816944444444445</v>
      </c>
      <c r="AL833" s="521"/>
      <c r="AM833">
        <v>5</v>
      </c>
      <c r="AN833" s="303">
        <v>42244</v>
      </c>
      <c r="AO833">
        <v>115</v>
      </c>
      <c r="AP833" s="303">
        <v>42170</v>
      </c>
      <c r="AQ833" s="302"/>
      <c r="AR833" s="303"/>
      <c r="AS833" s="302"/>
      <c r="AT833" s="303"/>
      <c r="AU833">
        <v>109</v>
      </c>
      <c r="AV833" s="302"/>
      <c r="AW833" s="302"/>
      <c r="AX833" s="302"/>
      <c r="AY833" s="302"/>
      <c r="AZ833" s="302"/>
      <c r="BA833" s="302"/>
      <c r="BB833" s="302"/>
      <c r="BC833" s="302"/>
      <c r="BD833" s="302"/>
      <c r="BE833" s="302"/>
      <c r="BF833" s="302"/>
      <c r="BG833" s="302"/>
      <c r="BH833" s="302"/>
      <c r="BI833" s="302"/>
      <c r="BJ833" s="302"/>
      <c r="BM833">
        <v>35.9</v>
      </c>
      <c r="BS833">
        <v>17.5</v>
      </c>
      <c r="BY833">
        <v>47.7</v>
      </c>
      <c r="CA833">
        <v>21.2</v>
      </c>
      <c r="CC833">
        <v>69.900000000000006</v>
      </c>
      <c r="CI833">
        <v>4.8</v>
      </c>
      <c r="CO833" s="304" t="s">
        <v>11676</v>
      </c>
      <c r="CR833">
        <v>6</v>
      </c>
      <c r="CT833" s="304" t="s">
        <v>11678</v>
      </c>
    </row>
    <row r="834" spans="1:99" s="304" customFormat="1">
      <c r="A834" s="304" t="s">
        <v>8507</v>
      </c>
      <c r="B834" s="463">
        <v>2</v>
      </c>
      <c r="C834" s="296" t="s">
        <v>7609</v>
      </c>
      <c r="D834" s="296" t="s">
        <v>257</v>
      </c>
      <c r="E834" s="296" t="s">
        <v>7609</v>
      </c>
      <c r="F834" s="296"/>
      <c r="G834" s="296" t="s">
        <v>8507</v>
      </c>
      <c r="H834" s="297" t="s">
        <v>8697</v>
      </c>
      <c r="I834" s="297">
        <v>4</v>
      </c>
      <c r="J834" s="297">
        <v>423</v>
      </c>
      <c r="K834" s="299"/>
      <c r="L834" s="299"/>
      <c r="M834" s="299">
        <v>137</v>
      </c>
      <c r="N834" s="299">
        <v>12</v>
      </c>
      <c r="O834" s="300">
        <v>42</v>
      </c>
      <c r="P834" s="301">
        <v>42090</v>
      </c>
      <c r="Q834" s="302"/>
      <c r="R834" s="303"/>
      <c r="S834" s="289">
        <v>1.95</v>
      </c>
      <c r="T834" s="303">
        <v>42208</v>
      </c>
      <c r="U834" s="302"/>
      <c r="V834" s="303"/>
      <c r="W834" s="302"/>
      <c r="X834" s="303"/>
      <c r="Y834" s="302">
        <v>6.85</v>
      </c>
      <c r="Z834" s="303">
        <v>42208</v>
      </c>
      <c r="AA834">
        <v>14.4</v>
      </c>
      <c r="AB834" s="303"/>
      <c r="AC834" s="302"/>
      <c r="AD834" s="303"/>
      <c r="AE834" s="302"/>
      <c r="AF834" s="303"/>
      <c r="AG834">
        <v>26237.543402777777</v>
      </c>
      <c r="AH834" s="521">
        <f>(AK834*10000)/AM834</f>
        <v>26237.543402777777</v>
      </c>
      <c r="AI834" s="302"/>
      <c r="AJ834" s="303"/>
      <c r="AK834">
        <v>12.594020833333333</v>
      </c>
      <c r="AL834" s="521"/>
      <c r="AM834">
        <v>4.8</v>
      </c>
      <c r="AN834" s="303">
        <v>42244</v>
      </c>
      <c r="AO834">
        <v>130</v>
      </c>
      <c r="AP834" s="303">
        <v>42170</v>
      </c>
      <c r="AQ834" s="302"/>
      <c r="AR834" s="303"/>
      <c r="AS834" s="302"/>
      <c r="AT834" s="303"/>
      <c r="AU834">
        <v>107</v>
      </c>
      <c r="AV834" s="302"/>
      <c r="AW834" s="302"/>
      <c r="AX834" s="302"/>
      <c r="AY834" s="302"/>
      <c r="AZ834" s="302"/>
      <c r="BA834" s="302"/>
      <c r="BB834" s="302"/>
      <c r="BC834" s="302"/>
      <c r="BD834" s="302"/>
      <c r="BE834" s="302"/>
      <c r="BF834" s="302"/>
      <c r="BG834" s="302"/>
      <c r="BH834" s="302"/>
      <c r="BI834" s="302"/>
      <c r="BJ834" s="302"/>
      <c r="BM834">
        <v>10.8</v>
      </c>
      <c r="BS834">
        <v>44.4</v>
      </c>
      <c r="BY834">
        <v>48.5</v>
      </c>
      <c r="CA834">
        <v>20.8</v>
      </c>
      <c r="CC834">
        <v>73.7</v>
      </c>
      <c r="CI834">
        <v>5.0999999999999996</v>
      </c>
      <c r="CO834" s="304" t="s">
        <v>11676</v>
      </c>
      <c r="CR834">
        <v>6</v>
      </c>
      <c r="CT834" s="304" t="s">
        <v>11678</v>
      </c>
    </row>
    <row r="835" spans="1:99" s="304" customFormat="1">
      <c r="A835" s="304" t="s">
        <v>8507</v>
      </c>
      <c r="B835" s="463">
        <v>5</v>
      </c>
      <c r="C835" s="296" t="s">
        <v>7629</v>
      </c>
      <c r="D835" s="296" t="s">
        <v>7466</v>
      </c>
      <c r="E835" s="296" t="s">
        <v>7629</v>
      </c>
      <c r="F835" s="296"/>
      <c r="G835" s="296" t="s">
        <v>8507</v>
      </c>
      <c r="H835" s="297" t="s">
        <v>8697</v>
      </c>
      <c r="I835" s="297">
        <v>4</v>
      </c>
      <c r="J835" s="297">
        <v>407</v>
      </c>
      <c r="K835" s="299"/>
      <c r="L835" s="299"/>
      <c r="M835" s="299">
        <v>137</v>
      </c>
      <c r="N835" s="299">
        <v>8</v>
      </c>
      <c r="O835" s="300">
        <v>53</v>
      </c>
      <c r="P835" s="301">
        <v>42090</v>
      </c>
      <c r="Q835" s="302"/>
      <c r="R835" s="303"/>
      <c r="S835" s="289">
        <v>2.6</v>
      </c>
      <c r="T835" s="303">
        <v>42208</v>
      </c>
      <c r="U835" s="302"/>
      <c r="V835" s="303"/>
      <c r="W835" s="302"/>
      <c r="X835" s="303"/>
      <c r="Y835" s="302">
        <v>9.2200000000000006</v>
      </c>
      <c r="Z835" s="303">
        <v>42208</v>
      </c>
      <c r="AA835">
        <v>14.4</v>
      </c>
      <c r="AB835" s="303"/>
      <c r="AC835" s="302"/>
      <c r="AD835" s="303"/>
      <c r="AE835" s="302"/>
      <c r="AF835" s="303"/>
      <c r="AG835">
        <v>32258.333333333328</v>
      </c>
      <c r="AH835" s="521">
        <f>(AK835*10000)/AM835</f>
        <v>32258.333333333328</v>
      </c>
      <c r="AI835" s="302"/>
      <c r="AJ835" s="303"/>
      <c r="AK835">
        <v>16.774333333333331</v>
      </c>
      <c r="AL835" s="521"/>
      <c r="AM835">
        <v>5.2</v>
      </c>
      <c r="AN835" s="303">
        <v>42244</v>
      </c>
      <c r="AO835">
        <v>130</v>
      </c>
      <c r="AP835" s="303">
        <v>42170</v>
      </c>
      <c r="AQ835" s="302"/>
      <c r="AR835" s="303"/>
      <c r="AS835" s="302"/>
      <c r="AT835" s="303"/>
      <c r="AU835">
        <v>107</v>
      </c>
      <c r="AV835" s="302"/>
      <c r="AW835" s="302"/>
      <c r="AX835" s="302"/>
      <c r="AY835" s="302"/>
      <c r="AZ835" s="302"/>
      <c r="BA835" s="302"/>
      <c r="BB835" s="302"/>
      <c r="BC835" s="302"/>
      <c r="BD835" s="302"/>
      <c r="BE835" s="302"/>
      <c r="BF835" s="302"/>
      <c r="BG835" s="302"/>
      <c r="BH835" s="302"/>
      <c r="BI835" s="302"/>
      <c r="BJ835" s="302"/>
      <c r="BM835">
        <v>4.4000000000000004</v>
      </c>
      <c r="BS835">
        <v>52.2</v>
      </c>
      <c r="BY835">
        <v>49</v>
      </c>
      <c r="CA835">
        <v>21.6</v>
      </c>
      <c r="CC835">
        <v>74</v>
      </c>
      <c r="CI835">
        <v>5.2</v>
      </c>
      <c r="CO835" t="s">
        <v>8698</v>
      </c>
      <c r="CR835">
        <v>5</v>
      </c>
      <c r="CT835" s="304" t="s">
        <v>11678</v>
      </c>
    </row>
    <row r="836" spans="1:99" s="304" customFormat="1">
      <c r="A836" s="304" t="s">
        <v>8507</v>
      </c>
      <c r="B836" s="463">
        <v>6</v>
      </c>
      <c r="C836" s="296" t="s">
        <v>7632</v>
      </c>
      <c r="D836" s="296" t="s">
        <v>7469</v>
      </c>
      <c r="E836" s="296" t="s">
        <v>7632</v>
      </c>
      <c r="F836" s="296"/>
      <c r="G836" s="296" t="s">
        <v>8507</v>
      </c>
      <c r="H836" s="297" t="s">
        <v>8696</v>
      </c>
      <c r="I836" s="297">
        <v>3</v>
      </c>
      <c r="J836" s="297">
        <v>319</v>
      </c>
      <c r="K836" s="299"/>
      <c r="L836" s="299"/>
      <c r="M836" s="299">
        <v>137</v>
      </c>
      <c r="N836" s="299">
        <v>5</v>
      </c>
      <c r="O836" s="300">
        <v>50</v>
      </c>
      <c r="P836" s="301">
        <v>42090</v>
      </c>
      <c r="Q836" s="302"/>
      <c r="R836" s="303"/>
      <c r="S836" s="289">
        <v>3.65</v>
      </c>
      <c r="T836" s="303">
        <v>42208</v>
      </c>
      <c r="U836" s="302"/>
      <c r="V836" s="303"/>
      <c r="W836" s="302"/>
      <c r="X836" s="303"/>
      <c r="Y836" s="302">
        <v>12.2</v>
      </c>
      <c r="Z836" s="303">
        <v>42208</v>
      </c>
      <c r="AA836">
        <v>14.4</v>
      </c>
      <c r="AB836" s="303"/>
      <c r="AC836" s="302"/>
      <c r="AD836" s="303"/>
      <c r="AE836" s="302"/>
      <c r="AF836" s="303"/>
      <c r="AG836">
        <v>43608.487654320976</v>
      </c>
      <c r="AH836" s="521">
        <f>(AK836*10000)/AM836</f>
        <v>43608.487654320976</v>
      </c>
      <c r="AI836" s="302"/>
      <c r="AJ836" s="303"/>
      <c r="AK836">
        <v>23.54858333333333</v>
      </c>
      <c r="AL836" s="521"/>
      <c r="AM836">
        <v>5.4</v>
      </c>
      <c r="AN836" s="303">
        <v>42244</v>
      </c>
      <c r="AO836">
        <v>130</v>
      </c>
      <c r="AP836" s="303">
        <v>42170</v>
      </c>
      <c r="AQ836" s="302"/>
      <c r="AR836" s="303"/>
      <c r="AS836" s="302"/>
      <c r="AT836" s="303"/>
      <c r="AU836">
        <v>108</v>
      </c>
      <c r="AV836" s="302"/>
      <c r="AW836" s="302"/>
      <c r="AX836" s="302"/>
      <c r="AY836" s="302"/>
      <c r="AZ836" s="302"/>
      <c r="BA836" s="302"/>
      <c r="BB836" s="302"/>
      <c r="BC836" s="302"/>
      <c r="BD836" s="302"/>
      <c r="BE836" s="302"/>
      <c r="BF836" s="302"/>
      <c r="BG836" s="302"/>
      <c r="BH836" s="302"/>
      <c r="BI836" s="302"/>
      <c r="BJ836" s="302"/>
      <c r="BM836">
        <v>51</v>
      </c>
      <c r="BS836">
        <v>0.4</v>
      </c>
      <c r="BY836">
        <v>46.2</v>
      </c>
      <c r="CA836">
        <v>24</v>
      </c>
      <c r="CC836">
        <v>94.5</v>
      </c>
      <c r="CI836">
        <v>5.2</v>
      </c>
      <c r="CO836" s="304" t="s">
        <v>11676</v>
      </c>
      <c r="CR836">
        <v>7</v>
      </c>
      <c r="CT836" s="304" t="s">
        <v>11678</v>
      </c>
    </row>
    <row r="837" spans="1:99" s="304" customFormat="1">
      <c r="A837" s="304" t="s">
        <v>8507</v>
      </c>
      <c r="B837" s="463">
        <v>7</v>
      </c>
      <c r="C837" s="296" t="s">
        <v>7633</v>
      </c>
      <c r="D837" s="296" t="s">
        <v>256</v>
      </c>
      <c r="E837" s="296" t="s">
        <v>7633</v>
      </c>
      <c r="F837" s="296"/>
      <c r="G837" s="296" t="s">
        <v>8507</v>
      </c>
      <c r="H837" s="297" t="s">
        <v>8697</v>
      </c>
      <c r="I837" s="297">
        <v>4</v>
      </c>
      <c r="J837" s="297">
        <v>419</v>
      </c>
      <c r="K837" s="299"/>
      <c r="L837" s="299"/>
      <c r="M837" s="299">
        <v>137</v>
      </c>
      <c r="N837" s="299">
        <v>11</v>
      </c>
      <c r="O837" s="300">
        <v>52</v>
      </c>
      <c r="P837" s="301">
        <v>42090</v>
      </c>
      <c r="Q837" s="302"/>
      <c r="R837" s="303"/>
      <c r="S837" s="289">
        <v>2.9</v>
      </c>
      <c r="T837" s="303">
        <v>42208</v>
      </c>
      <c r="U837" s="302"/>
      <c r="V837" s="303"/>
      <c r="W837" s="302"/>
      <c r="X837" s="303"/>
      <c r="Y837" s="302">
        <v>10.7</v>
      </c>
      <c r="Z837" s="303">
        <v>42208</v>
      </c>
      <c r="AA837">
        <v>14.4</v>
      </c>
      <c r="AB837" s="303"/>
      <c r="AC837" s="302"/>
      <c r="AD837" s="303"/>
      <c r="AE837" s="302"/>
      <c r="AF837" s="303"/>
      <c r="AG837">
        <v>46971.944444444445</v>
      </c>
      <c r="AH837" s="521">
        <f>(AK837*10000)/AM837</f>
        <v>46971.944444444445</v>
      </c>
      <c r="AI837" s="302"/>
      <c r="AJ837" s="303"/>
      <c r="AK837">
        <v>18.788777777777778</v>
      </c>
      <c r="AL837" s="521"/>
      <c r="AM837">
        <v>4</v>
      </c>
      <c r="AN837" s="303">
        <v>42244</v>
      </c>
      <c r="AO837">
        <v>110</v>
      </c>
      <c r="AP837" s="303">
        <v>42170</v>
      </c>
      <c r="AQ837" s="302"/>
      <c r="AR837" s="303"/>
      <c r="AS837" s="302"/>
      <c r="AT837" s="303"/>
      <c r="AU837">
        <v>106</v>
      </c>
      <c r="AV837" s="302"/>
      <c r="AW837" s="302"/>
      <c r="AX837" s="302"/>
      <c r="AY837" s="302"/>
      <c r="AZ837" s="302"/>
      <c r="BA837" s="302"/>
      <c r="BB837" s="302"/>
      <c r="BC837" s="302"/>
      <c r="BD837" s="302"/>
      <c r="BE837" s="302"/>
      <c r="BF837" s="302"/>
      <c r="BG837" s="302"/>
      <c r="BH837" s="302"/>
      <c r="BI837" s="302"/>
      <c r="BJ837" s="302"/>
      <c r="BM837">
        <v>49</v>
      </c>
      <c r="BS837">
        <v>4.8</v>
      </c>
      <c r="BY837">
        <v>50.8</v>
      </c>
      <c r="CA837">
        <v>18.399999999999999</v>
      </c>
      <c r="CC837">
        <v>66.2</v>
      </c>
      <c r="CI837">
        <v>4.8</v>
      </c>
      <c r="CO837" t="s">
        <v>8698</v>
      </c>
      <c r="CR837">
        <v>5</v>
      </c>
      <c r="CT837" s="304" t="s">
        <v>11678</v>
      </c>
    </row>
    <row r="838" spans="1:99" s="304" customFormat="1">
      <c r="A838" s="304" t="s">
        <v>8507</v>
      </c>
      <c r="B838" s="524">
        <v>11</v>
      </c>
      <c r="C838" s="525" t="s">
        <v>7651</v>
      </c>
      <c r="D838" s="296" t="s">
        <v>7485</v>
      </c>
      <c r="E838" s="296" t="s">
        <v>7651</v>
      </c>
      <c r="F838" s="296"/>
      <c r="G838" s="296" t="s">
        <v>8507</v>
      </c>
      <c r="H838" s="310" t="s">
        <v>8696</v>
      </c>
      <c r="I838" s="297">
        <v>3</v>
      </c>
      <c r="J838" s="297">
        <v>311</v>
      </c>
      <c r="K838" s="299"/>
      <c r="L838" s="299"/>
      <c r="M838" s="299">
        <v>137</v>
      </c>
      <c r="N838" s="299">
        <v>3</v>
      </c>
      <c r="O838" s="300">
        <v>34</v>
      </c>
      <c r="P838" s="301">
        <v>42090</v>
      </c>
      <c r="Q838" s="302"/>
      <c r="R838" s="303"/>
      <c r="S838" s="289">
        <v>5.7</v>
      </c>
      <c r="T838" s="303">
        <v>42208</v>
      </c>
      <c r="U838" s="302"/>
      <c r="V838" s="303"/>
      <c r="W838" s="302"/>
      <c r="X838" s="303"/>
      <c r="Y838" s="302">
        <v>19.420000000000002</v>
      </c>
      <c r="Z838" s="303">
        <v>42208</v>
      </c>
      <c r="AA838">
        <v>14.4</v>
      </c>
      <c r="AB838" s="303"/>
      <c r="AC838" s="302"/>
      <c r="AD838" s="303"/>
      <c r="AE838" s="302"/>
      <c r="AF838" s="303"/>
      <c r="AG838">
        <v>76936.805555555562</v>
      </c>
      <c r="AH838" s="521">
        <f>(AK838*10000)/AM838</f>
        <v>76936.805555555562</v>
      </c>
      <c r="AI838" s="302"/>
      <c r="AJ838" s="303"/>
      <c r="AK838">
        <v>36.92966666666667</v>
      </c>
      <c r="AL838" s="521"/>
      <c r="AM838">
        <v>4.8</v>
      </c>
      <c r="AN838" s="303">
        <v>42244</v>
      </c>
      <c r="AO838">
        <v>150</v>
      </c>
      <c r="AP838" s="303">
        <v>42170</v>
      </c>
      <c r="AQ838" s="302"/>
      <c r="AR838" s="303"/>
      <c r="AS838" s="302"/>
      <c r="AT838" s="303"/>
      <c r="AU838">
        <v>107</v>
      </c>
      <c r="AV838" s="302"/>
      <c r="AW838" s="302"/>
      <c r="AX838" s="302"/>
      <c r="AY838" s="302"/>
      <c r="AZ838" s="302"/>
      <c r="BA838" s="302"/>
      <c r="BB838" s="302"/>
      <c r="BC838" s="302"/>
      <c r="BD838" s="302"/>
      <c r="BE838" s="302"/>
      <c r="BF838" s="302"/>
      <c r="BG838" s="302"/>
      <c r="BH838" s="302"/>
      <c r="BI838" s="302"/>
      <c r="BJ838" s="302"/>
      <c r="BM838">
        <v>1.7</v>
      </c>
      <c r="BS838">
        <v>52</v>
      </c>
      <c r="BY838">
        <v>46.9</v>
      </c>
      <c r="CA838">
        <v>21.8</v>
      </c>
      <c r="CC838">
        <v>70.900000000000006</v>
      </c>
      <c r="CI838">
        <v>4.8</v>
      </c>
      <c r="CO838" t="s">
        <v>8698</v>
      </c>
      <c r="CR838">
        <v>3</v>
      </c>
      <c r="CT838" s="304" t="s">
        <v>11678</v>
      </c>
    </row>
    <row r="839" spans="1:99" s="304" customFormat="1">
      <c r="A839" s="304" t="s">
        <v>8507</v>
      </c>
      <c r="B839" s="524">
        <v>13</v>
      </c>
      <c r="C839" s="525" t="s">
        <v>7667</v>
      </c>
      <c r="D839" s="296" t="s">
        <v>7499</v>
      </c>
      <c r="E839" s="296" t="s">
        <v>7667</v>
      </c>
      <c r="F839" s="296"/>
      <c r="G839" s="296" t="s">
        <v>8507</v>
      </c>
      <c r="H839" s="310" t="s">
        <v>8696</v>
      </c>
      <c r="I839" s="297">
        <v>3</v>
      </c>
      <c r="J839" s="297">
        <v>315</v>
      </c>
      <c r="K839" s="299"/>
      <c r="L839" s="299"/>
      <c r="M839" s="299">
        <v>137</v>
      </c>
      <c r="N839" s="299">
        <v>4</v>
      </c>
      <c r="O839" s="300">
        <v>24</v>
      </c>
      <c r="P839" s="301">
        <v>42090</v>
      </c>
      <c r="Q839" s="302"/>
      <c r="R839" s="303"/>
      <c r="S839" s="289">
        <v>4.5</v>
      </c>
      <c r="T839" s="303">
        <v>42208</v>
      </c>
      <c r="U839" s="302"/>
      <c r="V839" s="303"/>
      <c r="W839" s="302"/>
      <c r="X839" s="303"/>
      <c r="Y839" s="302">
        <v>15.09</v>
      </c>
      <c r="Z839" s="303">
        <v>42208</v>
      </c>
      <c r="AA839">
        <v>14.4</v>
      </c>
      <c r="AB839" s="303"/>
      <c r="AC839" s="302"/>
      <c r="AD839" s="303"/>
      <c r="AE839" s="302"/>
      <c r="AF839" s="303"/>
      <c r="AG839">
        <v>51898.4375</v>
      </c>
      <c r="AH839" s="521">
        <f>(AK839*10000)/AM839</f>
        <v>51898.4375</v>
      </c>
      <c r="AI839" s="302"/>
      <c r="AJ839" s="303"/>
      <c r="AK839">
        <v>29.063124999999999</v>
      </c>
      <c r="AL839" s="521"/>
      <c r="AM839">
        <v>5.6</v>
      </c>
      <c r="AN839" s="303">
        <v>42244</v>
      </c>
      <c r="AO839">
        <v>140</v>
      </c>
      <c r="AP839" s="303">
        <v>42170</v>
      </c>
      <c r="AQ839" s="302"/>
      <c r="AR839" s="303"/>
      <c r="AS839" s="302"/>
      <c r="AT839" s="303"/>
      <c r="AU839">
        <v>109</v>
      </c>
      <c r="AV839" s="302"/>
      <c r="AW839" s="302"/>
      <c r="AX839" s="302"/>
      <c r="AY839" s="302"/>
      <c r="AZ839" s="302"/>
      <c r="BA839" s="302"/>
      <c r="BB839" s="302"/>
      <c r="BC839" s="302"/>
      <c r="BD839" s="302"/>
      <c r="BE839" s="302"/>
      <c r="BF839" s="302"/>
      <c r="BG839" s="302"/>
      <c r="BH839" s="302"/>
      <c r="BI839" s="302"/>
      <c r="BJ839" s="302"/>
      <c r="BM839">
        <v>2.4</v>
      </c>
      <c r="BS839">
        <v>58.8</v>
      </c>
      <c r="BY839">
        <v>46.3</v>
      </c>
      <c r="CA839">
        <v>21.8</v>
      </c>
      <c r="CC839">
        <v>35.1</v>
      </c>
      <c r="CI839">
        <v>5.0999999999999996</v>
      </c>
      <c r="CO839" t="s">
        <v>8698</v>
      </c>
      <c r="CR839">
        <v>5</v>
      </c>
      <c r="CT839" s="304" t="s">
        <v>11678</v>
      </c>
    </row>
    <row r="840" spans="1:99" s="304" customFormat="1">
      <c r="A840" s="304" t="s">
        <v>8507</v>
      </c>
      <c r="B840" s="524">
        <v>16</v>
      </c>
      <c r="C840" s="525" t="s">
        <v>7741</v>
      </c>
      <c r="D840" s="296" t="s">
        <v>7825</v>
      </c>
      <c r="E840" s="296" t="s">
        <v>7741</v>
      </c>
      <c r="F840" s="296"/>
      <c r="G840" s="296" t="s">
        <v>8507</v>
      </c>
      <c r="H840" s="310" t="s">
        <v>8696</v>
      </c>
      <c r="I840" s="297">
        <v>3</v>
      </c>
      <c r="J840" s="297">
        <v>323</v>
      </c>
      <c r="K840" s="299"/>
      <c r="L840" s="299"/>
      <c r="M840" s="299">
        <v>137</v>
      </c>
      <c r="N840" s="299">
        <v>6</v>
      </c>
      <c r="O840" s="300">
        <v>36</v>
      </c>
      <c r="P840" s="301">
        <v>42090</v>
      </c>
      <c r="Q840" s="302"/>
      <c r="R840" s="303"/>
      <c r="S840" s="289">
        <v>3.45</v>
      </c>
      <c r="T840" s="303">
        <v>42208</v>
      </c>
      <c r="U840" s="302"/>
      <c r="V840" s="303"/>
      <c r="W840" s="302"/>
      <c r="X840" s="303"/>
      <c r="Y840" s="302">
        <v>12.03</v>
      </c>
      <c r="Z840" s="303">
        <v>42208</v>
      </c>
      <c r="AA840">
        <v>14.4</v>
      </c>
      <c r="AB840" s="303"/>
      <c r="AC840" s="302"/>
      <c r="AD840" s="303"/>
      <c r="AE840" s="302"/>
      <c r="AF840" s="303"/>
      <c r="AG840">
        <v>47557.801418439718</v>
      </c>
      <c r="AH840" s="521">
        <f>(AK840*10000)/AM840</f>
        <v>47557.801418439718</v>
      </c>
      <c r="AI840" s="302"/>
      <c r="AJ840" s="303"/>
      <c r="AK840">
        <v>22.352166666666669</v>
      </c>
      <c r="AL840" s="521"/>
      <c r="AM840">
        <v>4.7</v>
      </c>
      <c r="AN840" s="303">
        <v>42244</v>
      </c>
      <c r="AO840">
        <v>135</v>
      </c>
      <c r="AP840" s="303">
        <v>42170</v>
      </c>
      <c r="AQ840" s="302"/>
      <c r="AR840" s="303"/>
      <c r="AS840" s="302"/>
      <c r="AT840" s="303"/>
      <c r="AU840">
        <v>112</v>
      </c>
      <c r="AV840" s="302"/>
      <c r="AW840" s="302"/>
      <c r="AX840" s="302"/>
      <c r="AY840" s="302"/>
      <c r="AZ840" s="302"/>
      <c r="BA840" s="302"/>
      <c r="BB840" s="302"/>
      <c r="BC840" s="302"/>
      <c r="BD840" s="302"/>
      <c r="BE840" s="302"/>
      <c r="BF840" s="302"/>
      <c r="BG840" s="302"/>
      <c r="BH840" s="302"/>
      <c r="BI840" s="302"/>
      <c r="BJ840" s="302"/>
      <c r="BM840">
        <v>48.9</v>
      </c>
      <c r="BS840">
        <v>5.9</v>
      </c>
      <c r="BY840">
        <v>48</v>
      </c>
      <c r="CA840">
        <v>22.8</v>
      </c>
      <c r="CC840">
        <v>85.8</v>
      </c>
      <c r="CI840">
        <v>4.8</v>
      </c>
      <c r="CO840" s="304" t="s">
        <v>11676</v>
      </c>
      <c r="CR840">
        <v>7</v>
      </c>
      <c r="CT840" s="304" t="s">
        <v>11678</v>
      </c>
    </row>
    <row r="841" spans="1:99" s="304" customFormat="1">
      <c r="A841" s="304" t="s">
        <v>8507</v>
      </c>
      <c r="B841" s="524">
        <v>16</v>
      </c>
      <c r="C841" s="525" t="s">
        <v>7741</v>
      </c>
      <c r="D841" s="296" t="s">
        <v>7825</v>
      </c>
      <c r="E841" s="296" t="s">
        <v>7741</v>
      </c>
      <c r="F841" s="296"/>
      <c r="G841" s="296" t="s">
        <v>8507</v>
      </c>
      <c r="H841" s="310" t="s">
        <v>8697</v>
      </c>
      <c r="I841" s="297">
        <v>4</v>
      </c>
      <c r="J841" s="297">
        <v>411</v>
      </c>
      <c r="K841" s="299"/>
      <c r="L841" s="299"/>
      <c r="M841" s="299">
        <v>137</v>
      </c>
      <c r="N841" s="299">
        <v>9</v>
      </c>
      <c r="O841" s="300">
        <v>28</v>
      </c>
      <c r="P841" s="301">
        <v>42090</v>
      </c>
      <c r="Q841" s="302"/>
      <c r="R841" s="303"/>
      <c r="S841" s="289">
        <v>2.7</v>
      </c>
      <c r="T841" s="303">
        <v>42208</v>
      </c>
      <c r="U841" s="302"/>
      <c r="V841" s="303"/>
      <c r="W841" s="302"/>
      <c r="X841" s="303"/>
      <c r="Y841" s="302">
        <v>9.73</v>
      </c>
      <c r="Z841" s="303">
        <v>42208</v>
      </c>
      <c r="AA841">
        <v>14.4</v>
      </c>
      <c r="AB841" s="303"/>
      <c r="AC841" s="302"/>
      <c r="AD841" s="303"/>
      <c r="AE841" s="302"/>
      <c r="AF841" s="303"/>
      <c r="AG841">
        <v>36443.75</v>
      </c>
      <c r="AH841" s="521">
        <f>(AK841*10000)/AM841</f>
        <v>36443.75</v>
      </c>
      <c r="AI841" s="302"/>
      <c r="AJ841" s="303"/>
      <c r="AK841">
        <v>17.492999999999999</v>
      </c>
      <c r="AL841" s="521"/>
      <c r="AM841">
        <v>4.8</v>
      </c>
      <c r="AN841" s="303">
        <v>42244</v>
      </c>
      <c r="AO841">
        <v>160</v>
      </c>
      <c r="AP841" s="303">
        <v>42170</v>
      </c>
      <c r="AQ841" s="302"/>
      <c r="AR841" s="303"/>
      <c r="AS841" s="302"/>
      <c r="AT841" s="303"/>
      <c r="AU841">
        <v>113</v>
      </c>
      <c r="AV841" s="302"/>
      <c r="AW841" s="302"/>
      <c r="AX841" s="302"/>
      <c r="AY841" s="302"/>
      <c r="AZ841" s="302"/>
      <c r="BA841" s="302"/>
      <c r="BB841" s="302"/>
      <c r="BC841" s="302"/>
      <c r="BD841" s="302"/>
      <c r="BE841" s="302"/>
      <c r="BF841" s="302"/>
      <c r="BG841" s="302"/>
      <c r="BH841" s="302"/>
      <c r="BI841" s="302"/>
      <c r="BJ841" s="302"/>
      <c r="BM841">
        <v>43.9</v>
      </c>
      <c r="BS841">
        <v>9.8000000000000007</v>
      </c>
      <c r="BY841">
        <v>49.6</v>
      </c>
      <c r="CA841">
        <v>20.399999999999999</v>
      </c>
      <c r="CC841">
        <v>81.400000000000006</v>
      </c>
      <c r="CI841">
        <v>4.8</v>
      </c>
      <c r="CO841" s="304" t="s">
        <v>11676</v>
      </c>
      <c r="CR841">
        <v>6</v>
      </c>
      <c r="CT841" s="304" t="s">
        <v>11678</v>
      </c>
    </row>
    <row r="842" spans="1:99" s="178" customFormat="1">
      <c r="A842" s="304" t="s">
        <v>8507</v>
      </c>
      <c r="B842" s="524">
        <v>20</v>
      </c>
      <c r="C842" s="525" t="s">
        <v>7746</v>
      </c>
      <c r="D842" s="296" t="s">
        <v>7830</v>
      </c>
      <c r="E842" s="296" t="s">
        <v>7746</v>
      </c>
      <c r="F842" s="296"/>
      <c r="G842" s="296" t="s">
        <v>8507</v>
      </c>
      <c r="H842" s="297" t="s">
        <v>8696</v>
      </c>
      <c r="I842" s="297">
        <v>3</v>
      </c>
      <c r="J842" s="297">
        <v>307</v>
      </c>
      <c r="K842" s="299"/>
      <c r="L842" s="299"/>
      <c r="M842" s="299">
        <v>137</v>
      </c>
      <c r="N842" s="299">
        <v>2</v>
      </c>
      <c r="O842" s="300">
        <v>22</v>
      </c>
      <c r="P842" s="301">
        <v>42090</v>
      </c>
      <c r="Q842" s="302"/>
      <c r="R842" s="303"/>
      <c r="S842" s="289">
        <v>4.05</v>
      </c>
      <c r="T842" s="303">
        <v>42208</v>
      </c>
      <c r="U842" s="302"/>
      <c r="V842" s="303"/>
      <c r="W842" s="302"/>
      <c r="X842" s="303"/>
      <c r="Y842" s="302">
        <v>14.12</v>
      </c>
      <c r="Z842" s="303">
        <v>42208</v>
      </c>
      <c r="AA842">
        <v>14.4</v>
      </c>
      <c r="AB842" s="303"/>
      <c r="AC842" s="302"/>
      <c r="AD842" s="303"/>
      <c r="AE842" s="302"/>
      <c r="AF842" s="303"/>
      <c r="AG842">
        <v>46462.500000000007</v>
      </c>
      <c r="AH842" s="521">
        <f>(AK842*10000)/AM842</f>
        <v>46462.500000000007</v>
      </c>
      <c r="AI842" s="302"/>
      <c r="AJ842" s="303"/>
      <c r="AK842">
        <v>26.019000000000002</v>
      </c>
      <c r="AL842" s="521"/>
      <c r="AM842">
        <v>5.6</v>
      </c>
      <c r="AN842" s="303">
        <v>42244</v>
      </c>
      <c r="AO842">
        <v>150</v>
      </c>
      <c r="AP842" s="303">
        <v>42170</v>
      </c>
      <c r="AQ842" s="302"/>
      <c r="AR842" s="303"/>
      <c r="AS842" s="302"/>
      <c r="AT842" s="303"/>
      <c r="AU842">
        <v>113</v>
      </c>
      <c r="AV842" s="302"/>
      <c r="AW842" s="302"/>
      <c r="AX842" s="302"/>
      <c r="AY842" s="302"/>
      <c r="AZ842" s="302"/>
      <c r="BA842" s="302"/>
      <c r="BB842" s="302"/>
      <c r="BC842" s="302"/>
      <c r="BD842" s="302"/>
      <c r="BE842" s="302"/>
      <c r="BF842" s="302"/>
      <c r="BG842" s="302"/>
      <c r="BH842" s="302"/>
      <c r="BI842" s="302"/>
      <c r="BJ842" s="302"/>
      <c r="BK842" s="304"/>
      <c r="BL842" s="304"/>
      <c r="BM842">
        <v>48.7</v>
      </c>
      <c r="BN842" s="304"/>
      <c r="BO842" s="304"/>
      <c r="BP842" s="304"/>
      <c r="BQ842" s="304"/>
      <c r="BR842" s="304"/>
      <c r="BS842">
        <v>7.9</v>
      </c>
      <c r="BT842" s="304"/>
      <c r="BU842" s="304"/>
      <c r="BV842" s="304"/>
      <c r="BW842" s="304"/>
      <c r="BX842" s="304"/>
      <c r="BY842">
        <v>48.4</v>
      </c>
      <c r="BZ842" s="304"/>
      <c r="CA842">
        <v>23</v>
      </c>
      <c r="CB842" s="304"/>
      <c r="CC842">
        <v>82</v>
      </c>
      <c r="CD842" s="304"/>
      <c r="CE842" s="304"/>
      <c r="CF842" s="304"/>
      <c r="CG842" s="304"/>
      <c r="CH842" s="304"/>
      <c r="CI842">
        <v>5.6</v>
      </c>
      <c r="CJ842" s="304"/>
      <c r="CK842" s="304"/>
      <c r="CL842" s="304"/>
      <c r="CM842" s="304"/>
      <c r="CN842" s="304"/>
      <c r="CO842" s="304" t="s">
        <v>11676</v>
      </c>
      <c r="CP842" s="304"/>
      <c r="CQ842" s="304"/>
      <c r="CR842">
        <v>6</v>
      </c>
      <c r="CS842" s="304"/>
      <c r="CT842" s="304" t="s">
        <v>11678</v>
      </c>
      <c r="CU842" s="304"/>
    </row>
    <row r="843" spans="1:99" s="178" customFormat="1">
      <c r="A843" s="304" t="s">
        <v>8507</v>
      </c>
      <c r="B843" s="524">
        <v>21</v>
      </c>
      <c r="C843" s="525" t="s">
        <v>7748</v>
      </c>
      <c r="D843" s="296" t="s">
        <v>7832</v>
      </c>
      <c r="E843" s="296" t="s">
        <v>7748</v>
      </c>
      <c r="F843" s="296"/>
      <c r="G843" s="296" t="s">
        <v>8507</v>
      </c>
      <c r="H843" s="297" t="s">
        <v>8697</v>
      </c>
      <c r="I843" s="297">
        <v>4</v>
      </c>
      <c r="J843" s="297">
        <v>403</v>
      </c>
      <c r="K843" s="299"/>
      <c r="L843" s="299"/>
      <c r="M843" s="299">
        <v>137</v>
      </c>
      <c r="N843" s="299">
        <v>7</v>
      </c>
      <c r="O843" s="300">
        <v>62</v>
      </c>
      <c r="P843" s="301">
        <v>42090</v>
      </c>
      <c r="Q843" s="302"/>
      <c r="R843" s="303"/>
      <c r="S843" s="289">
        <v>3.15</v>
      </c>
      <c r="T843" s="303">
        <v>42208</v>
      </c>
      <c r="U843" s="302"/>
      <c r="V843" s="303"/>
      <c r="W843" s="302"/>
      <c r="X843" s="303"/>
      <c r="Y843" s="302">
        <v>11.63</v>
      </c>
      <c r="Z843" s="303">
        <v>42208</v>
      </c>
      <c r="AA843">
        <v>14.4</v>
      </c>
      <c r="AB843" s="303"/>
      <c r="AC843" s="302"/>
      <c r="AD843" s="303"/>
      <c r="AE843" s="302"/>
      <c r="AF843" s="303"/>
      <c r="AG843">
        <v>45256.944444444438</v>
      </c>
      <c r="AH843" s="521">
        <f>(AK843*10000)/AM843</f>
        <v>45256.944444444438</v>
      </c>
      <c r="AI843" s="302"/>
      <c r="AJ843" s="303"/>
      <c r="AK843">
        <v>20.365624999999998</v>
      </c>
      <c r="AL843" s="521"/>
      <c r="AM843">
        <v>4.5</v>
      </c>
      <c r="AN843" s="303">
        <v>42244</v>
      </c>
      <c r="AO843">
        <v>135</v>
      </c>
      <c r="AP843" s="303">
        <v>42170</v>
      </c>
      <c r="AQ843" s="302"/>
      <c r="AR843" s="303"/>
      <c r="AS843" s="302"/>
      <c r="AT843" s="303"/>
      <c r="AU843">
        <v>111</v>
      </c>
      <c r="AV843" s="302"/>
      <c r="AW843" s="302"/>
      <c r="AX843" s="302"/>
      <c r="AY843" s="302"/>
      <c r="AZ843" s="302"/>
      <c r="BA843" s="302"/>
      <c r="BB843" s="302"/>
      <c r="BC843" s="302"/>
      <c r="BD843" s="302"/>
      <c r="BE843" s="302"/>
      <c r="BF843" s="302"/>
      <c r="BG843" s="302"/>
      <c r="BH843" s="302"/>
      <c r="BI843" s="302"/>
      <c r="BJ843" s="302"/>
      <c r="BK843" s="304"/>
      <c r="BL843" s="304"/>
      <c r="BM843">
        <v>40</v>
      </c>
      <c r="BN843" s="304"/>
      <c r="BO843" s="304"/>
      <c r="BP843" s="304"/>
      <c r="BQ843" s="304"/>
      <c r="BR843" s="304"/>
      <c r="BS843">
        <v>16.5</v>
      </c>
      <c r="BT843" s="304"/>
      <c r="BU843" s="304"/>
      <c r="BV843" s="304"/>
      <c r="BW843" s="304"/>
      <c r="BX843" s="304"/>
      <c r="BY843">
        <v>50.9</v>
      </c>
      <c r="BZ843" s="304"/>
      <c r="CA843">
        <v>19.2</v>
      </c>
      <c r="CB843" s="304"/>
      <c r="CC843">
        <v>72.5</v>
      </c>
      <c r="CD843" s="304"/>
      <c r="CE843" s="304"/>
      <c r="CF843" s="304"/>
      <c r="CG843" s="304"/>
      <c r="CH843" s="304"/>
      <c r="CI843">
        <v>5</v>
      </c>
      <c r="CJ843" s="304"/>
      <c r="CK843" s="304"/>
      <c r="CL843" s="304"/>
      <c r="CM843" s="304"/>
      <c r="CN843" s="304"/>
      <c r="CO843" t="s">
        <v>8698</v>
      </c>
      <c r="CP843" s="304"/>
      <c r="CQ843" s="304"/>
      <c r="CR843">
        <v>5</v>
      </c>
      <c r="CS843" s="304"/>
      <c r="CT843" s="304" t="s">
        <v>11678</v>
      </c>
      <c r="CU843" s="304"/>
    </row>
    <row r="844" spans="1:99" s="178" customFormat="1">
      <c r="A844" s="304" t="s">
        <v>8507</v>
      </c>
      <c r="B844" s="288">
        <v>24</v>
      </c>
      <c r="C844" s="124" t="s">
        <v>8299</v>
      </c>
      <c r="D844" s="296" t="s">
        <v>8299</v>
      </c>
      <c r="E844" s="173" t="s">
        <v>7753</v>
      </c>
      <c r="F844" s="154"/>
      <c r="G844" s="154" t="s">
        <v>8507</v>
      </c>
      <c r="H844" s="297" t="s">
        <v>8696</v>
      </c>
      <c r="I844" s="297">
        <v>3</v>
      </c>
      <c r="J844" s="297">
        <v>303</v>
      </c>
      <c r="K844" s="299"/>
      <c r="L844" s="299"/>
      <c r="M844" s="299">
        <v>137</v>
      </c>
      <c r="N844" s="299">
        <v>1</v>
      </c>
      <c r="O844" s="300">
        <v>44</v>
      </c>
      <c r="P844" s="301">
        <v>42090</v>
      </c>
      <c r="Q844" s="302"/>
      <c r="R844" s="303"/>
      <c r="S844" s="289">
        <v>5.75</v>
      </c>
      <c r="T844" s="303">
        <v>42208</v>
      </c>
      <c r="U844" s="302"/>
      <c r="V844" s="303"/>
      <c r="W844" s="302"/>
      <c r="X844" s="303"/>
      <c r="Y844" s="302">
        <v>20.92</v>
      </c>
      <c r="Z844" s="303">
        <v>42208</v>
      </c>
      <c r="AA844">
        <v>14.4</v>
      </c>
      <c r="AB844" s="303"/>
      <c r="AC844" s="302"/>
      <c r="AD844" s="303"/>
      <c r="AE844" s="302"/>
      <c r="AF844" s="303"/>
      <c r="AG844">
        <v>71340.54487179486</v>
      </c>
      <c r="AH844" s="521">
        <f>(AK844*10000)/AM844</f>
        <v>71340.54487179486</v>
      </c>
      <c r="AI844" s="302"/>
      <c r="AJ844" s="303"/>
      <c r="AK844">
        <v>37.09708333333333</v>
      </c>
      <c r="AL844" s="521"/>
      <c r="AM844">
        <v>5.2</v>
      </c>
      <c r="AN844" s="303">
        <v>42244</v>
      </c>
      <c r="AO844">
        <v>120</v>
      </c>
      <c r="AP844" s="303">
        <v>42170</v>
      </c>
      <c r="AQ844" s="302"/>
      <c r="AR844" s="303"/>
      <c r="AS844" s="302"/>
      <c r="AT844" s="303"/>
      <c r="AU844">
        <v>109</v>
      </c>
      <c r="AV844" s="302"/>
      <c r="AW844" s="302"/>
      <c r="AX844" s="302"/>
      <c r="AY844" s="302"/>
      <c r="AZ844" s="302"/>
      <c r="BA844" s="302"/>
      <c r="BB844" s="302"/>
      <c r="BC844" s="302"/>
      <c r="BD844" s="302"/>
      <c r="BE844" s="302"/>
      <c r="BF844" s="302"/>
      <c r="BG844" s="302"/>
      <c r="BH844" s="302"/>
      <c r="BI844" s="302"/>
      <c r="BJ844" s="302"/>
      <c r="BK844" s="304"/>
      <c r="BL844" s="304"/>
      <c r="BM844">
        <v>0.1</v>
      </c>
      <c r="BN844" s="304"/>
      <c r="BO844" s="304"/>
      <c r="BP844" s="304"/>
      <c r="BQ844" s="304"/>
      <c r="BR844" s="304"/>
      <c r="BS844">
        <v>57.9</v>
      </c>
      <c r="BT844" s="304"/>
      <c r="BU844" s="304"/>
      <c r="BV844" s="304"/>
      <c r="BW844" s="304"/>
      <c r="BX844" s="304"/>
      <c r="BY844">
        <v>50.3</v>
      </c>
      <c r="BZ844" s="304"/>
      <c r="CA844">
        <v>19.100000000000001</v>
      </c>
      <c r="CB844" s="304"/>
      <c r="CC844">
        <v>17.7</v>
      </c>
      <c r="CD844" s="304"/>
      <c r="CE844" s="304"/>
      <c r="CF844" s="304"/>
      <c r="CG844" s="304"/>
      <c r="CH844" s="304"/>
      <c r="CI844">
        <v>5.2</v>
      </c>
      <c r="CJ844" s="304"/>
      <c r="CK844" s="304"/>
      <c r="CL844" s="304"/>
      <c r="CM844" s="304"/>
      <c r="CN844" s="304"/>
      <c r="CO844" t="s">
        <v>8698</v>
      </c>
      <c r="CP844" s="304"/>
      <c r="CQ844" s="304"/>
      <c r="CR844">
        <v>2</v>
      </c>
      <c r="CS844" s="304"/>
      <c r="CT844" s="304" t="s">
        <v>11678</v>
      </c>
      <c r="CU844" s="304"/>
    </row>
    <row r="845" spans="1:99" s="178" customFormat="1">
      <c r="A845" s="304" t="s">
        <v>8507</v>
      </c>
      <c r="B845" s="288">
        <v>24</v>
      </c>
      <c r="C845" s="124" t="s">
        <v>8299</v>
      </c>
      <c r="D845" s="296" t="s">
        <v>8299</v>
      </c>
      <c r="E845" s="173" t="s">
        <v>7753</v>
      </c>
      <c r="F845" s="154"/>
      <c r="G845" s="154" t="s">
        <v>8507</v>
      </c>
      <c r="H845" s="297" t="s">
        <v>8697</v>
      </c>
      <c r="I845" s="297">
        <v>4</v>
      </c>
      <c r="J845" s="297">
        <v>415</v>
      </c>
      <c r="K845" s="299"/>
      <c r="L845" s="299"/>
      <c r="M845" s="299">
        <v>137</v>
      </c>
      <c r="N845" s="299">
        <v>10</v>
      </c>
      <c r="O845" s="300">
        <v>26</v>
      </c>
      <c r="P845" s="301">
        <v>42090</v>
      </c>
      <c r="Q845" s="302"/>
      <c r="R845" s="303"/>
      <c r="S845" s="289">
        <v>5</v>
      </c>
      <c r="T845" s="303">
        <v>42208</v>
      </c>
      <c r="U845" s="302"/>
      <c r="V845" s="303"/>
      <c r="W845" s="302"/>
      <c r="X845" s="303"/>
      <c r="Y845" s="302">
        <v>19.09</v>
      </c>
      <c r="Z845" s="303">
        <v>42208</v>
      </c>
      <c r="AA845">
        <v>14.4</v>
      </c>
      <c r="AB845" s="303"/>
      <c r="AC845" s="302"/>
      <c r="AD845" s="303"/>
      <c r="AE845" s="302"/>
      <c r="AF845" s="303"/>
      <c r="AG845">
        <v>63585.239651416123</v>
      </c>
      <c r="AH845" s="521">
        <f>(AK845*10000)/AM845</f>
        <v>63585.239651416123</v>
      </c>
      <c r="AI845" s="302"/>
      <c r="AJ845" s="303"/>
      <c r="AK845">
        <v>32.428472222222219</v>
      </c>
      <c r="AL845" s="521"/>
      <c r="AM845">
        <v>5.0999999999999996</v>
      </c>
      <c r="AN845" s="303">
        <v>42244</v>
      </c>
      <c r="AO845">
        <v>130</v>
      </c>
      <c r="AP845" s="303">
        <v>42170</v>
      </c>
      <c r="AQ845" s="302"/>
      <c r="AR845" s="303"/>
      <c r="AS845" s="302"/>
      <c r="AT845" s="303"/>
      <c r="AU845">
        <v>109</v>
      </c>
      <c r="AV845" s="302"/>
      <c r="AW845" s="302"/>
      <c r="AX845" s="302"/>
      <c r="AY845" s="302"/>
      <c r="AZ845" s="302"/>
      <c r="BA845" s="302"/>
      <c r="BB845" s="302"/>
      <c r="BC845" s="302"/>
      <c r="BD845" s="302"/>
      <c r="BE845" s="302"/>
      <c r="BF845" s="302"/>
      <c r="BG845" s="302"/>
      <c r="BH845" s="302"/>
      <c r="BI845" s="302"/>
      <c r="BJ845" s="302"/>
      <c r="BK845" s="304"/>
      <c r="BL845" s="304"/>
      <c r="BM845">
        <v>0.9</v>
      </c>
      <c r="BN845" s="304"/>
      <c r="BO845" s="304"/>
      <c r="BP845" s="304"/>
      <c r="BQ845" s="304"/>
      <c r="BR845" s="304"/>
      <c r="BS845">
        <v>58.5</v>
      </c>
      <c r="BT845" s="304"/>
      <c r="BU845" s="304"/>
      <c r="BV845" s="304"/>
      <c r="BW845" s="304"/>
      <c r="BX845" s="304"/>
      <c r="BY845">
        <v>52.5</v>
      </c>
      <c r="BZ845" s="304"/>
      <c r="CA845">
        <v>17.3</v>
      </c>
      <c r="CB845" s="304"/>
      <c r="CC845">
        <v>19.899999999999999</v>
      </c>
      <c r="CD845" s="304"/>
      <c r="CE845" s="304"/>
      <c r="CF845" s="304"/>
      <c r="CG845" s="304"/>
      <c r="CH845" s="304"/>
      <c r="CI845">
        <v>4.7</v>
      </c>
      <c r="CJ845" s="304"/>
      <c r="CK845" s="304"/>
      <c r="CL845" s="304"/>
      <c r="CM845" s="304"/>
      <c r="CN845" s="304"/>
      <c r="CO845" t="s">
        <v>8698</v>
      </c>
      <c r="CP845" s="304"/>
      <c r="CQ845" s="304"/>
      <c r="CR845">
        <v>2</v>
      </c>
      <c r="CS845" s="304"/>
      <c r="CT845" s="304" t="s">
        <v>11678</v>
      </c>
      <c r="CU845" s="304"/>
    </row>
    <row r="846" spans="1:99" s="178" customFormat="1">
      <c r="A846" s="304" t="s">
        <v>8507</v>
      </c>
      <c r="B846" s="524">
        <v>1</v>
      </c>
      <c r="C846" s="296" t="s">
        <v>7607</v>
      </c>
      <c r="D846" s="296" t="s">
        <v>7451</v>
      </c>
      <c r="E846" s="296" t="s">
        <v>7607</v>
      </c>
      <c r="F846" s="296"/>
      <c r="G846" s="296" t="s">
        <v>8507</v>
      </c>
      <c r="H846" s="297" t="s">
        <v>8696</v>
      </c>
      <c r="I846" s="297">
        <v>3</v>
      </c>
      <c r="J846" s="297">
        <v>308</v>
      </c>
      <c r="K846" s="299"/>
      <c r="L846" s="299"/>
      <c r="M846" s="299">
        <v>138</v>
      </c>
      <c r="N846" s="299">
        <v>2</v>
      </c>
      <c r="O846" s="300">
        <v>31</v>
      </c>
      <c r="P846" s="301">
        <v>42090</v>
      </c>
      <c r="Q846" s="302"/>
      <c r="R846" s="303"/>
      <c r="S846" s="289">
        <v>2.95</v>
      </c>
      <c r="T846" s="303">
        <v>42208</v>
      </c>
      <c r="U846" s="302"/>
      <c r="V846" s="303"/>
      <c r="W846" s="302"/>
      <c r="X846" s="303"/>
      <c r="Y846" s="302">
        <v>10.01</v>
      </c>
      <c r="Z846" s="303">
        <v>42208</v>
      </c>
      <c r="AA846">
        <v>14.4</v>
      </c>
      <c r="AB846" s="303"/>
      <c r="AC846" s="302"/>
      <c r="AD846" s="303"/>
      <c r="AE846" s="302"/>
      <c r="AF846" s="303"/>
      <c r="AG846">
        <v>35319.573045267483</v>
      </c>
      <c r="AH846" s="521">
        <f>(AK846*10000)/AM846</f>
        <v>35319.573045267483</v>
      </c>
      <c r="AI846" s="302"/>
      <c r="AJ846" s="303"/>
      <c r="AK846">
        <v>19.072569444444444</v>
      </c>
      <c r="AL846" s="521"/>
      <c r="AM846">
        <v>5.4</v>
      </c>
      <c r="AN846" s="303">
        <v>42244</v>
      </c>
      <c r="AO846">
        <v>150</v>
      </c>
      <c r="AP846" s="303">
        <v>42170</v>
      </c>
      <c r="AQ846" s="302"/>
      <c r="AR846" s="303"/>
      <c r="AS846" s="302"/>
      <c r="AT846" s="303"/>
      <c r="AU846">
        <v>109</v>
      </c>
      <c r="AV846" s="302"/>
      <c r="AW846" s="302"/>
      <c r="AX846" s="302"/>
      <c r="AY846" s="302"/>
      <c r="AZ846" s="302"/>
      <c r="BA846" s="302"/>
      <c r="BB846" s="302"/>
      <c r="BC846" s="302"/>
      <c r="BD846" s="302"/>
      <c r="BE846" s="302"/>
      <c r="BF846" s="302"/>
      <c r="BG846" s="302"/>
      <c r="BH846" s="302"/>
      <c r="BI846" s="302"/>
      <c r="BJ846" s="302"/>
      <c r="BK846" s="304"/>
      <c r="BL846" s="304"/>
      <c r="BM846">
        <v>44.4</v>
      </c>
      <c r="BN846" s="304"/>
      <c r="BO846" s="304"/>
      <c r="BP846" s="304"/>
      <c r="BQ846" s="304"/>
      <c r="BR846" s="304"/>
      <c r="BS846">
        <v>7.1</v>
      </c>
      <c r="BT846" s="304"/>
      <c r="BU846" s="304"/>
      <c r="BV846" s="304"/>
      <c r="BW846" s="304"/>
      <c r="BX846" s="304"/>
      <c r="BY846">
        <v>46.8</v>
      </c>
      <c r="BZ846" s="304"/>
      <c r="CA846">
        <v>23.6</v>
      </c>
      <c r="CB846" s="304"/>
      <c r="CC846">
        <v>86.3</v>
      </c>
      <c r="CD846" s="304"/>
      <c r="CE846" s="304"/>
      <c r="CF846" s="304"/>
      <c r="CG846" s="304"/>
      <c r="CH846" s="304"/>
      <c r="CI846">
        <v>5</v>
      </c>
      <c r="CJ846" s="304"/>
      <c r="CK846" s="304"/>
      <c r="CL846" s="304"/>
      <c r="CM846" s="304"/>
      <c r="CN846" s="304"/>
      <c r="CO846" t="s">
        <v>8698</v>
      </c>
      <c r="CP846" s="304"/>
      <c r="CQ846" s="304"/>
      <c r="CR846">
        <v>3</v>
      </c>
      <c r="CS846" s="304"/>
      <c r="CT846" s="304" t="s">
        <v>11678</v>
      </c>
      <c r="CU846" s="304"/>
    </row>
    <row r="847" spans="1:99" s="178" customFormat="1">
      <c r="A847" s="304" t="s">
        <v>8507</v>
      </c>
      <c r="B847" s="524">
        <v>1</v>
      </c>
      <c r="C847" s="296" t="s">
        <v>7607</v>
      </c>
      <c r="D847" s="296" t="s">
        <v>7451</v>
      </c>
      <c r="E847" s="296" t="s">
        <v>7607</v>
      </c>
      <c r="F847" s="296"/>
      <c r="G847" s="296" t="s">
        <v>8507</v>
      </c>
      <c r="H847" s="297" t="s">
        <v>8697</v>
      </c>
      <c r="I847" s="297">
        <v>4</v>
      </c>
      <c r="J847" s="297">
        <v>416</v>
      </c>
      <c r="K847" s="299"/>
      <c r="L847" s="299"/>
      <c r="M847" s="299">
        <v>138</v>
      </c>
      <c r="N847" s="299">
        <v>10</v>
      </c>
      <c r="O847" s="300">
        <v>28</v>
      </c>
      <c r="P847" s="301">
        <v>42090</v>
      </c>
      <c r="Q847" s="302"/>
      <c r="R847" s="303"/>
      <c r="S847" s="289">
        <v>2.2000000000000002</v>
      </c>
      <c r="T847" s="303">
        <v>42208</v>
      </c>
      <c r="U847" s="302"/>
      <c r="V847" s="303"/>
      <c r="W847" s="302"/>
      <c r="X847" s="303"/>
      <c r="Y847" s="302">
        <v>7.93</v>
      </c>
      <c r="Z847" s="303">
        <v>42208</v>
      </c>
      <c r="AA847">
        <v>14.4</v>
      </c>
      <c r="AB847" s="303"/>
      <c r="AC847" s="302"/>
      <c r="AD847" s="303"/>
      <c r="AE847" s="302"/>
      <c r="AF847" s="303"/>
      <c r="AG847">
        <v>26808.752620545078</v>
      </c>
      <c r="AH847" s="521">
        <f>(AK847*10000)/AM847</f>
        <v>26808.752620545078</v>
      </c>
      <c r="AI847" s="302"/>
      <c r="AJ847" s="303"/>
      <c r="AK847">
        <v>14.208638888888892</v>
      </c>
      <c r="AL847" s="521"/>
      <c r="AM847">
        <v>5.3</v>
      </c>
      <c r="AN847" s="303">
        <v>42244</v>
      </c>
      <c r="AO847">
        <v>150</v>
      </c>
      <c r="AP847" s="303">
        <v>42170</v>
      </c>
      <c r="AQ847" s="302"/>
      <c r="AR847" s="303"/>
      <c r="AS847" s="302"/>
      <c r="AT847" s="303"/>
      <c r="AU847">
        <v>109</v>
      </c>
      <c r="AV847" s="302"/>
      <c r="AW847" s="302"/>
      <c r="AX847" s="302"/>
      <c r="AY847" s="302"/>
      <c r="AZ847" s="302"/>
      <c r="BA847" s="302"/>
      <c r="BB847" s="302"/>
      <c r="BC847" s="302"/>
      <c r="BD847" s="302"/>
      <c r="BE847" s="302"/>
      <c r="BF847" s="302"/>
      <c r="BG847" s="302"/>
      <c r="BH847" s="302"/>
      <c r="BI847" s="302"/>
      <c r="BJ847" s="302"/>
      <c r="BK847" s="304"/>
      <c r="BL847" s="304"/>
      <c r="BM847">
        <v>45.3</v>
      </c>
      <c r="BN847" s="304"/>
      <c r="BO847" s="304"/>
      <c r="BP847" s="304"/>
      <c r="BQ847" s="304"/>
      <c r="BR847" s="304"/>
      <c r="BS847">
        <v>8.1999999999999993</v>
      </c>
      <c r="BT847" s="304"/>
      <c r="BU847" s="304"/>
      <c r="BV847" s="304"/>
      <c r="BW847" s="304"/>
      <c r="BX847" s="304"/>
      <c r="BY847">
        <v>49.8</v>
      </c>
      <c r="BZ847" s="304"/>
      <c r="CA847">
        <v>20.7</v>
      </c>
      <c r="CB847" s="304"/>
      <c r="CC847">
        <v>81.400000000000006</v>
      </c>
      <c r="CD847" s="304"/>
      <c r="CE847" s="304"/>
      <c r="CF847" s="304"/>
      <c r="CG847" s="304"/>
      <c r="CH847" s="304"/>
      <c r="CI847">
        <v>5.0999999999999996</v>
      </c>
      <c r="CJ847" s="304"/>
      <c r="CK847" s="304"/>
      <c r="CL847" s="304"/>
      <c r="CM847" s="304"/>
      <c r="CN847" s="304"/>
      <c r="CO847" t="s">
        <v>8698</v>
      </c>
      <c r="CP847" s="304"/>
      <c r="CQ847" s="304"/>
      <c r="CR847">
        <v>2</v>
      </c>
      <c r="CS847" s="304"/>
      <c r="CT847" s="304" t="s">
        <v>11678</v>
      </c>
      <c r="CU847" s="304"/>
    </row>
    <row r="848" spans="1:99" s="178" customFormat="1">
      <c r="A848" s="304" t="s">
        <v>8507</v>
      </c>
      <c r="B848" s="524">
        <v>3</v>
      </c>
      <c r="C848" s="296" t="s">
        <v>7613</v>
      </c>
      <c r="D848" s="296" t="s">
        <v>7454</v>
      </c>
      <c r="E848" s="296" t="s">
        <v>7613</v>
      </c>
      <c r="F848" s="296"/>
      <c r="G848" s="296" t="s">
        <v>8507</v>
      </c>
      <c r="H848" s="297" t="s">
        <v>8696</v>
      </c>
      <c r="I848" s="297">
        <v>3</v>
      </c>
      <c r="J848" s="297">
        <v>324</v>
      </c>
      <c r="K848" s="299"/>
      <c r="L848" s="299"/>
      <c r="M848" s="299">
        <v>138</v>
      </c>
      <c r="N848" s="299">
        <v>6</v>
      </c>
      <c r="O848" s="300">
        <v>52</v>
      </c>
      <c r="P848" s="301">
        <v>42090</v>
      </c>
      <c r="Q848" s="302"/>
      <c r="R848" s="303"/>
      <c r="S848" s="289">
        <v>4.8499999999999996</v>
      </c>
      <c r="T848" s="303">
        <v>42208</v>
      </c>
      <c r="U848" s="302"/>
      <c r="V848" s="303"/>
      <c r="W848" s="302"/>
      <c r="X848" s="303"/>
      <c r="Y848" s="302">
        <v>16.79</v>
      </c>
      <c r="Z848" s="303">
        <v>42208</v>
      </c>
      <c r="AA848">
        <v>14.4</v>
      </c>
      <c r="AB848" s="303"/>
      <c r="AC848" s="302"/>
      <c r="AD848" s="303"/>
      <c r="AE848" s="302"/>
      <c r="AF848" s="303"/>
      <c r="AG848">
        <v>52867.055084745749</v>
      </c>
      <c r="AH848" s="521">
        <f>(AK848*10000)/AM848</f>
        <v>52867.055084745749</v>
      </c>
      <c r="AI848" s="302"/>
      <c r="AJ848" s="303"/>
      <c r="AK848">
        <v>31.191562499999993</v>
      </c>
      <c r="AL848" s="521"/>
      <c r="AM848">
        <v>5.9</v>
      </c>
      <c r="AN848" s="303">
        <v>42244</v>
      </c>
      <c r="AO848">
        <v>130</v>
      </c>
      <c r="AP848" s="303">
        <v>42170</v>
      </c>
      <c r="AQ848" s="302"/>
      <c r="AR848" s="303"/>
      <c r="AS848" s="302"/>
      <c r="AT848" s="303"/>
      <c r="AU848">
        <v>104</v>
      </c>
      <c r="AV848" s="302"/>
      <c r="AW848" s="302"/>
      <c r="AX848" s="302"/>
      <c r="AY848" s="302"/>
      <c r="AZ848" s="302"/>
      <c r="BA848" s="302"/>
      <c r="BB848" s="302"/>
      <c r="BC848" s="302"/>
      <c r="BD848" s="302"/>
      <c r="BE848" s="302"/>
      <c r="BF848" s="302"/>
      <c r="BG848" s="302"/>
      <c r="BH848" s="302"/>
      <c r="BI848" s="302"/>
      <c r="BJ848" s="302"/>
      <c r="BK848" s="304"/>
      <c r="BL848" s="304"/>
      <c r="BM848">
        <v>49.1</v>
      </c>
      <c r="BN848" s="304"/>
      <c r="BO848" s="304"/>
      <c r="BP848" s="304"/>
      <c r="BQ848" s="304"/>
      <c r="BR848" s="304"/>
      <c r="BS848">
        <v>3.7</v>
      </c>
      <c r="BT848" s="304"/>
      <c r="BU848" s="304"/>
      <c r="BV848" s="304"/>
      <c r="BW848" s="304"/>
      <c r="BX848" s="304"/>
      <c r="BY848">
        <v>48</v>
      </c>
      <c r="BZ848" s="304"/>
      <c r="CA848">
        <v>22.7</v>
      </c>
      <c r="CB848" s="304"/>
      <c r="CC848">
        <v>73.8</v>
      </c>
      <c r="CD848" s="304"/>
      <c r="CE848" s="304"/>
      <c r="CF848" s="304"/>
      <c r="CG848" s="304"/>
      <c r="CH848" s="304"/>
      <c r="CI848">
        <v>5.5</v>
      </c>
      <c r="CJ848" s="304"/>
      <c r="CK848" s="304"/>
      <c r="CL848" s="304"/>
      <c r="CM848" s="304"/>
      <c r="CN848" s="304"/>
      <c r="CO848" s="304" t="s">
        <v>11676</v>
      </c>
      <c r="CP848" s="304"/>
      <c r="CQ848" s="304"/>
      <c r="CR848">
        <v>6</v>
      </c>
      <c r="CS848" s="304"/>
      <c r="CT848" s="304" t="s">
        <v>11678</v>
      </c>
      <c r="CU848" s="304"/>
    </row>
    <row r="849" spans="1:99" s="178" customFormat="1">
      <c r="A849" s="304" t="s">
        <v>8507</v>
      </c>
      <c r="B849" s="524">
        <v>6</v>
      </c>
      <c r="C849" s="296" t="s">
        <v>7632</v>
      </c>
      <c r="D849" s="296" t="s">
        <v>7469</v>
      </c>
      <c r="E849" s="296" t="s">
        <v>7632</v>
      </c>
      <c r="F849" s="296"/>
      <c r="G849" s="296" t="s">
        <v>8507</v>
      </c>
      <c r="H849" s="297" t="s">
        <v>8697</v>
      </c>
      <c r="I849" s="297">
        <v>4</v>
      </c>
      <c r="J849" s="297">
        <v>408</v>
      </c>
      <c r="K849" s="299"/>
      <c r="L849" s="299"/>
      <c r="M849" s="299">
        <v>138</v>
      </c>
      <c r="N849" s="299">
        <v>8</v>
      </c>
      <c r="O849" s="300">
        <v>30</v>
      </c>
      <c r="P849" s="301">
        <v>42090</v>
      </c>
      <c r="Q849" s="302"/>
      <c r="R849" s="303"/>
      <c r="S849" s="289">
        <v>2.75</v>
      </c>
      <c r="T849" s="303">
        <v>42208</v>
      </c>
      <c r="U849" s="302"/>
      <c r="V849" s="303"/>
      <c r="W849" s="302"/>
      <c r="X849" s="303"/>
      <c r="Y849" s="302">
        <v>9.7899999999999991</v>
      </c>
      <c r="Z849" s="303">
        <v>42208</v>
      </c>
      <c r="AA849">
        <v>14.4</v>
      </c>
      <c r="AB849" s="303"/>
      <c r="AC849" s="302"/>
      <c r="AD849" s="303"/>
      <c r="AE849" s="302"/>
      <c r="AF849" s="303"/>
      <c r="AG849">
        <v>31586.135477582844</v>
      </c>
      <c r="AH849" s="521">
        <f>(AK849*10000)/AM849</f>
        <v>31586.135477582844</v>
      </c>
      <c r="AI849" s="302"/>
      <c r="AJ849" s="303"/>
      <c r="AK849">
        <v>18.004097222222221</v>
      </c>
      <c r="AL849" s="521"/>
      <c r="AM849">
        <v>5.7</v>
      </c>
      <c r="AN849" s="303">
        <v>42244</v>
      </c>
      <c r="AO849">
        <v>140</v>
      </c>
      <c r="AP849" s="303">
        <v>42170</v>
      </c>
      <c r="AQ849" s="302"/>
      <c r="AR849" s="303"/>
      <c r="AS849" s="302"/>
      <c r="AT849" s="303"/>
      <c r="AU849">
        <v>110</v>
      </c>
      <c r="AV849" s="302"/>
      <c r="AW849" s="302"/>
      <c r="AX849" s="302"/>
      <c r="AY849" s="302"/>
      <c r="AZ849" s="302"/>
      <c r="BA849" s="302"/>
      <c r="BB849" s="302"/>
      <c r="BC849" s="302"/>
      <c r="BD849" s="302"/>
      <c r="BE849" s="302"/>
      <c r="BF849" s="302"/>
      <c r="BG849" s="302"/>
      <c r="BH849" s="302"/>
      <c r="BI849" s="302"/>
      <c r="BJ849" s="302"/>
      <c r="BK849" s="304"/>
      <c r="BL849" s="304"/>
      <c r="BM849">
        <v>50.6</v>
      </c>
      <c r="BN849" s="304"/>
      <c r="BO849" s="304"/>
      <c r="BP849" s="304"/>
      <c r="BQ849" s="304"/>
      <c r="BR849" s="304"/>
      <c r="BS849">
        <v>1.7</v>
      </c>
      <c r="BT849" s="304"/>
      <c r="BU849" s="304"/>
      <c r="BV849" s="304"/>
      <c r="BW849" s="304"/>
      <c r="BX849" s="304"/>
      <c r="BY849">
        <v>48.5</v>
      </c>
      <c r="BZ849" s="304"/>
      <c r="CA849">
        <v>22</v>
      </c>
      <c r="CB849" s="304"/>
      <c r="CC849">
        <v>90.4</v>
      </c>
      <c r="CD849" s="304"/>
      <c r="CE849" s="304"/>
      <c r="CF849" s="304"/>
      <c r="CG849" s="304"/>
      <c r="CH849" s="304"/>
      <c r="CI849">
        <v>3.8</v>
      </c>
      <c r="CJ849" s="304"/>
      <c r="CK849" s="304"/>
      <c r="CL849" s="304"/>
      <c r="CM849" s="304"/>
      <c r="CN849" s="304"/>
      <c r="CO849" s="304" t="s">
        <v>11676</v>
      </c>
      <c r="CP849" s="304"/>
      <c r="CQ849" s="304"/>
      <c r="CR849">
        <v>6</v>
      </c>
      <c r="CS849" s="304"/>
      <c r="CT849" s="304" t="s">
        <v>11678</v>
      </c>
      <c r="CU849" s="304"/>
    </row>
    <row r="850" spans="1:99" s="178" customFormat="1">
      <c r="A850" s="304" t="s">
        <v>8507</v>
      </c>
      <c r="B850" s="524">
        <v>9</v>
      </c>
      <c r="C850" s="296" t="s">
        <v>7646</v>
      </c>
      <c r="D850" s="296" t="s">
        <v>7481</v>
      </c>
      <c r="E850" s="296" t="s">
        <v>7646</v>
      </c>
      <c r="F850" s="296"/>
      <c r="G850" s="296" t="s">
        <v>8507</v>
      </c>
      <c r="H850" s="297" t="s">
        <v>8696</v>
      </c>
      <c r="I850" s="297">
        <v>3</v>
      </c>
      <c r="J850" s="297">
        <v>304</v>
      </c>
      <c r="K850" s="299"/>
      <c r="L850" s="299"/>
      <c r="M850" s="299">
        <v>138</v>
      </c>
      <c r="N850" s="299">
        <v>1</v>
      </c>
      <c r="O850" s="300">
        <v>44</v>
      </c>
      <c r="P850" s="301">
        <v>42090</v>
      </c>
      <c r="Q850" s="302"/>
      <c r="R850" s="303"/>
      <c r="S850" s="289">
        <v>3.85</v>
      </c>
      <c r="T850" s="303">
        <v>42208</v>
      </c>
      <c r="U850" s="302"/>
      <c r="V850" s="303"/>
      <c r="W850" s="302"/>
      <c r="X850" s="303"/>
      <c r="Y850" s="302">
        <v>13.63</v>
      </c>
      <c r="Z850" s="303">
        <v>42208</v>
      </c>
      <c r="AA850">
        <v>14.4</v>
      </c>
      <c r="AB850" s="303"/>
      <c r="AC850" s="302"/>
      <c r="AD850" s="303"/>
      <c r="AE850" s="302"/>
      <c r="AF850" s="303"/>
      <c r="AG850">
        <v>48857.883986928107</v>
      </c>
      <c r="AH850" s="521">
        <f>(AK850*10000)/AM850</f>
        <v>48857.883986928107</v>
      </c>
      <c r="AI850" s="302"/>
      <c r="AJ850" s="303"/>
      <c r="AK850">
        <v>24.917520833333331</v>
      </c>
      <c r="AL850" s="521"/>
      <c r="AM850">
        <v>5.0999999999999996</v>
      </c>
      <c r="AN850" s="303">
        <v>42244</v>
      </c>
      <c r="AO850">
        <v>135</v>
      </c>
      <c r="AP850" s="303">
        <v>42170</v>
      </c>
      <c r="AQ850" s="302"/>
      <c r="AR850" s="303"/>
      <c r="AS850" s="302"/>
      <c r="AT850" s="303"/>
      <c r="AU850">
        <v>110</v>
      </c>
      <c r="AV850" s="302"/>
      <c r="AW850" s="302"/>
      <c r="AX850" s="302"/>
      <c r="AY850" s="302"/>
      <c r="AZ850" s="302"/>
      <c r="BA850" s="302"/>
      <c r="BB850" s="302"/>
      <c r="BC850" s="302"/>
      <c r="BD850" s="302"/>
      <c r="BE850" s="302"/>
      <c r="BF850" s="302"/>
      <c r="BG850" s="302"/>
      <c r="BH850" s="302"/>
      <c r="BI850" s="302"/>
      <c r="BJ850" s="302"/>
      <c r="BK850" s="304"/>
      <c r="BL850" s="304"/>
      <c r="BM850">
        <v>2.8</v>
      </c>
      <c r="BN850" s="304"/>
      <c r="BO850" s="304"/>
      <c r="BP850" s="304"/>
      <c r="BQ850" s="304"/>
      <c r="BR850" s="304"/>
      <c r="BS850">
        <v>49.1</v>
      </c>
      <c r="BT850" s="304"/>
      <c r="BU850" s="304"/>
      <c r="BV850" s="304"/>
      <c r="BW850" s="304"/>
      <c r="BX850" s="304"/>
      <c r="BY850">
        <v>48.8</v>
      </c>
      <c r="BZ850" s="304"/>
      <c r="CA850">
        <v>20.9</v>
      </c>
      <c r="CB850" s="304"/>
      <c r="CC850">
        <v>69.8</v>
      </c>
      <c r="CD850" s="304"/>
      <c r="CE850" s="304"/>
      <c r="CF850" s="304"/>
      <c r="CG850" s="304"/>
      <c r="CH850" s="304"/>
      <c r="CI850">
        <v>4.9000000000000004</v>
      </c>
      <c r="CJ850" s="304"/>
      <c r="CK850" s="304"/>
      <c r="CL850" s="304"/>
      <c r="CM850" s="304"/>
      <c r="CN850" s="304"/>
      <c r="CO850" t="s">
        <v>8698</v>
      </c>
      <c r="CP850" s="304"/>
      <c r="CQ850" s="304"/>
      <c r="CR850">
        <v>4</v>
      </c>
      <c r="CS850" s="304"/>
      <c r="CT850" s="304" t="s">
        <v>11678</v>
      </c>
      <c r="CU850" s="304"/>
    </row>
    <row r="851" spans="1:99" s="178" customFormat="1">
      <c r="A851" s="304" t="s">
        <v>8507</v>
      </c>
      <c r="B851" s="524">
        <v>9</v>
      </c>
      <c r="C851" s="296" t="s">
        <v>7646</v>
      </c>
      <c r="D851" s="296" t="s">
        <v>7481</v>
      </c>
      <c r="E851" s="296" t="s">
        <v>7646</v>
      </c>
      <c r="F851" s="296"/>
      <c r="G851" s="296" t="s">
        <v>8507</v>
      </c>
      <c r="H851" s="297" t="s">
        <v>8697</v>
      </c>
      <c r="I851" s="297">
        <v>4</v>
      </c>
      <c r="J851" s="297">
        <v>424</v>
      </c>
      <c r="K851" s="299"/>
      <c r="L851" s="299"/>
      <c r="M851" s="299">
        <v>138</v>
      </c>
      <c r="N851" s="299">
        <v>12</v>
      </c>
      <c r="O851" s="300">
        <v>41</v>
      </c>
      <c r="P851" s="301">
        <v>42090</v>
      </c>
      <c r="Q851" s="302"/>
      <c r="R851" s="303"/>
      <c r="S851" s="289">
        <v>3.05</v>
      </c>
      <c r="T851" s="303">
        <v>42208</v>
      </c>
      <c r="U851" s="302"/>
      <c r="V851" s="303"/>
      <c r="W851" s="302"/>
      <c r="X851" s="303"/>
      <c r="Y851" s="302">
        <v>11.17</v>
      </c>
      <c r="Z851" s="303">
        <v>42208</v>
      </c>
      <c r="AA851">
        <v>14.4</v>
      </c>
      <c r="AB851" s="303"/>
      <c r="AC851" s="302"/>
      <c r="AD851" s="303"/>
      <c r="AE851" s="302"/>
      <c r="AF851" s="303"/>
      <c r="AG851">
        <v>34953.211805555555</v>
      </c>
      <c r="AH851" s="521">
        <f>(AK851*10000)/AM851</f>
        <v>34953.211805555555</v>
      </c>
      <c r="AI851" s="302"/>
      <c r="AJ851" s="303"/>
      <c r="AK851">
        <v>19.573798611111108</v>
      </c>
      <c r="AL851" s="521"/>
      <c r="AM851">
        <v>5.6</v>
      </c>
      <c r="AN851" s="303">
        <v>42244</v>
      </c>
      <c r="AO851">
        <v>165</v>
      </c>
      <c r="AP851" s="303">
        <v>42170</v>
      </c>
      <c r="AQ851" s="302"/>
      <c r="AR851" s="303"/>
      <c r="AS851" s="302"/>
      <c r="AT851" s="303"/>
      <c r="AU851">
        <v>109</v>
      </c>
      <c r="AV851" s="302"/>
      <c r="AW851" s="302"/>
      <c r="AX851" s="302"/>
      <c r="AY851" s="302"/>
      <c r="AZ851" s="302"/>
      <c r="BA851" s="302"/>
      <c r="BB851" s="302"/>
      <c r="BC851" s="302"/>
      <c r="BD851" s="302"/>
      <c r="BE851" s="302"/>
      <c r="BF851" s="302"/>
      <c r="BG851" s="302"/>
      <c r="BH851" s="302"/>
      <c r="BI851" s="302"/>
      <c r="BJ851" s="302"/>
      <c r="BK851" s="304"/>
      <c r="BL851" s="304"/>
      <c r="BM851">
        <v>-0.5</v>
      </c>
      <c r="BN851" s="304"/>
      <c r="BO851" s="304"/>
      <c r="BP851" s="304"/>
      <c r="BQ851" s="304"/>
      <c r="BR851" s="304"/>
      <c r="BS851">
        <v>49.7</v>
      </c>
      <c r="BT851" s="304"/>
      <c r="BU851" s="304"/>
      <c r="BV851" s="304"/>
      <c r="BW851" s="304"/>
      <c r="BX851" s="304"/>
      <c r="BY851">
        <v>50.9</v>
      </c>
      <c r="BZ851" s="304"/>
      <c r="CA851">
        <v>19</v>
      </c>
      <c r="CB851" s="304"/>
      <c r="CC851">
        <v>66</v>
      </c>
      <c r="CD851" s="304"/>
      <c r="CE851" s="304"/>
      <c r="CF851" s="304"/>
      <c r="CG851" s="304"/>
      <c r="CH851" s="304"/>
      <c r="CI851">
        <v>5.7</v>
      </c>
      <c r="CJ851" s="304"/>
      <c r="CK851" s="304"/>
      <c r="CL851" s="304"/>
      <c r="CM851" s="304"/>
      <c r="CN851" s="304"/>
      <c r="CO851" t="s">
        <v>8698</v>
      </c>
      <c r="CP851" s="304"/>
      <c r="CQ851" s="304"/>
      <c r="CR851">
        <v>4</v>
      </c>
      <c r="CS851" s="304"/>
      <c r="CT851" s="304" t="s">
        <v>11678</v>
      </c>
      <c r="CU851" s="304"/>
    </row>
    <row r="852" spans="1:99" s="178" customFormat="1">
      <c r="A852" s="304" t="s">
        <v>8507</v>
      </c>
      <c r="B852" s="524">
        <v>12</v>
      </c>
      <c r="C852" s="296" t="s">
        <v>7655</v>
      </c>
      <c r="D852" s="296" t="s">
        <v>8501</v>
      </c>
      <c r="E852" s="296" t="s">
        <v>7655</v>
      </c>
      <c r="F852" s="296"/>
      <c r="G852" s="296" t="s">
        <v>8507</v>
      </c>
      <c r="H852" s="297" t="s">
        <v>8696</v>
      </c>
      <c r="I852" s="297">
        <v>3</v>
      </c>
      <c r="J852" s="297">
        <v>312</v>
      </c>
      <c r="K852" s="299"/>
      <c r="L852" s="299"/>
      <c r="M852" s="299">
        <v>138</v>
      </c>
      <c r="N852" s="299">
        <v>3</v>
      </c>
      <c r="O852" s="300">
        <v>33</v>
      </c>
      <c r="P852" s="301">
        <v>42090</v>
      </c>
      <c r="Q852" s="302"/>
      <c r="R852" s="303"/>
      <c r="S852" s="289">
        <v>4.05</v>
      </c>
      <c r="T852" s="303">
        <v>42208</v>
      </c>
      <c r="U852" s="302"/>
      <c r="V852" s="303"/>
      <c r="W852" s="302"/>
      <c r="X852" s="303"/>
      <c r="Y852" s="302">
        <v>13.61</v>
      </c>
      <c r="Z852" s="303">
        <v>42208</v>
      </c>
      <c r="AA852">
        <v>14.4</v>
      </c>
      <c r="AB852" s="303"/>
      <c r="AC852" s="302"/>
      <c r="AD852" s="303"/>
      <c r="AE852" s="302"/>
      <c r="AF852" s="303"/>
      <c r="AG852">
        <v>43502.812499999993</v>
      </c>
      <c r="AH852" s="521">
        <f>(AK852*10000)/AM852</f>
        <v>43502.812499999993</v>
      </c>
      <c r="AI852" s="302"/>
      <c r="AJ852" s="303"/>
      <c r="AK852">
        <v>26.101687499999997</v>
      </c>
      <c r="AL852" s="521"/>
      <c r="AM852">
        <v>6</v>
      </c>
      <c r="AN852" s="303">
        <v>42244</v>
      </c>
      <c r="AO852">
        <v>140</v>
      </c>
      <c r="AP852" s="303">
        <v>42170</v>
      </c>
      <c r="AQ852" s="302"/>
      <c r="AR852" s="303"/>
      <c r="AS852" s="302"/>
      <c r="AT852" s="303"/>
      <c r="AU852">
        <v>108</v>
      </c>
      <c r="AV852" s="302"/>
      <c r="AW852" s="302"/>
      <c r="AX852" s="302"/>
      <c r="AY852" s="302"/>
      <c r="AZ852" s="302"/>
      <c r="BA852" s="302"/>
      <c r="BB852" s="302"/>
      <c r="BC852" s="302"/>
      <c r="BD852" s="302"/>
      <c r="BE852" s="302"/>
      <c r="BF852" s="302"/>
      <c r="BG852" s="302"/>
      <c r="BH852" s="302"/>
      <c r="BI852" s="302"/>
      <c r="BJ852" s="302"/>
      <c r="BK852" s="304"/>
      <c r="BL852" s="304"/>
      <c r="BM852">
        <v>5.9</v>
      </c>
      <c r="BN852" s="304"/>
      <c r="BO852" s="304"/>
      <c r="BP852" s="304"/>
      <c r="BQ852" s="304"/>
      <c r="BR852" s="304"/>
      <c r="BS852">
        <v>46.7</v>
      </c>
      <c r="BT852" s="304"/>
      <c r="BU852" s="304"/>
      <c r="BV852" s="304"/>
      <c r="BW852" s="304"/>
      <c r="BX852" s="304"/>
      <c r="BY852">
        <v>46.5</v>
      </c>
      <c r="BZ852" s="304"/>
      <c r="CA852">
        <v>24</v>
      </c>
      <c r="CB852" s="304"/>
      <c r="CC852">
        <v>82.6</v>
      </c>
      <c r="CD852" s="304"/>
      <c r="CE852" s="304"/>
      <c r="CF852" s="304"/>
      <c r="CG852" s="304"/>
      <c r="CH852" s="304"/>
      <c r="CI852">
        <v>5.3</v>
      </c>
      <c r="CJ852" s="304"/>
      <c r="CK852" s="304"/>
      <c r="CL852" s="304"/>
      <c r="CM852" s="304"/>
      <c r="CN852" s="304"/>
      <c r="CO852" t="s">
        <v>8698</v>
      </c>
      <c r="CP852" s="304"/>
      <c r="CQ852" s="304"/>
      <c r="CR852">
        <v>2</v>
      </c>
      <c r="CS852" s="304"/>
      <c r="CT852" s="304" t="s">
        <v>11678</v>
      </c>
      <c r="CU852" s="304"/>
    </row>
    <row r="853" spans="1:99" s="178" customFormat="1">
      <c r="A853" s="304" t="s">
        <v>8507</v>
      </c>
      <c r="B853" s="524">
        <v>13</v>
      </c>
      <c r="C853" s="296" t="s">
        <v>7667</v>
      </c>
      <c r="D853" s="296" t="s">
        <v>7499</v>
      </c>
      <c r="E853" s="296" t="s">
        <v>7667</v>
      </c>
      <c r="F853" s="296"/>
      <c r="G853" s="296" t="s">
        <v>8507</v>
      </c>
      <c r="H853" s="297" t="s">
        <v>8697</v>
      </c>
      <c r="I853" s="297">
        <v>4</v>
      </c>
      <c r="J853" s="297">
        <v>412</v>
      </c>
      <c r="K853" s="299"/>
      <c r="L853" s="299"/>
      <c r="M853" s="299">
        <v>138</v>
      </c>
      <c r="N853" s="299">
        <v>9</v>
      </c>
      <c r="O853" s="300">
        <v>25</v>
      </c>
      <c r="P853" s="301">
        <v>42090</v>
      </c>
      <c r="Q853" s="302"/>
      <c r="R853" s="303"/>
      <c r="S853" s="289">
        <v>2.85</v>
      </c>
      <c r="T853" s="303">
        <v>42208</v>
      </c>
      <c r="U853" s="302"/>
      <c r="V853" s="303"/>
      <c r="W853" s="302"/>
      <c r="X853" s="303"/>
      <c r="Y853" s="302">
        <v>10.01</v>
      </c>
      <c r="Z853" s="303">
        <v>42208</v>
      </c>
      <c r="AA853">
        <v>14.4</v>
      </c>
      <c r="AB853" s="303"/>
      <c r="AC853" s="302"/>
      <c r="AD853" s="303"/>
      <c r="AE853" s="302"/>
      <c r="AF853" s="303"/>
      <c r="AG853">
        <v>32799.739583333336</v>
      </c>
      <c r="AH853" s="521">
        <f>(AK853*10000)/AM853</f>
        <v>32799.739583333336</v>
      </c>
      <c r="AI853" s="302"/>
      <c r="AJ853" s="303"/>
      <c r="AK853">
        <v>18.367854166666667</v>
      </c>
      <c r="AL853" s="521"/>
      <c r="AM853">
        <v>5.6</v>
      </c>
      <c r="AN853" s="303">
        <v>42244</v>
      </c>
      <c r="AO853">
        <v>135</v>
      </c>
      <c r="AP853" s="303">
        <v>42170</v>
      </c>
      <c r="AQ853" s="302"/>
      <c r="AR853" s="303"/>
      <c r="AS853" s="302"/>
      <c r="AT853" s="303"/>
      <c r="AU853">
        <v>110</v>
      </c>
      <c r="AV853" s="302"/>
      <c r="AW853" s="302"/>
      <c r="AX853" s="302"/>
      <c r="AY853" s="302"/>
      <c r="AZ853" s="302"/>
      <c r="BA853" s="302"/>
      <c r="BB853" s="302"/>
      <c r="BC853" s="302"/>
      <c r="BD853" s="302"/>
      <c r="BE853" s="302"/>
      <c r="BF853" s="302"/>
      <c r="BG853" s="302"/>
      <c r="BH853" s="302"/>
      <c r="BI853" s="302"/>
      <c r="BJ853" s="302"/>
      <c r="BK853" s="304"/>
      <c r="BL853" s="304"/>
      <c r="BM853">
        <v>4.5</v>
      </c>
      <c r="BN853" s="304"/>
      <c r="BO853" s="304"/>
      <c r="BP853" s="304"/>
      <c r="BQ853" s="304"/>
      <c r="BR853" s="304"/>
      <c r="BS853">
        <v>56.3</v>
      </c>
      <c r="BT853" s="304"/>
      <c r="BU853" s="304"/>
      <c r="BV853" s="304"/>
      <c r="BW853" s="304"/>
      <c r="BX853" s="304"/>
      <c r="BY853">
        <v>48.6</v>
      </c>
      <c r="BZ853" s="304"/>
      <c r="CA853">
        <v>18.8</v>
      </c>
      <c r="CB853" s="304"/>
      <c r="CC853">
        <v>29.4</v>
      </c>
      <c r="CD853" s="304"/>
      <c r="CE853" s="304"/>
      <c r="CF853" s="304"/>
      <c r="CG853" s="304"/>
      <c r="CH853" s="304"/>
      <c r="CI853">
        <v>5.3</v>
      </c>
      <c r="CJ853" s="304"/>
      <c r="CK853" s="304"/>
      <c r="CL853" s="304"/>
      <c r="CM853" s="304"/>
      <c r="CN853" s="304"/>
      <c r="CO853" t="s">
        <v>8698</v>
      </c>
      <c r="CP853" s="304"/>
      <c r="CQ853" s="304"/>
      <c r="CR853">
        <v>4</v>
      </c>
      <c r="CS853" s="304"/>
      <c r="CT853" s="304" t="s">
        <v>11678</v>
      </c>
      <c r="CU853" s="304"/>
    </row>
    <row r="854" spans="1:99" s="178" customFormat="1">
      <c r="A854" s="304" t="s">
        <v>8507</v>
      </c>
      <c r="B854" s="524">
        <v>14</v>
      </c>
      <c r="C854" s="525" t="s">
        <v>7731</v>
      </c>
      <c r="D854" s="296" t="s">
        <v>7557</v>
      </c>
      <c r="E854" s="296" t="s">
        <v>7731</v>
      </c>
      <c r="F854" s="296"/>
      <c r="G854" s="296" t="s">
        <v>8507</v>
      </c>
      <c r="H854" s="297" t="s">
        <v>8696</v>
      </c>
      <c r="I854" s="297">
        <v>3</v>
      </c>
      <c r="J854" s="297">
        <v>316</v>
      </c>
      <c r="K854" s="299"/>
      <c r="L854" s="299"/>
      <c r="M854" s="299">
        <v>138</v>
      </c>
      <c r="N854" s="299">
        <v>4</v>
      </c>
      <c r="O854" s="300">
        <v>25</v>
      </c>
      <c r="P854" s="301">
        <v>42090</v>
      </c>
      <c r="Q854" s="302"/>
      <c r="R854" s="303"/>
      <c r="S854" s="289">
        <v>3.4</v>
      </c>
      <c r="T854" s="303">
        <v>42208</v>
      </c>
      <c r="U854" s="302"/>
      <c r="V854" s="303"/>
      <c r="W854" s="302"/>
      <c r="X854" s="303"/>
      <c r="Y854" s="302">
        <v>11.56</v>
      </c>
      <c r="Z854" s="303">
        <v>42208</v>
      </c>
      <c r="AA854">
        <v>14.4</v>
      </c>
      <c r="AB854" s="303"/>
      <c r="AC854" s="302"/>
      <c r="AD854" s="303"/>
      <c r="AE854" s="302"/>
      <c r="AF854" s="303"/>
      <c r="AG854">
        <v>44955.555555555555</v>
      </c>
      <c r="AH854" s="521">
        <f>(AK854*10000)/AM854</f>
        <v>44955.555555555555</v>
      </c>
      <c r="AI854" s="302"/>
      <c r="AJ854" s="303"/>
      <c r="AK854">
        <v>22.028222222222222</v>
      </c>
      <c r="AL854" s="521"/>
      <c r="AM854">
        <v>4.9000000000000004</v>
      </c>
      <c r="AN854" s="303">
        <v>42244</v>
      </c>
      <c r="AO854">
        <v>150</v>
      </c>
      <c r="AP854" s="303">
        <v>42170</v>
      </c>
      <c r="AQ854" s="302"/>
      <c r="AR854" s="303"/>
      <c r="AS854" s="302"/>
      <c r="AT854" s="303"/>
      <c r="AU854">
        <v>107</v>
      </c>
      <c r="AV854" s="302"/>
      <c r="AW854" s="302"/>
      <c r="AX854" s="302"/>
      <c r="AY854" s="302"/>
      <c r="AZ854" s="302"/>
      <c r="BA854" s="302"/>
      <c r="BB854" s="302"/>
      <c r="BC854" s="302"/>
      <c r="BD854" s="302"/>
      <c r="BE854" s="302"/>
      <c r="BF854" s="302"/>
      <c r="BG854" s="302"/>
      <c r="BH854" s="302"/>
      <c r="BI854" s="302"/>
      <c r="BJ854" s="302"/>
      <c r="BK854" s="304"/>
      <c r="BL854" s="304"/>
      <c r="BM854">
        <v>47.1</v>
      </c>
      <c r="BN854" s="304"/>
      <c r="BO854" s="304"/>
      <c r="BP854" s="304"/>
      <c r="BQ854" s="304"/>
      <c r="BR854" s="304"/>
      <c r="BS854">
        <v>9.1</v>
      </c>
      <c r="BT854" s="304"/>
      <c r="BU854" s="304"/>
      <c r="BV854" s="304"/>
      <c r="BW854" s="304"/>
      <c r="BX854" s="304"/>
      <c r="BY854">
        <v>46.8</v>
      </c>
      <c r="BZ854" s="304"/>
      <c r="CA854">
        <v>23.4</v>
      </c>
      <c r="CB854" s="304"/>
      <c r="CC854">
        <v>73</v>
      </c>
      <c r="CD854" s="304"/>
      <c r="CE854" s="304"/>
      <c r="CF854" s="304"/>
      <c r="CG854" s="304"/>
      <c r="CH854" s="304"/>
      <c r="CI854">
        <v>4.8</v>
      </c>
      <c r="CJ854" s="304"/>
      <c r="CK854" s="304"/>
      <c r="CL854" s="304"/>
      <c r="CM854" s="304"/>
      <c r="CN854" s="304"/>
      <c r="CO854" s="304" t="s">
        <v>11676</v>
      </c>
      <c r="CP854" s="304"/>
      <c r="CQ854" s="304"/>
      <c r="CR854">
        <v>7</v>
      </c>
      <c r="CS854" s="304"/>
      <c r="CT854" s="304" t="s">
        <v>11678</v>
      </c>
      <c r="CU854" s="304"/>
    </row>
    <row r="855" spans="1:99" s="178" customFormat="1">
      <c r="A855" s="304" t="s">
        <v>8507</v>
      </c>
      <c r="B855" s="524">
        <v>15</v>
      </c>
      <c r="C855" s="525" t="s">
        <v>7739</v>
      </c>
      <c r="D855" s="296" t="s">
        <v>7823</v>
      </c>
      <c r="E855" s="296" t="s">
        <v>7739</v>
      </c>
      <c r="F855" s="296"/>
      <c r="G855" s="296" t="s">
        <v>8507</v>
      </c>
      <c r="H855" s="297" t="s">
        <v>8697</v>
      </c>
      <c r="I855" s="297">
        <v>4</v>
      </c>
      <c r="J855" s="297">
        <v>404</v>
      </c>
      <c r="K855" s="299"/>
      <c r="L855" s="299"/>
      <c r="M855" s="299">
        <v>138</v>
      </c>
      <c r="N855" s="299">
        <v>7</v>
      </c>
      <c r="O855" s="300">
        <v>30</v>
      </c>
      <c r="P855" s="301">
        <v>42090</v>
      </c>
      <c r="Q855" s="302"/>
      <c r="R855" s="303"/>
      <c r="S855" s="289">
        <v>2.25</v>
      </c>
      <c r="T855" s="303">
        <v>42208</v>
      </c>
      <c r="U855" s="302"/>
      <c r="V855" s="303"/>
      <c r="W855" s="302"/>
      <c r="X855" s="303"/>
      <c r="Y855" s="302">
        <v>7.98</v>
      </c>
      <c r="Z855" s="303">
        <v>42208</v>
      </c>
      <c r="AA855">
        <v>14.4</v>
      </c>
      <c r="AB855" s="303"/>
      <c r="AC855" s="302"/>
      <c r="AD855" s="303"/>
      <c r="AE855" s="302"/>
      <c r="AF855" s="303"/>
      <c r="AG855">
        <v>20445.42253521127</v>
      </c>
      <c r="AH855" s="521">
        <f>(AK855*10000)/AM855</f>
        <v>20445.42253521127</v>
      </c>
      <c r="AI855" s="302"/>
      <c r="AJ855" s="303"/>
      <c r="AK855">
        <v>14.516249999999999</v>
      </c>
      <c r="AL855" s="521"/>
      <c r="AM855">
        <v>7.1</v>
      </c>
      <c r="AN855" s="303">
        <v>42244</v>
      </c>
      <c r="AO855">
        <v>115</v>
      </c>
      <c r="AP855" s="303">
        <v>42170</v>
      </c>
      <c r="AQ855" s="302"/>
      <c r="AR855" s="303"/>
      <c r="AS855" s="302"/>
      <c r="AT855" s="303"/>
      <c r="AU855">
        <v>110</v>
      </c>
      <c r="AV855" s="302"/>
      <c r="AW855" s="302"/>
      <c r="AX855" s="302"/>
      <c r="AY855" s="302"/>
      <c r="AZ855" s="302"/>
      <c r="BA855" s="302"/>
      <c r="BB855" s="302"/>
      <c r="BC855" s="302"/>
      <c r="BD855" s="302"/>
      <c r="BE855" s="302"/>
      <c r="BF855" s="302"/>
      <c r="BG855" s="302"/>
      <c r="BH855" s="302"/>
      <c r="BI855" s="302"/>
      <c r="BJ855" s="302"/>
      <c r="BK855" s="304"/>
      <c r="BL855" s="304"/>
      <c r="BM855">
        <v>47.8</v>
      </c>
      <c r="BN855" s="304"/>
      <c r="BO855" s="304"/>
      <c r="BP855" s="304"/>
      <c r="BQ855" s="304"/>
      <c r="BR855" s="304"/>
      <c r="BS855">
        <v>3.5</v>
      </c>
      <c r="BT855" s="304"/>
      <c r="BU855" s="304"/>
      <c r="BV855" s="304"/>
      <c r="BW855" s="304"/>
      <c r="BX855" s="304"/>
      <c r="BY855">
        <v>49</v>
      </c>
      <c r="BZ855" s="304"/>
      <c r="CA855">
        <v>21.4</v>
      </c>
      <c r="CB855" s="304"/>
      <c r="CC855">
        <v>92</v>
      </c>
      <c r="CD855" s="304"/>
      <c r="CE855" s="304"/>
      <c r="CF855" s="304"/>
      <c r="CG855" s="304"/>
      <c r="CH855" s="304"/>
      <c r="CI855">
        <v>5.2</v>
      </c>
      <c r="CJ855" s="304"/>
      <c r="CK855" s="304"/>
      <c r="CL855" s="304"/>
      <c r="CM855" s="304"/>
      <c r="CN855" s="304"/>
      <c r="CO855" s="304" t="s">
        <v>11676</v>
      </c>
      <c r="CP855" s="304"/>
      <c r="CQ855" s="304"/>
      <c r="CR855">
        <v>6</v>
      </c>
      <c r="CS855" s="304"/>
      <c r="CT855" s="304" t="s">
        <v>11678</v>
      </c>
      <c r="CU855" s="304"/>
    </row>
    <row r="856" spans="1:99" s="178" customFormat="1">
      <c r="A856" s="304" t="s">
        <v>8507</v>
      </c>
      <c r="B856" s="524">
        <v>21</v>
      </c>
      <c r="C856" s="525" t="s">
        <v>7748</v>
      </c>
      <c r="D856" s="296" t="s">
        <v>7832</v>
      </c>
      <c r="E856" s="296" t="s">
        <v>7748</v>
      </c>
      <c r="F856" s="296"/>
      <c r="G856" s="296" t="s">
        <v>8507</v>
      </c>
      <c r="H856" s="297" t="s">
        <v>8696</v>
      </c>
      <c r="I856" s="297">
        <v>3</v>
      </c>
      <c r="J856" s="297">
        <v>320</v>
      </c>
      <c r="K856" s="299"/>
      <c r="L856" s="299"/>
      <c r="M856" s="299">
        <v>138</v>
      </c>
      <c r="N856" s="299">
        <v>5</v>
      </c>
      <c r="O856" s="300">
        <v>58</v>
      </c>
      <c r="P856" s="301">
        <v>42090</v>
      </c>
      <c r="Q856" s="302"/>
      <c r="R856" s="303"/>
      <c r="S856" s="289">
        <v>3.6</v>
      </c>
      <c r="T856" s="303">
        <v>42208</v>
      </c>
      <c r="U856" s="302"/>
      <c r="V856" s="303"/>
      <c r="W856" s="302"/>
      <c r="X856" s="303"/>
      <c r="Y856" s="302">
        <v>12.42</v>
      </c>
      <c r="Z856" s="303">
        <v>42208</v>
      </c>
      <c r="AA856">
        <v>14.4</v>
      </c>
      <c r="AB856" s="303"/>
      <c r="AC856" s="302"/>
      <c r="AD856" s="303"/>
      <c r="AE856" s="302"/>
      <c r="AF856" s="303"/>
      <c r="AG856">
        <v>45733.333333333343</v>
      </c>
      <c r="AH856" s="521">
        <f>(AK856*10000)/AM856</f>
        <v>45733.333333333343</v>
      </c>
      <c r="AI856" s="302"/>
      <c r="AJ856" s="303"/>
      <c r="AK856">
        <v>23.324000000000002</v>
      </c>
      <c r="AL856" s="521"/>
      <c r="AM856">
        <v>5.0999999999999996</v>
      </c>
      <c r="AN856" s="303">
        <v>42244</v>
      </c>
      <c r="AO856">
        <v>135</v>
      </c>
      <c r="AP856" s="303">
        <v>42170</v>
      </c>
      <c r="AQ856" s="302"/>
      <c r="AR856" s="303"/>
      <c r="AS856" s="302"/>
      <c r="AT856" s="303"/>
      <c r="AU856">
        <v>108</v>
      </c>
      <c r="AV856" s="302"/>
      <c r="AW856" s="302"/>
      <c r="AX856" s="302"/>
      <c r="AY856" s="302"/>
      <c r="AZ856" s="302"/>
      <c r="BA856" s="302"/>
      <c r="BB856" s="302"/>
      <c r="BC856" s="302"/>
      <c r="BD856" s="302"/>
      <c r="BE856" s="302"/>
      <c r="BF856" s="302"/>
      <c r="BG856" s="302"/>
      <c r="BH856" s="302"/>
      <c r="BI856" s="302"/>
      <c r="BJ856" s="302"/>
      <c r="BK856" s="304"/>
      <c r="BL856" s="304"/>
      <c r="BM856">
        <v>43.6</v>
      </c>
      <c r="BN856" s="304"/>
      <c r="BO856" s="304"/>
      <c r="BP856" s="304"/>
      <c r="BQ856" s="304"/>
      <c r="BR856" s="304"/>
      <c r="BS856">
        <v>11.7</v>
      </c>
      <c r="BT856" s="304"/>
      <c r="BU856" s="304"/>
      <c r="BV856" s="304"/>
      <c r="BW856" s="304"/>
      <c r="BX856" s="304"/>
      <c r="BY856">
        <v>47.5</v>
      </c>
      <c r="BZ856" s="304"/>
      <c r="CA856">
        <v>22.9</v>
      </c>
      <c r="CB856" s="304"/>
      <c r="CC856">
        <v>82.3</v>
      </c>
      <c r="CD856" s="304"/>
      <c r="CE856" s="304"/>
      <c r="CF856" s="304"/>
      <c r="CG856" s="304"/>
      <c r="CH856" s="304"/>
      <c r="CI856">
        <v>4.8</v>
      </c>
      <c r="CJ856" s="304"/>
      <c r="CK856" s="304"/>
      <c r="CL856" s="304"/>
      <c r="CM856" s="304"/>
      <c r="CN856" s="304"/>
      <c r="CO856" s="304" t="s">
        <v>11676</v>
      </c>
      <c r="CP856" s="304"/>
      <c r="CQ856" s="304"/>
      <c r="CR856">
        <v>7</v>
      </c>
      <c r="CS856" s="304"/>
      <c r="CT856" s="304" t="s">
        <v>11678</v>
      </c>
      <c r="CU856" s="304"/>
    </row>
    <row r="857" spans="1:99" s="178" customFormat="1">
      <c r="A857" s="304" t="s">
        <v>8507</v>
      </c>
      <c r="B857" s="524">
        <v>23</v>
      </c>
      <c r="C857" s="525" t="s">
        <v>7755</v>
      </c>
      <c r="D857" s="296" t="s">
        <v>7566</v>
      </c>
      <c r="E857" s="296" t="s">
        <v>7755</v>
      </c>
      <c r="F857" s="296"/>
      <c r="G857" s="296" t="s">
        <v>8507</v>
      </c>
      <c r="H857" s="297" t="s">
        <v>8697</v>
      </c>
      <c r="I857" s="297">
        <v>4</v>
      </c>
      <c r="J857" s="297">
        <v>420</v>
      </c>
      <c r="K857" s="299"/>
      <c r="L857" s="299"/>
      <c r="M857" s="299">
        <v>138</v>
      </c>
      <c r="N857" s="299">
        <v>11</v>
      </c>
      <c r="O857" s="300">
        <v>25</v>
      </c>
      <c r="P857" s="301">
        <v>42090</v>
      </c>
      <c r="Q857" s="302"/>
      <c r="R857" s="303"/>
      <c r="S857" s="289">
        <v>2.4</v>
      </c>
      <c r="T857" s="303">
        <v>42208</v>
      </c>
      <c r="U857" s="302"/>
      <c r="V857" s="303"/>
      <c r="W857" s="302"/>
      <c r="X857" s="303"/>
      <c r="Y857" s="302">
        <v>8.17</v>
      </c>
      <c r="Z857" s="303">
        <v>42208</v>
      </c>
      <c r="AA857">
        <v>14.4</v>
      </c>
      <c r="AB857" s="303"/>
      <c r="AC857" s="302"/>
      <c r="AD857" s="303"/>
      <c r="AE857" s="302"/>
      <c r="AF857" s="303"/>
      <c r="AG857">
        <v>31000.666666666664</v>
      </c>
      <c r="AH857" s="521">
        <f>(AK857*10000)/AM857</f>
        <v>31000.666666666664</v>
      </c>
      <c r="AI857" s="302"/>
      <c r="AJ857" s="303"/>
      <c r="AK857">
        <v>15.500333333333332</v>
      </c>
      <c r="AL857" s="521"/>
      <c r="AM857">
        <v>5</v>
      </c>
      <c r="AN857" s="303">
        <v>42244</v>
      </c>
      <c r="AO857">
        <v>140</v>
      </c>
      <c r="AP857" s="303">
        <v>42170</v>
      </c>
      <c r="AQ857" s="302"/>
      <c r="AR857" s="303"/>
      <c r="AS857" s="302"/>
      <c r="AT857" s="303"/>
      <c r="AU857">
        <v>112</v>
      </c>
      <c r="AV857" s="302"/>
      <c r="AW857" s="302"/>
      <c r="AX857" s="302"/>
      <c r="AY857" s="302"/>
      <c r="AZ857" s="302"/>
      <c r="BA857" s="302"/>
      <c r="BB857" s="302"/>
      <c r="BC857" s="302"/>
      <c r="BD857" s="302"/>
      <c r="BE857" s="302"/>
      <c r="BF857" s="302"/>
      <c r="BG857" s="302"/>
      <c r="BH857" s="302"/>
      <c r="BI857" s="302"/>
      <c r="BJ857" s="302"/>
      <c r="BK857" s="304"/>
      <c r="BL857" s="304"/>
      <c r="BM857">
        <v>9.1</v>
      </c>
      <c r="BN857" s="304"/>
      <c r="BO857" s="304"/>
      <c r="BP857" s="304"/>
      <c r="BQ857" s="304"/>
      <c r="BR857" s="304"/>
      <c r="BS857">
        <v>48.4</v>
      </c>
      <c r="BT857" s="304"/>
      <c r="BU857" s="304"/>
      <c r="BV857" s="304"/>
      <c r="BW857" s="304"/>
      <c r="BX857" s="304"/>
      <c r="BY857">
        <v>47</v>
      </c>
      <c r="BZ857" s="304"/>
      <c r="CA857">
        <v>20.7</v>
      </c>
      <c r="CB857" s="304"/>
      <c r="CC857">
        <v>69.400000000000006</v>
      </c>
      <c r="CD857" s="304"/>
      <c r="CE857" s="304"/>
      <c r="CF857" s="304"/>
      <c r="CG857" s="304"/>
      <c r="CH857" s="304"/>
      <c r="CI857">
        <v>5.0999999999999996</v>
      </c>
      <c r="CJ857" s="304"/>
      <c r="CK857" s="304"/>
      <c r="CL857" s="304"/>
      <c r="CM857" s="304"/>
      <c r="CN857" s="304"/>
      <c r="CO857" t="s">
        <v>8698</v>
      </c>
      <c r="CP857" s="304"/>
      <c r="CQ857" s="304"/>
      <c r="CR857">
        <v>5</v>
      </c>
      <c r="CS857" s="304"/>
      <c r="CT857" s="304" t="s">
        <v>11678</v>
      </c>
      <c r="CU857" s="304"/>
    </row>
  </sheetData>
  <sheetProtection selectLockedCells="1" selectUnlockedCells="1"/>
  <autoFilter ref="A1:CU857">
    <sortState ref="A2:CU857">
      <sortCondition ref="M1:M857"/>
    </sortState>
  </autoFilter>
  <sortState ref="C2:CS865">
    <sortCondition ref="K2:K865"/>
    <sortCondition ref="L2:L865"/>
  </sortState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0" enableFormatConditionsCalculation="0">
    <tabColor indexed="9"/>
  </sheetPr>
  <dimension ref="A1:F6"/>
  <sheetViews>
    <sheetView zoomScale="95" zoomScaleNormal="95" workbookViewId="0">
      <selection activeCell="N36" sqref="N36"/>
    </sheetView>
  </sheetViews>
  <sheetFormatPr baseColWidth="10" defaultColWidth="11.5703125" defaultRowHeight="12.75"/>
  <cols>
    <col min="1" max="1" width="15.140625" style="139" bestFit="1" customWidth="1"/>
    <col min="2" max="2" width="11.140625" style="140" customWidth="1"/>
    <col min="3" max="3" width="9.42578125" style="139" customWidth="1"/>
    <col min="4" max="4" width="9" style="141" customWidth="1"/>
    <col min="5" max="5" width="14.140625" style="141" customWidth="1"/>
    <col min="6" max="6" width="12.42578125" style="141" customWidth="1"/>
    <col min="7" max="16384" width="11.5703125" style="142"/>
  </cols>
  <sheetData>
    <row r="1" spans="1:6">
      <c r="A1" s="143" t="s">
        <v>215</v>
      </c>
      <c r="B1" s="144" t="s">
        <v>216</v>
      </c>
      <c r="C1" s="143" t="s">
        <v>217</v>
      </c>
      <c r="D1" s="145" t="s">
        <v>218</v>
      </c>
      <c r="E1" s="145" t="s">
        <v>219</v>
      </c>
      <c r="F1" s="145" t="s">
        <v>29</v>
      </c>
    </row>
    <row r="2" spans="1:6">
      <c r="A2" s="139" t="s">
        <v>8087</v>
      </c>
      <c r="B2" s="140" t="s">
        <v>8088</v>
      </c>
      <c r="C2" s="139" t="s">
        <v>8089</v>
      </c>
    </row>
    <row r="3" spans="1:6">
      <c r="A3" s="139" t="s">
        <v>8090</v>
      </c>
      <c r="B3" s="140" t="s">
        <v>8088</v>
      </c>
      <c r="C3" s="139" t="s">
        <v>8089</v>
      </c>
    </row>
    <row r="4" spans="1:6">
      <c r="A4" s="139" t="s">
        <v>8091</v>
      </c>
      <c r="B4" s="140" t="s">
        <v>8088</v>
      </c>
      <c r="C4" s="139" t="s">
        <v>8089</v>
      </c>
    </row>
    <row r="5" spans="1:6">
      <c r="A5" s="139" t="s">
        <v>8092</v>
      </c>
      <c r="B5" s="140" t="s">
        <v>8088</v>
      </c>
      <c r="C5" s="139" t="s">
        <v>8089</v>
      </c>
    </row>
    <row r="6" spans="1:6">
      <c r="A6" s="139" t="s">
        <v>8093</v>
      </c>
      <c r="B6" s="140" t="s">
        <v>8088</v>
      </c>
      <c r="C6" s="139" t="s">
        <v>8089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 enableFormatConditionsCalculation="0">
    <tabColor indexed="9"/>
  </sheetPr>
  <dimension ref="A1:C1"/>
  <sheetViews>
    <sheetView zoomScale="89" zoomScaleNormal="89" workbookViewId="0">
      <selection activeCell="F49" sqref="F49"/>
    </sheetView>
  </sheetViews>
  <sheetFormatPr baseColWidth="10" defaultColWidth="10.7109375" defaultRowHeight="12"/>
  <cols>
    <col min="1" max="1" width="9.28515625" style="146" customWidth="1"/>
    <col min="2" max="2" width="10.42578125" style="146" customWidth="1"/>
    <col min="3" max="3" width="11" style="146" customWidth="1"/>
  </cols>
  <sheetData>
    <row r="1" spans="1:3" s="148" customFormat="1">
      <c r="A1" s="147" t="s">
        <v>233</v>
      </c>
      <c r="B1" s="147" t="s">
        <v>234</v>
      </c>
      <c r="C1" s="147" t="s">
        <v>235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E5470"/>
  <sheetViews>
    <sheetView zoomScale="89" zoomScaleNormal="89" workbookViewId="0">
      <selection activeCellId="1" sqref="A2:B2 A1"/>
    </sheetView>
  </sheetViews>
  <sheetFormatPr baseColWidth="10" defaultColWidth="9" defaultRowHeight="12"/>
  <cols>
    <col min="1" max="1" width="82.140625" customWidth="1"/>
    <col min="2" max="2" width="105.28515625" customWidth="1"/>
    <col min="3" max="3" width="83.140625" customWidth="1"/>
    <col min="4" max="4" width="27.85546875" customWidth="1"/>
    <col min="5" max="5" width="46" customWidth="1"/>
  </cols>
  <sheetData>
    <row r="1" spans="1:5">
      <c r="A1" s="149" t="s">
        <v>146</v>
      </c>
      <c r="B1" s="149" t="s">
        <v>284</v>
      </c>
      <c r="C1" s="149" t="s">
        <v>149</v>
      </c>
      <c r="D1" s="149" t="s">
        <v>26</v>
      </c>
      <c r="E1" s="149" t="s">
        <v>65</v>
      </c>
    </row>
    <row r="2" spans="1:5">
      <c r="A2" s="149" t="s">
        <v>285</v>
      </c>
      <c r="B2" s="149" t="s">
        <v>286</v>
      </c>
      <c r="C2" s="149" t="s">
        <v>287</v>
      </c>
      <c r="D2" s="149" t="s">
        <v>288</v>
      </c>
      <c r="E2" s="149" t="s">
        <v>289</v>
      </c>
    </row>
    <row r="3" spans="1:5">
      <c r="A3" s="149" t="s">
        <v>290</v>
      </c>
      <c r="B3" s="149" t="s">
        <v>291</v>
      </c>
      <c r="C3" s="149" t="s">
        <v>292</v>
      </c>
      <c r="D3" s="149" t="s">
        <v>293</v>
      </c>
      <c r="E3" s="149" t="s">
        <v>294</v>
      </c>
    </row>
    <row r="4" spans="1:5">
      <c r="A4" s="149" t="s">
        <v>295</v>
      </c>
      <c r="B4" s="149" t="s">
        <v>296</v>
      </c>
      <c r="C4" s="149" t="s">
        <v>297</v>
      </c>
      <c r="D4" s="149" t="s">
        <v>298</v>
      </c>
      <c r="E4" s="149" t="s">
        <v>299</v>
      </c>
    </row>
    <row r="5" spans="1:5">
      <c r="A5" s="149" t="s">
        <v>300</v>
      </c>
      <c r="B5" s="149" t="s">
        <v>301</v>
      </c>
      <c r="C5" s="149" t="s">
        <v>302</v>
      </c>
      <c r="D5" s="149" t="s">
        <v>303</v>
      </c>
      <c r="E5" s="149" t="s">
        <v>304</v>
      </c>
    </row>
    <row r="6" spans="1:5">
      <c r="A6" s="149" t="s">
        <v>305</v>
      </c>
      <c r="B6" s="149" t="s">
        <v>306</v>
      </c>
      <c r="C6" s="149" t="s">
        <v>307</v>
      </c>
      <c r="D6" s="149" t="s">
        <v>308</v>
      </c>
      <c r="E6" s="149" t="s">
        <v>90</v>
      </c>
    </row>
    <row r="7" spans="1:5">
      <c r="A7" s="149" t="s">
        <v>309</v>
      </c>
      <c r="B7" s="149" t="s">
        <v>310</v>
      </c>
      <c r="C7" s="149" t="s">
        <v>311</v>
      </c>
      <c r="D7" s="149" t="s">
        <v>312</v>
      </c>
      <c r="E7" s="149" t="s">
        <v>313</v>
      </c>
    </row>
    <row r="8" spans="1:5">
      <c r="A8" s="149" t="s">
        <v>314</v>
      </c>
      <c r="B8" s="149" t="s">
        <v>315</v>
      </c>
      <c r="C8" s="149" t="s">
        <v>316</v>
      </c>
      <c r="D8" s="149" t="s">
        <v>317</v>
      </c>
      <c r="E8" s="149" t="s">
        <v>318</v>
      </c>
    </row>
    <row r="9" spans="1:5">
      <c r="A9" s="149" t="s">
        <v>319</v>
      </c>
      <c r="B9" s="149" t="s">
        <v>320</v>
      </c>
      <c r="C9" s="149" t="s">
        <v>321</v>
      </c>
      <c r="D9" s="149" t="s">
        <v>322</v>
      </c>
      <c r="E9" s="149" t="s">
        <v>323</v>
      </c>
    </row>
    <row r="10" spans="1:5">
      <c r="A10" s="149" t="s">
        <v>324</v>
      </c>
      <c r="B10" s="149" t="s">
        <v>325</v>
      </c>
      <c r="C10" s="149" t="s">
        <v>326</v>
      </c>
      <c r="D10" s="149" t="s">
        <v>327</v>
      </c>
      <c r="E10" s="149" t="s">
        <v>328</v>
      </c>
    </row>
    <row r="11" spans="1:5">
      <c r="A11" s="149" t="s">
        <v>329</v>
      </c>
      <c r="B11" s="149" t="s">
        <v>330</v>
      </c>
      <c r="C11" s="149" t="s">
        <v>331</v>
      </c>
      <c r="D11" s="149" t="s">
        <v>332</v>
      </c>
      <c r="E11" s="149" t="s">
        <v>333</v>
      </c>
    </row>
    <row r="12" spans="1:5">
      <c r="A12" s="149" t="s">
        <v>334</v>
      </c>
      <c r="B12" s="149" t="s">
        <v>335</v>
      </c>
      <c r="C12" s="149" t="s">
        <v>336</v>
      </c>
      <c r="D12" s="149" t="s">
        <v>337</v>
      </c>
      <c r="E12" s="149" t="s">
        <v>338</v>
      </c>
    </row>
    <row r="13" spans="1:5">
      <c r="A13" s="149" t="s">
        <v>339</v>
      </c>
      <c r="B13" s="149" t="s">
        <v>340</v>
      </c>
      <c r="C13" s="149" t="s">
        <v>341</v>
      </c>
      <c r="D13" s="149" t="s">
        <v>342</v>
      </c>
      <c r="E13" s="149" t="s">
        <v>343</v>
      </c>
    </row>
    <row r="14" spans="1:5">
      <c r="A14" s="149" t="s">
        <v>344</v>
      </c>
      <c r="B14" s="149" t="s">
        <v>345</v>
      </c>
      <c r="C14" s="149" t="s">
        <v>346</v>
      </c>
      <c r="D14" s="149" t="s">
        <v>347</v>
      </c>
      <c r="E14" s="149" t="s">
        <v>348</v>
      </c>
    </row>
    <row r="15" spans="1:5">
      <c r="A15" s="149" t="s">
        <v>349</v>
      </c>
      <c r="B15" s="149" t="s">
        <v>350</v>
      </c>
      <c r="C15" s="149" t="s">
        <v>351</v>
      </c>
      <c r="D15" s="149" t="s">
        <v>352</v>
      </c>
      <c r="E15" s="149" t="s">
        <v>353</v>
      </c>
    </row>
    <row r="16" spans="1:5">
      <c r="A16" s="149" t="s">
        <v>354</v>
      </c>
      <c r="B16" s="149" t="s">
        <v>355</v>
      </c>
      <c r="C16" s="149" t="s">
        <v>356</v>
      </c>
      <c r="D16" s="149" t="s">
        <v>357</v>
      </c>
      <c r="E16" s="149" t="s">
        <v>358</v>
      </c>
    </row>
    <row r="17" spans="1:5">
      <c r="A17" s="149" t="s">
        <v>359</v>
      </c>
      <c r="B17" s="149" t="s">
        <v>360</v>
      </c>
      <c r="C17" s="149" t="s">
        <v>361</v>
      </c>
      <c r="D17" s="149" t="s">
        <v>362</v>
      </c>
      <c r="E17" s="149" t="s">
        <v>363</v>
      </c>
    </row>
    <row r="18" spans="1:5">
      <c r="A18" s="149" t="s">
        <v>364</v>
      </c>
      <c r="B18" s="149" t="s">
        <v>365</v>
      </c>
      <c r="C18" s="149" t="s">
        <v>366</v>
      </c>
      <c r="D18" s="149" t="s">
        <v>367</v>
      </c>
      <c r="E18" s="149" t="s">
        <v>368</v>
      </c>
    </row>
    <row r="19" spans="1:5">
      <c r="A19" s="149" t="s">
        <v>369</v>
      </c>
      <c r="B19" s="149" t="s">
        <v>370</v>
      </c>
      <c r="C19" s="149" t="s">
        <v>371</v>
      </c>
      <c r="D19" s="149" t="s">
        <v>372</v>
      </c>
      <c r="E19" s="149" t="s">
        <v>373</v>
      </c>
    </row>
    <row r="20" spans="1:5">
      <c r="A20" s="149" t="s">
        <v>374</v>
      </c>
      <c r="B20" s="149" t="s">
        <v>375</v>
      </c>
      <c r="C20" s="149" t="s">
        <v>376</v>
      </c>
      <c r="D20" s="149" t="s">
        <v>377</v>
      </c>
      <c r="E20" s="149" t="s">
        <v>378</v>
      </c>
    </row>
    <row r="21" spans="1:5">
      <c r="A21" s="149" t="s">
        <v>379</v>
      </c>
      <c r="B21" s="149" t="s">
        <v>380</v>
      </c>
      <c r="C21" s="149" t="s">
        <v>381</v>
      </c>
      <c r="D21" s="149" t="s">
        <v>382</v>
      </c>
      <c r="E21" s="149" t="s">
        <v>383</v>
      </c>
    </row>
    <row r="22" spans="1:5">
      <c r="A22" s="149" t="s">
        <v>384</v>
      </c>
      <c r="B22" s="149" t="s">
        <v>385</v>
      </c>
      <c r="D22" s="149" t="s">
        <v>386</v>
      </c>
      <c r="E22" s="149" t="s">
        <v>387</v>
      </c>
    </row>
    <row r="23" spans="1:5">
      <c r="A23" s="149" t="s">
        <v>388</v>
      </c>
      <c r="B23" s="149" t="s">
        <v>389</v>
      </c>
      <c r="D23" s="149" t="s">
        <v>390</v>
      </c>
      <c r="E23" s="149" t="s">
        <v>391</v>
      </c>
    </row>
    <row r="24" spans="1:5">
      <c r="A24" s="149" t="s">
        <v>392</v>
      </c>
      <c r="B24" s="149" t="s">
        <v>393</v>
      </c>
      <c r="D24" s="149" t="s">
        <v>394</v>
      </c>
      <c r="E24" s="149" t="s">
        <v>395</v>
      </c>
    </row>
    <row r="25" spans="1:5">
      <c r="A25" s="149" t="s">
        <v>396</v>
      </c>
      <c r="B25" s="149" t="s">
        <v>397</v>
      </c>
      <c r="D25" s="149" t="s">
        <v>398</v>
      </c>
    </row>
    <row r="26" spans="1:5">
      <c r="A26" s="149" t="s">
        <v>399</v>
      </c>
      <c r="B26" s="149" t="s">
        <v>400</v>
      </c>
      <c r="D26" s="149" t="s">
        <v>401</v>
      </c>
    </row>
    <row r="27" spans="1:5">
      <c r="A27" s="149" t="s">
        <v>402</v>
      </c>
      <c r="B27" s="149" t="s">
        <v>403</v>
      </c>
      <c r="D27" s="149" t="s">
        <v>404</v>
      </c>
    </row>
    <row r="28" spans="1:5">
      <c r="A28" s="149" t="s">
        <v>405</v>
      </c>
      <c r="B28" s="149" t="s">
        <v>406</v>
      </c>
      <c r="D28" s="149" t="s">
        <v>407</v>
      </c>
    </row>
    <row r="29" spans="1:5">
      <c r="A29" s="149" t="s">
        <v>408</v>
      </c>
      <c r="B29" s="149" t="s">
        <v>409</v>
      </c>
      <c r="D29" s="149" t="s">
        <v>410</v>
      </c>
    </row>
    <row r="30" spans="1:5">
      <c r="A30" s="149" t="s">
        <v>411</v>
      </c>
      <c r="B30" s="149" t="s">
        <v>412</v>
      </c>
      <c r="D30" s="149" t="s">
        <v>413</v>
      </c>
    </row>
    <row r="31" spans="1:5">
      <c r="A31" s="149" t="s">
        <v>414</v>
      </c>
      <c r="B31" s="149" t="s">
        <v>415</v>
      </c>
      <c r="D31" s="149" t="s">
        <v>416</v>
      </c>
    </row>
    <row r="32" spans="1:5">
      <c r="A32" s="149" t="s">
        <v>417</v>
      </c>
      <c r="B32" s="149" t="s">
        <v>418</v>
      </c>
      <c r="D32" s="149" t="s">
        <v>419</v>
      </c>
    </row>
    <row r="33" spans="1:4">
      <c r="A33" s="149" t="s">
        <v>420</v>
      </c>
      <c r="B33" s="149" t="s">
        <v>421</v>
      </c>
      <c r="D33" s="149" t="s">
        <v>422</v>
      </c>
    </row>
    <row r="34" spans="1:4">
      <c r="A34" s="149" t="s">
        <v>423</v>
      </c>
      <c r="B34" s="149" t="s">
        <v>424</v>
      </c>
      <c r="D34" s="149" t="s">
        <v>425</v>
      </c>
    </row>
    <row r="35" spans="1:4">
      <c r="A35" s="149" t="s">
        <v>426</v>
      </c>
      <c r="B35" s="149" t="s">
        <v>427</v>
      </c>
      <c r="D35" s="149" t="s">
        <v>428</v>
      </c>
    </row>
    <row r="36" spans="1:4">
      <c r="A36" s="149" t="s">
        <v>429</v>
      </c>
      <c r="B36" s="149" t="s">
        <v>430</v>
      </c>
      <c r="D36" s="149" t="s">
        <v>431</v>
      </c>
    </row>
    <row r="37" spans="1:4">
      <c r="A37" s="149" t="s">
        <v>432</v>
      </c>
      <c r="B37" s="149" t="s">
        <v>433</v>
      </c>
      <c r="D37" s="149" t="s">
        <v>434</v>
      </c>
    </row>
    <row r="38" spans="1:4">
      <c r="A38" s="149" t="s">
        <v>435</v>
      </c>
      <c r="B38" s="149" t="s">
        <v>436</v>
      </c>
      <c r="D38" s="149" t="s">
        <v>437</v>
      </c>
    </row>
    <row r="39" spans="1:4">
      <c r="A39" s="149" t="s">
        <v>438</v>
      </c>
      <c r="B39" s="149" t="s">
        <v>439</v>
      </c>
      <c r="D39" s="149" t="s">
        <v>440</v>
      </c>
    </row>
    <row r="40" spans="1:4">
      <c r="A40" s="149" t="s">
        <v>441</v>
      </c>
      <c r="B40" s="149" t="s">
        <v>442</v>
      </c>
      <c r="D40" s="149" t="s">
        <v>443</v>
      </c>
    </row>
    <row r="41" spans="1:4">
      <c r="A41" s="149" t="s">
        <v>444</v>
      </c>
      <c r="B41" s="149" t="s">
        <v>445</v>
      </c>
      <c r="D41" s="149" t="s">
        <v>446</v>
      </c>
    </row>
    <row r="42" spans="1:4">
      <c r="A42" s="149" t="s">
        <v>447</v>
      </c>
      <c r="B42" s="149" t="s">
        <v>448</v>
      </c>
      <c r="D42" s="149" t="s">
        <v>449</v>
      </c>
    </row>
    <row r="43" spans="1:4">
      <c r="A43" s="149" t="s">
        <v>450</v>
      </c>
      <c r="B43" s="149" t="s">
        <v>451</v>
      </c>
      <c r="D43" s="149" t="s">
        <v>452</v>
      </c>
    </row>
    <row r="44" spans="1:4">
      <c r="A44" s="149" t="s">
        <v>453</v>
      </c>
      <c r="B44" s="149" t="s">
        <v>454</v>
      </c>
      <c r="D44" s="149" t="s">
        <v>455</v>
      </c>
    </row>
    <row r="45" spans="1:4">
      <c r="A45" s="149" t="s">
        <v>456</v>
      </c>
      <c r="B45" s="149" t="s">
        <v>457</v>
      </c>
      <c r="D45" s="149" t="s">
        <v>458</v>
      </c>
    </row>
    <row r="46" spans="1:4">
      <c r="A46" s="149" t="s">
        <v>459</v>
      </c>
      <c r="B46" s="149" t="s">
        <v>460</v>
      </c>
      <c r="D46" s="149" t="s">
        <v>461</v>
      </c>
    </row>
    <row r="47" spans="1:4">
      <c r="A47" s="149" t="s">
        <v>462</v>
      </c>
      <c r="B47" s="149" t="s">
        <v>463</v>
      </c>
      <c r="D47" s="149" t="s">
        <v>464</v>
      </c>
    </row>
    <row r="48" spans="1:4">
      <c r="A48" s="149" t="s">
        <v>465</v>
      </c>
      <c r="B48" s="149" t="s">
        <v>466</v>
      </c>
      <c r="D48" s="149" t="s">
        <v>467</v>
      </c>
    </row>
    <row r="49" spans="1:4">
      <c r="A49" s="149" t="s">
        <v>468</v>
      </c>
      <c r="B49" s="149" t="s">
        <v>469</v>
      </c>
      <c r="D49" s="149" t="s">
        <v>470</v>
      </c>
    </row>
    <row r="50" spans="1:4">
      <c r="A50" s="149" t="s">
        <v>471</v>
      </c>
      <c r="B50" s="149" t="s">
        <v>472</v>
      </c>
      <c r="D50" s="149" t="s">
        <v>473</v>
      </c>
    </row>
    <row r="51" spans="1:4">
      <c r="A51" s="149" t="s">
        <v>474</v>
      </c>
      <c r="B51" s="149" t="s">
        <v>475</v>
      </c>
      <c r="D51" s="149" t="s">
        <v>476</v>
      </c>
    </row>
    <row r="52" spans="1:4">
      <c r="A52" s="149" t="s">
        <v>477</v>
      </c>
      <c r="B52" s="149" t="s">
        <v>478</v>
      </c>
      <c r="D52" s="149" t="s">
        <v>479</v>
      </c>
    </row>
    <row r="53" spans="1:4">
      <c r="A53" s="149" t="s">
        <v>480</v>
      </c>
      <c r="B53" s="149" t="s">
        <v>481</v>
      </c>
      <c r="D53" s="149" t="s">
        <v>482</v>
      </c>
    </row>
    <row r="54" spans="1:4">
      <c r="A54" s="149" t="s">
        <v>483</v>
      </c>
      <c r="B54" s="149" t="s">
        <v>484</v>
      </c>
      <c r="D54" s="149" t="s">
        <v>485</v>
      </c>
    </row>
    <row r="55" spans="1:4">
      <c r="A55" s="149" t="s">
        <v>486</v>
      </c>
      <c r="B55" s="149" t="s">
        <v>487</v>
      </c>
      <c r="D55" s="149" t="s">
        <v>488</v>
      </c>
    </row>
    <row r="56" spans="1:4">
      <c r="A56" s="149" t="s">
        <v>489</v>
      </c>
      <c r="B56" s="149" t="s">
        <v>490</v>
      </c>
      <c r="D56" s="149" t="s">
        <v>491</v>
      </c>
    </row>
    <row r="57" spans="1:4">
      <c r="A57" s="149" t="s">
        <v>492</v>
      </c>
      <c r="B57" s="149" t="s">
        <v>493</v>
      </c>
      <c r="D57" s="149" t="s">
        <v>494</v>
      </c>
    </row>
    <row r="58" spans="1:4">
      <c r="A58" s="149" t="s">
        <v>495</v>
      </c>
      <c r="B58" s="149" t="s">
        <v>496</v>
      </c>
      <c r="D58" s="149" t="s">
        <v>497</v>
      </c>
    </row>
    <row r="59" spans="1:4">
      <c r="A59" s="149" t="s">
        <v>498</v>
      </c>
      <c r="B59" s="149" t="s">
        <v>499</v>
      </c>
      <c r="D59" s="149" t="s">
        <v>500</v>
      </c>
    </row>
    <row r="60" spans="1:4">
      <c r="A60" s="149" t="s">
        <v>501</v>
      </c>
      <c r="B60" s="149" t="s">
        <v>502</v>
      </c>
      <c r="D60" s="149" t="s">
        <v>503</v>
      </c>
    </row>
    <row r="61" spans="1:4">
      <c r="A61" s="149" t="s">
        <v>504</v>
      </c>
      <c r="B61" s="149" t="s">
        <v>505</v>
      </c>
      <c r="D61" s="149" t="s">
        <v>506</v>
      </c>
    </row>
    <row r="62" spans="1:4">
      <c r="A62" s="149" t="s">
        <v>507</v>
      </c>
      <c r="B62" s="149" t="s">
        <v>508</v>
      </c>
      <c r="D62" s="149" t="s">
        <v>509</v>
      </c>
    </row>
    <row r="63" spans="1:4">
      <c r="A63" s="149" t="s">
        <v>510</v>
      </c>
      <c r="B63" s="149" t="s">
        <v>511</v>
      </c>
      <c r="D63" s="149" t="s">
        <v>512</v>
      </c>
    </row>
    <row r="64" spans="1:4">
      <c r="A64" s="149" t="s">
        <v>513</v>
      </c>
      <c r="B64" s="149" t="s">
        <v>514</v>
      </c>
      <c r="D64" s="149" t="s">
        <v>515</v>
      </c>
    </row>
    <row r="65" spans="1:4">
      <c r="A65" s="149" t="s">
        <v>516</v>
      </c>
      <c r="B65" s="149" t="s">
        <v>517</v>
      </c>
      <c r="D65" s="149" t="s">
        <v>518</v>
      </c>
    </row>
    <row r="66" spans="1:4">
      <c r="A66" s="149" t="s">
        <v>519</v>
      </c>
      <c r="B66" s="149" t="s">
        <v>520</v>
      </c>
      <c r="D66" s="149" t="s">
        <v>521</v>
      </c>
    </row>
    <row r="67" spans="1:4">
      <c r="A67" s="149" t="s">
        <v>522</v>
      </c>
      <c r="B67" s="149" t="s">
        <v>523</v>
      </c>
      <c r="D67" s="149" t="s">
        <v>524</v>
      </c>
    </row>
    <row r="68" spans="1:4">
      <c r="A68" s="149" t="s">
        <v>525</v>
      </c>
      <c r="B68" s="149" t="s">
        <v>526</v>
      </c>
      <c r="D68" s="149" t="s">
        <v>527</v>
      </c>
    </row>
    <row r="69" spans="1:4">
      <c r="A69" s="149" t="s">
        <v>528</v>
      </c>
      <c r="B69" s="149" t="s">
        <v>529</v>
      </c>
      <c r="D69" s="149" t="s">
        <v>530</v>
      </c>
    </row>
    <row r="70" spans="1:4">
      <c r="A70" s="149" t="s">
        <v>531</v>
      </c>
      <c r="B70" s="149" t="s">
        <v>532</v>
      </c>
      <c r="D70" s="149" t="s">
        <v>533</v>
      </c>
    </row>
    <row r="71" spans="1:4">
      <c r="A71" s="149" t="s">
        <v>534</v>
      </c>
      <c r="B71" s="149" t="s">
        <v>535</v>
      </c>
      <c r="D71" s="149" t="s">
        <v>536</v>
      </c>
    </row>
    <row r="72" spans="1:4">
      <c r="A72" s="149" t="s">
        <v>537</v>
      </c>
      <c r="B72" s="149" t="s">
        <v>538</v>
      </c>
      <c r="D72" s="149" t="s">
        <v>539</v>
      </c>
    </row>
    <row r="73" spans="1:4">
      <c r="A73" s="149" t="s">
        <v>540</v>
      </c>
      <c r="B73" s="149" t="s">
        <v>541</v>
      </c>
      <c r="D73" s="149" t="s">
        <v>542</v>
      </c>
    </row>
    <row r="74" spans="1:4">
      <c r="A74" s="149" t="s">
        <v>543</v>
      </c>
      <c r="B74" s="149" t="s">
        <v>544</v>
      </c>
      <c r="D74" s="149" t="s">
        <v>545</v>
      </c>
    </row>
    <row r="75" spans="1:4">
      <c r="A75" s="149" t="s">
        <v>546</v>
      </c>
      <c r="B75" s="149" t="s">
        <v>547</v>
      </c>
      <c r="D75" s="149" t="s">
        <v>548</v>
      </c>
    </row>
    <row r="76" spans="1:4">
      <c r="A76" s="149" t="s">
        <v>255</v>
      </c>
      <c r="B76" s="149" t="s">
        <v>549</v>
      </c>
      <c r="D76" s="149" t="s">
        <v>550</v>
      </c>
    </row>
    <row r="77" spans="1:4">
      <c r="A77" s="149" t="s">
        <v>551</v>
      </c>
      <c r="B77" s="149" t="s">
        <v>552</v>
      </c>
      <c r="D77" s="149" t="s">
        <v>553</v>
      </c>
    </row>
    <row r="78" spans="1:4">
      <c r="A78" s="149" t="s">
        <v>554</v>
      </c>
      <c r="B78" s="149" t="s">
        <v>555</v>
      </c>
      <c r="D78" s="149" t="s">
        <v>556</v>
      </c>
    </row>
    <row r="79" spans="1:4">
      <c r="A79" s="149" t="s">
        <v>557</v>
      </c>
      <c r="B79" s="149" t="s">
        <v>558</v>
      </c>
      <c r="D79" s="149" t="s">
        <v>559</v>
      </c>
    </row>
    <row r="80" spans="1:4">
      <c r="A80" s="149" t="s">
        <v>560</v>
      </c>
      <c r="B80" s="149" t="s">
        <v>561</v>
      </c>
      <c r="D80" s="149" t="s">
        <v>562</v>
      </c>
    </row>
    <row r="81" spans="1:4">
      <c r="A81" s="149" t="s">
        <v>563</v>
      </c>
      <c r="B81" s="149" t="s">
        <v>564</v>
      </c>
      <c r="D81" s="149" t="s">
        <v>565</v>
      </c>
    </row>
    <row r="82" spans="1:4">
      <c r="A82" s="149" t="s">
        <v>566</v>
      </c>
      <c r="B82" s="149" t="s">
        <v>567</v>
      </c>
      <c r="D82" s="149" t="s">
        <v>568</v>
      </c>
    </row>
    <row r="83" spans="1:4">
      <c r="A83" s="149" t="s">
        <v>569</v>
      </c>
      <c r="B83" s="149" t="s">
        <v>570</v>
      </c>
      <c r="D83" s="149" t="s">
        <v>571</v>
      </c>
    </row>
    <row r="84" spans="1:4">
      <c r="A84" s="149" t="s">
        <v>572</v>
      </c>
      <c r="B84" s="149" t="s">
        <v>573</v>
      </c>
      <c r="D84" s="149" t="s">
        <v>574</v>
      </c>
    </row>
    <row r="85" spans="1:4">
      <c r="A85" s="149" t="s">
        <v>575</v>
      </c>
      <c r="B85" s="149" t="s">
        <v>576</v>
      </c>
      <c r="D85" s="149" t="s">
        <v>577</v>
      </c>
    </row>
    <row r="86" spans="1:4">
      <c r="A86" s="149" t="s">
        <v>578</v>
      </c>
      <c r="B86" s="149" t="s">
        <v>579</v>
      </c>
      <c r="D86" s="149" t="s">
        <v>580</v>
      </c>
    </row>
    <row r="87" spans="1:4">
      <c r="A87" s="149" t="s">
        <v>581</v>
      </c>
      <c r="B87" s="149" t="s">
        <v>582</v>
      </c>
      <c r="D87" s="149" t="s">
        <v>583</v>
      </c>
    </row>
    <row r="88" spans="1:4">
      <c r="A88" s="149" t="s">
        <v>584</v>
      </c>
      <c r="B88" s="149" t="s">
        <v>585</v>
      </c>
      <c r="D88" s="149" t="s">
        <v>586</v>
      </c>
    </row>
    <row r="89" spans="1:4">
      <c r="A89" s="149" t="s">
        <v>587</v>
      </c>
      <c r="B89" s="149" t="s">
        <v>588</v>
      </c>
      <c r="D89" s="149" t="s">
        <v>589</v>
      </c>
    </row>
    <row r="90" spans="1:4">
      <c r="A90" s="149" t="s">
        <v>590</v>
      </c>
      <c r="B90" s="149" t="s">
        <v>591</v>
      </c>
      <c r="D90" s="149" t="s">
        <v>592</v>
      </c>
    </row>
    <row r="91" spans="1:4">
      <c r="A91" s="149" t="s">
        <v>593</v>
      </c>
      <c r="B91" s="149" t="s">
        <v>594</v>
      </c>
      <c r="D91" s="149" t="s">
        <v>595</v>
      </c>
    </row>
    <row r="92" spans="1:4">
      <c r="A92" s="149" t="s">
        <v>596</v>
      </c>
      <c r="B92" s="149" t="s">
        <v>597</v>
      </c>
      <c r="D92" s="149" t="s">
        <v>598</v>
      </c>
    </row>
    <row r="93" spans="1:4">
      <c r="A93" s="149" t="s">
        <v>599</v>
      </c>
      <c r="B93" s="149" t="s">
        <v>600</v>
      </c>
      <c r="D93" s="149" t="s">
        <v>601</v>
      </c>
    </row>
    <row r="94" spans="1:4">
      <c r="A94" s="149" t="s">
        <v>602</v>
      </c>
      <c r="B94" s="149" t="s">
        <v>603</v>
      </c>
      <c r="D94" s="149" t="s">
        <v>604</v>
      </c>
    </row>
    <row r="95" spans="1:4">
      <c r="A95" s="149" t="s">
        <v>605</v>
      </c>
      <c r="B95" s="149" t="s">
        <v>606</v>
      </c>
      <c r="D95" s="149" t="s">
        <v>119</v>
      </c>
    </row>
    <row r="96" spans="1:4">
      <c r="A96" s="149" t="s">
        <v>607</v>
      </c>
      <c r="B96" s="149" t="s">
        <v>608</v>
      </c>
      <c r="D96" s="149" t="s">
        <v>609</v>
      </c>
    </row>
    <row r="97" spans="1:4">
      <c r="A97" s="149" t="s">
        <v>610</v>
      </c>
      <c r="B97" s="149" t="s">
        <v>611</v>
      </c>
      <c r="D97" s="149" t="s">
        <v>612</v>
      </c>
    </row>
    <row r="98" spans="1:4">
      <c r="A98" s="149" t="s">
        <v>613</v>
      </c>
      <c r="B98" s="149" t="s">
        <v>614</v>
      </c>
      <c r="D98" s="149" t="s">
        <v>615</v>
      </c>
    </row>
    <row r="99" spans="1:4">
      <c r="A99" s="149" t="s">
        <v>616</v>
      </c>
      <c r="B99" s="149" t="s">
        <v>617</v>
      </c>
      <c r="D99" s="149" t="s">
        <v>618</v>
      </c>
    </row>
    <row r="100" spans="1:4">
      <c r="A100" s="149" t="s">
        <v>619</v>
      </c>
      <c r="B100" s="149" t="s">
        <v>620</v>
      </c>
      <c r="D100" s="149" t="s">
        <v>621</v>
      </c>
    </row>
    <row r="101" spans="1:4">
      <c r="A101" s="149" t="s">
        <v>622</v>
      </c>
      <c r="B101" s="149" t="s">
        <v>623</v>
      </c>
      <c r="D101" s="149" t="s">
        <v>624</v>
      </c>
    </row>
    <row r="102" spans="1:4">
      <c r="A102" s="149" t="s">
        <v>625</v>
      </c>
      <c r="B102" s="149" t="s">
        <v>626</v>
      </c>
      <c r="D102" s="149" t="s">
        <v>627</v>
      </c>
    </row>
    <row r="103" spans="1:4">
      <c r="A103" s="149" t="s">
        <v>628</v>
      </c>
      <c r="B103" s="149" t="s">
        <v>629</v>
      </c>
      <c r="D103" s="149" t="s">
        <v>630</v>
      </c>
    </row>
    <row r="104" spans="1:4">
      <c r="A104" s="149" t="s">
        <v>631</v>
      </c>
      <c r="B104" s="149" t="s">
        <v>632</v>
      </c>
      <c r="D104" s="149" t="s">
        <v>633</v>
      </c>
    </row>
    <row r="105" spans="1:4">
      <c r="A105" s="149" t="s">
        <v>634</v>
      </c>
      <c r="B105" s="149" t="s">
        <v>635</v>
      </c>
      <c r="D105" s="149" t="s">
        <v>636</v>
      </c>
    </row>
    <row r="106" spans="1:4">
      <c r="A106" s="149" t="s">
        <v>637</v>
      </c>
      <c r="B106" s="149" t="s">
        <v>638</v>
      </c>
      <c r="D106" s="149" t="s">
        <v>639</v>
      </c>
    </row>
    <row r="107" spans="1:4">
      <c r="A107" s="149" t="s">
        <v>640</v>
      </c>
      <c r="B107" s="149" t="s">
        <v>641</v>
      </c>
      <c r="D107" s="149" t="s">
        <v>642</v>
      </c>
    </row>
    <row r="108" spans="1:4">
      <c r="A108" s="149" t="s">
        <v>643</v>
      </c>
      <c r="B108" s="149" t="s">
        <v>644</v>
      </c>
      <c r="D108" s="149" t="s">
        <v>645</v>
      </c>
    </row>
    <row r="109" spans="1:4">
      <c r="A109" s="149" t="s">
        <v>646</v>
      </c>
      <c r="B109" s="149" t="s">
        <v>647</v>
      </c>
      <c r="D109" s="149" t="s">
        <v>648</v>
      </c>
    </row>
    <row r="110" spans="1:4">
      <c r="A110" s="149" t="s">
        <v>649</v>
      </c>
      <c r="B110" s="149" t="s">
        <v>650</v>
      </c>
      <c r="D110" s="149" t="s">
        <v>651</v>
      </c>
    </row>
    <row r="111" spans="1:4">
      <c r="A111" s="149" t="s">
        <v>652</v>
      </c>
      <c r="B111" s="149" t="s">
        <v>653</v>
      </c>
      <c r="D111" s="149" t="s">
        <v>654</v>
      </c>
    </row>
    <row r="112" spans="1:4">
      <c r="A112" s="149" t="s">
        <v>655</v>
      </c>
      <c r="B112" s="149" t="s">
        <v>656</v>
      </c>
      <c r="D112" s="149" t="s">
        <v>657</v>
      </c>
    </row>
    <row r="113" spans="1:4">
      <c r="A113" s="149" t="s">
        <v>658</v>
      </c>
      <c r="B113" s="149" t="s">
        <v>659</v>
      </c>
      <c r="D113" s="149" t="s">
        <v>660</v>
      </c>
    </row>
    <row r="114" spans="1:4">
      <c r="A114" s="149" t="s">
        <v>661</v>
      </c>
      <c r="B114" s="149" t="s">
        <v>662</v>
      </c>
      <c r="D114" s="149" t="s">
        <v>663</v>
      </c>
    </row>
    <row r="115" spans="1:4">
      <c r="A115" s="149" t="s">
        <v>664</v>
      </c>
      <c r="B115" s="149" t="s">
        <v>665</v>
      </c>
      <c r="D115" s="149" t="s">
        <v>666</v>
      </c>
    </row>
    <row r="116" spans="1:4">
      <c r="A116" s="149" t="s">
        <v>667</v>
      </c>
      <c r="B116" s="149" t="s">
        <v>668</v>
      </c>
      <c r="D116" s="149" t="s">
        <v>669</v>
      </c>
    </row>
    <row r="117" spans="1:4">
      <c r="A117" s="149" t="s">
        <v>670</v>
      </c>
      <c r="B117" s="149" t="s">
        <v>671</v>
      </c>
      <c r="D117" s="149" t="s">
        <v>672</v>
      </c>
    </row>
    <row r="118" spans="1:4">
      <c r="A118" s="149" t="s">
        <v>673</v>
      </c>
      <c r="B118" s="149" t="s">
        <v>674</v>
      </c>
      <c r="D118" s="149" t="s">
        <v>675</v>
      </c>
    </row>
    <row r="119" spans="1:4">
      <c r="A119" s="149" t="s">
        <v>676</v>
      </c>
      <c r="B119" s="149" t="s">
        <v>677</v>
      </c>
      <c r="D119" s="149" t="s">
        <v>678</v>
      </c>
    </row>
    <row r="120" spans="1:4">
      <c r="A120" s="149" t="s">
        <v>679</v>
      </c>
      <c r="B120" s="149" t="s">
        <v>680</v>
      </c>
      <c r="D120" s="149" t="s">
        <v>681</v>
      </c>
    </row>
    <row r="121" spans="1:4">
      <c r="A121" s="149" t="s">
        <v>682</v>
      </c>
      <c r="B121" s="149" t="s">
        <v>683</v>
      </c>
      <c r="D121" s="149" t="s">
        <v>684</v>
      </c>
    </row>
    <row r="122" spans="1:4">
      <c r="A122" s="149" t="s">
        <v>685</v>
      </c>
      <c r="B122" s="149" t="s">
        <v>686</v>
      </c>
      <c r="D122" s="149" t="s">
        <v>687</v>
      </c>
    </row>
    <row r="123" spans="1:4">
      <c r="A123" s="149" t="s">
        <v>688</v>
      </c>
      <c r="B123" s="149" t="s">
        <v>689</v>
      </c>
      <c r="D123" s="149" t="s">
        <v>690</v>
      </c>
    </row>
    <row r="124" spans="1:4">
      <c r="A124" s="149" t="s">
        <v>691</v>
      </c>
      <c r="B124" s="149" t="s">
        <v>692</v>
      </c>
      <c r="D124" s="149" t="s">
        <v>693</v>
      </c>
    </row>
    <row r="125" spans="1:4">
      <c r="A125" s="149" t="s">
        <v>694</v>
      </c>
      <c r="B125" s="149" t="s">
        <v>695</v>
      </c>
      <c r="D125" s="149" t="s">
        <v>696</v>
      </c>
    </row>
    <row r="126" spans="1:4">
      <c r="A126" s="149" t="s">
        <v>697</v>
      </c>
      <c r="B126" s="149" t="s">
        <v>698</v>
      </c>
      <c r="D126" s="149" t="s">
        <v>699</v>
      </c>
    </row>
    <row r="127" spans="1:4">
      <c r="A127" s="149" t="s">
        <v>700</v>
      </c>
      <c r="B127" s="149" t="s">
        <v>701</v>
      </c>
      <c r="D127" s="149" t="s">
        <v>702</v>
      </c>
    </row>
    <row r="128" spans="1:4">
      <c r="A128" s="149" t="s">
        <v>703</v>
      </c>
      <c r="B128" s="149" t="s">
        <v>704</v>
      </c>
      <c r="D128" s="149" t="s">
        <v>705</v>
      </c>
    </row>
    <row r="129" spans="1:4">
      <c r="A129" s="149" t="s">
        <v>706</v>
      </c>
      <c r="B129" s="149" t="s">
        <v>707</v>
      </c>
      <c r="D129" s="149" t="s">
        <v>708</v>
      </c>
    </row>
    <row r="130" spans="1:4">
      <c r="A130" s="149" t="s">
        <v>709</v>
      </c>
      <c r="B130" s="149" t="s">
        <v>710</v>
      </c>
      <c r="D130" s="149" t="s">
        <v>711</v>
      </c>
    </row>
    <row r="131" spans="1:4">
      <c r="A131" s="149" t="s">
        <v>712</v>
      </c>
      <c r="B131" s="149" t="s">
        <v>713</v>
      </c>
      <c r="D131" s="149" t="s">
        <v>714</v>
      </c>
    </row>
    <row r="132" spans="1:4">
      <c r="A132" s="149" t="s">
        <v>715</v>
      </c>
      <c r="B132" s="149" t="s">
        <v>716</v>
      </c>
      <c r="D132" s="149" t="s">
        <v>717</v>
      </c>
    </row>
    <row r="133" spans="1:4">
      <c r="A133" s="149" t="s">
        <v>718</v>
      </c>
      <c r="B133" s="149" t="s">
        <v>719</v>
      </c>
      <c r="D133" s="149" t="s">
        <v>720</v>
      </c>
    </row>
    <row r="134" spans="1:4">
      <c r="A134" s="149" t="s">
        <v>721</v>
      </c>
      <c r="B134" s="149" t="s">
        <v>722</v>
      </c>
      <c r="D134" s="149" t="s">
        <v>723</v>
      </c>
    </row>
    <row r="135" spans="1:4">
      <c r="A135" s="149" t="s">
        <v>724</v>
      </c>
      <c r="B135" s="149" t="s">
        <v>725</v>
      </c>
      <c r="D135" s="149" t="s">
        <v>726</v>
      </c>
    </row>
    <row r="136" spans="1:4">
      <c r="A136" s="149" t="s">
        <v>727</v>
      </c>
      <c r="B136" s="149" t="s">
        <v>728</v>
      </c>
      <c r="D136" s="149" t="s">
        <v>729</v>
      </c>
    </row>
    <row r="137" spans="1:4">
      <c r="A137" s="149" t="s">
        <v>730</v>
      </c>
      <c r="B137" s="149" t="s">
        <v>731</v>
      </c>
      <c r="D137" s="149" t="s">
        <v>732</v>
      </c>
    </row>
    <row r="138" spans="1:4">
      <c r="A138" s="149" t="s">
        <v>733</v>
      </c>
      <c r="B138" s="149" t="s">
        <v>734</v>
      </c>
      <c r="D138" s="149" t="s">
        <v>735</v>
      </c>
    </row>
    <row r="139" spans="1:4">
      <c r="A139" s="149" t="s">
        <v>736</v>
      </c>
      <c r="B139" s="149" t="s">
        <v>737</v>
      </c>
      <c r="D139" s="149" t="s">
        <v>738</v>
      </c>
    </row>
    <row r="140" spans="1:4">
      <c r="A140" s="149" t="s">
        <v>739</v>
      </c>
      <c r="B140" s="149" t="s">
        <v>740</v>
      </c>
      <c r="D140" s="149" t="s">
        <v>741</v>
      </c>
    </row>
    <row r="141" spans="1:4">
      <c r="A141" s="149" t="s">
        <v>742</v>
      </c>
      <c r="B141" s="149" t="s">
        <v>743</v>
      </c>
      <c r="D141" s="149" t="s">
        <v>744</v>
      </c>
    </row>
    <row r="142" spans="1:4">
      <c r="A142" s="149" t="s">
        <v>745</v>
      </c>
      <c r="B142" s="149" t="s">
        <v>746</v>
      </c>
      <c r="D142" s="149" t="s">
        <v>747</v>
      </c>
    </row>
    <row r="143" spans="1:4">
      <c r="A143" s="149" t="s">
        <v>748</v>
      </c>
      <c r="B143" s="149" t="s">
        <v>749</v>
      </c>
      <c r="D143" s="149" t="s">
        <v>750</v>
      </c>
    </row>
    <row r="144" spans="1:4">
      <c r="A144" s="149" t="s">
        <v>751</v>
      </c>
      <c r="B144" s="149" t="s">
        <v>752</v>
      </c>
      <c r="D144" s="149" t="s">
        <v>753</v>
      </c>
    </row>
    <row r="145" spans="1:4">
      <c r="A145" s="149" t="s">
        <v>754</v>
      </c>
      <c r="B145" s="149" t="s">
        <v>755</v>
      </c>
      <c r="D145" s="149" t="s">
        <v>756</v>
      </c>
    </row>
    <row r="146" spans="1:4">
      <c r="A146" s="149" t="s">
        <v>757</v>
      </c>
      <c r="B146" s="149" t="s">
        <v>758</v>
      </c>
      <c r="D146" s="149" t="s">
        <v>759</v>
      </c>
    </row>
    <row r="147" spans="1:4">
      <c r="A147" s="149" t="s">
        <v>760</v>
      </c>
      <c r="B147" s="149" t="s">
        <v>761</v>
      </c>
      <c r="D147" s="149" t="s">
        <v>762</v>
      </c>
    </row>
    <row r="148" spans="1:4">
      <c r="A148" s="149" t="s">
        <v>763</v>
      </c>
      <c r="B148" s="149" t="s">
        <v>764</v>
      </c>
      <c r="D148" s="149" t="s">
        <v>765</v>
      </c>
    </row>
    <row r="149" spans="1:4">
      <c r="A149" s="149" t="s">
        <v>766</v>
      </c>
      <c r="B149" s="149" t="s">
        <v>767</v>
      </c>
      <c r="D149" s="149" t="s">
        <v>768</v>
      </c>
    </row>
    <row r="150" spans="1:4">
      <c r="A150" s="149" t="s">
        <v>769</v>
      </c>
      <c r="B150" s="149" t="s">
        <v>770</v>
      </c>
      <c r="D150" s="149" t="s">
        <v>771</v>
      </c>
    </row>
    <row r="151" spans="1:4">
      <c r="A151" s="149" t="s">
        <v>772</v>
      </c>
      <c r="B151" s="149" t="s">
        <v>773</v>
      </c>
      <c r="D151" s="149" t="s">
        <v>774</v>
      </c>
    </row>
    <row r="152" spans="1:4">
      <c r="A152" s="149" t="s">
        <v>775</v>
      </c>
      <c r="B152" s="149" t="s">
        <v>776</v>
      </c>
      <c r="D152" s="149" t="s">
        <v>777</v>
      </c>
    </row>
    <row r="153" spans="1:4">
      <c r="A153" s="149" t="s">
        <v>778</v>
      </c>
      <c r="B153" s="149" t="s">
        <v>779</v>
      </c>
      <c r="D153" s="149" t="s">
        <v>780</v>
      </c>
    </row>
    <row r="154" spans="1:4">
      <c r="A154" s="149" t="s">
        <v>781</v>
      </c>
      <c r="B154" s="149" t="s">
        <v>782</v>
      </c>
      <c r="D154" s="149" t="s">
        <v>783</v>
      </c>
    </row>
    <row r="155" spans="1:4">
      <c r="A155" s="149" t="s">
        <v>784</v>
      </c>
      <c r="B155" s="149" t="s">
        <v>785</v>
      </c>
      <c r="D155" s="149" t="s">
        <v>786</v>
      </c>
    </row>
    <row r="156" spans="1:4">
      <c r="A156" s="149" t="s">
        <v>787</v>
      </c>
      <c r="B156" s="149" t="s">
        <v>788</v>
      </c>
      <c r="D156" s="149" t="s">
        <v>789</v>
      </c>
    </row>
    <row r="157" spans="1:4">
      <c r="A157" s="149" t="s">
        <v>790</v>
      </c>
      <c r="B157" s="149" t="s">
        <v>791</v>
      </c>
      <c r="D157" s="149" t="s">
        <v>792</v>
      </c>
    </row>
    <row r="158" spans="1:4">
      <c r="A158" s="149" t="s">
        <v>793</v>
      </c>
      <c r="B158" s="149" t="s">
        <v>794</v>
      </c>
      <c r="D158" s="149" t="s">
        <v>795</v>
      </c>
    </row>
    <row r="159" spans="1:4">
      <c r="A159" s="149" t="s">
        <v>796</v>
      </c>
      <c r="B159" s="149" t="s">
        <v>797</v>
      </c>
      <c r="D159" s="149" t="s">
        <v>798</v>
      </c>
    </row>
    <row r="160" spans="1:4">
      <c r="A160" s="149" t="s">
        <v>799</v>
      </c>
      <c r="B160" s="149" t="s">
        <v>800</v>
      </c>
      <c r="D160" s="149" t="s">
        <v>801</v>
      </c>
    </row>
    <row r="161" spans="1:4">
      <c r="A161" s="149" t="s">
        <v>802</v>
      </c>
      <c r="B161" s="149" t="s">
        <v>803</v>
      </c>
      <c r="D161" s="149" t="s">
        <v>804</v>
      </c>
    </row>
    <row r="162" spans="1:4">
      <c r="A162" s="149" t="s">
        <v>805</v>
      </c>
      <c r="B162" s="149" t="s">
        <v>806</v>
      </c>
      <c r="D162" s="149" t="s">
        <v>807</v>
      </c>
    </row>
    <row r="163" spans="1:4">
      <c r="A163" s="149" t="s">
        <v>808</v>
      </c>
      <c r="B163" s="149" t="s">
        <v>809</v>
      </c>
      <c r="D163" s="149" t="s">
        <v>810</v>
      </c>
    </row>
    <row r="164" spans="1:4">
      <c r="A164" s="149" t="s">
        <v>811</v>
      </c>
      <c r="B164" s="149" t="s">
        <v>812</v>
      </c>
      <c r="D164" s="149" t="s">
        <v>813</v>
      </c>
    </row>
    <row r="165" spans="1:4">
      <c r="A165" s="149" t="s">
        <v>814</v>
      </c>
      <c r="B165" s="149" t="s">
        <v>815</v>
      </c>
      <c r="D165" s="149" t="s">
        <v>816</v>
      </c>
    </row>
    <row r="166" spans="1:4">
      <c r="A166" s="149" t="s">
        <v>817</v>
      </c>
      <c r="B166" s="149" t="s">
        <v>818</v>
      </c>
      <c r="D166" s="149" t="s">
        <v>819</v>
      </c>
    </row>
    <row r="167" spans="1:4">
      <c r="A167" s="149" t="s">
        <v>820</v>
      </c>
      <c r="B167" s="149" t="s">
        <v>821</v>
      </c>
      <c r="D167" s="149" t="s">
        <v>822</v>
      </c>
    </row>
    <row r="168" spans="1:4">
      <c r="A168" s="149" t="s">
        <v>823</v>
      </c>
      <c r="B168" s="149" t="s">
        <v>824</v>
      </c>
      <c r="D168" s="149" t="s">
        <v>825</v>
      </c>
    </row>
    <row r="169" spans="1:4">
      <c r="A169" s="149" t="s">
        <v>826</v>
      </c>
      <c r="B169" s="149" t="s">
        <v>827</v>
      </c>
      <c r="D169" s="149" t="s">
        <v>828</v>
      </c>
    </row>
    <row r="170" spans="1:4">
      <c r="A170" s="149" t="s">
        <v>829</v>
      </c>
      <c r="B170" s="149" t="s">
        <v>830</v>
      </c>
      <c r="D170" s="149" t="s">
        <v>831</v>
      </c>
    </row>
    <row r="171" spans="1:4">
      <c r="A171" s="149" t="s">
        <v>832</v>
      </c>
      <c r="B171" s="149" t="s">
        <v>833</v>
      </c>
      <c r="D171" s="149" t="s">
        <v>834</v>
      </c>
    </row>
    <row r="172" spans="1:4">
      <c r="A172" s="149" t="s">
        <v>835</v>
      </c>
      <c r="B172" s="149" t="s">
        <v>836</v>
      </c>
      <c r="D172" s="149" t="s">
        <v>837</v>
      </c>
    </row>
    <row r="173" spans="1:4">
      <c r="A173" s="149" t="s">
        <v>838</v>
      </c>
      <c r="B173" s="149" t="s">
        <v>839</v>
      </c>
      <c r="D173" s="149" t="s">
        <v>840</v>
      </c>
    </row>
    <row r="174" spans="1:4">
      <c r="A174" s="149" t="s">
        <v>841</v>
      </c>
      <c r="B174" s="149" t="s">
        <v>842</v>
      </c>
      <c r="D174" s="149" t="s">
        <v>843</v>
      </c>
    </row>
    <row r="175" spans="1:4">
      <c r="A175" s="149" t="s">
        <v>844</v>
      </c>
      <c r="B175" s="149" t="s">
        <v>845</v>
      </c>
      <c r="D175" s="149" t="s">
        <v>846</v>
      </c>
    </row>
    <row r="176" spans="1:4">
      <c r="A176" s="149" t="s">
        <v>847</v>
      </c>
      <c r="B176" s="149" t="s">
        <v>848</v>
      </c>
      <c r="D176" s="149" t="s">
        <v>849</v>
      </c>
    </row>
    <row r="177" spans="1:4">
      <c r="A177" s="149" t="s">
        <v>850</v>
      </c>
      <c r="B177" s="149" t="s">
        <v>851</v>
      </c>
      <c r="D177" s="149" t="s">
        <v>852</v>
      </c>
    </row>
    <row r="178" spans="1:4">
      <c r="A178" s="149" t="s">
        <v>853</v>
      </c>
      <c r="B178" s="149" t="s">
        <v>854</v>
      </c>
      <c r="D178" s="149" t="s">
        <v>855</v>
      </c>
    </row>
    <row r="179" spans="1:4">
      <c r="A179" s="149" t="s">
        <v>856</v>
      </c>
      <c r="B179" s="149" t="s">
        <v>857</v>
      </c>
      <c r="D179" s="149" t="s">
        <v>858</v>
      </c>
    </row>
    <row r="180" spans="1:4">
      <c r="A180" s="149" t="s">
        <v>859</v>
      </c>
      <c r="B180" s="149" t="s">
        <v>860</v>
      </c>
      <c r="D180" s="149" t="s">
        <v>861</v>
      </c>
    </row>
    <row r="181" spans="1:4">
      <c r="A181" s="149" t="s">
        <v>862</v>
      </c>
      <c r="B181" s="149" t="s">
        <v>863</v>
      </c>
      <c r="D181" s="149" t="s">
        <v>864</v>
      </c>
    </row>
    <row r="182" spans="1:4">
      <c r="A182" s="149" t="s">
        <v>865</v>
      </c>
      <c r="B182" s="149" t="s">
        <v>866</v>
      </c>
      <c r="D182" s="149" t="s">
        <v>867</v>
      </c>
    </row>
    <row r="183" spans="1:4">
      <c r="A183" s="149" t="s">
        <v>868</v>
      </c>
      <c r="B183" s="149" t="s">
        <v>869</v>
      </c>
      <c r="D183" s="149" t="s">
        <v>870</v>
      </c>
    </row>
    <row r="184" spans="1:4">
      <c r="A184" s="149" t="s">
        <v>871</v>
      </c>
      <c r="B184" s="149" t="s">
        <v>872</v>
      </c>
      <c r="D184" s="149" t="s">
        <v>873</v>
      </c>
    </row>
    <row r="185" spans="1:4">
      <c r="A185" s="149" t="s">
        <v>874</v>
      </c>
      <c r="B185" s="149" t="s">
        <v>875</v>
      </c>
      <c r="D185" s="149" t="s">
        <v>876</v>
      </c>
    </row>
    <row r="186" spans="1:4">
      <c r="A186" s="149" t="s">
        <v>877</v>
      </c>
      <c r="B186" s="149" t="s">
        <v>878</v>
      </c>
      <c r="D186" s="149" t="s">
        <v>879</v>
      </c>
    </row>
    <row r="187" spans="1:4">
      <c r="A187" s="149" t="s">
        <v>880</v>
      </c>
      <c r="B187" s="149" t="s">
        <v>881</v>
      </c>
      <c r="D187" s="149" t="s">
        <v>882</v>
      </c>
    </row>
    <row r="188" spans="1:4">
      <c r="A188" s="149" t="s">
        <v>883</v>
      </c>
      <c r="B188" s="149" t="s">
        <v>884</v>
      </c>
      <c r="D188" s="149" t="s">
        <v>885</v>
      </c>
    </row>
    <row r="189" spans="1:4">
      <c r="A189" s="149" t="s">
        <v>886</v>
      </c>
      <c r="B189" s="149" t="s">
        <v>887</v>
      </c>
      <c r="D189" s="149" t="s">
        <v>888</v>
      </c>
    </row>
    <row r="190" spans="1:4">
      <c r="A190" s="149" t="s">
        <v>889</v>
      </c>
      <c r="B190" s="149" t="s">
        <v>890</v>
      </c>
      <c r="D190" s="149" t="s">
        <v>891</v>
      </c>
    </row>
    <row r="191" spans="1:4">
      <c r="A191" s="149" t="s">
        <v>892</v>
      </c>
      <c r="B191" s="149" t="s">
        <v>893</v>
      </c>
      <c r="D191" s="149" t="s">
        <v>894</v>
      </c>
    </row>
    <row r="192" spans="1:4">
      <c r="A192" s="149" t="s">
        <v>895</v>
      </c>
      <c r="B192" s="149" t="s">
        <v>896</v>
      </c>
      <c r="D192" s="149" t="s">
        <v>897</v>
      </c>
    </row>
    <row r="193" spans="1:4">
      <c r="A193" s="149" t="s">
        <v>898</v>
      </c>
      <c r="B193" s="149" t="s">
        <v>899</v>
      </c>
      <c r="D193" s="149" t="s">
        <v>900</v>
      </c>
    </row>
    <row r="194" spans="1:4">
      <c r="A194" s="149" t="s">
        <v>901</v>
      </c>
      <c r="B194" s="149" t="s">
        <v>902</v>
      </c>
      <c r="D194" s="149" t="s">
        <v>903</v>
      </c>
    </row>
    <row r="195" spans="1:4">
      <c r="A195" s="149" t="s">
        <v>904</v>
      </c>
      <c r="B195" s="149" t="s">
        <v>905</v>
      </c>
      <c r="D195" s="149" t="s">
        <v>906</v>
      </c>
    </row>
    <row r="196" spans="1:4">
      <c r="A196" s="149" t="s">
        <v>907</v>
      </c>
      <c r="B196" s="149" t="s">
        <v>908</v>
      </c>
      <c r="D196" s="149" t="s">
        <v>909</v>
      </c>
    </row>
    <row r="197" spans="1:4">
      <c r="A197" s="149" t="s">
        <v>910</v>
      </c>
      <c r="B197" s="149" t="s">
        <v>911</v>
      </c>
      <c r="D197" s="149" t="s">
        <v>912</v>
      </c>
    </row>
    <row r="198" spans="1:4">
      <c r="A198" s="149" t="s">
        <v>913</v>
      </c>
      <c r="B198" s="149" t="s">
        <v>914</v>
      </c>
      <c r="D198" s="149" t="s">
        <v>915</v>
      </c>
    </row>
    <row r="199" spans="1:4">
      <c r="A199" s="149" t="s">
        <v>916</v>
      </c>
      <c r="B199" s="149" t="s">
        <v>917</v>
      </c>
      <c r="D199" s="149" t="s">
        <v>918</v>
      </c>
    </row>
    <row r="200" spans="1:4">
      <c r="A200" s="149" t="s">
        <v>919</v>
      </c>
      <c r="B200" s="149" t="s">
        <v>920</v>
      </c>
      <c r="D200" s="149" t="s">
        <v>921</v>
      </c>
    </row>
    <row r="201" spans="1:4">
      <c r="A201" s="149" t="s">
        <v>922</v>
      </c>
      <c r="B201" s="149" t="s">
        <v>923</v>
      </c>
      <c r="D201" s="149" t="s">
        <v>924</v>
      </c>
    </row>
    <row r="202" spans="1:4">
      <c r="A202" s="149" t="s">
        <v>925</v>
      </c>
      <c r="B202" s="149" t="s">
        <v>926</v>
      </c>
      <c r="D202" s="149" t="s">
        <v>927</v>
      </c>
    </row>
    <row r="203" spans="1:4">
      <c r="A203" s="149" t="s">
        <v>928</v>
      </c>
      <c r="B203" s="149" t="s">
        <v>929</v>
      </c>
      <c r="D203" s="149" t="s">
        <v>930</v>
      </c>
    </row>
    <row r="204" spans="1:4">
      <c r="A204" s="149" t="s">
        <v>931</v>
      </c>
      <c r="B204" s="149" t="s">
        <v>932</v>
      </c>
      <c r="D204" s="149" t="s">
        <v>933</v>
      </c>
    </row>
    <row r="205" spans="1:4">
      <c r="A205" s="149" t="s">
        <v>934</v>
      </c>
      <c r="B205" s="149" t="s">
        <v>935</v>
      </c>
      <c r="D205" s="149" t="s">
        <v>936</v>
      </c>
    </row>
    <row r="206" spans="1:4">
      <c r="A206" s="149" t="s">
        <v>937</v>
      </c>
      <c r="B206" s="149" t="s">
        <v>938</v>
      </c>
      <c r="D206" s="149" t="s">
        <v>939</v>
      </c>
    </row>
    <row r="207" spans="1:4">
      <c r="A207" s="149" t="s">
        <v>940</v>
      </c>
      <c r="B207" s="149" t="s">
        <v>941</v>
      </c>
      <c r="D207" s="149" t="s">
        <v>942</v>
      </c>
    </row>
    <row r="208" spans="1:4">
      <c r="A208" s="149" t="s">
        <v>943</v>
      </c>
      <c r="B208" s="149" t="s">
        <v>944</v>
      </c>
      <c r="D208" s="149" t="s">
        <v>945</v>
      </c>
    </row>
    <row r="209" spans="1:4">
      <c r="A209" s="149" t="s">
        <v>946</v>
      </c>
      <c r="B209" s="149" t="s">
        <v>947</v>
      </c>
      <c r="D209" s="149" t="s">
        <v>948</v>
      </c>
    </row>
    <row r="210" spans="1:4">
      <c r="A210" s="149" t="s">
        <v>949</v>
      </c>
      <c r="B210" s="149" t="s">
        <v>950</v>
      </c>
      <c r="D210" s="149" t="s">
        <v>951</v>
      </c>
    </row>
    <row r="211" spans="1:4">
      <c r="A211" s="149" t="s">
        <v>952</v>
      </c>
      <c r="B211" s="149" t="s">
        <v>953</v>
      </c>
      <c r="D211" s="149" t="s">
        <v>954</v>
      </c>
    </row>
    <row r="212" spans="1:4">
      <c r="A212" s="149" t="s">
        <v>955</v>
      </c>
      <c r="B212" s="149" t="s">
        <v>956</v>
      </c>
      <c r="D212" s="149" t="s">
        <v>957</v>
      </c>
    </row>
    <row r="213" spans="1:4">
      <c r="A213" s="149" t="s">
        <v>958</v>
      </c>
      <c r="B213" s="149" t="s">
        <v>959</v>
      </c>
      <c r="D213" s="149" t="s">
        <v>960</v>
      </c>
    </row>
    <row r="214" spans="1:4">
      <c r="A214" s="149" t="s">
        <v>961</v>
      </c>
      <c r="B214" s="149" t="s">
        <v>962</v>
      </c>
      <c r="D214" s="149" t="s">
        <v>963</v>
      </c>
    </row>
    <row r="215" spans="1:4">
      <c r="A215" s="149" t="s">
        <v>964</v>
      </c>
      <c r="B215" s="149" t="s">
        <v>965</v>
      </c>
      <c r="D215" s="149" t="s">
        <v>966</v>
      </c>
    </row>
    <row r="216" spans="1:4">
      <c r="A216" s="149" t="s">
        <v>967</v>
      </c>
      <c r="B216" s="149" t="s">
        <v>968</v>
      </c>
      <c r="D216" s="149" t="s">
        <v>969</v>
      </c>
    </row>
    <row r="217" spans="1:4">
      <c r="A217" s="149" t="s">
        <v>970</v>
      </c>
      <c r="B217" s="149" t="s">
        <v>971</v>
      </c>
      <c r="D217" s="149" t="s">
        <v>972</v>
      </c>
    </row>
    <row r="218" spans="1:4">
      <c r="A218" s="149" t="s">
        <v>973</v>
      </c>
      <c r="B218" s="149" t="s">
        <v>974</v>
      </c>
      <c r="D218" s="149" t="s">
        <v>975</v>
      </c>
    </row>
    <row r="219" spans="1:4">
      <c r="A219" s="149" t="s">
        <v>976</v>
      </c>
      <c r="B219" s="149" t="s">
        <v>977</v>
      </c>
      <c r="D219" s="149" t="s">
        <v>978</v>
      </c>
    </row>
    <row r="220" spans="1:4">
      <c r="A220" s="149" t="s">
        <v>979</v>
      </c>
      <c r="B220" s="149" t="s">
        <v>980</v>
      </c>
      <c r="D220" s="149" t="s">
        <v>981</v>
      </c>
    </row>
    <row r="221" spans="1:4">
      <c r="A221" s="149" t="s">
        <v>982</v>
      </c>
      <c r="B221" s="149" t="s">
        <v>983</v>
      </c>
      <c r="D221" s="149" t="s">
        <v>984</v>
      </c>
    </row>
    <row r="222" spans="1:4">
      <c r="A222" s="149" t="s">
        <v>985</v>
      </c>
      <c r="B222" s="149" t="s">
        <v>986</v>
      </c>
      <c r="D222" s="149" t="s">
        <v>987</v>
      </c>
    </row>
    <row r="223" spans="1:4">
      <c r="A223" s="149" t="s">
        <v>988</v>
      </c>
      <c r="B223" s="149" t="s">
        <v>989</v>
      </c>
      <c r="D223" s="149" t="s">
        <v>990</v>
      </c>
    </row>
    <row r="224" spans="1:4">
      <c r="A224" s="149" t="s">
        <v>991</v>
      </c>
      <c r="B224" s="149" t="s">
        <v>992</v>
      </c>
      <c r="D224" s="149" t="s">
        <v>993</v>
      </c>
    </row>
    <row r="225" spans="1:4">
      <c r="A225" s="149" t="s">
        <v>994</v>
      </c>
      <c r="B225" s="149" t="s">
        <v>995</v>
      </c>
      <c r="D225" s="150" t="s">
        <v>243</v>
      </c>
    </row>
    <row r="226" spans="1:4">
      <c r="A226" s="149" t="s">
        <v>996</v>
      </c>
      <c r="B226" s="149" t="s">
        <v>997</v>
      </c>
      <c r="D226" t="s">
        <v>243</v>
      </c>
    </row>
    <row r="227" spans="1:4">
      <c r="A227" s="149" t="s">
        <v>998</v>
      </c>
      <c r="B227" s="149" t="s">
        <v>999</v>
      </c>
    </row>
    <row r="228" spans="1:4">
      <c r="A228" s="149" t="s">
        <v>1000</v>
      </c>
      <c r="B228" s="149" t="s">
        <v>1001</v>
      </c>
    </row>
    <row r="229" spans="1:4">
      <c r="A229" s="149" t="s">
        <v>1002</v>
      </c>
      <c r="B229" s="149" t="s">
        <v>1003</v>
      </c>
    </row>
    <row r="230" spans="1:4">
      <c r="A230" s="149" t="s">
        <v>1004</v>
      </c>
      <c r="B230" s="149" t="s">
        <v>1005</v>
      </c>
    </row>
    <row r="231" spans="1:4">
      <c r="A231" s="149" t="s">
        <v>1006</v>
      </c>
      <c r="B231" s="149" t="s">
        <v>1007</v>
      </c>
    </row>
    <row r="232" spans="1:4">
      <c r="A232" s="149" t="s">
        <v>1008</v>
      </c>
      <c r="B232" s="149" t="s">
        <v>1009</v>
      </c>
    </row>
    <row r="233" spans="1:4">
      <c r="A233" s="149" t="s">
        <v>1010</v>
      </c>
      <c r="B233" s="149" t="s">
        <v>1011</v>
      </c>
    </row>
    <row r="234" spans="1:4">
      <c r="A234" s="149" t="s">
        <v>1012</v>
      </c>
      <c r="B234" s="149" t="s">
        <v>1013</v>
      </c>
    </row>
    <row r="235" spans="1:4">
      <c r="A235" s="149" t="s">
        <v>1014</v>
      </c>
      <c r="B235" s="149" t="s">
        <v>1015</v>
      </c>
    </row>
    <row r="236" spans="1:4">
      <c r="A236" s="149" t="s">
        <v>1016</v>
      </c>
      <c r="B236" s="149" t="s">
        <v>1017</v>
      </c>
    </row>
    <row r="237" spans="1:4">
      <c r="A237" s="149" t="s">
        <v>1018</v>
      </c>
      <c r="B237" s="149" t="s">
        <v>1019</v>
      </c>
    </row>
    <row r="238" spans="1:4">
      <c r="A238" s="149" t="s">
        <v>1020</v>
      </c>
      <c r="B238" s="149" t="s">
        <v>1021</v>
      </c>
    </row>
    <row r="239" spans="1:4">
      <c r="A239" s="149" t="s">
        <v>1022</v>
      </c>
      <c r="B239" s="149" t="s">
        <v>1023</v>
      </c>
    </row>
    <row r="240" spans="1:4">
      <c r="A240" s="149" t="s">
        <v>1024</v>
      </c>
      <c r="B240" s="149" t="s">
        <v>1025</v>
      </c>
    </row>
    <row r="241" spans="1:2">
      <c r="A241" s="149" t="s">
        <v>1026</v>
      </c>
      <c r="B241" s="149" t="s">
        <v>1027</v>
      </c>
    </row>
    <row r="242" spans="1:2">
      <c r="A242" s="149" t="s">
        <v>1028</v>
      </c>
      <c r="B242" s="149" t="s">
        <v>1029</v>
      </c>
    </row>
    <row r="243" spans="1:2">
      <c r="A243" s="149" t="s">
        <v>1030</v>
      </c>
      <c r="B243" s="149" t="s">
        <v>1031</v>
      </c>
    </row>
    <row r="244" spans="1:2">
      <c r="A244" s="149" t="s">
        <v>1032</v>
      </c>
      <c r="B244" s="149" t="s">
        <v>1033</v>
      </c>
    </row>
    <row r="245" spans="1:2">
      <c r="A245" s="149" t="s">
        <v>1034</v>
      </c>
      <c r="B245" s="149" t="s">
        <v>1035</v>
      </c>
    </row>
    <row r="246" spans="1:2">
      <c r="A246" s="149" t="s">
        <v>1036</v>
      </c>
      <c r="B246" s="149" t="s">
        <v>1037</v>
      </c>
    </row>
    <row r="247" spans="1:2">
      <c r="A247" s="149" t="s">
        <v>1038</v>
      </c>
      <c r="B247" s="149" t="s">
        <v>1039</v>
      </c>
    </row>
    <row r="248" spans="1:2">
      <c r="A248" s="149" t="s">
        <v>1040</v>
      </c>
      <c r="B248" s="149" t="s">
        <v>1041</v>
      </c>
    </row>
    <row r="249" spans="1:2">
      <c r="A249" s="149" t="s">
        <v>1042</v>
      </c>
      <c r="B249" s="149" t="s">
        <v>1043</v>
      </c>
    </row>
    <row r="250" spans="1:2">
      <c r="A250" s="149" t="s">
        <v>1044</v>
      </c>
      <c r="B250" s="149" t="s">
        <v>1045</v>
      </c>
    </row>
    <row r="251" spans="1:2">
      <c r="A251" s="149" t="s">
        <v>1046</v>
      </c>
      <c r="B251" s="149" t="s">
        <v>1047</v>
      </c>
    </row>
    <row r="252" spans="1:2">
      <c r="A252" s="149" t="s">
        <v>1048</v>
      </c>
      <c r="B252" s="149" t="s">
        <v>1049</v>
      </c>
    </row>
    <row r="253" spans="1:2">
      <c r="A253" s="149" t="s">
        <v>1050</v>
      </c>
      <c r="B253" s="149" t="s">
        <v>1051</v>
      </c>
    </row>
    <row r="254" spans="1:2">
      <c r="A254" s="149" t="s">
        <v>1052</v>
      </c>
      <c r="B254" s="149" t="s">
        <v>1053</v>
      </c>
    </row>
    <row r="255" spans="1:2">
      <c r="A255" s="149" t="s">
        <v>1054</v>
      </c>
      <c r="B255" s="149" t="s">
        <v>1055</v>
      </c>
    </row>
    <row r="256" spans="1:2">
      <c r="A256" s="149" t="s">
        <v>1056</v>
      </c>
      <c r="B256" s="149" t="s">
        <v>1057</v>
      </c>
    </row>
    <row r="257" spans="1:2">
      <c r="A257" s="149" t="s">
        <v>1058</v>
      </c>
      <c r="B257" s="149" t="s">
        <v>1059</v>
      </c>
    </row>
    <row r="258" spans="1:2">
      <c r="A258" s="149" t="s">
        <v>1060</v>
      </c>
      <c r="B258" s="149" t="s">
        <v>1061</v>
      </c>
    </row>
    <row r="259" spans="1:2">
      <c r="A259" s="149" t="s">
        <v>1062</v>
      </c>
      <c r="B259" s="149" t="s">
        <v>1063</v>
      </c>
    </row>
    <row r="260" spans="1:2">
      <c r="A260" s="149" t="s">
        <v>1064</v>
      </c>
      <c r="B260" s="149" t="s">
        <v>1065</v>
      </c>
    </row>
    <row r="261" spans="1:2">
      <c r="A261" s="149" t="s">
        <v>1066</v>
      </c>
      <c r="B261" s="149" t="s">
        <v>1067</v>
      </c>
    </row>
    <row r="262" spans="1:2">
      <c r="A262" s="149" t="s">
        <v>1068</v>
      </c>
      <c r="B262" s="149" t="s">
        <v>1069</v>
      </c>
    </row>
    <row r="263" spans="1:2">
      <c r="A263" s="149" t="s">
        <v>1070</v>
      </c>
      <c r="B263" s="149" t="s">
        <v>1071</v>
      </c>
    </row>
    <row r="264" spans="1:2">
      <c r="A264" s="149" t="s">
        <v>1072</v>
      </c>
      <c r="B264" s="149" t="s">
        <v>1073</v>
      </c>
    </row>
    <row r="265" spans="1:2">
      <c r="A265" s="149" t="s">
        <v>1074</v>
      </c>
      <c r="B265" s="149" t="s">
        <v>1075</v>
      </c>
    </row>
    <row r="266" spans="1:2">
      <c r="A266" s="149" t="s">
        <v>1076</v>
      </c>
      <c r="B266" s="149" t="s">
        <v>1077</v>
      </c>
    </row>
    <row r="267" spans="1:2">
      <c r="A267" s="149" t="s">
        <v>1078</v>
      </c>
      <c r="B267" s="149" t="s">
        <v>1079</v>
      </c>
    </row>
    <row r="268" spans="1:2">
      <c r="A268" s="149" t="s">
        <v>1080</v>
      </c>
      <c r="B268" s="149" t="s">
        <v>1081</v>
      </c>
    </row>
    <row r="269" spans="1:2">
      <c r="A269" s="149" t="s">
        <v>1082</v>
      </c>
      <c r="B269" s="149" t="s">
        <v>1083</v>
      </c>
    </row>
    <row r="270" spans="1:2">
      <c r="A270" s="149" t="s">
        <v>1084</v>
      </c>
      <c r="B270" s="149" t="s">
        <v>1085</v>
      </c>
    </row>
    <row r="271" spans="1:2">
      <c r="A271" s="149" t="s">
        <v>1086</v>
      </c>
      <c r="B271" s="149" t="s">
        <v>1087</v>
      </c>
    </row>
    <row r="272" spans="1:2">
      <c r="A272" s="149" t="s">
        <v>1088</v>
      </c>
      <c r="B272" s="149" t="s">
        <v>1089</v>
      </c>
    </row>
    <row r="273" spans="1:2">
      <c r="A273" s="149" t="s">
        <v>1090</v>
      </c>
      <c r="B273" s="149" t="s">
        <v>1091</v>
      </c>
    </row>
    <row r="274" spans="1:2">
      <c r="A274" s="149" t="s">
        <v>1092</v>
      </c>
      <c r="B274" s="149" t="s">
        <v>1093</v>
      </c>
    </row>
    <row r="275" spans="1:2">
      <c r="A275" s="149" t="s">
        <v>1094</v>
      </c>
      <c r="B275" s="149" t="s">
        <v>1095</v>
      </c>
    </row>
    <row r="276" spans="1:2">
      <c r="A276" s="149" t="s">
        <v>1096</v>
      </c>
      <c r="B276" s="149" t="s">
        <v>1097</v>
      </c>
    </row>
    <row r="277" spans="1:2">
      <c r="A277" s="149" t="s">
        <v>1098</v>
      </c>
      <c r="B277" s="149" t="s">
        <v>1099</v>
      </c>
    </row>
    <row r="278" spans="1:2">
      <c r="A278" s="149" t="s">
        <v>1100</v>
      </c>
      <c r="B278" s="149" t="s">
        <v>1101</v>
      </c>
    </row>
    <row r="279" spans="1:2">
      <c r="A279" s="149" t="s">
        <v>1102</v>
      </c>
      <c r="B279" s="149" t="s">
        <v>1103</v>
      </c>
    </row>
    <row r="280" spans="1:2">
      <c r="A280" s="149" t="s">
        <v>1104</v>
      </c>
      <c r="B280" s="149" t="s">
        <v>287</v>
      </c>
    </row>
    <row r="281" spans="1:2">
      <c r="A281" s="149" t="s">
        <v>1105</v>
      </c>
      <c r="B281" s="149" t="s">
        <v>1106</v>
      </c>
    </row>
    <row r="282" spans="1:2">
      <c r="A282" s="149" t="s">
        <v>1107</v>
      </c>
      <c r="B282" s="149" t="s">
        <v>1108</v>
      </c>
    </row>
    <row r="283" spans="1:2">
      <c r="A283" s="149" t="s">
        <v>1109</v>
      </c>
      <c r="B283" s="149" t="s">
        <v>1110</v>
      </c>
    </row>
    <row r="284" spans="1:2">
      <c r="A284" s="149" t="s">
        <v>1111</v>
      </c>
      <c r="B284" s="149" t="s">
        <v>1112</v>
      </c>
    </row>
    <row r="285" spans="1:2">
      <c r="A285" s="149" t="s">
        <v>1113</v>
      </c>
      <c r="B285" s="149" t="s">
        <v>1114</v>
      </c>
    </row>
    <row r="286" spans="1:2">
      <c r="A286" s="149" t="s">
        <v>1115</v>
      </c>
      <c r="B286" s="149" t="s">
        <v>1116</v>
      </c>
    </row>
    <row r="287" spans="1:2">
      <c r="A287" s="149" t="s">
        <v>1117</v>
      </c>
      <c r="B287" s="149" t="s">
        <v>1118</v>
      </c>
    </row>
    <row r="288" spans="1:2">
      <c r="A288" s="149" t="s">
        <v>1119</v>
      </c>
      <c r="B288" s="149" t="s">
        <v>1120</v>
      </c>
    </row>
    <row r="289" spans="1:2">
      <c r="A289" s="149" t="s">
        <v>1121</v>
      </c>
      <c r="B289" s="149" t="s">
        <v>1122</v>
      </c>
    </row>
    <row r="290" spans="1:2">
      <c r="A290" s="149" t="s">
        <v>1123</v>
      </c>
      <c r="B290" s="149" t="s">
        <v>1124</v>
      </c>
    </row>
    <row r="291" spans="1:2">
      <c r="A291" s="149" t="s">
        <v>1125</v>
      </c>
      <c r="B291" s="149" t="s">
        <v>1126</v>
      </c>
    </row>
    <row r="292" spans="1:2">
      <c r="A292" s="149" t="s">
        <v>1127</v>
      </c>
      <c r="B292" s="149" t="s">
        <v>1128</v>
      </c>
    </row>
    <row r="293" spans="1:2">
      <c r="A293" s="149" t="s">
        <v>1129</v>
      </c>
      <c r="B293" s="149" t="s">
        <v>1130</v>
      </c>
    </row>
    <row r="294" spans="1:2">
      <c r="A294" s="149" t="s">
        <v>1131</v>
      </c>
      <c r="B294" s="149" t="s">
        <v>1132</v>
      </c>
    </row>
    <row r="295" spans="1:2">
      <c r="A295" s="149" t="s">
        <v>1133</v>
      </c>
      <c r="B295" s="149" t="s">
        <v>1134</v>
      </c>
    </row>
    <row r="296" spans="1:2">
      <c r="A296" s="149" t="s">
        <v>1135</v>
      </c>
      <c r="B296" s="149" t="s">
        <v>1136</v>
      </c>
    </row>
    <row r="297" spans="1:2">
      <c r="A297" s="149" t="s">
        <v>1137</v>
      </c>
      <c r="B297" s="149" t="s">
        <v>1138</v>
      </c>
    </row>
    <row r="298" spans="1:2">
      <c r="A298" s="149" t="s">
        <v>1139</v>
      </c>
      <c r="B298" s="149" t="s">
        <v>1140</v>
      </c>
    </row>
    <row r="299" spans="1:2">
      <c r="A299" s="149" t="s">
        <v>1141</v>
      </c>
      <c r="B299" s="149" t="s">
        <v>1142</v>
      </c>
    </row>
    <row r="300" spans="1:2">
      <c r="A300" s="149" t="s">
        <v>1143</v>
      </c>
      <c r="B300" s="149" t="s">
        <v>1144</v>
      </c>
    </row>
    <row r="301" spans="1:2">
      <c r="A301" s="149" t="s">
        <v>1145</v>
      </c>
      <c r="B301" s="149" t="s">
        <v>1146</v>
      </c>
    </row>
    <row r="302" spans="1:2">
      <c r="A302" s="149" t="s">
        <v>1147</v>
      </c>
      <c r="B302" s="149" t="s">
        <v>1148</v>
      </c>
    </row>
    <row r="303" spans="1:2">
      <c r="A303" s="149" t="s">
        <v>1149</v>
      </c>
      <c r="B303" s="149" t="s">
        <v>1150</v>
      </c>
    </row>
    <row r="304" spans="1:2">
      <c r="A304" s="149" t="s">
        <v>1151</v>
      </c>
      <c r="B304" s="149" t="s">
        <v>1152</v>
      </c>
    </row>
    <row r="305" spans="1:2">
      <c r="A305" s="149" t="s">
        <v>1153</v>
      </c>
      <c r="B305" s="149" t="s">
        <v>1154</v>
      </c>
    </row>
    <row r="306" spans="1:2">
      <c r="A306" s="149" t="s">
        <v>1155</v>
      </c>
      <c r="B306" s="149" t="s">
        <v>1156</v>
      </c>
    </row>
    <row r="307" spans="1:2">
      <c r="A307" s="149" t="s">
        <v>1157</v>
      </c>
      <c r="B307" s="149" t="s">
        <v>476</v>
      </c>
    </row>
    <row r="308" spans="1:2">
      <c r="A308" s="149" t="s">
        <v>1158</v>
      </c>
      <c r="B308" s="149" t="s">
        <v>1159</v>
      </c>
    </row>
    <row r="309" spans="1:2">
      <c r="A309" s="149" t="s">
        <v>1160</v>
      </c>
      <c r="B309" s="149" t="s">
        <v>1161</v>
      </c>
    </row>
    <row r="310" spans="1:2">
      <c r="A310" s="149" t="s">
        <v>1162</v>
      </c>
      <c r="B310" s="149" t="s">
        <v>1163</v>
      </c>
    </row>
    <row r="311" spans="1:2">
      <c r="A311" s="149" t="s">
        <v>1164</v>
      </c>
      <c r="B311" s="149" t="s">
        <v>1165</v>
      </c>
    </row>
    <row r="312" spans="1:2">
      <c r="A312" s="149" t="s">
        <v>1166</v>
      </c>
      <c r="B312" s="149" t="s">
        <v>1167</v>
      </c>
    </row>
    <row r="313" spans="1:2">
      <c r="A313" s="149" t="s">
        <v>1168</v>
      </c>
      <c r="B313" s="149" t="s">
        <v>1169</v>
      </c>
    </row>
    <row r="314" spans="1:2">
      <c r="A314" s="149" t="s">
        <v>1170</v>
      </c>
      <c r="B314" s="149" t="s">
        <v>1171</v>
      </c>
    </row>
    <row r="315" spans="1:2">
      <c r="A315" s="149" t="s">
        <v>1172</v>
      </c>
      <c r="B315" s="149" t="s">
        <v>1173</v>
      </c>
    </row>
    <row r="316" spans="1:2">
      <c r="A316" s="149" t="s">
        <v>1174</v>
      </c>
      <c r="B316" s="149" t="s">
        <v>1175</v>
      </c>
    </row>
    <row r="317" spans="1:2">
      <c r="A317" s="149" t="s">
        <v>1176</v>
      </c>
      <c r="B317" s="149" t="s">
        <v>1177</v>
      </c>
    </row>
    <row r="318" spans="1:2">
      <c r="A318" s="149" t="s">
        <v>1178</v>
      </c>
      <c r="B318" s="149" t="s">
        <v>1179</v>
      </c>
    </row>
    <row r="319" spans="1:2">
      <c r="A319" s="149" t="s">
        <v>1180</v>
      </c>
      <c r="B319" s="149" t="s">
        <v>1181</v>
      </c>
    </row>
    <row r="320" spans="1:2">
      <c r="A320" s="149" t="s">
        <v>1182</v>
      </c>
      <c r="B320" s="149" t="s">
        <v>1183</v>
      </c>
    </row>
    <row r="321" spans="1:2">
      <c r="A321" s="149" t="s">
        <v>1184</v>
      </c>
      <c r="B321" s="149" t="s">
        <v>1185</v>
      </c>
    </row>
    <row r="322" spans="1:2">
      <c r="A322" s="149" t="s">
        <v>1186</v>
      </c>
      <c r="B322" s="149" t="s">
        <v>1187</v>
      </c>
    </row>
    <row r="323" spans="1:2">
      <c r="A323" s="149" t="s">
        <v>1188</v>
      </c>
      <c r="B323" s="149" t="s">
        <v>1189</v>
      </c>
    </row>
    <row r="324" spans="1:2">
      <c r="A324" s="149" t="s">
        <v>1190</v>
      </c>
      <c r="B324" s="149" t="s">
        <v>1191</v>
      </c>
    </row>
    <row r="325" spans="1:2">
      <c r="A325" s="149" t="s">
        <v>1192</v>
      </c>
      <c r="B325" s="149" t="s">
        <v>1193</v>
      </c>
    </row>
    <row r="326" spans="1:2">
      <c r="A326" s="149" t="s">
        <v>1194</v>
      </c>
      <c r="B326" s="149" t="s">
        <v>1195</v>
      </c>
    </row>
    <row r="327" spans="1:2">
      <c r="A327" s="149" t="s">
        <v>1196</v>
      </c>
      <c r="B327" s="149" t="s">
        <v>1197</v>
      </c>
    </row>
    <row r="328" spans="1:2">
      <c r="A328" s="149" t="s">
        <v>1198</v>
      </c>
      <c r="B328" s="149" t="s">
        <v>1199</v>
      </c>
    </row>
    <row r="329" spans="1:2">
      <c r="A329" s="149" t="s">
        <v>1200</v>
      </c>
      <c r="B329" s="149" t="s">
        <v>1201</v>
      </c>
    </row>
    <row r="330" spans="1:2">
      <c r="A330" s="149" t="s">
        <v>1202</v>
      </c>
      <c r="B330" s="149" t="s">
        <v>1203</v>
      </c>
    </row>
    <row r="331" spans="1:2">
      <c r="A331" s="149" t="s">
        <v>1204</v>
      </c>
      <c r="B331" s="149" t="s">
        <v>1205</v>
      </c>
    </row>
    <row r="332" spans="1:2">
      <c r="A332" s="149" t="s">
        <v>1206</v>
      </c>
      <c r="B332" s="149" t="s">
        <v>1207</v>
      </c>
    </row>
    <row r="333" spans="1:2">
      <c r="A333" s="149" t="s">
        <v>1208</v>
      </c>
      <c r="B333" s="149" t="s">
        <v>1209</v>
      </c>
    </row>
    <row r="334" spans="1:2">
      <c r="A334" s="149" t="s">
        <v>1210</v>
      </c>
      <c r="B334" s="149" t="s">
        <v>1211</v>
      </c>
    </row>
    <row r="335" spans="1:2">
      <c r="A335" s="149" t="s">
        <v>1212</v>
      </c>
      <c r="B335" s="149" t="s">
        <v>1213</v>
      </c>
    </row>
    <row r="336" spans="1:2">
      <c r="A336" s="149" t="s">
        <v>1214</v>
      </c>
      <c r="B336" s="149" t="s">
        <v>1215</v>
      </c>
    </row>
    <row r="337" spans="1:2">
      <c r="A337" s="149" t="s">
        <v>1216</v>
      </c>
      <c r="B337" s="149" t="s">
        <v>1217</v>
      </c>
    </row>
    <row r="338" spans="1:2">
      <c r="A338" s="149" t="s">
        <v>1218</v>
      </c>
      <c r="B338" s="149" t="s">
        <v>1219</v>
      </c>
    </row>
    <row r="339" spans="1:2">
      <c r="A339" s="149" t="s">
        <v>1220</v>
      </c>
      <c r="B339" s="149" t="s">
        <v>1221</v>
      </c>
    </row>
    <row r="340" spans="1:2">
      <c r="A340" s="149" t="s">
        <v>1222</v>
      </c>
      <c r="B340" s="149" t="s">
        <v>1223</v>
      </c>
    </row>
    <row r="341" spans="1:2">
      <c r="A341" s="149" t="s">
        <v>1224</v>
      </c>
      <c r="B341" s="149" t="s">
        <v>1225</v>
      </c>
    </row>
    <row r="342" spans="1:2">
      <c r="A342" s="149" t="s">
        <v>1226</v>
      </c>
      <c r="B342" s="149" t="s">
        <v>1227</v>
      </c>
    </row>
    <row r="343" spans="1:2">
      <c r="A343" s="149" t="s">
        <v>1228</v>
      </c>
      <c r="B343" s="149" t="s">
        <v>1229</v>
      </c>
    </row>
    <row r="344" spans="1:2">
      <c r="A344" s="149" t="s">
        <v>1230</v>
      </c>
      <c r="B344" s="149" t="s">
        <v>1231</v>
      </c>
    </row>
    <row r="345" spans="1:2">
      <c r="A345" s="149" t="s">
        <v>1232</v>
      </c>
      <c r="B345" s="149" t="s">
        <v>1233</v>
      </c>
    </row>
    <row r="346" spans="1:2">
      <c r="A346" s="149" t="s">
        <v>1234</v>
      </c>
      <c r="B346" s="149" t="s">
        <v>1235</v>
      </c>
    </row>
    <row r="347" spans="1:2">
      <c r="A347" s="149" t="s">
        <v>1236</v>
      </c>
      <c r="B347" s="149" t="s">
        <v>1237</v>
      </c>
    </row>
    <row r="348" spans="1:2">
      <c r="A348" s="149" t="s">
        <v>1238</v>
      </c>
      <c r="B348" s="149" t="s">
        <v>1239</v>
      </c>
    </row>
    <row r="349" spans="1:2">
      <c r="A349" s="149" t="s">
        <v>1240</v>
      </c>
      <c r="B349" s="149" t="s">
        <v>1241</v>
      </c>
    </row>
    <row r="350" spans="1:2">
      <c r="A350" s="149" t="s">
        <v>1242</v>
      </c>
      <c r="B350" s="149" t="s">
        <v>1243</v>
      </c>
    </row>
    <row r="351" spans="1:2">
      <c r="A351" s="149" t="s">
        <v>1244</v>
      </c>
      <c r="B351" s="149" t="s">
        <v>1245</v>
      </c>
    </row>
    <row r="352" spans="1:2">
      <c r="A352" s="149" t="s">
        <v>1246</v>
      </c>
      <c r="B352" s="149" t="s">
        <v>1247</v>
      </c>
    </row>
    <row r="353" spans="1:2">
      <c r="A353" s="149" t="s">
        <v>1248</v>
      </c>
      <c r="B353" s="149" t="s">
        <v>1249</v>
      </c>
    </row>
    <row r="354" spans="1:2">
      <c r="A354" s="149" t="s">
        <v>1250</v>
      </c>
      <c r="B354" s="149" t="s">
        <v>1251</v>
      </c>
    </row>
    <row r="355" spans="1:2">
      <c r="A355" s="149" t="s">
        <v>1252</v>
      </c>
      <c r="B355" s="149" t="s">
        <v>1253</v>
      </c>
    </row>
    <row r="356" spans="1:2">
      <c r="A356" s="149" t="s">
        <v>1254</v>
      </c>
      <c r="B356" s="149" t="s">
        <v>1255</v>
      </c>
    </row>
    <row r="357" spans="1:2">
      <c r="A357" s="149" t="s">
        <v>1256</v>
      </c>
      <c r="B357" s="149" t="s">
        <v>1257</v>
      </c>
    </row>
    <row r="358" spans="1:2">
      <c r="A358" s="149" t="s">
        <v>1258</v>
      </c>
      <c r="B358" s="149" t="s">
        <v>1259</v>
      </c>
    </row>
    <row r="359" spans="1:2">
      <c r="A359" s="149" t="s">
        <v>1260</v>
      </c>
      <c r="B359" s="149" t="s">
        <v>1261</v>
      </c>
    </row>
    <row r="360" spans="1:2">
      <c r="A360" s="149" t="s">
        <v>1262</v>
      </c>
      <c r="B360" s="149" t="s">
        <v>1263</v>
      </c>
    </row>
    <row r="361" spans="1:2">
      <c r="A361" s="149" t="s">
        <v>1264</v>
      </c>
      <c r="B361" s="149" t="s">
        <v>1265</v>
      </c>
    </row>
    <row r="362" spans="1:2">
      <c r="A362" s="149" t="s">
        <v>1266</v>
      </c>
      <c r="B362" s="149" t="s">
        <v>1267</v>
      </c>
    </row>
    <row r="363" spans="1:2">
      <c r="A363" s="149" t="s">
        <v>1268</v>
      </c>
      <c r="B363" s="149" t="s">
        <v>1269</v>
      </c>
    </row>
    <row r="364" spans="1:2">
      <c r="A364" s="149" t="s">
        <v>1270</v>
      </c>
      <c r="B364" s="149" t="s">
        <v>1271</v>
      </c>
    </row>
    <row r="365" spans="1:2">
      <c r="A365" s="149" t="s">
        <v>1272</v>
      </c>
      <c r="B365" s="149" t="s">
        <v>1273</v>
      </c>
    </row>
    <row r="366" spans="1:2">
      <c r="A366" s="149" t="s">
        <v>1274</v>
      </c>
      <c r="B366" s="149" t="s">
        <v>1275</v>
      </c>
    </row>
    <row r="367" spans="1:2">
      <c r="A367" s="149" t="s">
        <v>1276</v>
      </c>
      <c r="B367" s="149" t="s">
        <v>1277</v>
      </c>
    </row>
    <row r="368" spans="1:2">
      <c r="A368" s="149" t="s">
        <v>1278</v>
      </c>
      <c r="B368" s="149" t="s">
        <v>1279</v>
      </c>
    </row>
    <row r="369" spans="1:2">
      <c r="A369" s="149" t="s">
        <v>1280</v>
      </c>
      <c r="B369" s="149" t="s">
        <v>1281</v>
      </c>
    </row>
    <row r="370" spans="1:2">
      <c r="A370" s="149" t="s">
        <v>1282</v>
      </c>
      <c r="B370" s="149" t="s">
        <v>1283</v>
      </c>
    </row>
    <row r="371" spans="1:2">
      <c r="A371" s="149" t="s">
        <v>1284</v>
      </c>
      <c r="B371" s="149" t="s">
        <v>1285</v>
      </c>
    </row>
    <row r="372" spans="1:2">
      <c r="A372" s="149" t="s">
        <v>1286</v>
      </c>
      <c r="B372" s="149" t="s">
        <v>1287</v>
      </c>
    </row>
    <row r="373" spans="1:2">
      <c r="A373" s="149" t="s">
        <v>1288</v>
      </c>
      <c r="B373" s="149" t="s">
        <v>1289</v>
      </c>
    </row>
    <row r="374" spans="1:2">
      <c r="A374" s="149" t="s">
        <v>1290</v>
      </c>
      <c r="B374" s="149" t="s">
        <v>1291</v>
      </c>
    </row>
    <row r="375" spans="1:2">
      <c r="A375" s="149" t="s">
        <v>1292</v>
      </c>
      <c r="B375" s="149" t="s">
        <v>1293</v>
      </c>
    </row>
    <row r="376" spans="1:2">
      <c r="A376" s="149" t="s">
        <v>1294</v>
      </c>
      <c r="B376" s="149" t="s">
        <v>1295</v>
      </c>
    </row>
    <row r="377" spans="1:2">
      <c r="A377" s="149" t="s">
        <v>1296</v>
      </c>
      <c r="B377" s="149" t="s">
        <v>1297</v>
      </c>
    </row>
    <row r="378" spans="1:2">
      <c r="A378" s="149" t="s">
        <v>1298</v>
      </c>
      <c r="B378" s="149" t="s">
        <v>1299</v>
      </c>
    </row>
    <row r="379" spans="1:2">
      <c r="A379" s="149" t="s">
        <v>1300</v>
      </c>
      <c r="B379" s="149" t="s">
        <v>1301</v>
      </c>
    </row>
    <row r="380" spans="1:2">
      <c r="A380" s="149" t="s">
        <v>1302</v>
      </c>
      <c r="B380" s="149" t="s">
        <v>1303</v>
      </c>
    </row>
    <row r="381" spans="1:2">
      <c r="A381" s="149" t="s">
        <v>1304</v>
      </c>
      <c r="B381" s="149" t="s">
        <v>1305</v>
      </c>
    </row>
    <row r="382" spans="1:2">
      <c r="A382" s="149" t="s">
        <v>1306</v>
      </c>
      <c r="B382" s="149" t="s">
        <v>1307</v>
      </c>
    </row>
    <row r="383" spans="1:2">
      <c r="A383" s="149" t="s">
        <v>1308</v>
      </c>
      <c r="B383" s="149" t="s">
        <v>1309</v>
      </c>
    </row>
    <row r="384" spans="1:2">
      <c r="A384" s="149" t="s">
        <v>1310</v>
      </c>
      <c r="B384" s="149" t="s">
        <v>1311</v>
      </c>
    </row>
    <row r="385" spans="1:2">
      <c r="A385" s="149" t="s">
        <v>1312</v>
      </c>
      <c r="B385" s="149" t="s">
        <v>1313</v>
      </c>
    </row>
    <row r="386" spans="1:2">
      <c r="A386" s="149" t="s">
        <v>1314</v>
      </c>
      <c r="B386" s="149" t="s">
        <v>1315</v>
      </c>
    </row>
    <row r="387" spans="1:2">
      <c r="A387" s="149" t="s">
        <v>1316</v>
      </c>
      <c r="B387" s="149" t="s">
        <v>1317</v>
      </c>
    </row>
    <row r="388" spans="1:2">
      <c r="A388" s="149" t="s">
        <v>1318</v>
      </c>
      <c r="B388" s="149" t="s">
        <v>1319</v>
      </c>
    </row>
    <row r="389" spans="1:2">
      <c r="A389" s="149" t="s">
        <v>1320</v>
      </c>
      <c r="B389" s="149" t="s">
        <v>1321</v>
      </c>
    </row>
    <row r="390" spans="1:2">
      <c r="A390" s="149" t="s">
        <v>1322</v>
      </c>
      <c r="B390" s="149" t="s">
        <v>1323</v>
      </c>
    </row>
    <row r="391" spans="1:2">
      <c r="A391" s="149" t="s">
        <v>1324</v>
      </c>
      <c r="B391" s="149" t="s">
        <v>1325</v>
      </c>
    </row>
    <row r="392" spans="1:2">
      <c r="A392" s="149" t="s">
        <v>1326</v>
      </c>
      <c r="B392" s="149" t="s">
        <v>1327</v>
      </c>
    </row>
    <row r="393" spans="1:2">
      <c r="A393" s="149" t="s">
        <v>1328</v>
      </c>
      <c r="B393" s="149" t="s">
        <v>1329</v>
      </c>
    </row>
    <row r="394" spans="1:2">
      <c r="A394" s="149" t="s">
        <v>1330</v>
      </c>
      <c r="B394" s="149" t="s">
        <v>1331</v>
      </c>
    </row>
    <row r="395" spans="1:2">
      <c r="A395" s="149" t="s">
        <v>1332</v>
      </c>
      <c r="B395" s="149" t="s">
        <v>1333</v>
      </c>
    </row>
    <row r="396" spans="1:2">
      <c r="A396" s="149" t="s">
        <v>1334</v>
      </c>
      <c r="B396" s="149" t="s">
        <v>1335</v>
      </c>
    </row>
    <row r="397" spans="1:2">
      <c r="A397" s="149" t="s">
        <v>1336</v>
      </c>
      <c r="B397" s="149" t="s">
        <v>1337</v>
      </c>
    </row>
    <row r="398" spans="1:2">
      <c r="A398" s="149" t="s">
        <v>1338</v>
      </c>
      <c r="B398" s="149" t="s">
        <v>1339</v>
      </c>
    </row>
    <row r="399" spans="1:2">
      <c r="A399" s="149" t="s">
        <v>1340</v>
      </c>
      <c r="B399" s="149" t="s">
        <v>1341</v>
      </c>
    </row>
    <row r="400" spans="1:2">
      <c r="A400" s="149" t="s">
        <v>1342</v>
      </c>
      <c r="B400" s="149" t="s">
        <v>1343</v>
      </c>
    </row>
    <row r="401" spans="1:2">
      <c r="A401" s="149" t="s">
        <v>1344</v>
      </c>
      <c r="B401" s="149" t="s">
        <v>1345</v>
      </c>
    </row>
    <row r="402" spans="1:2">
      <c r="A402" s="149" t="s">
        <v>1346</v>
      </c>
      <c r="B402" s="149" t="s">
        <v>1347</v>
      </c>
    </row>
    <row r="403" spans="1:2">
      <c r="A403" s="149" t="s">
        <v>1348</v>
      </c>
      <c r="B403" s="149" t="s">
        <v>1349</v>
      </c>
    </row>
    <row r="404" spans="1:2">
      <c r="A404" s="149" t="s">
        <v>1350</v>
      </c>
      <c r="B404" s="149" t="s">
        <v>1351</v>
      </c>
    </row>
    <row r="405" spans="1:2">
      <c r="A405" s="149" t="s">
        <v>1352</v>
      </c>
      <c r="B405" s="149" t="s">
        <v>1353</v>
      </c>
    </row>
    <row r="406" spans="1:2">
      <c r="A406" s="149" t="s">
        <v>1354</v>
      </c>
      <c r="B406" s="149" t="s">
        <v>1355</v>
      </c>
    </row>
    <row r="407" spans="1:2">
      <c r="A407" s="149" t="s">
        <v>1356</v>
      </c>
      <c r="B407" s="149" t="s">
        <v>1357</v>
      </c>
    </row>
    <row r="408" spans="1:2">
      <c r="A408" s="149" t="s">
        <v>1358</v>
      </c>
      <c r="B408" s="149" t="s">
        <v>1359</v>
      </c>
    </row>
    <row r="409" spans="1:2">
      <c r="A409" s="149" t="s">
        <v>1360</v>
      </c>
      <c r="B409" s="149" t="s">
        <v>1361</v>
      </c>
    </row>
    <row r="410" spans="1:2">
      <c r="A410" s="149" t="s">
        <v>1362</v>
      </c>
      <c r="B410" s="149" t="s">
        <v>1363</v>
      </c>
    </row>
    <row r="411" spans="1:2">
      <c r="A411" s="149" t="s">
        <v>1364</v>
      </c>
      <c r="B411" s="149" t="s">
        <v>1365</v>
      </c>
    </row>
    <row r="412" spans="1:2">
      <c r="A412" s="149" t="s">
        <v>1366</v>
      </c>
      <c r="B412" s="149" t="s">
        <v>1367</v>
      </c>
    </row>
    <row r="413" spans="1:2">
      <c r="A413" s="149" t="s">
        <v>1368</v>
      </c>
      <c r="B413" s="149" t="s">
        <v>1369</v>
      </c>
    </row>
    <row r="414" spans="1:2">
      <c r="A414" s="149" t="s">
        <v>1370</v>
      </c>
      <c r="B414" s="149" t="s">
        <v>1371</v>
      </c>
    </row>
    <row r="415" spans="1:2">
      <c r="A415" s="149" t="s">
        <v>1372</v>
      </c>
      <c r="B415" s="149" t="s">
        <v>1373</v>
      </c>
    </row>
    <row r="416" spans="1:2">
      <c r="A416" s="149" t="s">
        <v>1374</v>
      </c>
      <c r="B416" s="149" t="s">
        <v>1375</v>
      </c>
    </row>
    <row r="417" spans="1:2">
      <c r="A417" s="149" t="s">
        <v>1376</v>
      </c>
      <c r="B417" s="149" t="s">
        <v>1377</v>
      </c>
    </row>
    <row r="418" spans="1:2">
      <c r="A418" s="149" t="s">
        <v>1378</v>
      </c>
      <c r="B418" s="149" t="s">
        <v>1379</v>
      </c>
    </row>
    <row r="419" spans="1:2">
      <c r="A419" s="149" t="s">
        <v>1380</v>
      </c>
      <c r="B419" s="149" t="s">
        <v>1381</v>
      </c>
    </row>
    <row r="420" spans="1:2">
      <c r="A420" s="149" t="s">
        <v>1382</v>
      </c>
      <c r="B420" s="149" t="s">
        <v>1383</v>
      </c>
    </row>
    <row r="421" spans="1:2">
      <c r="A421" s="149" t="s">
        <v>1384</v>
      </c>
      <c r="B421" s="149" t="s">
        <v>1385</v>
      </c>
    </row>
    <row r="422" spans="1:2">
      <c r="A422" s="149" t="s">
        <v>1386</v>
      </c>
      <c r="B422" s="149" t="s">
        <v>1387</v>
      </c>
    </row>
    <row r="423" spans="1:2">
      <c r="A423" s="149" t="s">
        <v>1388</v>
      </c>
      <c r="B423" s="149" t="s">
        <v>1389</v>
      </c>
    </row>
    <row r="424" spans="1:2">
      <c r="A424" s="149" t="s">
        <v>1390</v>
      </c>
      <c r="B424" s="149" t="s">
        <v>1391</v>
      </c>
    </row>
    <row r="425" spans="1:2">
      <c r="A425" s="149" t="s">
        <v>1392</v>
      </c>
      <c r="B425" s="149" t="s">
        <v>1393</v>
      </c>
    </row>
    <row r="426" spans="1:2">
      <c r="A426" s="149" t="s">
        <v>1394</v>
      </c>
      <c r="B426" s="149" t="s">
        <v>1395</v>
      </c>
    </row>
    <row r="427" spans="1:2">
      <c r="A427" s="149" t="s">
        <v>1396</v>
      </c>
      <c r="B427" s="149" t="s">
        <v>1397</v>
      </c>
    </row>
    <row r="428" spans="1:2">
      <c r="A428" s="149" t="s">
        <v>1398</v>
      </c>
      <c r="B428" s="149" t="s">
        <v>1399</v>
      </c>
    </row>
    <row r="429" spans="1:2">
      <c r="A429" s="149" t="s">
        <v>1400</v>
      </c>
      <c r="B429" s="149" t="s">
        <v>1401</v>
      </c>
    </row>
    <row r="430" spans="1:2">
      <c r="A430" s="149" t="s">
        <v>1402</v>
      </c>
      <c r="B430" s="149" t="s">
        <v>1403</v>
      </c>
    </row>
    <row r="431" spans="1:2">
      <c r="A431" s="149" t="s">
        <v>1404</v>
      </c>
      <c r="B431" s="149" t="s">
        <v>1405</v>
      </c>
    </row>
    <row r="432" spans="1:2">
      <c r="A432" s="149" t="s">
        <v>1406</v>
      </c>
      <c r="B432" s="149" t="s">
        <v>1407</v>
      </c>
    </row>
    <row r="433" spans="1:2">
      <c r="A433" s="149" t="s">
        <v>1408</v>
      </c>
      <c r="B433" s="149" t="s">
        <v>1409</v>
      </c>
    </row>
    <row r="434" spans="1:2">
      <c r="A434" s="149" t="s">
        <v>1410</v>
      </c>
      <c r="B434" s="149" t="s">
        <v>1411</v>
      </c>
    </row>
    <row r="435" spans="1:2">
      <c r="A435" s="149" t="s">
        <v>1412</v>
      </c>
      <c r="B435" s="149" t="s">
        <v>1413</v>
      </c>
    </row>
    <row r="436" spans="1:2">
      <c r="A436" s="149" t="s">
        <v>1414</v>
      </c>
      <c r="B436" s="149" t="s">
        <v>1415</v>
      </c>
    </row>
    <row r="437" spans="1:2">
      <c r="A437" s="149" t="s">
        <v>1416</v>
      </c>
      <c r="B437" s="149" t="s">
        <v>1417</v>
      </c>
    </row>
    <row r="438" spans="1:2">
      <c r="A438" s="149" t="s">
        <v>1418</v>
      </c>
      <c r="B438" s="149" t="s">
        <v>1419</v>
      </c>
    </row>
    <row r="439" spans="1:2">
      <c r="A439" s="149" t="s">
        <v>1420</v>
      </c>
      <c r="B439" s="149" t="s">
        <v>1421</v>
      </c>
    </row>
    <row r="440" spans="1:2">
      <c r="A440" s="149" t="s">
        <v>1422</v>
      </c>
      <c r="B440" s="149" t="s">
        <v>1423</v>
      </c>
    </row>
    <row r="441" spans="1:2">
      <c r="A441" s="149" t="s">
        <v>1424</v>
      </c>
      <c r="B441" s="149" t="s">
        <v>1425</v>
      </c>
    </row>
    <row r="442" spans="1:2">
      <c r="A442" s="149" t="s">
        <v>1426</v>
      </c>
      <c r="B442" s="149" t="s">
        <v>1427</v>
      </c>
    </row>
    <row r="443" spans="1:2">
      <c r="A443" s="149" t="s">
        <v>1428</v>
      </c>
      <c r="B443" s="149" t="s">
        <v>1429</v>
      </c>
    </row>
    <row r="444" spans="1:2">
      <c r="A444" s="149" t="s">
        <v>1430</v>
      </c>
      <c r="B444" s="149" t="s">
        <v>1431</v>
      </c>
    </row>
    <row r="445" spans="1:2">
      <c r="A445" s="149" t="s">
        <v>1432</v>
      </c>
      <c r="B445" s="149" t="s">
        <v>1433</v>
      </c>
    </row>
    <row r="446" spans="1:2">
      <c r="A446" s="149" t="s">
        <v>1434</v>
      </c>
      <c r="B446" s="149" t="s">
        <v>1435</v>
      </c>
    </row>
    <row r="447" spans="1:2">
      <c r="A447" s="149" t="s">
        <v>1436</v>
      </c>
      <c r="B447" s="149" t="s">
        <v>1437</v>
      </c>
    </row>
    <row r="448" spans="1:2">
      <c r="A448" s="149" t="s">
        <v>1438</v>
      </c>
      <c r="B448" s="149" t="s">
        <v>1439</v>
      </c>
    </row>
    <row r="449" spans="1:2">
      <c r="A449" s="149" t="s">
        <v>1440</v>
      </c>
      <c r="B449" s="149" t="s">
        <v>1441</v>
      </c>
    </row>
    <row r="450" spans="1:2">
      <c r="A450" s="149" t="s">
        <v>1442</v>
      </c>
      <c r="B450" s="149" t="s">
        <v>1443</v>
      </c>
    </row>
    <row r="451" spans="1:2">
      <c r="A451" s="149" t="s">
        <v>1444</v>
      </c>
      <c r="B451" s="149" t="s">
        <v>1445</v>
      </c>
    </row>
    <row r="452" spans="1:2">
      <c r="A452" s="149" t="s">
        <v>1446</v>
      </c>
      <c r="B452" s="149" t="s">
        <v>1447</v>
      </c>
    </row>
    <row r="453" spans="1:2">
      <c r="A453" s="149" t="s">
        <v>1448</v>
      </c>
      <c r="B453" s="149" t="s">
        <v>1449</v>
      </c>
    </row>
    <row r="454" spans="1:2">
      <c r="A454" s="149" t="s">
        <v>1450</v>
      </c>
      <c r="B454" s="149" t="s">
        <v>1451</v>
      </c>
    </row>
    <row r="455" spans="1:2">
      <c r="A455" s="149" t="s">
        <v>1452</v>
      </c>
      <c r="B455" s="149" t="s">
        <v>1453</v>
      </c>
    </row>
    <row r="456" spans="1:2">
      <c r="A456" s="149" t="s">
        <v>1454</v>
      </c>
      <c r="B456" s="149" t="s">
        <v>1455</v>
      </c>
    </row>
    <row r="457" spans="1:2">
      <c r="A457" s="149" t="s">
        <v>1456</v>
      </c>
      <c r="B457" s="149" t="s">
        <v>1457</v>
      </c>
    </row>
    <row r="458" spans="1:2">
      <c r="A458" s="149" t="s">
        <v>1458</v>
      </c>
      <c r="B458" s="149" t="s">
        <v>1459</v>
      </c>
    </row>
    <row r="459" spans="1:2">
      <c r="A459" s="149" t="s">
        <v>1460</v>
      </c>
      <c r="B459" s="149" t="s">
        <v>1461</v>
      </c>
    </row>
    <row r="460" spans="1:2">
      <c r="A460" s="149" t="s">
        <v>1462</v>
      </c>
      <c r="B460" s="149" t="s">
        <v>1463</v>
      </c>
    </row>
    <row r="461" spans="1:2">
      <c r="A461" s="149" t="s">
        <v>1464</v>
      </c>
      <c r="B461" s="149" t="s">
        <v>1465</v>
      </c>
    </row>
    <row r="462" spans="1:2">
      <c r="A462" s="149" t="s">
        <v>1466</v>
      </c>
      <c r="B462" s="149" t="s">
        <v>1467</v>
      </c>
    </row>
    <row r="463" spans="1:2">
      <c r="A463" s="149" t="s">
        <v>1468</v>
      </c>
      <c r="B463" s="149" t="s">
        <v>1469</v>
      </c>
    </row>
    <row r="464" spans="1:2">
      <c r="A464" s="149" t="s">
        <v>1470</v>
      </c>
      <c r="B464" s="149" t="s">
        <v>1471</v>
      </c>
    </row>
    <row r="465" spans="1:2">
      <c r="A465" s="149" t="s">
        <v>1472</v>
      </c>
      <c r="B465" s="149" t="s">
        <v>1473</v>
      </c>
    </row>
    <row r="466" spans="1:2">
      <c r="A466" s="149" t="s">
        <v>1474</v>
      </c>
      <c r="B466" s="149" t="s">
        <v>1475</v>
      </c>
    </row>
    <row r="467" spans="1:2">
      <c r="A467" s="149" t="s">
        <v>1476</v>
      </c>
      <c r="B467" s="149" t="s">
        <v>1477</v>
      </c>
    </row>
    <row r="468" spans="1:2">
      <c r="A468" s="149" t="s">
        <v>1478</v>
      </c>
      <c r="B468" s="149" t="s">
        <v>1479</v>
      </c>
    </row>
    <row r="469" spans="1:2">
      <c r="A469" s="149" t="s">
        <v>1480</v>
      </c>
      <c r="B469" s="149" t="s">
        <v>1481</v>
      </c>
    </row>
    <row r="470" spans="1:2">
      <c r="A470" s="149" t="s">
        <v>1482</v>
      </c>
      <c r="B470" s="149" t="s">
        <v>1483</v>
      </c>
    </row>
    <row r="471" spans="1:2">
      <c r="A471" s="149" t="s">
        <v>1484</v>
      </c>
      <c r="B471" s="149" t="s">
        <v>1485</v>
      </c>
    </row>
    <row r="472" spans="1:2">
      <c r="A472" s="149" t="s">
        <v>1486</v>
      </c>
      <c r="B472" s="149" t="s">
        <v>1487</v>
      </c>
    </row>
    <row r="473" spans="1:2">
      <c r="A473" s="149" t="s">
        <v>1488</v>
      </c>
      <c r="B473" s="149" t="s">
        <v>1489</v>
      </c>
    </row>
    <row r="474" spans="1:2">
      <c r="A474" s="149" t="s">
        <v>1490</v>
      </c>
      <c r="B474" s="149" t="s">
        <v>1491</v>
      </c>
    </row>
    <row r="475" spans="1:2">
      <c r="A475" s="149" t="s">
        <v>1492</v>
      </c>
      <c r="B475" s="149" t="s">
        <v>1493</v>
      </c>
    </row>
    <row r="476" spans="1:2">
      <c r="A476" s="149" t="s">
        <v>1494</v>
      </c>
      <c r="B476" s="149" t="s">
        <v>1495</v>
      </c>
    </row>
    <row r="477" spans="1:2">
      <c r="A477" s="149" t="s">
        <v>1496</v>
      </c>
      <c r="B477" s="149" t="s">
        <v>1497</v>
      </c>
    </row>
    <row r="478" spans="1:2">
      <c r="A478" s="149" t="s">
        <v>1498</v>
      </c>
      <c r="B478" s="149" t="s">
        <v>1499</v>
      </c>
    </row>
    <row r="479" spans="1:2">
      <c r="A479" s="149" t="s">
        <v>1500</v>
      </c>
      <c r="B479" s="149" t="s">
        <v>1501</v>
      </c>
    </row>
    <row r="480" spans="1:2">
      <c r="A480" s="149" t="s">
        <v>1502</v>
      </c>
      <c r="B480" s="149" t="s">
        <v>1503</v>
      </c>
    </row>
    <row r="481" spans="1:2">
      <c r="A481" s="149" t="s">
        <v>1504</v>
      </c>
      <c r="B481" s="149" t="s">
        <v>1505</v>
      </c>
    </row>
    <row r="482" spans="1:2">
      <c r="A482" s="149" t="s">
        <v>1506</v>
      </c>
      <c r="B482" s="149" t="s">
        <v>1507</v>
      </c>
    </row>
    <row r="483" spans="1:2">
      <c r="A483" s="149" t="s">
        <v>1508</v>
      </c>
      <c r="B483" s="149" t="s">
        <v>1509</v>
      </c>
    </row>
    <row r="484" spans="1:2">
      <c r="A484" s="149" t="s">
        <v>1510</v>
      </c>
      <c r="B484" s="149" t="s">
        <v>1511</v>
      </c>
    </row>
    <row r="485" spans="1:2">
      <c r="A485" s="149" t="s">
        <v>1512</v>
      </c>
      <c r="B485" s="149" t="s">
        <v>1513</v>
      </c>
    </row>
    <row r="486" spans="1:2">
      <c r="A486" s="149" t="s">
        <v>1514</v>
      </c>
      <c r="B486" s="149" t="s">
        <v>1515</v>
      </c>
    </row>
    <row r="487" spans="1:2">
      <c r="A487" s="149" t="s">
        <v>1516</v>
      </c>
      <c r="B487" s="149" t="s">
        <v>1517</v>
      </c>
    </row>
    <row r="488" spans="1:2">
      <c r="A488" s="149" t="s">
        <v>1518</v>
      </c>
      <c r="B488" s="149" t="s">
        <v>1519</v>
      </c>
    </row>
    <row r="489" spans="1:2">
      <c r="A489" s="149" t="s">
        <v>1520</v>
      </c>
      <c r="B489" s="149" t="s">
        <v>1521</v>
      </c>
    </row>
    <row r="490" spans="1:2">
      <c r="A490" s="149" t="s">
        <v>1522</v>
      </c>
      <c r="B490" s="149" t="s">
        <v>1523</v>
      </c>
    </row>
    <row r="491" spans="1:2">
      <c r="A491" s="149" t="s">
        <v>1524</v>
      </c>
      <c r="B491" s="149" t="s">
        <v>1525</v>
      </c>
    </row>
    <row r="492" spans="1:2">
      <c r="A492" s="149" t="s">
        <v>1526</v>
      </c>
      <c r="B492" s="149" t="s">
        <v>1527</v>
      </c>
    </row>
    <row r="493" spans="1:2">
      <c r="A493" s="149" t="s">
        <v>1528</v>
      </c>
      <c r="B493" s="149" t="s">
        <v>1529</v>
      </c>
    </row>
    <row r="494" spans="1:2">
      <c r="A494" s="149" t="s">
        <v>1530</v>
      </c>
      <c r="B494" s="149" t="s">
        <v>1531</v>
      </c>
    </row>
    <row r="495" spans="1:2">
      <c r="A495" s="149" t="s">
        <v>1532</v>
      </c>
      <c r="B495" s="149" t="s">
        <v>1533</v>
      </c>
    </row>
    <row r="496" spans="1:2">
      <c r="A496" s="149" t="s">
        <v>1534</v>
      </c>
      <c r="B496" s="149" t="s">
        <v>1535</v>
      </c>
    </row>
    <row r="497" spans="1:2">
      <c r="A497" s="149" t="s">
        <v>1536</v>
      </c>
      <c r="B497" s="149" t="s">
        <v>1537</v>
      </c>
    </row>
    <row r="498" spans="1:2">
      <c r="A498" s="149" t="s">
        <v>1538</v>
      </c>
      <c r="B498" s="149" t="s">
        <v>1539</v>
      </c>
    </row>
    <row r="499" spans="1:2">
      <c r="A499" s="149" t="s">
        <v>1540</v>
      </c>
      <c r="B499" s="149" t="s">
        <v>1541</v>
      </c>
    </row>
    <row r="500" spans="1:2">
      <c r="A500" s="149" t="s">
        <v>1542</v>
      </c>
      <c r="B500" s="149" t="s">
        <v>1543</v>
      </c>
    </row>
    <row r="501" spans="1:2">
      <c r="A501" s="149" t="s">
        <v>1544</v>
      </c>
      <c r="B501" s="149" t="s">
        <v>292</v>
      </c>
    </row>
    <row r="502" spans="1:2">
      <c r="A502" s="149" t="s">
        <v>1545</v>
      </c>
      <c r="B502" s="149" t="s">
        <v>1546</v>
      </c>
    </row>
    <row r="503" spans="1:2">
      <c r="A503" s="149" t="s">
        <v>1547</v>
      </c>
      <c r="B503" s="149" t="s">
        <v>1548</v>
      </c>
    </row>
    <row r="504" spans="1:2">
      <c r="A504" s="149" t="s">
        <v>1549</v>
      </c>
      <c r="B504" s="149" t="s">
        <v>1550</v>
      </c>
    </row>
    <row r="505" spans="1:2">
      <c r="A505" s="149" t="s">
        <v>1551</v>
      </c>
      <c r="B505" s="149" t="s">
        <v>1552</v>
      </c>
    </row>
    <row r="506" spans="1:2">
      <c r="A506" s="149" t="s">
        <v>1553</v>
      </c>
      <c r="B506" s="149" t="s">
        <v>1554</v>
      </c>
    </row>
    <row r="507" spans="1:2">
      <c r="A507" s="149" t="s">
        <v>1555</v>
      </c>
      <c r="B507" s="149" t="s">
        <v>1556</v>
      </c>
    </row>
    <row r="508" spans="1:2">
      <c r="A508" s="149" t="s">
        <v>1557</v>
      </c>
      <c r="B508" s="149" t="s">
        <v>1558</v>
      </c>
    </row>
    <row r="509" spans="1:2">
      <c r="A509" s="149" t="s">
        <v>1559</v>
      </c>
      <c r="B509" s="149" t="s">
        <v>1560</v>
      </c>
    </row>
    <row r="510" spans="1:2">
      <c r="A510" s="149" t="s">
        <v>1561</v>
      </c>
      <c r="B510" s="149" t="s">
        <v>1562</v>
      </c>
    </row>
    <row r="511" spans="1:2">
      <c r="A511" s="149" t="s">
        <v>1563</v>
      </c>
      <c r="B511" s="149" t="s">
        <v>1564</v>
      </c>
    </row>
    <row r="512" spans="1:2">
      <c r="A512" s="149" t="s">
        <v>1565</v>
      </c>
      <c r="B512" s="149" t="s">
        <v>1566</v>
      </c>
    </row>
    <row r="513" spans="1:2">
      <c r="A513" s="149" t="s">
        <v>1567</v>
      </c>
      <c r="B513" s="149" t="s">
        <v>1568</v>
      </c>
    </row>
    <row r="514" spans="1:2">
      <c r="A514" s="149" t="s">
        <v>1569</v>
      </c>
      <c r="B514" s="149" t="s">
        <v>1570</v>
      </c>
    </row>
    <row r="515" spans="1:2">
      <c r="A515" s="149" t="s">
        <v>1571</v>
      </c>
      <c r="B515" s="149" t="s">
        <v>1572</v>
      </c>
    </row>
    <row r="516" spans="1:2">
      <c r="A516" s="149" t="s">
        <v>1573</v>
      </c>
      <c r="B516" s="149" t="s">
        <v>1574</v>
      </c>
    </row>
    <row r="517" spans="1:2">
      <c r="A517" s="149" t="s">
        <v>1575</v>
      </c>
      <c r="B517" s="149" t="s">
        <v>1576</v>
      </c>
    </row>
    <row r="518" spans="1:2">
      <c r="A518" s="149" t="s">
        <v>1577</v>
      </c>
      <c r="B518" s="149" t="s">
        <v>1578</v>
      </c>
    </row>
    <row r="519" spans="1:2">
      <c r="A519" s="149" t="s">
        <v>1579</v>
      </c>
      <c r="B519" s="149" t="s">
        <v>1580</v>
      </c>
    </row>
    <row r="520" spans="1:2">
      <c r="A520" s="149" t="s">
        <v>1581</v>
      </c>
      <c r="B520" s="149" t="s">
        <v>1582</v>
      </c>
    </row>
    <row r="521" spans="1:2">
      <c r="A521" s="149" t="s">
        <v>1583</v>
      </c>
      <c r="B521" s="149" t="s">
        <v>1584</v>
      </c>
    </row>
    <row r="522" spans="1:2">
      <c r="A522" s="149" t="s">
        <v>1585</v>
      </c>
      <c r="B522" s="149" t="s">
        <v>1586</v>
      </c>
    </row>
    <row r="523" spans="1:2">
      <c r="A523" s="149" t="s">
        <v>1587</v>
      </c>
      <c r="B523" s="149" t="s">
        <v>1588</v>
      </c>
    </row>
    <row r="524" spans="1:2">
      <c r="A524" s="149" t="s">
        <v>1589</v>
      </c>
      <c r="B524" s="149" t="s">
        <v>1590</v>
      </c>
    </row>
    <row r="525" spans="1:2">
      <c r="A525" s="149" t="s">
        <v>1591</v>
      </c>
      <c r="B525" s="149" t="s">
        <v>1592</v>
      </c>
    </row>
    <row r="526" spans="1:2">
      <c r="A526" s="149" t="s">
        <v>1593</v>
      </c>
      <c r="B526" s="149" t="s">
        <v>1594</v>
      </c>
    </row>
    <row r="527" spans="1:2">
      <c r="A527" s="149" t="s">
        <v>1595</v>
      </c>
      <c r="B527" s="149" t="s">
        <v>1596</v>
      </c>
    </row>
    <row r="528" spans="1:2">
      <c r="A528" s="149" t="s">
        <v>1597</v>
      </c>
      <c r="B528" s="149" t="s">
        <v>1598</v>
      </c>
    </row>
    <row r="529" spans="1:2">
      <c r="A529" s="149" t="s">
        <v>1599</v>
      </c>
      <c r="B529" s="149" t="s">
        <v>1600</v>
      </c>
    </row>
    <row r="530" spans="1:2">
      <c r="A530" s="149" t="s">
        <v>1601</v>
      </c>
      <c r="B530" s="149" t="s">
        <v>1602</v>
      </c>
    </row>
    <row r="531" spans="1:2">
      <c r="A531" s="149" t="s">
        <v>1603</v>
      </c>
      <c r="B531" s="149" t="s">
        <v>1604</v>
      </c>
    </row>
    <row r="532" spans="1:2">
      <c r="A532" s="149" t="s">
        <v>1605</v>
      </c>
      <c r="B532" s="149" t="s">
        <v>1606</v>
      </c>
    </row>
    <row r="533" spans="1:2">
      <c r="A533" s="149" t="s">
        <v>1607</v>
      </c>
      <c r="B533" s="149" t="s">
        <v>1608</v>
      </c>
    </row>
    <row r="534" spans="1:2">
      <c r="A534" s="149" t="s">
        <v>1609</v>
      </c>
      <c r="B534" s="149" t="s">
        <v>1610</v>
      </c>
    </row>
    <row r="535" spans="1:2">
      <c r="A535" s="149" t="s">
        <v>1611</v>
      </c>
      <c r="B535" s="149" t="s">
        <v>1612</v>
      </c>
    </row>
    <row r="536" spans="1:2">
      <c r="A536" s="149" t="s">
        <v>1613</v>
      </c>
      <c r="B536" s="149" t="s">
        <v>1614</v>
      </c>
    </row>
    <row r="537" spans="1:2">
      <c r="A537" s="149" t="s">
        <v>1615</v>
      </c>
      <c r="B537" s="149" t="s">
        <v>1616</v>
      </c>
    </row>
    <row r="538" spans="1:2">
      <c r="A538" s="149" t="s">
        <v>1617</v>
      </c>
      <c r="B538" s="149" t="s">
        <v>1618</v>
      </c>
    </row>
    <row r="539" spans="1:2">
      <c r="A539" s="149" t="s">
        <v>1619</v>
      </c>
      <c r="B539" s="149" t="s">
        <v>1620</v>
      </c>
    </row>
    <row r="540" spans="1:2">
      <c r="A540" s="149" t="s">
        <v>1621</v>
      </c>
      <c r="B540" s="149" t="s">
        <v>1622</v>
      </c>
    </row>
    <row r="541" spans="1:2">
      <c r="A541" s="149" t="s">
        <v>1623</v>
      </c>
      <c r="B541" s="149" t="s">
        <v>1624</v>
      </c>
    </row>
    <row r="542" spans="1:2">
      <c r="A542" s="149" t="s">
        <v>1625</v>
      </c>
      <c r="B542" s="149" t="s">
        <v>1626</v>
      </c>
    </row>
    <row r="543" spans="1:2">
      <c r="A543" s="149" t="s">
        <v>1627</v>
      </c>
      <c r="B543" s="149" t="s">
        <v>1628</v>
      </c>
    </row>
    <row r="544" spans="1:2">
      <c r="A544" s="149" t="s">
        <v>1629</v>
      </c>
      <c r="B544" s="149" t="s">
        <v>1630</v>
      </c>
    </row>
    <row r="545" spans="1:2">
      <c r="A545" s="149" t="s">
        <v>1631</v>
      </c>
      <c r="B545" s="149" t="s">
        <v>1632</v>
      </c>
    </row>
    <row r="546" spans="1:2">
      <c r="A546" s="149" t="s">
        <v>1633</v>
      </c>
      <c r="B546" s="149" t="s">
        <v>1634</v>
      </c>
    </row>
    <row r="547" spans="1:2">
      <c r="A547" s="149" t="s">
        <v>1635</v>
      </c>
      <c r="B547" s="149" t="s">
        <v>1636</v>
      </c>
    </row>
    <row r="548" spans="1:2">
      <c r="A548" s="149" t="s">
        <v>1637</v>
      </c>
      <c r="B548" s="149" t="s">
        <v>1638</v>
      </c>
    </row>
    <row r="549" spans="1:2">
      <c r="A549" s="149" t="s">
        <v>1639</v>
      </c>
      <c r="B549" s="149" t="s">
        <v>1640</v>
      </c>
    </row>
    <row r="550" spans="1:2">
      <c r="A550" s="149" t="s">
        <v>1641</v>
      </c>
      <c r="B550" s="149" t="s">
        <v>1642</v>
      </c>
    </row>
    <row r="551" spans="1:2">
      <c r="A551" s="149" t="s">
        <v>1643</v>
      </c>
      <c r="B551" s="149" t="s">
        <v>1644</v>
      </c>
    </row>
    <row r="552" spans="1:2">
      <c r="A552" s="149" t="s">
        <v>1645</v>
      </c>
      <c r="B552" s="149" t="s">
        <v>1646</v>
      </c>
    </row>
    <row r="553" spans="1:2">
      <c r="A553" s="149" t="s">
        <v>1647</v>
      </c>
      <c r="B553" s="149" t="s">
        <v>1648</v>
      </c>
    </row>
    <row r="554" spans="1:2">
      <c r="A554" s="149" t="s">
        <v>1649</v>
      </c>
      <c r="B554" s="149" t="s">
        <v>1650</v>
      </c>
    </row>
    <row r="555" spans="1:2">
      <c r="A555" s="149" t="s">
        <v>1651</v>
      </c>
      <c r="B555" s="149" t="s">
        <v>1652</v>
      </c>
    </row>
    <row r="556" spans="1:2">
      <c r="A556" s="149" t="s">
        <v>1653</v>
      </c>
      <c r="B556" s="149" t="s">
        <v>1654</v>
      </c>
    </row>
    <row r="557" spans="1:2">
      <c r="A557" s="149" t="s">
        <v>1655</v>
      </c>
      <c r="B557" s="149" t="s">
        <v>1656</v>
      </c>
    </row>
    <row r="558" spans="1:2">
      <c r="A558" s="149" t="s">
        <v>1657</v>
      </c>
      <c r="B558" s="149" t="s">
        <v>1658</v>
      </c>
    </row>
    <row r="559" spans="1:2">
      <c r="A559" s="149" t="s">
        <v>1659</v>
      </c>
      <c r="B559" s="149" t="s">
        <v>1660</v>
      </c>
    </row>
    <row r="560" spans="1:2">
      <c r="A560" s="149" t="s">
        <v>1661</v>
      </c>
      <c r="B560" s="149" t="s">
        <v>1662</v>
      </c>
    </row>
    <row r="561" spans="1:2">
      <c r="A561" s="149" t="s">
        <v>1663</v>
      </c>
      <c r="B561" s="149" t="s">
        <v>1664</v>
      </c>
    </row>
    <row r="562" spans="1:2">
      <c r="A562" s="149" t="s">
        <v>1665</v>
      </c>
      <c r="B562" s="149" t="s">
        <v>1666</v>
      </c>
    </row>
    <row r="563" spans="1:2">
      <c r="A563" s="149" t="s">
        <v>1667</v>
      </c>
      <c r="B563" s="149" t="s">
        <v>1668</v>
      </c>
    </row>
    <row r="564" spans="1:2">
      <c r="A564" s="149" t="s">
        <v>1669</v>
      </c>
      <c r="B564" s="149" t="s">
        <v>1670</v>
      </c>
    </row>
    <row r="565" spans="1:2">
      <c r="A565" s="149" t="s">
        <v>1671</v>
      </c>
      <c r="B565" s="149" t="s">
        <v>1672</v>
      </c>
    </row>
    <row r="566" spans="1:2">
      <c r="A566" s="149" t="s">
        <v>1673</v>
      </c>
      <c r="B566" s="149" t="s">
        <v>1674</v>
      </c>
    </row>
    <row r="567" spans="1:2">
      <c r="A567" s="149" t="s">
        <v>1675</v>
      </c>
      <c r="B567" s="149" t="s">
        <v>1676</v>
      </c>
    </row>
    <row r="568" spans="1:2">
      <c r="A568" s="149" t="s">
        <v>1677</v>
      </c>
      <c r="B568" s="149" t="s">
        <v>1678</v>
      </c>
    </row>
    <row r="569" spans="1:2">
      <c r="A569" s="149" t="s">
        <v>1679</v>
      </c>
      <c r="B569" s="149" t="s">
        <v>1680</v>
      </c>
    </row>
    <row r="570" spans="1:2">
      <c r="A570" s="149" t="s">
        <v>1681</v>
      </c>
      <c r="B570" s="149" t="s">
        <v>1682</v>
      </c>
    </row>
    <row r="571" spans="1:2">
      <c r="A571" s="149" t="s">
        <v>1683</v>
      </c>
      <c r="B571" s="149" t="s">
        <v>1684</v>
      </c>
    </row>
    <row r="572" spans="1:2">
      <c r="A572" s="149" t="s">
        <v>1685</v>
      </c>
      <c r="B572" s="149" t="s">
        <v>1686</v>
      </c>
    </row>
    <row r="573" spans="1:2">
      <c r="A573" s="149" t="s">
        <v>1687</v>
      </c>
      <c r="B573" s="149" t="s">
        <v>1688</v>
      </c>
    </row>
    <row r="574" spans="1:2">
      <c r="A574" s="149" t="s">
        <v>1689</v>
      </c>
      <c r="B574" s="149" t="s">
        <v>1690</v>
      </c>
    </row>
    <row r="575" spans="1:2">
      <c r="A575" s="149" t="s">
        <v>1691</v>
      </c>
      <c r="B575" s="149" t="s">
        <v>1692</v>
      </c>
    </row>
    <row r="576" spans="1:2">
      <c r="A576" s="149" t="s">
        <v>1693</v>
      </c>
      <c r="B576" s="149" t="s">
        <v>1694</v>
      </c>
    </row>
    <row r="577" spans="1:2">
      <c r="A577" s="149" t="s">
        <v>1695</v>
      </c>
      <c r="B577" s="149" t="s">
        <v>1696</v>
      </c>
    </row>
    <row r="578" spans="1:2">
      <c r="A578" s="149" t="s">
        <v>1697</v>
      </c>
      <c r="B578" s="149" t="s">
        <v>1698</v>
      </c>
    </row>
    <row r="579" spans="1:2">
      <c r="A579" s="149" t="s">
        <v>1699</v>
      </c>
      <c r="B579" s="149" t="s">
        <v>1700</v>
      </c>
    </row>
    <row r="580" spans="1:2">
      <c r="A580" s="149" t="s">
        <v>1701</v>
      </c>
      <c r="B580" s="149" t="s">
        <v>1702</v>
      </c>
    </row>
    <row r="581" spans="1:2">
      <c r="A581" s="149" t="s">
        <v>1703</v>
      </c>
      <c r="B581" s="149" t="s">
        <v>1704</v>
      </c>
    </row>
    <row r="582" spans="1:2">
      <c r="A582" s="149" t="s">
        <v>1705</v>
      </c>
      <c r="B582" s="149" t="s">
        <v>1706</v>
      </c>
    </row>
    <row r="583" spans="1:2">
      <c r="A583" s="149" t="s">
        <v>1707</v>
      </c>
      <c r="B583" s="149" t="s">
        <v>1708</v>
      </c>
    </row>
    <row r="584" spans="1:2">
      <c r="A584" s="149" t="s">
        <v>1709</v>
      </c>
      <c r="B584" s="149" t="s">
        <v>1710</v>
      </c>
    </row>
    <row r="585" spans="1:2">
      <c r="A585" s="149" t="s">
        <v>1711</v>
      </c>
      <c r="B585" s="149" t="s">
        <v>1712</v>
      </c>
    </row>
    <row r="586" spans="1:2">
      <c r="A586" s="149" t="s">
        <v>1713</v>
      </c>
      <c r="B586" s="149" t="s">
        <v>1714</v>
      </c>
    </row>
    <row r="587" spans="1:2">
      <c r="A587" s="149" t="s">
        <v>1715</v>
      </c>
      <c r="B587" s="149" t="s">
        <v>1716</v>
      </c>
    </row>
    <row r="588" spans="1:2">
      <c r="A588" s="149" t="s">
        <v>1717</v>
      </c>
      <c r="B588" s="149" t="s">
        <v>119</v>
      </c>
    </row>
    <row r="589" spans="1:2">
      <c r="A589" s="149" t="s">
        <v>1718</v>
      </c>
      <c r="B589" s="149" t="s">
        <v>1719</v>
      </c>
    </row>
    <row r="590" spans="1:2">
      <c r="A590" s="149" t="s">
        <v>1720</v>
      </c>
      <c r="B590" s="149" t="s">
        <v>1721</v>
      </c>
    </row>
    <row r="591" spans="1:2">
      <c r="A591" s="149" t="s">
        <v>1722</v>
      </c>
      <c r="B591" s="149" t="s">
        <v>1723</v>
      </c>
    </row>
    <row r="592" spans="1:2">
      <c r="A592" s="149" t="s">
        <v>1724</v>
      </c>
      <c r="B592" s="149" t="s">
        <v>1725</v>
      </c>
    </row>
    <row r="593" spans="1:2">
      <c r="A593" s="149" t="s">
        <v>1726</v>
      </c>
      <c r="B593" s="149" t="s">
        <v>1727</v>
      </c>
    </row>
    <row r="594" spans="1:2">
      <c r="A594" s="149" t="s">
        <v>1728</v>
      </c>
      <c r="B594" s="149" t="s">
        <v>1729</v>
      </c>
    </row>
    <row r="595" spans="1:2">
      <c r="A595" s="149" t="s">
        <v>1730</v>
      </c>
      <c r="B595" s="149" t="s">
        <v>1731</v>
      </c>
    </row>
    <row r="596" spans="1:2">
      <c r="A596" s="149" t="s">
        <v>1732</v>
      </c>
      <c r="B596" s="149" t="s">
        <v>1733</v>
      </c>
    </row>
    <row r="597" spans="1:2">
      <c r="A597" s="149" t="s">
        <v>1734</v>
      </c>
      <c r="B597" s="149" t="s">
        <v>1735</v>
      </c>
    </row>
    <row r="598" spans="1:2">
      <c r="A598" s="149" t="s">
        <v>1736</v>
      </c>
      <c r="B598" s="149" t="s">
        <v>1737</v>
      </c>
    </row>
    <row r="599" spans="1:2">
      <c r="A599" s="149" t="s">
        <v>1738</v>
      </c>
      <c r="B599" s="149" t="s">
        <v>1739</v>
      </c>
    </row>
    <row r="600" spans="1:2">
      <c r="A600" s="149" t="s">
        <v>1740</v>
      </c>
      <c r="B600" s="149" t="s">
        <v>1741</v>
      </c>
    </row>
    <row r="601" spans="1:2">
      <c r="A601" s="149" t="s">
        <v>1742</v>
      </c>
      <c r="B601" s="149" t="s">
        <v>1743</v>
      </c>
    </row>
    <row r="602" spans="1:2">
      <c r="A602" s="149" t="s">
        <v>1744</v>
      </c>
      <c r="B602" s="149" t="s">
        <v>1745</v>
      </c>
    </row>
    <row r="603" spans="1:2">
      <c r="A603" s="149" t="s">
        <v>1746</v>
      </c>
      <c r="B603" s="149" t="s">
        <v>1747</v>
      </c>
    </row>
    <row r="604" spans="1:2">
      <c r="A604" s="149" t="s">
        <v>1748</v>
      </c>
      <c r="B604" s="149" t="s">
        <v>1749</v>
      </c>
    </row>
    <row r="605" spans="1:2">
      <c r="A605" s="149" t="s">
        <v>1750</v>
      </c>
      <c r="B605" s="149" t="s">
        <v>1751</v>
      </c>
    </row>
    <row r="606" spans="1:2">
      <c r="A606" s="149" t="s">
        <v>1752</v>
      </c>
      <c r="B606" s="149" t="s">
        <v>1753</v>
      </c>
    </row>
    <row r="607" spans="1:2">
      <c r="A607" s="149" t="s">
        <v>1754</v>
      </c>
      <c r="B607" s="149" t="s">
        <v>1755</v>
      </c>
    </row>
    <row r="608" spans="1:2">
      <c r="A608" s="149" t="s">
        <v>1756</v>
      </c>
      <c r="B608" s="149" t="s">
        <v>1757</v>
      </c>
    </row>
    <row r="609" spans="1:2">
      <c r="A609" s="149" t="s">
        <v>1758</v>
      </c>
      <c r="B609" s="149" t="s">
        <v>1759</v>
      </c>
    </row>
    <row r="610" spans="1:2">
      <c r="A610" s="149" t="s">
        <v>1760</v>
      </c>
      <c r="B610" s="149" t="s">
        <v>1761</v>
      </c>
    </row>
    <row r="611" spans="1:2">
      <c r="A611" s="149" t="s">
        <v>1762</v>
      </c>
      <c r="B611" s="149" t="s">
        <v>1763</v>
      </c>
    </row>
    <row r="612" spans="1:2">
      <c r="A612" s="149" t="s">
        <v>1764</v>
      </c>
      <c r="B612" s="149" t="s">
        <v>1765</v>
      </c>
    </row>
    <row r="613" spans="1:2">
      <c r="A613" s="149" t="s">
        <v>1766</v>
      </c>
      <c r="B613" s="149" t="s">
        <v>1767</v>
      </c>
    </row>
    <row r="614" spans="1:2">
      <c r="A614" s="149" t="s">
        <v>1768</v>
      </c>
      <c r="B614" s="149" t="s">
        <v>1769</v>
      </c>
    </row>
    <row r="615" spans="1:2">
      <c r="A615" s="149" t="s">
        <v>1770</v>
      </c>
      <c r="B615" s="149" t="s">
        <v>1771</v>
      </c>
    </row>
    <row r="616" spans="1:2">
      <c r="A616" s="149" t="s">
        <v>1772</v>
      </c>
      <c r="B616" s="149" t="s">
        <v>1773</v>
      </c>
    </row>
    <row r="617" spans="1:2">
      <c r="A617" s="149" t="s">
        <v>1774</v>
      </c>
      <c r="B617" s="149" t="s">
        <v>1775</v>
      </c>
    </row>
    <row r="618" spans="1:2">
      <c r="A618" s="149" t="s">
        <v>1776</v>
      </c>
      <c r="B618" s="149" t="s">
        <v>1777</v>
      </c>
    </row>
    <row r="619" spans="1:2">
      <c r="A619" s="149" t="s">
        <v>1778</v>
      </c>
      <c r="B619" s="149" t="s">
        <v>1779</v>
      </c>
    </row>
    <row r="620" spans="1:2">
      <c r="A620" s="149" t="s">
        <v>1780</v>
      </c>
      <c r="B620" s="149" t="s">
        <v>1781</v>
      </c>
    </row>
    <row r="621" spans="1:2">
      <c r="A621" s="149" t="s">
        <v>1782</v>
      </c>
      <c r="B621" s="149" t="s">
        <v>1783</v>
      </c>
    </row>
    <row r="622" spans="1:2">
      <c r="A622" s="149" t="s">
        <v>1784</v>
      </c>
      <c r="B622" s="149" t="s">
        <v>1785</v>
      </c>
    </row>
    <row r="623" spans="1:2">
      <c r="A623" s="149" t="s">
        <v>1786</v>
      </c>
      <c r="B623" s="149" t="s">
        <v>1787</v>
      </c>
    </row>
    <row r="624" spans="1:2">
      <c r="A624" s="149" t="s">
        <v>1788</v>
      </c>
      <c r="B624" s="149" t="s">
        <v>1789</v>
      </c>
    </row>
    <row r="625" spans="1:2">
      <c r="A625" s="149" t="s">
        <v>1790</v>
      </c>
      <c r="B625" s="149" t="s">
        <v>1791</v>
      </c>
    </row>
    <row r="626" spans="1:2">
      <c r="A626" s="149" t="s">
        <v>1792</v>
      </c>
      <c r="B626" s="149" t="s">
        <v>1793</v>
      </c>
    </row>
    <row r="627" spans="1:2">
      <c r="A627" s="149" t="s">
        <v>1794</v>
      </c>
      <c r="B627" s="149" t="s">
        <v>297</v>
      </c>
    </row>
    <row r="628" spans="1:2">
      <c r="A628" s="149" t="s">
        <v>1795</v>
      </c>
      <c r="B628" s="149" t="s">
        <v>1796</v>
      </c>
    </row>
    <row r="629" spans="1:2">
      <c r="A629" s="149" t="s">
        <v>1797</v>
      </c>
      <c r="B629" s="149" t="s">
        <v>1798</v>
      </c>
    </row>
    <row r="630" spans="1:2">
      <c r="A630" s="149" t="s">
        <v>1799</v>
      </c>
      <c r="B630" s="149" t="s">
        <v>1800</v>
      </c>
    </row>
    <row r="631" spans="1:2">
      <c r="A631" s="149" t="s">
        <v>1801</v>
      </c>
      <c r="B631" s="149" t="s">
        <v>1802</v>
      </c>
    </row>
    <row r="632" spans="1:2">
      <c r="A632" s="149" t="s">
        <v>1803</v>
      </c>
      <c r="B632" s="149" t="s">
        <v>1804</v>
      </c>
    </row>
    <row r="633" spans="1:2">
      <c r="A633" s="149" t="s">
        <v>1805</v>
      </c>
      <c r="B633" s="149" t="s">
        <v>1806</v>
      </c>
    </row>
    <row r="634" spans="1:2">
      <c r="A634" s="149" t="s">
        <v>1807</v>
      </c>
      <c r="B634" s="149" t="s">
        <v>1808</v>
      </c>
    </row>
    <row r="635" spans="1:2">
      <c r="A635" s="149" t="s">
        <v>1809</v>
      </c>
      <c r="B635" s="149" t="s">
        <v>1810</v>
      </c>
    </row>
    <row r="636" spans="1:2">
      <c r="A636" s="149" t="s">
        <v>1811</v>
      </c>
      <c r="B636" s="149" t="s">
        <v>1812</v>
      </c>
    </row>
    <row r="637" spans="1:2">
      <c r="A637" s="149" t="s">
        <v>1813</v>
      </c>
      <c r="B637" s="149" t="s">
        <v>1814</v>
      </c>
    </row>
    <row r="638" spans="1:2">
      <c r="A638" s="149" t="s">
        <v>1815</v>
      </c>
      <c r="B638" s="149" t="s">
        <v>1816</v>
      </c>
    </row>
    <row r="639" spans="1:2">
      <c r="A639" s="149" t="s">
        <v>1817</v>
      </c>
      <c r="B639" s="149" t="s">
        <v>1818</v>
      </c>
    </row>
    <row r="640" spans="1:2">
      <c r="A640" s="149" t="s">
        <v>1819</v>
      </c>
      <c r="B640" s="149" t="s">
        <v>1820</v>
      </c>
    </row>
    <row r="641" spans="1:2">
      <c r="A641" s="149" t="s">
        <v>1821</v>
      </c>
      <c r="B641" s="149" t="s">
        <v>1822</v>
      </c>
    </row>
    <row r="642" spans="1:2">
      <c r="A642" s="149" t="s">
        <v>1823</v>
      </c>
      <c r="B642" s="149" t="s">
        <v>1824</v>
      </c>
    </row>
    <row r="643" spans="1:2">
      <c r="A643" s="149" t="s">
        <v>1825</v>
      </c>
      <c r="B643" s="149" t="s">
        <v>1826</v>
      </c>
    </row>
    <row r="644" spans="1:2">
      <c r="A644" s="149" t="s">
        <v>1827</v>
      </c>
      <c r="B644" s="149" t="s">
        <v>1828</v>
      </c>
    </row>
    <row r="645" spans="1:2">
      <c r="A645" s="149" t="s">
        <v>1829</v>
      </c>
      <c r="B645" s="149" t="s">
        <v>1830</v>
      </c>
    </row>
    <row r="646" spans="1:2">
      <c r="A646" s="149" t="s">
        <v>1831</v>
      </c>
      <c r="B646" s="149" t="s">
        <v>1832</v>
      </c>
    </row>
    <row r="647" spans="1:2">
      <c r="A647" s="149" t="s">
        <v>1833</v>
      </c>
      <c r="B647" s="149" t="s">
        <v>1834</v>
      </c>
    </row>
    <row r="648" spans="1:2">
      <c r="A648" s="149" t="s">
        <v>1835</v>
      </c>
      <c r="B648" s="149" t="s">
        <v>1836</v>
      </c>
    </row>
    <row r="649" spans="1:2">
      <c r="A649" s="149" t="s">
        <v>1837</v>
      </c>
      <c r="B649" s="149" t="s">
        <v>1838</v>
      </c>
    </row>
    <row r="650" spans="1:2">
      <c r="A650" s="149" t="s">
        <v>1839</v>
      </c>
      <c r="B650" s="149" t="s">
        <v>1840</v>
      </c>
    </row>
    <row r="651" spans="1:2">
      <c r="A651" s="149" t="s">
        <v>1841</v>
      </c>
      <c r="B651" s="149" t="s">
        <v>1842</v>
      </c>
    </row>
    <row r="652" spans="1:2">
      <c r="A652" s="149" t="s">
        <v>1843</v>
      </c>
      <c r="B652" s="149" t="s">
        <v>1844</v>
      </c>
    </row>
    <row r="653" spans="1:2">
      <c r="A653" s="149" t="s">
        <v>1845</v>
      </c>
      <c r="B653" s="149" t="s">
        <v>1846</v>
      </c>
    </row>
    <row r="654" spans="1:2">
      <c r="A654" s="149" t="s">
        <v>1847</v>
      </c>
      <c r="B654" s="149" t="s">
        <v>1848</v>
      </c>
    </row>
    <row r="655" spans="1:2">
      <c r="A655" s="149" t="s">
        <v>1849</v>
      </c>
      <c r="B655" s="149" t="s">
        <v>1850</v>
      </c>
    </row>
    <row r="656" spans="1:2">
      <c r="A656" s="149" t="s">
        <v>1851</v>
      </c>
      <c r="B656" s="149" t="s">
        <v>1852</v>
      </c>
    </row>
    <row r="657" spans="1:2">
      <c r="A657" s="149" t="s">
        <v>1853</v>
      </c>
      <c r="B657" s="149" t="s">
        <v>1854</v>
      </c>
    </row>
    <row r="658" spans="1:2">
      <c r="A658" s="149" t="s">
        <v>1855</v>
      </c>
      <c r="B658" s="149" t="s">
        <v>1856</v>
      </c>
    </row>
    <row r="659" spans="1:2">
      <c r="A659" s="149" t="s">
        <v>1857</v>
      </c>
      <c r="B659" s="149" t="s">
        <v>1858</v>
      </c>
    </row>
    <row r="660" spans="1:2">
      <c r="A660" s="149" t="s">
        <v>1859</v>
      </c>
      <c r="B660" s="149" t="s">
        <v>1860</v>
      </c>
    </row>
    <row r="661" spans="1:2">
      <c r="A661" s="149" t="s">
        <v>1861</v>
      </c>
      <c r="B661" s="149" t="s">
        <v>1862</v>
      </c>
    </row>
    <row r="662" spans="1:2">
      <c r="A662" s="149" t="s">
        <v>1863</v>
      </c>
      <c r="B662" s="149" t="s">
        <v>1864</v>
      </c>
    </row>
    <row r="663" spans="1:2">
      <c r="A663" s="149" t="s">
        <v>1865</v>
      </c>
      <c r="B663" s="149" t="s">
        <v>1866</v>
      </c>
    </row>
    <row r="664" spans="1:2">
      <c r="A664" s="149" t="s">
        <v>1867</v>
      </c>
      <c r="B664" s="149" t="s">
        <v>1868</v>
      </c>
    </row>
    <row r="665" spans="1:2">
      <c r="A665" s="149" t="s">
        <v>1869</v>
      </c>
      <c r="B665" s="149" t="s">
        <v>1870</v>
      </c>
    </row>
    <row r="666" spans="1:2">
      <c r="A666" s="149" t="s">
        <v>1871</v>
      </c>
      <c r="B666" s="149" t="s">
        <v>1872</v>
      </c>
    </row>
    <row r="667" spans="1:2">
      <c r="A667" s="149" t="s">
        <v>1873</v>
      </c>
      <c r="B667" s="149" t="s">
        <v>1874</v>
      </c>
    </row>
    <row r="668" spans="1:2">
      <c r="A668" s="149" t="s">
        <v>1875</v>
      </c>
      <c r="B668" s="149" t="s">
        <v>1876</v>
      </c>
    </row>
    <row r="669" spans="1:2">
      <c r="A669" s="149" t="s">
        <v>1877</v>
      </c>
      <c r="B669" s="149" t="s">
        <v>1878</v>
      </c>
    </row>
    <row r="670" spans="1:2">
      <c r="A670" s="149" t="s">
        <v>1879</v>
      </c>
      <c r="B670" s="149" t="s">
        <v>1880</v>
      </c>
    </row>
    <row r="671" spans="1:2">
      <c r="A671" s="149" t="s">
        <v>1881</v>
      </c>
      <c r="B671" s="149" t="s">
        <v>1882</v>
      </c>
    </row>
    <row r="672" spans="1:2">
      <c r="A672" s="149" t="s">
        <v>1883</v>
      </c>
      <c r="B672" s="149" t="s">
        <v>1884</v>
      </c>
    </row>
    <row r="673" spans="1:2">
      <c r="A673" s="149" t="s">
        <v>1885</v>
      </c>
      <c r="B673" s="149" t="s">
        <v>1886</v>
      </c>
    </row>
    <row r="674" spans="1:2">
      <c r="A674" s="149" t="s">
        <v>1887</v>
      </c>
      <c r="B674" s="149" t="s">
        <v>1888</v>
      </c>
    </row>
    <row r="675" spans="1:2">
      <c r="A675" s="149" t="s">
        <v>1889</v>
      </c>
      <c r="B675" s="149" t="s">
        <v>1890</v>
      </c>
    </row>
    <row r="676" spans="1:2">
      <c r="A676" s="149" t="s">
        <v>1891</v>
      </c>
      <c r="B676" s="149" t="s">
        <v>1892</v>
      </c>
    </row>
    <row r="677" spans="1:2">
      <c r="A677" s="149" t="s">
        <v>1893</v>
      </c>
      <c r="B677" s="149" t="s">
        <v>1894</v>
      </c>
    </row>
    <row r="678" spans="1:2">
      <c r="A678" s="149" t="s">
        <v>1895</v>
      </c>
      <c r="B678" s="149" t="s">
        <v>1896</v>
      </c>
    </row>
    <row r="679" spans="1:2">
      <c r="A679" s="149" t="s">
        <v>1897</v>
      </c>
      <c r="B679" s="149" t="s">
        <v>1898</v>
      </c>
    </row>
    <row r="680" spans="1:2">
      <c r="A680" s="149" t="s">
        <v>1899</v>
      </c>
      <c r="B680" s="149" t="s">
        <v>1900</v>
      </c>
    </row>
    <row r="681" spans="1:2">
      <c r="A681" s="149" t="s">
        <v>1901</v>
      </c>
      <c r="B681" s="149" t="s">
        <v>1902</v>
      </c>
    </row>
    <row r="682" spans="1:2">
      <c r="A682" s="149" t="s">
        <v>1903</v>
      </c>
      <c r="B682" s="149" t="s">
        <v>1904</v>
      </c>
    </row>
    <row r="683" spans="1:2">
      <c r="A683" s="149" t="s">
        <v>1905</v>
      </c>
      <c r="B683" s="149" t="s">
        <v>1906</v>
      </c>
    </row>
    <row r="684" spans="1:2">
      <c r="A684" s="149" t="s">
        <v>1907</v>
      </c>
      <c r="B684" s="149" t="s">
        <v>1908</v>
      </c>
    </row>
    <row r="685" spans="1:2">
      <c r="A685" s="149" t="s">
        <v>1909</v>
      </c>
      <c r="B685" s="149" t="s">
        <v>1910</v>
      </c>
    </row>
    <row r="686" spans="1:2">
      <c r="A686" s="149" t="s">
        <v>1911</v>
      </c>
      <c r="B686" s="149" t="s">
        <v>1912</v>
      </c>
    </row>
    <row r="687" spans="1:2">
      <c r="A687" s="149" t="s">
        <v>1913</v>
      </c>
      <c r="B687" s="149" t="s">
        <v>1914</v>
      </c>
    </row>
    <row r="688" spans="1:2">
      <c r="A688" s="149" t="s">
        <v>1915</v>
      </c>
      <c r="B688" s="149" t="s">
        <v>1916</v>
      </c>
    </row>
    <row r="689" spans="1:2">
      <c r="A689" s="149" t="s">
        <v>1917</v>
      </c>
      <c r="B689" s="149" t="s">
        <v>1918</v>
      </c>
    </row>
    <row r="690" spans="1:2">
      <c r="A690" s="149" t="s">
        <v>1919</v>
      </c>
      <c r="B690" s="149" t="s">
        <v>1920</v>
      </c>
    </row>
    <row r="691" spans="1:2">
      <c r="A691" s="149" t="s">
        <v>1921</v>
      </c>
      <c r="B691" s="149" t="s">
        <v>1922</v>
      </c>
    </row>
    <row r="692" spans="1:2">
      <c r="A692" s="149" t="s">
        <v>1923</v>
      </c>
      <c r="B692" s="149" t="s">
        <v>1924</v>
      </c>
    </row>
    <row r="693" spans="1:2">
      <c r="A693" s="149" t="s">
        <v>1925</v>
      </c>
      <c r="B693" s="149" t="s">
        <v>1926</v>
      </c>
    </row>
    <row r="694" spans="1:2">
      <c r="A694" s="149" t="s">
        <v>1927</v>
      </c>
      <c r="B694" s="149" t="s">
        <v>1928</v>
      </c>
    </row>
    <row r="695" spans="1:2">
      <c r="A695" s="149" t="s">
        <v>1929</v>
      </c>
      <c r="B695" s="149" t="s">
        <v>1930</v>
      </c>
    </row>
    <row r="696" spans="1:2">
      <c r="A696" s="149" t="s">
        <v>1931</v>
      </c>
      <c r="B696" s="149" t="s">
        <v>1932</v>
      </c>
    </row>
    <row r="697" spans="1:2">
      <c r="A697" s="149" t="s">
        <v>1933</v>
      </c>
      <c r="B697" s="149" t="s">
        <v>1934</v>
      </c>
    </row>
    <row r="698" spans="1:2">
      <c r="A698" s="149" t="s">
        <v>1935</v>
      </c>
      <c r="B698" s="149" t="s">
        <v>1936</v>
      </c>
    </row>
    <row r="699" spans="1:2">
      <c r="A699" s="149" t="s">
        <v>1937</v>
      </c>
      <c r="B699" s="149" t="s">
        <v>1938</v>
      </c>
    </row>
    <row r="700" spans="1:2">
      <c r="A700" s="149" t="s">
        <v>1939</v>
      </c>
      <c r="B700" s="149" t="s">
        <v>1940</v>
      </c>
    </row>
    <row r="701" spans="1:2">
      <c r="A701" s="149" t="s">
        <v>1941</v>
      </c>
      <c r="B701" s="149" t="s">
        <v>1942</v>
      </c>
    </row>
    <row r="702" spans="1:2">
      <c r="A702" s="149" t="s">
        <v>1943</v>
      </c>
      <c r="B702" s="149" t="s">
        <v>1944</v>
      </c>
    </row>
    <row r="703" spans="1:2">
      <c r="A703" s="149" t="s">
        <v>1945</v>
      </c>
      <c r="B703" s="149" t="s">
        <v>1946</v>
      </c>
    </row>
    <row r="704" spans="1:2">
      <c r="A704" s="149" t="s">
        <v>1947</v>
      </c>
      <c r="B704" s="149" t="s">
        <v>1948</v>
      </c>
    </row>
    <row r="705" spans="1:2">
      <c r="A705" s="149" t="s">
        <v>1949</v>
      </c>
      <c r="B705" s="149" t="s">
        <v>1950</v>
      </c>
    </row>
    <row r="706" spans="1:2">
      <c r="A706" s="149" t="s">
        <v>1951</v>
      </c>
      <c r="B706" s="149" t="s">
        <v>1952</v>
      </c>
    </row>
    <row r="707" spans="1:2">
      <c r="A707" s="149" t="s">
        <v>1953</v>
      </c>
      <c r="B707" s="149" t="s">
        <v>1954</v>
      </c>
    </row>
    <row r="708" spans="1:2">
      <c r="A708" s="149" t="s">
        <v>1955</v>
      </c>
      <c r="B708" s="149" t="s">
        <v>1956</v>
      </c>
    </row>
    <row r="709" spans="1:2">
      <c r="A709" s="149" t="s">
        <v>1957</v>
      </c>
      <c r="B709" s="149" t="s">
        <v>1958</v>
      </c>
    </row>
    <row r="710" spans="1:2">
      <c r="A710" s="149" t="s">
        <v>1959</v>
      </c>
      <c r="B710" s="149" t="s">
        <v>1960</v>
      </c>
    </row>
    <row r="711" spans="1:2">
      <c r="A711" s="149" t="s">
        <v>1961</v>
      </c>
      <c r="B711" s="149" t="s">
        <v>1962</v>
      </c>
    </row>
    <row r="712" spans="1:2">
      <c r="A712" s="149" t="s">
        <v>1963</v>
      </c>
      <c r="B712" s="149" t="s">
        <v>1964</v>
      </c>
    </row>
    <row r="713" spans="1:2">
      <c r="A713" s="149" t="s">
        <v>1965</v>
      </c>
      <c r="B713" s="149" t="s">
        <v>1966</v>
      </c>
    </row>
    <row r="714" spans="1:2">
      <c r="A714" s="149" t="s">
        <v>1967</v>
      </c>
      <c r="B714" s="149" t="s">
        <v>1968</v>
      </c>
    </row>
    <row r="715" spans="1:2">
      <c r="A715" s="149" t="s">
        <v>1969</v>
      </c>
      <c r="B715" s="149" t="s">
        <v>1970</v>
      </c>
    </row>
    <row r="716" spans="1:2">
      <c r="A716" s="149" t="s">
        <v>1971</v>
      </c>
      <c r="B716" s="149" t="s">
        <v>1972</v>
      </c>
    </row>
    <row r="717" spans="1:2">
      <c r="A717" s="149" t="s">
        <v>1973</v>
      </c>
      <c r="B717" s="149" t="s">
        <v>1974</v>
      </c>
    </row>
    <row r="718" spans="1:2">
      <c r="A718" s="149" t="s">
        <v>1975</v>
      </c>
      <c r="B718" s="149" t="s">
        <v>1976</v>
      </c>
    </row>
    <row r="719" spans="1:2">
      <c r="A719" s="149" t="s">
        <v>1977</v>
      </c>
      <c r="B719" s="149" t="s">
        <v>1978</v>
      </c>
    </row>
    <row r="720" spans="1:2">
      <c r="A720" s="149" t="s">
        <v>1979</v>
      </c>
      <c r="B720" s="149" t="s">
        <v>1980</v>
      </c>
    </row>
    <row r="721" spans="1:2">
      <c r="A721" s="149" t="s">
        <v>1981</v>
      </c>
      <c r="B721" s="149" t="s">
        <v>1982</v>
      </c>
    </row>
    <row r="722" spans="1:2">
      <c r="A722" s="149" t="s">
        <v>1983</v>
      </c>
      <c r="B722" s="149" t="s">
        <v>1984</v>
      </c>
    </row>
    <row r="723" spans="1:2">
      <c r="A723" s="149" t="s">
        <v>1985</v>
      </c>
      <c r="B723" s="149" t="s">
        <v>1986</v>
      </c>
    </row>
    <row r="724" spans="1:2">
      <c r="A724" s="149" t="s">
        <v>1987</v>
      </c>
      <c r="B724" s="149" t="s">
        <v>1988</v>
      </c>
    </row>
    <row r="725" spans="1:2">
      <c r="A725" s="149" t="s">
        <v>1989</v>
      </c>
      <c r="B725" s="149" t="s">
        <v>1990</v>
      </c>
    </row>
    <row r="726" spans="1:2">
      <c r="A726" s="149" t="s">
        <v>1991</v>
      </c>
      <c r="B726" s="149" t="s">
        <v>1992</v>
      </c>
    </row>
    <row r="727" spans="1:2">
      <c r="A727" s="149" t="s">
        <v>1993</v>
      </c>
      <c r="B727" s="149" t="s">
        <v>1994</v>
      </c>
    </row>
    <row r="728" spans="1:2">
      <c r="A728" s="149" t="s">
        <v>1995</v>
      </c>
      <c r="B728" s="149" t="s">
        <v>1996</v>
      </c>
    </row>
    <row r="729" spans="1:2">
      <c r="A729" s="149" t="s">
        <v>1997</v>
      </c>
      <c r="B729" s="149" t="s">
        <v>1998</v>
      </c>
    </row>
    <row r="730" spans="1:2">
      <c r="A730" s="149" t="s">
        <v>1999</v>
      </c>
      <c r="B730" s="149" t="s">
        <v>2000</v>
      </c>
    </row>
    <row r="731" spans="1:2">
      <c r="A731" s="149" t="s">
        <v>2001</v>
      </c>
      <c r="B731" s="149" t="s">
        <v>2002</v>
      </c>
    </row>
    <row r="732" spans="1:2">
      <c r="A732" s="149" t="s">
        <v>2003</v>
      </c>
      <c r="B732" s="149" t="s">
        <v>2004</v>
      </c>
    </row>
    <row r="733" spans="1:2">
      <c r="A733" s="149" t="s">
        <v>2005</v>
      </c>
      <c r="B733" s="149" t="s">
        <v>2006</v>
      </c>
    </row>
    <row r="734" spans="1:2">
      <c r="A734" s="149" t="s">
        <v>2007</v>
      </c>
      <c r="B734" s="149" t="s">
        <v>2008</v>
      </c>
    </row>
    <row r="735" spans="1:2">
      <c r="A735" s="149" t="s">
        <v>2009</v>
      </c>
      <c r="B735" s="149" t="s">
        <v>2010</v>
      </c>
    </row>
    <row r="736" spans="1:2">
      <c r="A736" s="149" t="s">
        <v>2011</v>
      </c>
      <c r="B736" s="149" t="s">
        <v>2012</v>
      </c>
    </row>
    <row r="737" spans="1:2">
      <c r="A737" s="149" t="s">
        <v>2013</v>
      </c>
      <c r="B737" s="149" t="s">
        <v>2014</v>
      </c>
    </row>
    <row r="738" spans="1:2">
      <c r="A738" s="149" t="s">
        <v>2015</v>
      </c>
      <c r="B738" s="149" t="s">
        <v>2016</v>
      </c>
    </row>
    <row r="739" spans="1:2">
      <c r="A739" s="149" t="s">
        <v>2017</v>
      </c>
      <c r="B739" s="149" t="s">
        <v>2018</v>
      </c>
    </row>
    <row r="740" spans="1:2">
      <c r="A740" s="149" t="s">
        <v>2019</v>
      </c>
      <c r="B740" s="149" t="s">
        <v>2020</v>
      </c>
    </row>
    <row r="741" spans="1:2">
      <c r="A741" s="149" t="s">
        <v>2021</v>
      </c>
      <c r="B741" s="149" t="s">
        <v>2022</v>
      </c>
    </row>
    <row r="742" spans="1:2">
      <c r="A742" s="149" t="s">
        <v>2023</v>
      </c>
      <c r="B742" s="149" t="s">
        <v>2024</v>
      </c>
    </row>
    <row r="743" spans="1:2">
      <c r="A743" s="149" t="s">
        <v>2025</v>
      </c>
      <c r="B743" s="149" t="s">
        <v>2026</v>
      </c>
    </row>
    <row r="744" spans="1:2">
      <c r="A744" s="149" t="s">
        <v>2027</v>
      </c>
      <c r="B744" s="149" t="s">
        <v>2028</v>
      </c>
    </row>
    <row r="745" spans="1:2">
      <c r="A745" s="149" t="s">
        <v>2029</v>
      </c>
      <c r="B745" s="149" t="s">
        <v>2030</v>
      </c>
    </row>
    <row r="746" spans="1:2">
      <c r="A746" s="149" t="s">
        <v>2031</v>
      </c>
      <c r="B746" s="149" t="s">
        <v>2032</v>
      </c>
    </row>
    <row r="747" spans="1:2">
      <c r="A747" s="149" t="s">
        <v>2033</v>
      </c>
      <c r="B747" s="149" t="s">
        <v>2034</v>
      </c>
    </row>
    <row r="748" spans="1:2">
      <c r="A748" s="149" t="s">
        <v>2035</v>
      </c>
      <c r="B748" s="149" t="s">
        <v>2036</v>
      </c>
    </row>
    <row r="749" spans="1:2">
      <c r="A749" s="149" t="s">
        <v>2037</v>
      </c>
      <c r="B749" s="149" t="s">
        <v>2038</v>
      </c>
    </row>
    <row r="750" spans="1:2">
      <c r="A750" s="149" t="s">
        <v>2039</v>
      </c>
      <c r="B750" s="149" t="s">
        <v>2040</v>
      </c>
    </row>
    <row r="751" spans="1:2">
      <c r="A751" s="149" t="s">
        <v>2041</v>
      </c>
      <c r="B751" s="149" t="s">
        <v>2042</v>
      </c>
    </row>
    <row r="752" spans="1:2">
      <c r="A752" s="149" t="s">
        <v>2043</v>
      </c>
      <c r="B752" s="149" t="s">
        <v>2044</v>
      </c>
    </row>
    <row r="753" spans="1:2">
      <c r="A753" s="149" t="s">
        <v>2045</v>
      </c>
      <c r="B753" s="149" t="s">
        <v>2046</v>
      </c>
    </row>
    <row r="754" spans="1:2">
      <c r="A754" s="149" t="s">
        <v>2047</v>
      </c>
      <c r="B754" s="149" t="s">
        <v>2048</v>
      </c>
    </row>
    <row r="755" spans="1:2">
      <c r="A755" s="149" t="s">
        <v>2049</v>
      </c>
      <c r="B755" s="149" t="s">
        <v>2050</v>
      </c>
    </row>
    <row r="756" spans="1:2">
      <c r="A756" s="149" t="s">
        <v>2051</v>
      </c>
      <c r="B756" s="149" t="s">
        <v>2052</v>
      </c>
    </row>
    <row r="757" spans="1:2">
      <c r="A757" s="149" t="s">
        <v>2053</v>
      </c>
      <c r="B757" s="149" t="s">
        <v>2054</v>
      </c>
    </row>
    <row r="758" spans="1:2">
      <c r="A758" s="149" t="s">
        <v>2055</v>
      </c>
      <c r="B758" s="149" t="s">
        <v>2056</v>
      </c>
    </row>
    <row r="759" spans="1:2">
      <c r="A759" s="149" t="s">
        <v>2057</v>
      </c>
      <c r="B759" s="149" t="s">
        <v>2058</v>
      </c>
    </row>
    <row r="760" spans="1:2">
      <c r="A760" s="149" t="s">
        <v>2059</v>
      </c>
      <c r="B760" s="149" t="s">
        <v>2060</v>
      </c>
    </row>
    <row r="761" spans="1:2">
      <c r="A761" s="149" t="s">
        <v>2061</v>
      </c>
      <c r="B761" s="149" t="s">
        <v>2062</v>
      </c>
    </row>
    <row r="762" spans="1:2">
      <c r="A762" s="149" t="s">
        <v>2063</v>
      </c>
      <c r="B762" s="149" t="s">
        <v>2064</v>
      </c>
    </row>
    <row r="763" spans="1:2">
      <c r="A763" s="149" t="s">
        <v>2065</v>
      </c>
      <c r="B763" s="149" t="s">
        <v>2066</v>
      </c>
    </row>
    <row r="764" spans="1:2">
      <c r="A764" s="149" t="s">
        <v>2067</v>
      </c>
      <c r="B764" s="149" t="s">
        <v>2068</v>
      </c>
    </row>
    <row r="765" spans="1:2">
      <c r="A765" s="149" t="s">
        <v>2069</v>
      </c>
      <c r="B765" s="149" t="s">
        <v>2070</v>
      </c>
    </row>
    <row r="766" spans="1:2">
      <c r="A766" s="149" t="s">
        <v>2071</v>
      </c>
      <c r="B766" s="149" t="s">
        <v>2072</v>
      </c>
    </row>
    <row r="767" spans="1:2">
      <c r="A767" s="149" t="s">
        <v>2073</v>
      </c>
      <c r="B767" s="149" t="s">
        <v>2074</v>
      </c>
    </row>
    <row r="768" spans="1:2">
      <c r="A768" s="149" t="s">
        <v>2075</v>
      </c>
      <c r="B768" s="149" t="s">
        <v>2076</v>
      </c>
    </row>
    <row r="769" spans="1:2">
      <c r="A769" s="149" t="s">
        <v>2077</v>
      </c>
      <c r="B769" s="149" t="s">
        <v>2078</v>
      </c>
    </row>
    <row r="770" spans="1:2">
      <c r="A770" s="149" t="s">
        <v>2079</v>
      </c>
      <c r="B770" s="149" t="s">
        <v>2080</v>
      </c>
    </row>
    <row r="771" spans="1:2">
      <c r="A771" s="149" t="s">
        <v>2081</v>
      </c>
      <c r="B771" s="149" t="s">
        <v>2082</v>
      </c>
    </row>
    <row r="772" spans="1:2">
      <c r="A772" s="149" t="s">
        <v>2083</v>
      </c>
      <c r="B772" s="149" t="s">
        <v>2084</v>
      </c>
    </row>
    <row r="773" spans="1:2">
      <c r="A773" s="149" t="s">
        <v>2085</v>
      </c>
      <c r="B773" s="149" t="s">
        <v>2086</v>
      </c>
    </row>
    <row r="774" spans="1:2">
      <c r="A774" s="149" t="s">
        <v>2087</v>
      </c>
      <c r="B774" s="149" t="s">
        <v>2088</v>
      </c>
    </row>
    <row r="775" spans="1:2">
      <c r="A775" s="149" t="s">
        <v>2089</v>
      </c>
      <c r="B775" s="149" t="s">
        <v>2090</v>
      </c>
    </row>
    <row r="776" spans="1:2">
      <c r="A776" s="149" t="s">
        <v>2091</v>
      </c>
      <c r="B776" s="149" t="s">
        <v>2092</v>
      </c>
    </row>
    <row r="777" spans="1:2">
      <c r="A777" s="149" t="s">
        <v>2093</v>
      </c>
      <c r="B777" s="149" t="s">
        <v>2094</v>
      </c>
    </row>
    <row r="778" spans="1:2">
      <c r="A778" s="149" t="s">
        <v>2095</v>
      </c>
      <c r="B778" s="149" t="s">
        <v>2096</v>
      </c>
    </row>
    <row r="779" spans="1:2">
      <c r="A779" s="149" t="s">
        <v>2097</v>
      </c>
      <c r="B779" s="149" t="s">
        <v>2098</v>
      </c>
    </row>
    <row r="780" spans="1:2">
      <c r="A780" s="149" t="s">
        <v>2099</v>
      </c>
      <c r="B780" s="149" t="s">
        <v>2100</v>
      </c>
    </row>
    <row r="781" spans="1:2">
      <c r="A781" s="149" t="s">
        <v>2101</v>
      </c>
      <c r="B781" s="149" t="s">
        <v>2102</v>
      </c>
    </row>
    <row r="782" spans="1:2">
      <c r="A782" s="149" t="s">
        <v>2103</v>
      </c>
      <c r="B782" s="149" t="s">
        <v>2104</v>
      </c>
    </row>
    <row r="783" spans="1:2">
      <c r="A783" s="149" t="s">
        <v>2105</v>
      </c>
      <c r="B783" s="149" t="s">
        <v>2106</v>
      </c>
    </row>
    <row r="784" spans="1:2">
      <c r="A784" s="149" t="s">
        <v>2107</v>
      </c>
      <c r="B784" s="149" t="s">
        <v>2108</v>
      </c>
    </row>
    <row r="785" spans="1:2">
      <c r="A785" s="149" t="s">
        <v>2109</v>
      </c>
      <c r="B785" s="149" t="s">
        <v>2110</v>
      </c>
    </row>
    <row r="786" spans="1:2">
      <c r="A786" s="149" t="s">
        <v>2111</v>
      </c>
      <c r="B786" s="149" t="s">
        <v>2112</v>
      </c>
    </row>
    <row r="787" spans="1:2">
      <c r="A787" s="149" t="s">
        <v>2113</v>
      </c>
      <c r="B787" s="149" t="s">
        <v>2114</v>
      </c>
    </row>
    <row r="788" spans="1:2">
      <c r="A788" s="149" t="s">
        <v>2115</v>
      </c>
      <c r="B788" s="149" t="s">
        <v>2116</v>
      </c>
    </row>
    <row r="789" spans="1:2">
      <c r="A789" s="149" t="s">
        <v>2117</v>
      </c>
      <c r="B789" s="149" t="s">
        <v>2118</v>
      </c>
    </row>
    <row r="790" spans="1:2">
      <c r="A790" s="149" t="s">
        <v>2119</v>
      </c>
      <c r="B790" s="149" t="s">
        <v>2120</v>
      </c>
    </row>
    <row r="791" spans="1:2">
      <c r="A791" s="149" t="s">
        <v>2121</v>
      </c>
      <c r="B791" s="149" t="s">
        <v>2122</v>
      </c>
    </row>
    <row r="792" spans="1:2">
      <c r="A792" s="149" t="s">
        <v>2123</v>
      </c>
      <c r="B792" s="149" t="s">
        <v>2124</v>
      </c>
    </row>
    <row r="793" spans="1:2">
      <c r="A793" s="149" t="s">
        <v>2125</v>
      </c>
      <c r="B793" s="149" t="s">
        <v>2126</v>
      </c>
    </row>
    <row r="794" spans="1:2">
      <c r="A794" s="149" t="s">
        <v>2127</v>
      </c>
      <c r="B794" s="149" t="s">
        <v>2128</v>
      </c>
    </row>
    <row r="795" spans="1:2">
      <c r="A795" s="149" t="s">
        <v>2129</v>
      </c>
      <c r="B795" s="149" t="s">
        <v>2130</v>
      </c>
    </row>
    <row r="796" spans="1:2">
      <c r="A796" s="149" t="s">
        <v>2131</v>
      </c>
      <c r="B796" s="149" t="s">
        <v>2132</v>
      </c>
    </row>
    <row r="797" spans="1:2">
      <c r="A797" s="149" t="s">
        <v>2133</v>
      </c>
      <c r="B797" s="149" t="s">
        <v>2134</v>
      </c>
    </row>
    <row r="798" spans="1:2">
      <c r="A798" s="149" t="s">
        <v>2135</v>
      </c>
      <c r="B798" s="149" t="s">
        <v>2136</v>
      </c>
    </row>
    <row r="799" spans="1:2">
      <c r="A799" s="149" t="s">
        <v>2137</v>
      </c>
      <c r="B799" s="149" t="s">
        <v>2138</v>
      </c>
    </row>
    <row r="800" spans="1:2">
      <c r="A800" s="149" t="s">
        <v>2139</v>
      </c>
      <c r="B800" s="149" t="s">
        <v>2140</v>
      </c>
    </row>
    <row r="801" spans="1:2">
      <c r="A801" s="149" t="s">
        <v>2141</v>
      </c>
      <c r="B801" s="149" t="s">
        <v>2142</v>
      </c>
    </row>
    <row r="802" spans="1:2">
      <c r="A802" s="149" t="s">
        <v>2143</v>
      </c>
      <c r="B802" s="149" t="s">
        <v>2144</v>
      </c>
    </row>
    <row r="803" spans="1:2">
      <c r="A803" s="149" t="s">
        <v>2145</v>
      </c>
      <c r="B803" s="149" t="s">
        <v>2146</v>
      </c>
    </row>
    <row r="804" spans="1:2">
      <c r="A804" s="149" t="s">
        <v>2147</v>
      </c>
      <c r="B804" s="149" t="s">
        <v>2148</v>
      </c>
    </row>
    <row r="805" spans="1:2">
      <c r="A805" s="149" t="s">
        <v>2149</v>
      </c>
      <c r="B805" s="149" t="s">
        <v>2150</v>
      </c>
    </row>
    <row r="806" spans="1:2">
      <c r="A806" s="149" t="s">
        <v>2151</v>
      </c>
      <c r="B806" s="149" t="s">
        <v>2152</v>
      </c>
    </row>
    <row r="807" spans="1:2">
      <c r="A807" s="149" t="s">
        <v>2153</v>
      </c>
      <c r="B807" s="149" t="s">
        <v>2154</v>
      </c>
    </row>
    <row r="808" spans="1:2">
      <c r="A808" s="149" t="s">
        <v>2155</v>
      </c>
      <c r="B808" s="149" t="s">
        <v>2156</v>
      </c>
    </row>
    <row r="809" spans="1:2">
      <c r="A809" s="149" t="s">
        <v>2157</v>
      </c>
      <c r="B809" s="149" t="s">
        <v>2158</v>
      </c>
    </row>
    <row r="810" spans="1:2">
      <c r="A810" s="149" t="s">
        <v>2159</v>
      </c>
      <c r="B810" s="149" t="s">
        <v>2160</v>
      </c>
    </row>
    <row r="811" spans="1:2">
      <c r="A811" s="149" t="s">
        <v>2161</v>
      </c>
      <c r="B811" s="149" t="s">
        <v>2162</v>
      </c>
    </row>
    <row r="812" spans="1:2">
      <c r="A812" s="149" t="s">
        <v>2163</v>
      </c>
      <c r="B812" s="149" t="s">
        <v>2164</v>
      </c>
    </row>
    <row r="813" spans="1:2">
      <c r="A813" s="149" t="s">
        <v>2165</v>
      </c>
      <c r="B813" s="149" t="s">
        <v>2166</v>
      </c>
    </row>
    <row r="814" spans="1:2">
      <c r="A814" s="149" t="s">
        <v>2167</v>
      </c>
      <c r="B814" s="149" t="s">
        <v>2168</v>
      </c>
    </row>
    <row r="815" spans="1:2">
      <c r="A815" s="149" t="s">
        <v>2169</v>
      </c>
      <c r="B815" s="149" t="s">
        <v>2170</v>
      </c>
    </row>
    <row r="816" spans="1:2">
      <c r="A816" s="149" t="s">
        <v>2171</v>
      </c>
      <c r="B816" s="149" t="s">
        <v>2172</v>
      </c>
    </row>
    <row r="817" spans="1:2">
      <c r="A817" s="149" t="s">
        <v>2173</v>
      </c>
      <c r="B817" s="149" t="s">
        <v>2174</v>
      </c>
    </row>
    <row r="818" spans="1:2">
      <c r="A818" s="149" t="s">
        <v>2175</v>
      </c>
      <c r="B818" s="149" t="s">
        <v>2176</v>
      </c>
    </row>
    <row r="819" spans="1:2">
      <c r="A819" s="149" t="s">
        <v>2177</v>
      </c>
      <c r="B819" s="149" t="s">
        <v>2178</v>
      </c>
    </row>
    <row r="820" spans="1:2">
      <c r="A820" s="149" t="s">
        <v>2179</v>
      </c>
      <c r="B820" s="149" t="s">
        <v>2180</v>
      </c>
    </row>
    <row r="821" spans="1:2">
      <c r="A821" s="149" t="s">
        <v>2181</v>
      </c>
      <c r="B821" s="149" t="s">
        <v>2182</v>
      </c>
    </row>
    <row r="822" spans="1:2">
      <c r="A822" s="149" t="s">
        <v>2183</v>
      </c>
      <c r="B822" s="149" t="s">
        <v>2184</v>
      </c>
    </row>
    <row r="823" spans="1:2">
      <c r="A823" s="149" t="s">
        <v>2185</v>
      </c>
      <c r="B823" s="149" t="s">
        <v>2186</v>
      </c>
    </row>
    <row r="824" spans="1:2">
      <c r="A824" s="149" t="s">
        <v>2187</v>
      </c>
      <c r="B824" s="149" t="s">
        <v>2188</v>
      </c>
    </row>
    <row r="825" spans="1:2">
      <c r="A825" s="149" t="s">
        <v>2189</v>
      </c>
      <c r="B825" s="149" t="s">
        <v>2190</v>
      </c>
    </row>
    <row r="826" spans="1:2">
      <c r="A826" s="149" t="s">
        <v>2191</v>
      </c>
      <c r="B826" s="149" t="s">
        <v>2192</v>
      </c>
    </row>
    <row r="827" spans="1:2">
      <c r="A827" s="149" t="s">
        <v>2193</v>
      </c>
      <c r="B827" s="149" t="s">
        <v>2194</v>
      </c>
    </row>
    <row r="828" spans="1:2">
      <c r="A828" s="149" t="s">
        <v>2195</v>
      </c>
      <c r="B828" s="149" t="s">
        <v>2196</v>
      </c>
    </row>
    <row r="829" spans="1:2">
      <c r="A829" s="149" t="s">
        <v>2197</v>
      </c>
      <c r="B829" s="149" t="s">
        <v>2198</v>
      </c>
    </row>
    <row r="830" spans="1:2">
      <c r="A830" s="149" t="s">
        <v>2199</v>
      </c>
      <c r="B830" s="149" t="s">
        <v>2200</v>
      </c>
    </row>
    <row r="831" spans="1:2">
      <c r="A831" s="149" t="s">
        <v>2201</v>
      </c>
      <c r="B831" s="149" t="s">
        <v>2202</v>
      </c>
    </row>
    <row r="832" spans="1:2">
      <c r="A832" s="149" t="s">
        <v>2203</v>
      </c>
      <c r="B832" s="149" t="s">
        <v>2204</v>
      </c>
    </row>
    <row r="833" spans="1:2">
      <c r="A833" s="149" t="s">
        <v>2205</v>
      </c>
      <c r="B833" s="149" t="s">
        <v>2206</v>
      </c>
    </row>
    <row r="834" spans="1:2">
      <c r="A834" s="149" t="s">
        <v>2207</v>
      </c>
      <c r="B834" s="149" t="s">
        <v>2208</v>
      </c>
    </row>
    <row r="835" spans="1:2">
      <c r="A835" s="149" t="s">
        <v>2209</v>
      </c>
      <c r="B835" s="149" t="s">
        <v>2210</v>
      </c>
    </row>
    <row r="836" spans="1:2">
      <c r="A836" s="149" t="s">
        <v>2211</v>
      </c>
      <c r="B836" s="149" t="s">
        <v>2212</v>
      </c>
    </row>
    <row r="837" spans="1:2">
      <c r="A837" s="149" t="s">
        <v>2213</v>
      </c>
      <c r="B837" s="149" t="s">
        <v>2214</v>
      </c>
    </row>
    <row r="838" spans="1:2">
      <c r="A838" s="149" t="s">
        <v>2215</v>
      </c>
      <c r="B838" s="149" t="s">
        <v>2216</v>
      </c>
    </row>
    <row r="839" spans="1:2">
      <c r="A839" s="149" t="s">
        <v>2217</v>
      </c>
      <c r="B839" s="149" t="s">
        <v>2218</v>
      </c>
    </row>
    <row r="840" spans="1:2">
      <c r="A840" s="149" t="s">
        <v>2219</v>
      </c>
      <c r="B840" s="149" t="s">
        <v>2220</v>
      </c>
    </row>
    <row r="841" spans="1:2">
      <c r="A841" s="149" t="s">
        <v>2221</v>
      </c>
      <c r="B841" s="149" t="s">
        <v>2222</v>
      </c>
    </row>
    <row r="842" spans="1:2">
      <c r="A842" s="149" t="s">
        <v>2223</v>
      </c>
      <c r="B842" s="149" t="s">
        <v>2224</v>
      </c>
    </row>
    <row r="843" spans="1:2">
      <c r="A843" s="149" t="s">
        <v>156</v>
      </c>
      <c r="B843" s="149" t="s">
        <v>2225</v>
      </c>
    </row>
    <row r="844" spans="1:2">
      <c r="A844" s="149" t="s">
        <v>2226</v>
      </c>
      <c r="B844" s="149" t="s">
        <v>2227</v>
      </c>
    </row>
    <row r="845" spans="1:2">
      <c r="A845" s="149" t="s">
        <v>2228</v>
      </c>
      <c r="B845" s="149" t="s">
        <v>2229</v>
      </c>
    </row>
    <row r="846" spans="1:2">
      <c r="A846" s="149" t="s">
        <v>2230</v>
      </c>
      <c r="B846" s="149" t="s">
        <v>2231</v>
      </c>
    </row>
    <row r="847" spans="1:2">
      <c r="A847" s="149" t="s">
        <v>2232</v>
      </c>
      <c r="B847" s="149" t="s">
        <v>2233</v>
      </c>
    </row>
    <row r="848" spans="1:2">
      <c r="A848" s="149" t="s">
        <v>2234</v>
      </c>
      <c r="B848" s="149" t="s">
        <v>2235</v>
      </c>
    </row>
    <row r="849" spans="1:2">
      <c r="A849" s="149" t="s">
        <v>2236</v>
      </c>
      <c r="B849" s="149" t="s">
        <v>2237</v>
      </c>
    </row>
    <row r="850" spans="1:2">
      <c r="A850" s="149" t="s">
        <v>2238</v>
      </c>
      <c r="B850" s="149" t="s">
        <v>2239</v>
      </c>
    </row>
    <row r="851" spans="1:2">
      <c r="A851" s="149" t="s">
        <v>2240</v>
      </c>
      <c r="B851" s="149" t="s">
        <v>2241</v>
      </c>
    </row>
    <row r="852" spans="1:2">
      <c r="A852" s="149" t="s">
        <v>2242</v>
      </c>
      <c r="B852" s="149" t="s">
        <v>2243</v>
      </c>
    </row>
    <row r="853" spans="1:2">
      <c r="A853" s="149" t="s">
        <v>2244</v>
      </c>
      <c r="B853" s="149" t="s">
        <v>2245</v>
      </c>
    </row>
    <row r="854" spans="1:2">
      <c r="A854" s="149" t="s">
        <v>2246</v>
      </c>
      <c r="B854" s="149" t="s">
        <v>2247</v>
      </c>
    </row>
    <row r="855" spans="1:2">
      <c r="A855" s="149" t="s">
        <v>2248</v>
      </c>
      <c r="B855" s="149" t="s">
        <v>2249</v>
      </c>
    </row>
    <row r="856" spans="1:2">
      <c r="A856" s="149" t="s">
        <v>2250</v>
      </c>
      <c r="B856" s="149" t="s">
        <v>2251</v>
      </c>
    </row>
    <row r="857" spans="1:2">
      <c r="A857" s="149" t="s">
        <v>2252</v>
      </c>
      <c r="B857" s="149" t="s">
        <v>2253</v>
      </c>
    </row>
    <row r="858" spans="1:2">
      <c r="A858" s="149" t="s">
        <v>2254</v>
      </c>
      <c r="B858" s="149" t="s">
        <v>2255</v>
      </c>
    </row>
    <row r="859" spans="1:2">
      <c r="A859" s="149" t="s">
        <v>2256</v>
      </c>
      <c r="B859" s="149" t="s">
        <v>2257</v>
      </c>
    </row>
    <row r="860" spans="1:2">
      <c r="A860" s="149" t="s">
        <v>2258</v>
      </c>
      <c r="B860" s="149" t="s">
        <v>2259</v>
      </c>
    </row>
    <row r="861" spans="1:2">
      <c r="A861" s="149" t="s">
        <v>2260</v>
      </c>
      <c r="B861" s="149" t="s">
        <v>2261</v>
      </c>
    </row>
    <row r="862" spans="1:2">
      <c r="A862" s="149" t="s">
        <v>2262</v>
      </c>
      <c r="B862" s="149" t="s">
        <v>2263</v>
      </c>
    </row>
    <row r="863" spans="1:2">
      <c r="A863" s="149" t="s">
        <v>2264</v>
      </c>
      <c r="B863" s="149" t="s">
        <v>2265</v>
      </c>
    </row>
    <row r="864" spans="1:2">
      <c r="A864" s="149" t="s">
        <v>2266</v>
      </c>
      <c r="B864" s="149" t="s">
        <v>2267</v>
      </c>
    </row>
    <row r="865" spans="1:2">
      <c r="A865" s="149" t="s">
        <v>2268</v>
      </c>
      <c r="B865" s="149" t="s">
        <v>2269</v>
      </c>
    </row>
    <row r="866" spans="1:2">
      <c r="A866" s="149" t="s">
        <v>2270</v>
      </c>
      <c r="B866" s="149" t="s">
        <v>2271</v>
      </c>
    </row>
    <row r="867" spans="1:2">
      <c r="A867" s="149" t="s">
        <v>2272</v>
      </c>
      <c r="B867" s="149" t="s">
        <v>2273</v>
      </c>
    </row>
    <row r="868" spans="1:2">
      <c r="A868" s="149" t="s">
        <v>2274</v>
      </c>
      <c r="B868" s="149" t="s">
        <v>2275</v>
      </c>
    </row>
    <row r="869" spans="1:2">
      <c r="A869" s="149" t="s">
        <v>2276</v>
      </c>
      <c r="B869" s="149" t="s">
        <v>2277</v>
      </c>
    </row>
    <row r="870" spans="1:2">
      <c r="A870" s="149" t="s">
        <v>2278</v>
      </c>
      <c r="B870" s="149" t="s">
        <v>2279</v>
      </c>
    </row>
    <row r="871" spans="1:2">
      <c r="A871" s="149" t="s">
        <v>2280</v>
      </c>
      <c r="B871" s="149" t="s">
        <v>2281</v>
      </c>
    </row>
    <row r="872" spans="1:2">
      <c r="A872" s="149" t="s">
        <v>2282</v>
      </c>
      <c r="B872" s="149" t="s">
        <v>373</v>
      </c>
    </row>
    <row r="873" spans="1:2">
      <c r="A873" s="149" t="s">
        <v>2283</v>
      </c>
      <c r="B873" s="149" t="s">
        <v>2284</v>
      </c>
    </row>
    <row r="874" spans="1:2">
      <c r="A874" s="149" t="s">
        <v>2285</v>
      </c>
      <c r="B874" s="149" t="s">
        <v>2286</v>
      </c>
    </row>
    <row r="875" spans="1:2">
      <c r="A875" s="149" t="s">
        <v>2287</v>
      </c>
      <c r="B875" s="149" t="s">
        <v>2288</v>
      </c>
    </row>
    <row r="876" spans="1:2">
      <c r="A876" s="149" t="s">
        <v>2289</v>
      </c>
      <c r="B876" s="149" t="s">
        <v>2290</v>
      </c>
    </row>
    <row r="877" spans="1:2">
      <c r="A877" s="149" t="s">
        <v>2291</v>
      </c>
      <c r="B877" s="149" t="s">
        <v>2292</v>
      </c>
    </row>
    <row r="878" spans="1:2">
      <c r="A878" s="149" t="s">
        <v>2293</v>
      </c>
      <c r="B878" s="149" t="s">
        <v>2294</v>
      </c>
    </row>
    <row r="879" spans="1:2">
      <c r="A879" s="149" t="s">
        <v>2295</v>
      </c>
      <c r="B879" s="149" t="s">
        <v>2296</v>
      </c>
    </row>
    <row r="880" spans="1:2">
      <c r="A880" s="149" t="s">
        <v>2297</v>
      </c>
      <c r="B880" s="149" t="s">
        <v>2298</v>
      </c>
    </row>
    <row r="881" spans="1:2">
      <c r="A881" s="149" t="s">
        <v>2299</v>
      </c>
      <c r="B881" s="149" t="s">
        <v>2300</v>
      </c>
    </row>
    <row r="882" spans="1:2">
      <c r="A882" s="149" t="s">
        <v>2301</v>
      </c>
      <c r="B882" s="149" t="s">
        <v>2302</v>
      </c>
    </row>
    <row r="883" spans="1:2">
      <c r="A883" s="149" t="s">
        <v>2303</v>
      </c>
      <c r="B883" s="149" t="s">
        <v>2304</v>
      </c>
    </row>
    <row r="884" spans="1:2">
      <c r="A884" s="149" t="s">
        <v>2305</v>
      </c>
      <c r="B884" s="149" t="s">
        <v>2306</v>
      </c>
    </row>
    <row r="885" spans="1:2">
      <c r="A885" s="149" t="s">
        <v>2307</v>
      </c>
      <c r="B885" s="149" t="s">
        <v>2308</v>
      </c>
    </row>
    <row r="886" spans="1:2">
      <c r="A886" s="149" t="s">
        <v>2309</v>
      </c>
      <c r="B886" s="149" t="s">
        <v>2310</v>
      </c>
    </row>
    <row r="887" spans="1:2">
      <c r="A887" s="149" t="s">
        <v>2311</v>
      </c>
      <c r="B887" s="149" t="s">
        <v>2312</v>
      </c>
    </row>
    <row r="888" spans="1:2">
      <c r="A888" s="149" t="s">
        <v>2313</v>
      </c>
      <c r="B888" s="149" t="s">
        <v>2314</v>
      </c>
    </row>
    <row r="889" spans="1:2">
      <c r="A889" s="149" t="s">
        <v>2315</v>
      </c>
      <c r="B889" s="149" t="s">
        <v>2316</v>
      </c>
    </row>
    <row r="890" spans="1:2">
      <c r="A890" s="149" t="s">
        <v>2317</v>
      </c>
      <c r="B890" s="149" t="s">
        <v>2318</v>
      </c>
    </row>
    <row r="891" spans="1:2">
      <c r="A891" s="149" t="s">
        <v>2319</v>
      </c>
      <c r="B891" s="149" t="s">
        <v>2320</v>
      </c>
    </row>
    <row r="892" spans="1:2">
      <c r="A892" s="149" t="s">
        <v>2321</v>
      </c>
      <c r="B892" s="149" t="s">
        <v>2322</v>
      </c>
    </row>
    <row r="893" spans="1:2">
      <c r="A893" s="149" t="s">
        <v>2323</v>
      </c>
      <c r="B893" s="149" t="s">
        <v>2324</v>
      </c>
    </row>
    <row r="894" spans="1:2">
      <c r="A894" s="149" t="s">
        <v>2325</v>
      </c>
      <c r="B894" s="149" t="s">
        <v>2326</v>
      </c>
    </row>
    <row r="895" spans="1:2">
      <c r="A895" s="149" t="s">
        <v>2327</v>
      </c>
      <c r="B895" s="149" t="s">
        <v>2328</v>
      </c>
    </row>
    <row r="896" spans="1:2">
      <c r="A896" s="149" t="s">
        <v>2329</v>
      </c>
      <c r="B896" s="149" t="s">
        <v>2330</v>
      </c>
    </row>
    <row r="897" spans="1:2">
      <c r="A897" s="149" t="s">
        <v>2331</v>
      </c>
      <c r="B897" s="149" t="s">
        <v>2332</v>
      </c>
    </row>
    <row r="898" spans="1:2">
      <c r="A898" s="149" t="s">
        <v>2333</v>
      </c>
      <c r="B898" s="149" t="s">
        <v>2334</v>
      </c>
    </row>
    <row r="899" spans="1:2">
      <c r="A899" s="149" t="s">
        <v>2335</v>
      </c>
      <c r="B899" s="149" t="s">
        <v>2336</v>
      </c>
    </row>
    <row r="900" spans="1:2">
      <c r="A900" s="149" t="s">
        <v>2337</v>
      </c>
      <c r="B900" s="149" t="s">
        <v>2338</v>
      </c>
    </row>
    <row r="901" spans="1:2">
      <c r="A901" s="149" t="s">
        <v>2339</v>
      </c>
      <c r="B901" s="149" t="s">
        <v>2340</v>
      </c>
    </row>
    <row r="902" spans="1:2">
      <c r="A902" s="149" t="s">
        <v>2341</v>
      </c>
      <c r="B902" s="149" t="s">
        <v>2342</v>
      </c>
    </row>
    <row r="903" spans="1:2">
      <c r="A903" s="149" t="s">
        <v>2343</v>
      </c>
      <c r="B903" s="149" t="s">
        <v>2344</v>
      </c>
    </row>
    <row r="904" spans="1:2">
      <c r="A904" s="149" t="s">
        <v>2345</v>
      </c>
      <c r="B904" s="149" t="s">
        <v>2346</v>
      </c>
    </row>
    <row r="905" spans="1:2">
      <c r="A905" s="149" t="s">
        <v>2347</v>
      </c>
      <c r="B905" s="149" t="s">
        <v>2348</v>
      </c>
    </row>
    <row r="906" spans="1:2">
      <c r="A906" s="149" t="s">
        <v>2349</v>
      </c>
      <c r="B906" s="149" t="s">
        <v>2350</v>
      </c>
    </row>
    <row r="907" spans="1:2">
      <c r="A907" s="149" t="s">
        <v>2351</v>
      </c>
      <c r="B907" s="149" t="s">
        <v>2352</v>
      </c>
    </row>
    <row r="908" spans="1:2">
      <c r="A908" s="149" t="s">
        <v>2353</v>
      </c>
      <c r="B908" s="149" t="s">
        <v>2354</v>
      </c>
    </row>
    <row r="909" spans="1:2">
      <c r="A909" s="149" t="s">
        <v>2355</v>
      </c>
      <c r="B909" s="149" t="s">
        <v>2356</v>
      </c>
    </row>
    <row r="910" spans="1:2">
      <c r="A910" s="149" t="s">
        <v>2357</v>
      </c>
      <c r="B910" s="149" t="s">
        <v>2358</v>
      </c>
    </row>
    <row r="911" spans="1:2">
      <c r="A911" s="149" t="s">
        <v>2359</v>
      </c>
      <c r="B911" s="149" t="s">
        <v>2360</v>
      </c>
    </row>
    <row r="912" spans="1:2">
      <c r="A912" s="149" t="s">
        <v>2361</v>
      </c>
      <c r="B912" s="149" t="s">
        <v>2362</v>
      </c>
    </row>
    <row r="913" spans="1:2">
      <c r="A913" s="149" t="s">
        <v>2363</v>
      </c>
      <c r="B913" s="149" t="s">
        <v>2364</v>
      </c>
    </row>
    <row r="914" spans="1:2">
      <c r="A914" s="149" t="s">
        <v>2365</v>
      </c>
      <c r="B914" s="149" t="s">
        <v>2366</v>
      </c>
    </row>
    <row r="915" spans="1:2">
      <c r="A915" s="149" t="s">
        <v>2367</v>
      </c>
      <c r="B915" s="149" t="s">
        <v>2368</v>
      </c>
    </row>
    <row r="916" spans="1:2">
      <c r="A916" s="149" t="s">
        <v>2369</v>
      </c>
      <c r="B916" s="149" t="s">
        <v>2370</v>
      </c>
    </row>
    <row r="917" spans="1:2">
      <c r="A917" s="149" t="s">
        <v>2371</v>
      </c>
      <c r="B917" s="149" t="s">
        <v>2372</v>
      </c>
    </row>
    <row r="918" spans="1:2">
      <c r="A918" s="149" t="s">
        <v>2373</v>
      </c>
      <c r="B918" s="149" t="s">
        <v>2374</v>
      </c>
    </row>
    <row r="919" spans="1:2">
      <c r="A919" s="149" t="s">
        <v>2375</v>
      </c>
      <c r="B919" s="149" t="s">
        <v>2376</v>
      </c>
    </row>
    <row r="920" spans="1:2">
      <c r="A920" s="149" t="s">
        <v>2377</v>
      </c>
      <c r="B920" s="149" t="s">
        <v>2378</v>
      </c>
    </row>
    <row r="921" spans="1:2">
      <c r="A921" s="149" t="s">
        <v>2379</v>
      </c>
      <c r="B921" s="149" t="s">
        <v>2380</v>
      </c>
    </row>
    <row r="922" spans="1:2">
      <c r="A922" s="149" t="s">
        <v>2381</v>
      </c>
      <c r="B922" s="149" t="s">
        <v>2382</v>
      </c>
    </row>
    <row r="923" spans="1:2">
      <c r="A923" s="149" t="s">
        <v>2383</v>
      </c>
      <c r="B923" s="149" t="s">
        <v>2384</v>
      </c>
    </row>
    <row r="924" spans="1:2">
      <c r="A924" s="149" t="s">
        <v>2385</v>
      </c>
      <c r="B924" s="149" t="s">
        <v>2386</v>
      </c>
    </row>
    <row r="925" spans="1:2">
      <c r="A925" s="149" t="s">
        <v>2387</v>
      </c>
      <c r="B925" s="149" t="s">
        <v>2388</v>
      </c>
    </row>
    <row r="926" spans="1:2">
      <c r="A926" s="149" t="s">
        <v>2389</v>
      </c>
      <c r="B926" s="149" t="s">
        <v>2390</v>
      </c>
    </row>
    <row r="927" spans="1:2">
      <c r="A927" s="149" t="s">
        <v>2391</v>
      </c>
      <c r="B927" s="149" t="s">
        <v>2392</v>
      </c>
    </row>
    <row r="928" spans="1:2">
      <c r="A928" s="149" t="s">
        <v>2393</v>
      </c>
      <c r="B928" s="149" t="s">
        <v>2394</v>
      </c>
    </row>
    <row r="929" spans="1:2">
      <c r="A929" s="149" t="s">
        <v>2395</v>
      </c>
      <c r="B929" s="149" t="s">
        <v>2396</v>
      </c>
    </row>
    <row r="930" spans="1:2">
      <c r="A930" s="149" t="s">
        <v>2397</v>
      </c>
      <c r="B930" s="149" t="s">
        <v>2398</v>
      </c>
    </row>
    <row r="931" spans="1:2">
      <c r="A931" s="149" t="s">
        <v>2399</v>
      </c>
      <c r="B931" s="149" t="s">
        <v>2400</v>
      </c>
    </row>
    <row r="932" spans="1:2">
      <c r="A932" s="149" t="s">
        <v>2401</v>
      </c>
      <c r="B932" s="149" t="s">
        <v>2402</v>
      </c>
    </row>
    <row r="933" spans="1:2">
      <c r="A933" s="149" t="s">
        <v>2403</v>
      </c>
      <c r="B933" s="149" t="s">
        <v>2404</v>
      </c>
    </row>
    <row r="934" spans="1:2">
      <c r="A934" s="149" t="s">
        <v>2405</v>
      </c>
      <c r="B934" s="149" t="s">
        <v>2406</v>
      </c>
    </row>
    <row r="935" spans="1:2">
      <c r="A935" s="149" t="s">
        <v>2407</v>
      </c>
      <c r="B935" s="149" t="s">
        <v>2408</v>
      </c>
    </row>
    <row r="936" spans="1:2">
      <c r="A936" s="149" t="s">
        <v>2409</v>
      </c>
      <c r="B936" s="149" t="s">
        <v>2410</v>
      </c>
    </row>
    <row r="937" spans="1:2">
      <c r="A937" s="149" t="s">
        <v>2411</v>
      </c>
      <c r="B937" s="149" t="s">
        <v>2412</v>
      </c>
    </row>
    <row r="938" spans="1:2">
      <c r="A938" s="149" t="s">
        <v>2413</v>
      </c>
      <c r="B938" s="149" t="s">
        <v>2414</v>
      </c>
    </row>
    <row r="939" spans="1:2">
      <c r="A939" s="149" t="s">
        <v>2415</v>
      </c>
      <c r="B939" s="149" t="s">
        <v>2416</v>
      </c>
    </row>
    <row r="940" spans="1:2">
      <c r="A940" s="149" t="s">
        <v>2417</v>
      </c>
      <c r="B940" s="149" t="s">
        <v>2418</v>
      </c>
    </row>
    <row r="941" spans="1:2">
      <c r="A941" s="149" t="s">
        <v>2419</v>
      </c>
      <c r="B941" s="149" t="s">
        <v>2420</v>
      </c>
    </row>
    <row r="942" spans="1:2">
      <c r="A942" s="149" t="s">
        <v>2421</v>
      </c>
      <c r="B942" s="149" t="s">
        <v>2422</v>
      </c>
    </row>
    <row r="943" spans="1:2">
      <c r="A943" s="149" t="s">
        <v>2423</v>
      </c>
      <c r="B943" s="149" t="s">
        <v>2424</v>
      </c>
    </row>
    <row r="944" spans="1:2">
      <c r="A944" s="149" t="s">
        <v>2425</v>
      </c>
      <c r="B944" s="149" t="s">
        <v>2426</v>
      </c>
    </row>
    <row r="945" spans="1:2">
      <c r="A945" s="149" t="s">
        <v>2427</v>
      </c>
      <c r="B945" s="149" t="s">
        <v>2428</v>
      </c>
    </row>
    <row r="946" spans="1:2">
      <c r="A946" s="149" t="s">
        <v>2429</v>
      </c>
      <c r="B946" s="149" t="s">
        <v>2430</v>
      </c>
    </row>
    <row r="947" spans="1:2">
      <c r="A947" s="149" t="s">
        <v>2431</v>
      </c>
      <c r="B947" s="149" t="s">
        <v>2432</v>
      </c>
    </row>
    <row r="948" spans="1:2">
      <c r="A948" s="149" t="s">
        <v>2433</v>
      </c>
      <c r="B948" s="149" t="s">
        <v>2434</v>
      </c>
    </row>
    <row r="949" spans="1:2">
      <c r="A949" s="149" t="s">
        <v>2435</v>
      </c>
      <c r="B949" s="149" t="s">
        <v>2436</v>
      </c>
    </row>
    <row r="950" spans="1:2">
      <c r="A950" s="149" t="s">
        <v>2437</v>
      </c>
      <c r="B950" s="149" t="s">
        <v>2438</v>
      </c>
    </row>
    <row r="951" spans="1:2">
      <c r="A951" s="149" t="s">
        <v>2439</v>
      </c>
      <c r="B951" s="149" t="s">
        <v>2440</v>
      </c>
    </row>
    <row r="952" spans="1:2">
      <c r="A952" s="149" t="s">
        <v>2441</v>
      </c>
      <c r="B952" s="149" t="s">
        <v>2442</v>
      </c>
    </row>
    <row r="953" spans="1:2">
      <c r="A953" s="149" t="s">
        <v>2443</v>
      </c>
      <c r="B953" s="149" t="s">
        <v>2444</v>
      </c>
    </row>
    <row r="954" spans="1:2">
      <c r="A954" s="149" t="s">
        <v>2445</v>
      </c>
      <c r="B954" s="149" t="s">
        <v>2446</v>
      </c>
    </row>
    <row r="955" spans="1:2">
      <c r="A955" s="149" t="s">
        <v>2447</v>
      </c>
      <c r="B955" s="149" t="s">
        <v>2448</v>
      </c>
    </row>
    <row r="956" spans="1:2">
      <c r="A956" s="149" t="s">
        <v>2449</v>
      </c>
      <c r="B956" s="149" t="s">
        <v>2450</v>
      </c>
    </row>
    <row r="957" spans="1:2">
      <c r="A957" s="149" t="s">
        <v>2451</v>
      </c>
      <c r="B957" s="149" t="s">
        <v>2452</v>
      </c>
    </row>
    <row r="958" spans="1:2">
      <c r="A958" s="149" t="s">
        <v>2453</v>
      </c>
      <c r="B958" s="149" t="s">
        <v>2454</v>
      </c>
    </row>
    <row r="959" spans="1:2">
      <c r="A959" s="149" t="s">
        <v>2455</v>
      </c>
      <c r="B959" s="149" t="s">
        <v>2456</v>
      </c>
    </row>
    <row r="960" spans="1:2">
      <c r="A960" s="149" t="s">
        <v>2457</v>
      </c>
      <c r="B960" s="149" t="s">
        <v>2458</v>
      </c>
    </row>
    <row r="961" spans="1:2">
      <c r="A961" s="149" t="s">
        <v>2459</v>
      </c>
      <c r="B961" s="149" t="s">
        <v>2460</v>
      </c>
    </row>
    <row r="962" spans="1:2">
      <c r="A962" s="149" t="s">
        <v>2461</v>
      </c>
      <c r="B962" s="149" t="s">
        <v>2462</v>
      </c>
    </row>
    <row r="963" spans="1:2">
      <c r="A963" s="149" t="s">
        <v>2463</v>
      </c>
      <c r="B963" s="149" t="s">
        <v>2464</v>
      </c>
    </row>
    <row r="964" spans="1:2">
      <c r="A964" s="149" t="s">
        <v>2465</v>
      </c>
      <c r="B964" s="149" t="s">
        <v>2466</v>
      </c>
    </row>
    <row r="965" spans="1:2">
      <c r="A965" s="149" t="s">
        <v>2467</v>
      </c>
      <c r="B965" s="149" t="s">
        <v>2468</v>
      </c>
    </row>
    <row r="966" spans="1:2">
      <c r="A966" s="149" t="s">
        <v>2469</v>
      </c>
      <c r="B966" s="149" t="s">
        <v>302</v>
      </c>
    </row>
    <row r="967" spans="1:2">
      <c r="A967" s="149" t="s">
        <v>2470</v>
      </c>
      <c r="B967" s="149" t="s">
        <v>2471</v>
      </c>
    </row>
    <row r="968" spans="1:2">
      <c r="A968" s="149" t="s">
        <v>2472</v>
      </c>
      <c r="B968" s="149" t="s">
        <v>2473</v>
      </c>
    </row>
    <row r="969" spans="1:2">
      <c r="A969" s="149" t="s">
        <v>2474</v>
      </c>
      <c r="B969" s="149" t="s">
        <v>2475</v>
      </c>
    </row>
    <row r="970" spans="1:2">
      <c r="A970" s="149" t="s">
        <v>2476</v>
      </c>
      <c r="B970" s="149" t="s">
        <v>2477</v>
      </c>
    </row>
    <row r="971" spans="1:2">
      <c r="A971" s="149" t="s">
        <v>2478</v>
      </c>
      <c r="B971" s="149" t="s">
        <v>2479</v>
      </c>
    </row>
    <row r="972" spans="1:2">
      <c r="A972" s="149" t="s">
        <v>2480</v>
      </c>
      <c r="B972" s="149" t="s">
        <v>2481</v>
      </c>
    </row>
    <row r="973" spans="1:2">
      <c r="A973" s="149" t="s">
        <v>2482</v>
      </c>
      <c r="B973" s="149" t="s">
        <v>2483</v>
      </c>
    </row>
    <row r="974" spans="1:2">
      <c r="A974" s="149" t="s">
        <v>2484</v>
      </c>
      <c r="B974" s="149" t="s">
        <v>2485</v>
      </c>
    </row>
    <row r="975" spans="1:2">
      <c r="A975" s="149" t="s">
        <v>2486</v>
      </c>
      <c r="B975" s="149" t="s">
        <v>2487</v>
      </c>
    </row>
    <row r="976" spans="1:2">
      <c r="A976" s="149" t="s">
        <v>2488</v>
      </c>
      <c r="B976" s="149" t="s">
        <v>2489</v>
      </c>
    </row>
    <row r="977" spans="1:2">
      <c r="A977" s="149" t="s">
        <v>2490</v>
      </c>
      <c r="B977" s="149" t="s">
        <v>2491</v>
      </c>
    </row>
    <row r="978" spans="1:2">
      <c r="A978" s="149" t="s">
        <v>2492</v>
      </c>
      <c r="B978" s="149" t="s">
        <v>2493</v>
      </c>
    </row>
    <row r="979" spans="1:2">
      <c r="A979" s="149" t="s">
        <v>2494</v>
      </c>
      <c r="B979" s="149" t="s">
        <v>2495</v>
      </c>
    </row>
    <row r="980" spans="1:2">
      <c r="A980" s="149" t="s">
        <v>2496</v>
      </c>
      <c r="B980" s="149" t="s">
        <v>2497</v>
      </c>
    </row>
    <row r="981" spans="1:2">
      <c r="A981" s="149" t="s">
        <v>2498</v>
      </c>
      <c r="B981" s="149" t="s">
        <v>2499</v>
      </c>
    </row>
    <row r="982" spans="1:2">
      <c r="A982" s="149" t="s">
        <v>2500</v>
      </c>
      <c r="B982" s="149" t="s">
        <v>2501</v>
      </c>
    </row>
    <row r="983" spans="1:2">
      <c r="A983" s="149" t="s">
        <v>2502</v>
      </c>
      <c r="B983" s="149" t="s">
        <v>2503</v>
      </c>
    </row>
    <row r="984" spans="1:2">
      <c r="A984" s="149" t="s">
        <v>2504</v>
      </c>
      <c r="B984" s="149" t="s">
        <v>2505</v>
      </c>
    </row>
    <row r="985" spans="1:2">
      <c r="A985" s="149" t="s">
        <v>2506</v>
      </c>
      <c r="B985" s="149" t="s">
        <v>2507</v>
      </c>
    </row>
    <row r="986" spans="1:2">
      <c r="A986" s="149" t="s">
        <v>2508</v>
      </c>
      <c r="B986" s="149" t="s">
        <v>2509</v>
      </c>
    </row>
    <row r="987" spans="1:2">
      <c r="A987" s="149" t="s">
        <v>2510</v>
      </c>
      <c r="B987" s="149" t="s">
        <v>2511</v>
      </c>
    </row>
    <row r="988" spans="1:2">
      <c r="A988" s="149" t="s">
        <v>2512</v>
      </c>
      <c r="B988" s="149" t="s">
        <v>2513</v>
      </c>
    </row>
    <row r="989" spans="1:2">
      <c r="A989" s="149" t="s">
        <v>2514</v>
      </c>
      <c r="B989" s="149" t="s">
        <v>2515</v>
      </c>
    </row>
    <row r="990" spans="1:2">
      <c r="A990" s="149" t="s">
        <v>2516</v>
      </c>
      <c r="B990" s="149" t="s">
        <v>2517</v>
      </c>
    </row>
    <row r="991" spans="1:2">
      <c r="A991" s="149" t="s">
        <v>2518</v>
      </c>
      <c r="B991" s="149" t="s">
        <v>307</v>
      </c>
    </row>
    <row r="992" spans="1:2">
      <c r="A992" s="149" t="s">
        <v>2519</v>
      </c>
      <c r="B992" s="149" t="s">
        <v>2520</v>
      </c>
    </row>
    <row r="993" spans="1:2">
      <c r="A993" s="149" t="s">
        <v>2521</v>
      </c>
      <c r="B993" s="149" t="s">
        <v>2522</v>
      </c>
    </row>
    <row r="994" spans="1:2">
      <c r="A994" s="149" t="s">
        <v>2523</v>
      </c>
      <c r="B994" s="149" t="s">
        <v>2524</v>
      </c>
    </row>
    <row r="995" spans="1:2">
      <c r="A995" s="149" t="s">
        <v>2525</v>
      </c>
      <c r="B995" s="149" t="s">
        <v>2526</v>
      </c>
    </row>
    <row r="996" spans="1:2">
      <c r="A996" s="149" t="s">
        <v>2527</v>
      </c>
      <c r="B996" s="149" t="s">
        <v>2528</v>
      </c>
    </row>
    <row r="997" spans="1:2">
      <c r="A997" s="149" t="s">
        <v>2529</v>
      </c>
      <c r="B997" s="149" t="s">
        <v>2530</v>
      </c>
    </row>
    <row r="998" spans="1:2">
      <c r="A998" s="149" t="s">
        <v>2531</v>
      </c>
      <c r="B998" s="149" t="s">
        <v>2532</v>
      </c>
    </row>
    <row r="999" spans="1:2">
      <c r="A999" s="149" t="s">
        <v>2533</v>
      </c>
      <c r="B999" s="149" t="s">
        <v>2534</v>
      </c>
    </row>
    <row r="1000" spans="1:2">
      <c r="A1000" s="149" t="s">
        <v>2535</v>
      </c>
      <c r="B1000" s="149" t="s">
        <v>2536</v>
      </c>
    </row>
    <row r="1001" spans="1:2">
      <c r="A1001" s="149" t="s">
        <v>2537</v>
      </c>
      <c r="B1001" s="149" t="s">
        <v>2538</v>
      </c>
    </row>
    <row r="1002" spans="1:2">
      <c r="A1002" s="149" t="s">
        <v>2539</v>
      </c>
      <c r="B1002" s="149" t="s">
        <v>2540</v>
      </c>
    </row>
    <row r="1003" spans="1:2">
      <c r="A1003" s="149" t="s">
        <v>2541</v>
      </c>
      <c r="B1003" s="149" t="s">
        <v>2542</v>
      </c>
    </row>
    <row r="1004" spans="1:2">
      <c r="A1004" s="149" t="s">
        <v>2543</v>
      </c>
      <c r="B1004" s="149" t="s">
        <v>2544</v>
      </c>
    </row>
    <row r="1005" spans="1:2">
      <c r="A1005" s="149" t="s">
        <v>2545</v>
      </c>
      <c r="B1005" s="149" t="s">
        <v>2546</v>
      </c>
    </row>
    <row r="1006" spans="1:2">
      <c r="A1006" s="149" t="s">
        <v>2547</v>
      </c>
      <c r="B1006" s="149" t="s">
        <v>2548</v>
      </c>
    </row>
    <row r="1007" spans="1:2">
      <c r="A1007" s="149" t="s">
        <v>2549</v>
      </c>
      <c r="B1007" s="149" t="s">
        <v>2550</v>
      </c>
    </row>
    <row r="1008" spans="1:2">
      <c r="A1008" s="149" t="s">
        <v>2551</v>
      </c>
      <c r="B1008" s="149" t="s">
        <v>2552</v>
      </c>
    </row>
    <row r="1009" spans="1:2">
      <c r="A1009" s="149" t="s">
        <v>2553</v>
      </c>
      <c r="B1009" s="149" t="s">
        <v>2554</v>
      </c>
    </row>
    <row r="1010" spans="1:2">
      <c r="A1010" s="149" t="s">
        <v>2555</v>
      </c>
      <c r="B1010" s="149" t="s">
        <v>2556</v>
      </c>
    </row>
    <row r="1011" spans="1:2">
      <c r="A1011" s="149" t="s">
        <v>2557</v>
      </c>
      <c r="B1011" s="149" t="s">
        <v>2558</v>
      </c>
    </row>
    <row r="1012" spans="1:2">
      <c r="A1012" s="149" t="s">
        <v>2559</v>
      </c>
      <c r="B1012" s="149" t="s">
        <v>2560</v>
      </c>
    </row>
    <row r="1013" spans="1:2">
      <c r="A1013" s="149" t="s">
        <v>2561</v>
      </c>
      <c r="B1013" s="149" t="s">
        <v>2562</v>
      </c>
    </row>
    <row r="1014" spans="1:2">
      <c r="A1014" s="149" t="s">
        <v>2563</v>
      </c>
      <c r="B1014" s="149" t="s">
        <v>2564</v>
      </c>
    </row>
    <row r="1015" spans="1:2">
      <c r="A1015" s="149" t="s">
        <v>2565</v>
      </c>
      <c r="B1015" s="149" t="s">
        <v>2566</v>
      </c>
    </row>
    <row r="1016" spans="1:2">
      <c r="A1016" s="149" t="s">
        <v>2567</v>
      </c>
      <c r="B1016" s="149" t="s">
        <v>2568</v>
      </c>
    </row>
    <row r="1017" spans="1:2">
      <c r="A1017" s="149" t="s">
        <v>2569</v>
      </c>
      <c r="B1017" s="149" t="s">
        <v>2570</v>
      </c>
    </row>
    <row r="1018" spans="1:2">
      <c r="A1018" s="149" t="s">
        <v>2571</v>
      </c>
      <c r="B1018" s="149" t="s">
        <v>2572</v>
      </c>
    </row>
    <row r="1019" spans="1:2">
      <c r="A1019" s="149" t="s">
        <v>2573</v>
      </c>
      <c r="B1019" s="149" t="s">
        <v>2574</v>
      </c>
    </row>
    <row r="1020" spans="1:2">
      <c r="A1020" s="149" t="s">
        <v>2575</v>
      </c>
      <c r="B1020" s="149" t="s">
        <v>2576</v>
      </c>
    </row>
    <row r="1021" spans="1:2">
      <c r="A1021" s="149" t="s">
        <v>2577</v>
      </c>
      <c r="B1021" s="149" t="s">
        <v>2578</v>
      </c>
    </row>
    <row r="1022" spans="1:2">
      <c r="A1022" s="149" t="s">
        <v>2579</v>
      </c>
      <c r="B1022" s="149" t="s">
        <v>2580</v>
      </c>
    </row>
    <row r="1023" spans="1:2">
      <c r="A1023" s="149" t="s">
        <v>2581</v>
      </c>
      <c r="B1023" s="149" t="s">
        <v>2582</v>
      </c>
    </row>
    <row r="1024" spans="1:2">
      <c r="A1024" s="149" t="s">
        <v>2583</v>
      </c>
      <c r="B1024" s="149" t="s">
        <v>2584</v>
      </c>
    </row>
    <row r="1025" spans="1:2">
      <c r="A1025" s="149" t="s">
        <v>2585</v>
      </c>
      <c r="B1025" s="149" t="s">
        <v>2586</v>
      </c>
    </row>
    <row r="1026" spans="1:2">
      <c r="A1026" s="149" t="s">
        <v>2587</v>
      </c>
      <c r="B1026" s="149" t="s">
        <v>2588</v>
      </c>
    </row>
    <row r="1027" spans="1:2">
      <c r="A1027" s="149" t="s">
        <v>2589</v>
      </c>
      <c r="B1027" s="149" t="s">
        <v>2590</v>
      </c>
    </row>
    <row r="1028" spans="1:2">
      <c r="A1028" s="149" t="s">
        <v>2591</v>
      </c>
      <c r="B1028" s="149" t="s">
        <v>2592</v>
      </c>
    </row>
    <row r="1029" spans="1:2">
      <c r="A1029" s="149" t="s">
        <v>2593</v>
      </c>
      <c r="B1029" s="149" t="s">
        <v>2594</v>
      </c>
    </row>
    <row r="1030" spans="1:2">
      <c r="A1030" s="149" t="s">
        <v>2595</v>
      </c>
      <c r="B1030" s="149" t="s">
        <v>2596</v>
      </c>
    </row>
    <row r="1031" spans="1:2">
      <c r="A1031" s="149" t="s">
        <v>2597</v>
      </c>
      <c r="B1031" s="149" t="s">
        <v>2598</v>
      </c>
    </row>
    <row r="1032" spans="1:2">
      <c r="A1032" s="149" t="s">
        <v>2599</v>
      </c>
      <c r="B1032" s="149" t="s">
        <v>2600</v>
      </c>
    </row>
    <row r="1033" spans="1:2">
      <c r="A1033" s="149" t="s">
        <v>2601</v>
      </c>
      <c r="B1033" s="149" t="s">
        <v>2602</v>
      </c>
    </row>
    <row r="1034" spans="1:2">
      <c r="A1034" s="149" t="s">
        <v>2603</v>
      </c>
      <c r="B1034" s="149" t="s">
        <v>2604</v>
      </c>
    </row>
    <row r="1035" spans="1:2">
      <c r="A1035" s="149" t="s">
        <v>2605</v>
      </c>
      <c r="B1035" s="149" t="s">
        <v>2606</v>
      </c>
    </row>
    <row r="1036" spans="1:2">
      <c r="A1036" s="149" t="s">
        <v>2607</v>
      </c>
      <c r="B1036" s="149" t="s">
        <v>2608</v>
      </c>
    </row>
    <row r="1037" spans="1:2">
      <c r="A1037" s="149" t="s">
        <v>2609</v>
      </c>
      <c r="B1037" s="149" t="s">
        <v>2610</v>
      </c>
    </row>
    <row r="1038" spans="1:2">
      <c r="A1038" s="149" t="s">
        <v>2611</v>
      </c>
      <c r="B1038" s="149" t="s">
        <v>2612</v>
      </c>
    </row>
    <row r="1039" spans="1:2">
      <c r="A1039" s="149" t="s">
        <v>2613</v>
      </c>
      <c r="B1039" s="149" t="s">
        <v>2614</v>
      </c>
    </row>
    <row r="1040" spans="1:2">
      <c r="A1040" s="149" t="s">
        <v>2615</v>
      </c>
      <c r="B1040" s="149" t="s">
        <v>2616</v>
      </c>
    </row>
    <row r="1041" spans="1:2">
      <c r="A1041" s="149" t="s">
        <v>2617</v>
      </c>
      <c r="B1041" s="149" t="s">
        <v>2618</v>
      </c>
    </row>
    <row r="1042" spans="1:2">
      <c r="A1042" s="149" t="s">
        <v>2619</v>
      </c>
      <c r="B1042" s="149" t="s">
        <v>2620</v>
      </c>
    </row>
    <row r="1043" spans="1:2">
      <c r="A1043" s="149" t="s">
        <v>2621</v>
      </c>
      <c r="B1043" s="149" t="s">
        <v>2622</v>
      </c>
    </row>
    <row r="1044" spans="1:2">
      <c r="A1044" s="149" t="s">
        <v>2623</v>
      </c>
      <c r="B1044" s="149" t="s">
        <v>2624</v>
      </c>
    </row>
    <row r="1045" spans="1:2">
      <c r="A1045" s="149" t="s">
        <v>2625</v>
      </c>
      <c r="B1045" s="149" t="s">
        <v>2626</v>
      </c>
    </row>
    <row r="1046" spans="1:2">
      <c r="A1046" s="149" t="s">
        <v>2627</v>
      </c>
      <c r="B1046" s="149" t="s">
        <v>2628</v>
      </c>
    </row>
    <row r="1047" spans="1:2">
      <c r="A1047" s="149" t="s">
        <v>2629</v>
      </c>
      <c r="B1047" s="149" t="s">
        <v>2630</v>
      </c>
    </row>
    <row r="1048" spans="1:2">
      <c r="A1048" s="149" t="s">
        <v>2631</v>
      </c>
      <c r="B1048" s="149" t="s">
        <v>2632</v>
      </c>
    </row>
    <row r="1049" spans="1:2">
      <c r="A1049" s="149" t="s">
        <v>2633</v>
      </c>
      <c r="B1049" s="149" t="s">
        <v>2634</v>
      </c>
    </row>
    <row r="1050" spans="1:2">
      <c r="A1050" s="149" t="s">
        <v>2635</v>
      </c>
      <c r="B1050" s="149" t="s">
        <v>2636</v>
      </c>
    </row>
    <row r="1051" spans="1:2">
      <c r="A1051" s="149" t="s">
        <v>2637</v>
      </c>
      <c r="B1051" s="149" t="s">
        <v>2638</v>
      </c>
    </row>
    <row r="1052" spans="1:2">
      <c r="A1052" s="149" t="s">
        <v>2639</v>
      </c>
      <c r="B1052" s="149" t="s">
        <v>2640</v>
      </c>
    </row>
    <row r="1053" spans="1:2">
      <c r="A1053" s="149" t="s">
        <v>2641</v>
      </c>
      <c r="B1053" s="149" t="s">
        <v>2642</v>
      </c>
    </row>
    <row r="1054" spans="1:2">
      <c r="A1054" s="149" t="s">
        <v>2643</v>
      </c>
      <c r="B1054" s="149" t="s">
        <v>2644</v>
      </c>
    </row>
    <row r="1055" spans="1:2">
      <c r="A1055" s="149" t="s">
        <v>2645</v>
      </c>
      <c r="B1055" s="149" t="s">
        <v>2646</v>
      </c>
    </row>
    <row r="1056" spans="1:2">
      <c r="A1056" s="149" t="s">
        <v>2647</v>
      </c>
      <c r="B1056" s="149" t="s">
        <v>2648</v>
      </c>
    </row>
    <row r="1057" spans="1:2">
      <c r="A1057" s="149" t="s">
        <v>2649</v>
      </c>
      <c r="B1057" s="149" t="s">
        <v>2650</v>
      </c>
    </row>
    <row r="1058" spans="1:2">
      <c r="A1058" s="149" t="s">
        <v>2651</v>
      </c>
      <c r="B1058" s="149" t="s">
        <v>2652</v>
      </c>
    </row>
    <row r="1059" spans="1:2">
      <c r="A1059" s="149" t="s">
        <v>2653</v>
      </c>
      <c r="B1059" s="149" t="s">
        <v>2654</v>
      </c>
    </row>
    <row r="1060" spans="1:2">
      <c r="A1060" s="149" t="s">
        <v>2655</v>
      </c>
      <c r="B1060" s="149" t="s">
        <v>2656</v>
      </c>
    </row>
    <row r="1061" spans="1:2">
      <c r="A1061" s="149" t="s">
        <v>2657</v>
      </c>
      <c r="B1061" s="149" t="s">
        <v>2658</v>
      </c>
    </row>
    <row r="1062" spans="1:2">
      <c r="A1062" s="149" t="s">
        <v>2659</v>
      </c>
      <c r="B1062" s="149" t="s">
        <v>2660</v>
      </c>
    </row>
    <row r="1063" spans="1:2">
      <c r="A1063" s="149" t="s">
        <v>2661</v>
      </c>
      <c r="B1063" s="149" t="s">
        <v>2662</v>
      </c>
    </row>
    <row r="1064" spans="1:2">
      <c r="A1064" s="149" t="s">
        <v>2663</v>
      </c>
      <c r="B1064" s="149" t="s">
        <v>2664</v>
      </c>
    </row>
    <row r="1065" spans="1:2">
      <c r="A1065" s="149" t="s">
        <v>2665</v>
      </c>
      <c r="B1065" s="149" t="s">
        <v>2666</v>
      </c>
    </row>
    <row r="1066" spans="1:2">
      <c r="A1066" s="149" t="s">
        <v>2667</v>
      </c>
      <c r="B1066" s="149" t="s">
        <v>2668</v>
      </c>
    </row>
    <row r="1067" spans="1:2">
      <c r="A1067" s="149" t="s">
        <v>2669</v>
      </c>
      <c r="B1067" s="149" t="s">
        <v>2670</v>
      </c>
    </row>
    <row r="1068" spans="1:2">
      <c r="A1068" s="149" t="s">
        <v>2671</v>
      </c>
      <c r="B1068" s="149" t="s">
        <v>2672</v>
      </c>
    </row>
    <row r="1069" spans="1:2">
      <c r="A1069" s="149" t="s">
        <v>2673</v>
      </c>
      <c r="B1069" s="149" t="s">
        <v>2674</v>
      </c>
    </row>
    <row r="1070" spans="1:2">
      <c r="A1070" s="149" t="s">
        <v>2675</v>
      </c>
      <c r="B1070" s="149" t="s">
        <v>2676</v>
      </c>
    </row>
    <row r="1071" spans="1:2">
      <c r="A1071" s="149" t="s">
        <v>2677</v>
      </c>
      <c r="B1071" s="149" t="s">
        <v>2678</v>
      </c>
    </row>
    <row r="1072" spans="1:2">
      <c r="A1072" s="149" t="s">
        <v>2679</v>
      </c>
      <c r="B1072" s="149" t="s">
        <v>2680</v>
      </c>
    </row>
    <row r="1073" spans="1:2">
      <c r="A1073" s="149" t="s">
        <v>2681</v>
      </c>
      <c r="B1073" s="149" t="s">
        <v>2682</v>
      </c>
    </row>
    <row r="1074" spans="1:2">
      <c r="A1074" s="149" t="s">
        <v>2683</v>
      </c>
      <c r="B1074" s="149" t="s">
        <v>2684</v>
      </c>
    </row>
    <row r="1075" spans="1:2">
      <c r="A1075" s="149" t="s">
        <v>2685</v>
      </c>
      <c r="B1075" s="149" t="s">
        <v>2686</v>
      </c>
    </row>
    <row r="1076" spans="1:2">
      <c r="A1076" s="149" t="s">
        <v>2687</v>
      </c>
      <c r="B1076" s="149" t="s">
        <v>2688</v>
      </c>
    </row>
    <row r="1077" spans="1:2">
      <c r="A1077" s="149" t="s">
        <v>2689</v>
      </c>
      <c r="B1077" s="149" t="s">
        <v>2690</v>
      </c>
    </row>
    <row r="1078" spans="1:2">
      <c r="A1078" s="149" t="s">
        <v>2691</v>
      </c>
      <c r="B1078" s="149" t="s">
        <v>2692</v>
      </c>
    </row>
    <row r="1079" spans="1:2">
      <c r="A1079" s="149" t="s">
        <v>2693</v>
      </c>
      <c r="B1079" s="149" t="s">
        <v>2694</v>
      </c>
    </row>
    <row r="1080" spans="1:2">
      <c r="A1080" s="149" t="s">
        <v>2695</v>
      </c>
      <c r="B1080" s="149" t="s">
        <v>2696</v>
      </c>
    </row>
    <row r="1081" spans="1:2">
      <c r="A1081" s="149" t="s">
        <v>2697</v>
      </c>
      <c r="B1081" s="149" t="s">
        <v>2698</v>
      </c>
    </row>
    <row r="1082" spans="1:2">
      <c r="A1082" s="149" t="s">
        <v>2699</v>
      </c>
      <c r="B1082" s="149" t="s">
        <v>2700</v>
      </c>
    </row>
    <row r="1083" spans="1:2">
      <c r="A1083" s="149" t="s">
        <v>2701</v>
      </c>
      <c r="B1083" s="149" t="s">
        <v>2702</v>
      </c>
    </row>
    <row r="1084" spans="1:2">
      <c r="A1084" s="149" t="s">
        <v>2703</v>
      </c>
      <c r="B1084" s="149" t="s">
        <v>2704</v>
      </c>
    </row>
    <row r="1085" spans="1:2">
      <c r="A1085" s="149" t="s">
        <v>2705</v>
      </c>
      <c r="B1085" s="149" t="s">
        <v>2706</v>
      </c>
    </row>
    <row r="1086" spans="1:2">
      <c r="A1086" s="149" t="s">
        <v>2707</v>
      </c>
      <c r="B1086" s="149" t="s">
        <v>2708</v>
      </c>
    </row>
    <row r="1087" spans="1:2">
      <c r="A1087" s="149" t="s">
        <v>2709</v>
      </c>
      <c r="B1087" s="149" t="s">
        <v>2710</v>
      </c>
    </row>
    <row r="1088" spans="1:2">
      <c r="A1088" s="149" t="s">
        <v>2711</v>
      </c>
      <c r="B1088" s="149" t="s">
        <v>2712</v>
      </c>
    </row>
    <row r="1089" spans="1:2">
      <c r="A1089" s="149" t="s">
        <v>2713</v>
      </c>
      <c r="B1089" s="149" t="s">
        <v>2714</v>
      </c>
    </row>
    <row r="1090" spans="1:2">
      <c r="A1090" s="149" t="s">
        <v>2715</v>
      </c>
      <c r="B1090" s="149" t="s">
        <v>2716</v>
      </c>
    </row>
    <row r="1091" spans="1:2">
      <c r="A1091" s="149" t="s">
        <v>2717</v>
      </c>
      <c r="B1091" s="149" t="s">
        <v>2718</v>
      </c>
    </row>
    <row r="1092" spans="1:2">
      <c r="A1092" s="149" t="s">
        <v>2719</v>
      </c>
      <c r="B1092" s="149" t="s">
        <v>2720</v>
      </c>
    </row>
    <row r="1093" spans="1:2">
      <c r="A1093" s="149" t="s">
        <v>2721</v>
      </c>
      <c r="B1093" s="149" t="s">
        <v>2722</v>
      </c>
    </row>
    <row r="1094" spans="1:2">
      <c r="A1094" s="149" t="s">
        <v>2723</v>
      </c>
      <c r="B1094" s="149" t="s">
        <v>2724</v>
      </c>
    </row>
    <row r="1095" spans="1:2">
      <c r="A1095" s="149" t="s">
        <v>2725</v>
      </c>
      <c r="B1095" s="149" t="s">
        <v>2726</v>
      </c>
    </row>
    <row r="1096" spans="1:2">
      <c r="A1096" s="149" t="s">
        <v>2727</v>
      </c>
      <c r="B1096" s="149" t="s">
        <v>2728</v>
      </c>
    </row>
    <row r="1097" spans="1:2">
      <c r="A1097" s="149" t="s">
        <v>2729</v>
      </c>
      <c r="B1097" s="149" t="s">
        <v>2730</v>
      </c>
    </row>
    <row r="1098" spans="1:2">
      <c r="A1098" s="149" t="s">
        <v>2731</v>
      </c>
      <c r="B1098" s="149" t="s">
        <v>2732</v>
      </c>
    </row>
    <row r="1099" spans="1:2">
      <c r="A1099" s="149" t="s">
        <v>2733</v>
      </c>
      <c r="B1099" s="149" t="s">
        <v>2734</v>
      </c>
    </row>
    <row r="1100" spans="1:2">
      <c r="A1100" s="149" t="s">
        <v>2735</v>
      </c>
      <c r="B1100" s="149" t="s">
        <v>2736</v>
      </c>
    </row>
    <row r="1101" spans="1:2">
      <c r="A1101" s="149" t="s">
        <v>2737</v>
      </c>
      <c r="B1101" s="149" t="s">
        <v>2738</v>
      </c>
    </row>
    <row r="1102" spans="1:2">
      <c r="A1102" s="149" t="s">
        <v>2739</v>
      </c>
      <c r="B1102" s="149" t="s">
        <v>2740</v>
      </c>
    </row>
    <row r="1103" spans="1:2">
      <c r="A1103" s="149" t="s">
        <v>2741</v>
      </c>
      <c r="B1103" s="149" t="s">
        <v>2742</v>
      </c>
    </row>
    <row r="1104" spans="1:2">
      <c r="A1104" s="149" t="s">
        <v>2743</v>
      </c>
      <c r="B1104" s="149" t="s">
        <v>2744</v>
      </c>
    </row>
    <row r="1105" spans="1:2">
      <c r="A1105" s="149" t="s">
        <v>2745</v>
      </c>
      <c r="B1105" s="149" t="s">
        <v>2746</v>
      </c>
    </row>
    <row r="1106" spans="1:2">
      <c r="A1106" s="149" t="s">
        <v>2747</v>
      </c>
      <c r="B1106" s="149" t="s">
        <v>2748</v>
      </c>
    </row>
    <row r="1107" spans="1:2">
      <c r="A1107" s="149" t="s">
        <v>2749</v>
      </c>
      <c r="B1107" s="149" t="s">
        <v>2750</v>
      </c>
    </row>
    <row r="1108" spans="1:2">
      <c r="A1108" s="149" t="s">
        <v>2751</v>
      </c>
      <c r="B1108" s="149" t="s">
        <v>2752</v>
      </c>
    </row>
    <row r="1109" spans="1:2">
      <c r="A1109" s="149" t="s">
        <v>2753</v>
      </c>
      <c r="B1109" s="149" t="s">
        <v>2754</v>
      </c>
    </row>
    <row r="1110" spans="1:2">
      <c r="A1110" s="149" t="s">
        <v>2755</v>
      </c>
      <c r="B1110" s="149" t="s">
        <v>2756</v>
      </c>
    </row>
    <row r="1111" spans="1:2">
      <c r="A1111" s="149" t="s">
        <v>2757</v>
      </c>
      <c r="B1111" s="149" t="s">
        <v>2758</v>
      </c>
    </row>
    <row r="1112" spans="1:2">
      <c r="A1112" s="149" t="s">
        <v>2759</v>
      </c>
      <c r="B1112" s="149" t="s">
        <v>2760</v>
      </c>
    </row>
    <row r="1113" spans="1:2">
      <c r="A1113" s="149" t="s">
        <v>2761</v>
      </c>
      <c r="B1113" s="149" t="s">
        <v>2762</v>
      </c>
    </row>
    <row r="1114" spans="1:2">
      <c r="A1114" s="149" t="s">
        <v>2763</v>
      </c>
      <c r="B1114" s="149" t="s">
        <v>2764</v>
      </c>
    </row>
    <row r="1115" spans="1:2">
      <c r="A1115" s="149" t="s">
        <v>2765</v>
      </c>
      <c r="B1115" s="149" t="s">
        <v>2766</v>
      </c>
    </row>
    <row r="1116" spans="1:2">
      <c r="A1116" s="149" t="s">
        <v>2767</v>
      </c>
      <c r="B1116" s="149" t="s">
        <v>2768</v>
      </c>
    </row>
    <row r="1117" spans="1:2">
      <c r="A1117" s="149" t="s">
        <v>2769</v>
      </c>
      <c r="B1117" s="149" t="s">
        <v>2770</v>
      </c>
    </row>
    <row r="1118" spans="1:2">
      <c r="A1118" s="149" t="s">
        <v>2771</v>
      </c>
      <c r="B1118" s="149" t="s">
        <v>2772</v>
      </c>
    </row>
    <row r="1119" spans="1:2">
      <c r="A1119" s="149" t="s">
        <v>2773</v>
      </c>
      <c r="B1119" s="149" t="s">
        <v>2774</v>
      </c>
    </row>
    <row r="1120" spans="1:2">
      <c r="A1120" s="149" t="s">
        <v>2775</v>
      </c>
      <c r="B1120" s="149" t="s">
        <v>2776</v>
      </c>
    </row>
    <row r="1121" spans="1:2">
      <c r="A1121" s="149" t="s">
        <v>2777</v>
      </c>
      <c r="B1121" s="149" t="s">
        <v>2778</v>
      </c>
    </row>
    <row r="1122" spans="1:2">
      <c r="A1122" s="149" t="s">
        <v>2779</v>
      </c>
      <c r="B1122" s="149" t="s">
        <v>2780</v>
      </c>
    </row>
    <row r="1123" spans="1:2">
      <c r="A1123" s="149" t="s">
        <v>2781</v>
      </c>
      <c r="B1123" s="149" t="s">
        <v>2782</v>
      </c>
    </row>
    <row r="1124" spans="1:2">
      <c r="A1124" s="149" t="s">
        <v>2783</v>
      </c>
      <c r="B1124" s="149" t="s">
        <v>2784</v>
      </c>
    </row>
    <row r="1125" spans="1:2">
      <c r="A1125" s="149" t="s">
        <v>2785</v>
      </c>
      <c r="B1125" s="149" t="s">
        <v>2786</v>
      </c>
    </row>
    <row r="1126" spans="1:2">
      <c r="A1126" s="149" t="s">
        <v>2787</v>
      </c>
      <c r="B1126" s="149" t="s">
        <v>2788</v>
      </c>
    </row>
    <row r="1127" spans="1:2">
      <c r="A1127" s="149" t="s">
        <v>2789</v>
      </c>
      <c r="B1127" s="149" t="s">
        <v>2790</v>
      </c>
    </row>
    <row r="1128" spans="1:2">
      <c r="A1128" s="149" t="s">
        <v>2791</v>
      </c>
      <c r="B1128" s="149" t="s">
        <v>2792</v>
      </c>
    </row>
    <row r="1129" spans="1:2">
      <c r="A1129" s="149" t="s">
        <v>2793</v>
      </c>
      <c r="B1129" s="149" t="s">
        <v>2794</v>
      </c>
    </row>
    <row r="1130" spans="1:2">
      <c r="A1130" s="149" t="s">
        <v>2795</v>
      </c>
      <c r="B1130" s="149" t="s">
        <v>2796</v>
      </c>
    </row>
    <row r="1131" spans="1:2">
      <c r="A1131" s="149" t="s">
        <v>2797</v>
      </c>
      <c r="B1131" s="149" t="s">
        <v>2798</v>
      </c>
    </row>
    <row r="1132" spans="1:2">
      <c r="A1132" s="149" t="s">
        <v>2799</v>
      </c>
      <c r="B1132" s="149" t="s">
        <v>2800</v>
      </c>
    </row>
    <row r="1133" spans="1:2">
      <c r="A1133" s="149" t="s">
        <v>2801</v>
      </c>
      <c r="B1133" s="149" t="s">
        <v>2802</v>
      </c>
    </row>
    <row r="1134" spans="1:2">
      <c r="A1134" s="149" t="s">
        <v>2803</v>
      </c>
      <c r="B1134" s="149" t="s">
        <v>2804</v>
      </c>
    </row>
    <row r="1135" spans="1:2">
      <c r="A1135" s="149" t="s">
        <v>2805</v>
      </c>
      <c r="B1135" s="149" t="s">
        <v>2806</v>
      </c>
    </row>
    <row r="1136" spans="1:2">
      <c r="A1136" s="149" t="s">
        <v>2807</v>
      </c>
      <c r="B1136" s="149" t="s">
        <v>2808</v>
      </c>
    </row>
    <row r="1137" spans="1:2">
      <c r="A1137" s="149" t="s">
        <v>2809</v>
      </c>
      <c r="B1137" s="149" t="s">
        <v>2810</v>
      </c>
    </row>
    <row r="1138" spans="1:2">
      <c r="A1138" s="149" t="s">
        <v>2811</v>
      </c>
      <c r="B1138" s="149" t="s">
        <v>2812</v>
      </c>
    </row>
    <row r="1139" spans="1:2">
      <c r="A1139" s="149" t="s">
        <v>2813</v>
      </c>
      <c r="B1139" s="149" t="s">
        <v>2814</v>
      </c>
    </row>
    <row r="1140" spans="1:2">
      <c r="A1140" s="149" t="s">
        <v>2815</v>
      </c>
      <c r="B1140" s="149" t="s">
        <v>2816</v>
      </c>
    </row>
    <row r="1141" spans="1:2">
      <c r="A1141" s="149" t="s">
        <v>2817</v>
      </c>
      <c r="B1141" s="149" t="s">
        <v>2818</v>
      </c>
    </row>
    <row r="1142" spans="1:2">
      <c r="A1142" s="149" t="s">
        <v>2819</v>
      </c>
      <c r="B1142" s="149" t="s">
        <v>2820</v>
      </c>
    </row>
    <row r="1143" spans="1:2">
      <c r="A1143" s="149" t="s">
        <v>2821</v>
      </c>
      <c r="B1143" s="149" t="s">
        <v>2822</v>
      </c>
    </row>
    <row r="1144" spans="1:2">
      <c r="A1144" s="149" t="s">
        <v>2823</v>
      </c>
      <c r="B1144" s="149" t="s">
        <v>2824</v>
      </c>
    </row>
    <row r="1145" spans="1:2">
      <c r="A1145" s="149" t="s">
        <v>2825</v>
      </c>
      <c r="B1145" s="149" t="s">
        <v>2826</v>
      </c>
    </row>
    <row r="1146" spans="1:2">
      <c r="A1146" s="149" t="s">
        <v>2827</v>
      </c>
      <c r="B1146" s="149" t="s">
        <v>2828</v>
      </c>
    </row>
    <row r="1147" spans="1:2">
      <c r="A1147" s="149" t="s">
        <v>2829</v>
      </c>
      <c r="B1147" s="149" t="s">
        <v>2830</v>
      </c>
    </row>
    <row r="1148" spans="1:2">
      <c r="A1148" s="149" t="s">
        <v>2831</v>
      </c>
      <c r="B1148" s="149" t="s">
        <v>2832</v>
      </c>
    </row>
    <row r="1149" spans="1:2">
      <c r="A1149" s="149" t="s">
        <v>2833</v>
      </c>
      <c r="B1149" s="149" t="s">
        <v>2834</v>
      </c>
    </row>
    <row r="1150" spans="1:2">
      <c r="A1150" s="149" t="s">
        <v>2835</v>
      </c>
      <c r="B1150" s="149" t="s">
        <v>2836</v>
      </c>
    </row>
    <row r="1151" spans="1:2">
      <c r="A1151" s="149" t="s">
        <v>2837</v>
      </c>
      <c r="B1151" s="149" t="s">
        <v>2838</v>
      </c>
    </row>
    <row r="1152" spans="1:2">
      <c r="A1152" s="149" t="s">
        <v>2839</v>
      </c>
      <c r="B1152" s="149" t="s">
        <v>2840</v>
      </c>
    </row>
    <row r="1153" spans="1:2">
      <c r="A1153" s="149" t="s">
        <v>2841</v>
      </c>
      <c r="B1153" s="149" t="s">
        <v>2842</v>
      </c>
    </row>
    <row r="1154" spans="1:2">
      <c r="A1154" s="149" t="s">
        <v>2843</v>
      </c>
      <c r="B1154" s="149" t="s">
        <v>2844</v>
      </c>
    </row>
    <row r="1155" spans="1:2">
      <c r="A1155" s="149" t="s">
        <v>2845</v>
      </c>
      <c r="B1155" s="149" t="s">
        <v>2846</v>
      </c>
    </row>
    <row r="1156" spans="1:2">
      <c r="A1156" s="149" t="s">
        <v>2847</v>
      </c>
      <c r="B1156" s="149" t="s">
        <v>2848</v>
      </c>
    </row>
    <row r="1157" spans="1:2">
      <c r="A1157" s="149" t="s">
        <v>2849</v>
      </c>
      <c r="B1157" s="149" t="s">
        <v>2850</v>
      </c>
    </row>
    <row r="1158" spans="1:2">
      <c r="A1158" s="149" t="s">
        <v>2851</v>
      </c>
      <c r="B1158" s="149" t="s">
        <v>2852</v>
      </c>
    </row>
    <row r="1159" spans="1:2">
      <c r="A1159" s="149" t="s">
        <v>2853</v>
      </c>
      <c r="B1159" s="149" t="s">
        <v>2854</v>
      </c>
    </row>
    <row r="1160" spans="1:2">
      <c r="A1160" s="149" t="s">
        <v>2855</v>
      </c>
      <c r="B1160" s="149" t="s">
        <v>2856</v>
      </c>
    </row>
    <row r="1161" spans="1:2">
      <c r="A1161" s="149" t="s">
        <v>2857</v>
      </c>
      <c r="B1161" s="149" t="s">
        <v>2858</v>
      </c>
    </row>
    <row r="1162" spans="1:2">
      <c r="A1162" s="149" t="s">
        <v>2859</v>
      </c>
      <c r="B1162" s="149" t="s">
        <v>2860</v>
      </c>
    </row>
    <row r="1163" spans="1:2">
      <c r="A1163" s="149" t="s">
        <v>2861</v>
      </c>
      <c r="B1163" s="149" t="s">
        <v>2862</v>
      </c>
    </row>
    <row r="1164" spans="1:2">
      <c r="A1164" s="149" t="s">
        <v>2863</v>
      </c>
      <c r="B1164" s="149" t="s">
        <v>2864</v>
      </c>
    </row>
    <row r="1165" spans="1:2">
      <c r="A1165" s="149" t="s">
        <v>2865</v>
      </c>
      <c r="B1165" s="149" t="s">
        <v>2866</v>
      </c>
    </row>
    <row r="1166" spans="1:2">
      <c r="A1166" s="149" t="s">
        <v>2867</v>
      </c>
      <c r="B1166" s="149" t="s">
        <v>2868</v>
      </c>
    </row>
    <row r="1167" spans="1:2">
      <c r="A1167" s="149" t="s">
        <v>2869</v>
      </c>
      <c r="B1167" s="149" t="s">
        <v>2870</v>
      </c>
    </row>
    <row r="1168" spans="1:2">
      <c r="A1168" s="149" t="s">
        <v>2871</v>
      </c>
      <c r="B1168" s="149" t="s">
        <v>2872</v>
      </c>
    </row>
    <row r="1169" spans="1:2">
      <c r="A1169" s="149" t="s">
        <v>2873</v>
      </c>
      <c r="B1169" s="149" t="s">
        <v>2874</v>
      </c>
    </row>
    <row r="1170" spans="1:2">
      <c r="A1170" s="149" t="s">
        <v>2875</v>
      </c>
      <c r="B1170" s="149" t="s">
        <v>2876</v>
      </c>
    </row>
    <row r="1171" spans="1:2">
      <c r="A1171" s="149" t="s">
        <v>2877</v>
      </c>
      <c r="B1171" s="149" t="s">
        <v>2878</v>
      </c>
    </row>
    <row r="1172" spans="1:2">
      <c r="A1172" s="149" t="s">
        <v>2879</v>
      </c>
      <c r="B1172" s="149" t="s">
        <v>2880</v>
      </c>
    </row>
    <row r="1173" spans="1:2">
      <c r="A1173" s="149" t="s">
        <v>2881</v>
      </c>
      <c r="B1173" s="149" t="s">
        <v>2882</v>
      </c>
    </row>
    <row r="1174" spans="1:2">
      <c r="A1174" s="149" t="s">
        <v>2883</v>
      </c>
      <c r="B1174" s="149" t="s">
        <v>2884</v>
      </c>
    </row>
    <row r="1175" spans="1:2">
      <c r="A1175" s="149" t="s">
        <v>2885</v>
      </c>
      <c r="B1175" s="149" t="s">
        <v>2886</v>
      </c>
    </row>
    <row r="1176" spans="1:2">
      <c r="A1176" s="149" t="s">
        <v>2887</v>
      </c>
      <c r="B1176" s="149" t="s">
        <v>2888</v>
      </c>
    </row>
    <row r="1177" spans="1:2">
      <c r="A1177" s="149" t="s">
        <v>2889</v>
      </c>
      <c r="B1177" s="149" t="s">
        <v>2890</v>
      </c>
    </row>
    <row r="1178" spans="1:2">
      <c r="A1178" s="149" t="s">
        <v>2891</v>
      </c>
      <c r="B1178" s="149" t="s">
        <v>2892</v>
      </c>
    </row>
    <row r="1179" spans="1:2">
      <c r="A1179" s="149" t="s">
        <v>2893</v>
      </c>
      <c r="B1179" s="149" t="s">
        <v>2894</v>
      </c>
    </row>
    <row r="1180" spans="1:2">
      <c r="A1180" s="149" t="s">
        <v>2895</v>
      </c>
      <c r="B1180" s="149" t="s">
        <v>2896</v>
      </c>
    </row>
    <row r="1181" spans="1:2">
      <c r="A1181" s="149" t="s">
        <v>2897</v>
      </c>
      <c r="B1181" s="149" t="s">
        <v>2898</v>
      </c>
    </row>
    <row r="1182" spans="1:2">
      <c r="A1182" s="149" t="s">
        <v>2899</v>
      </c>
      <c r="B1182" s="149" t="s">
        <v>2900</v>
      </c>
    </row>
    <row r="1183" spans="1:2">
      <c r="A1183" s="149" t="s">
        <v>2901</v>
      </c>
      <c r="B1183" s="149" t="s">
        <v>2902</v>
      </c>
    </row>
    <row r="1184" spans="1:2">
      <c r="A1184" s="149" t="s">
        <v>2903</v>
      </c>
      <c r="B1184" s="149" t="s">
        <v>2904</v>
      </c>
    </row>
    <row r="1185" spans="1:2">
      <c r="A1185" s="149" t="s">
        <v>2905</v>
      </c>
      <c r="B1185" s="149" t="s">
        <v>2906</v>
      </c>
    </row>
    <row r="1186" spans="1:2">
      <c r="A1186" s="149" t="s">
        <v>2907</v>
      </c>
      <c r="B1186" s="149" t="s">
        <v>2908</v>
      </c>
    </row>
    <row r="1187" spans="1:2">
      <c r="A1187" s="149" t="s">
        <v>2909</v>
      </c>
      <c r="B1187" s="149" t="s">
        <v>2910</v>
      </c>
    </row>
    <row r="1188" spans="1:2">
      <c r="A1188" s="149" t="s">
        <v>2911</v>
      </c>
      <c r="B1188" s="149" t="s">
        <v>2912</v>
      </c>
    </row>
    <row r="1189" spans="1:2">
      <c r="A1189" s="149" t="s">
        <v>2913</v>
      </c>
      <c r="B1189" s="149" t="s">
        <v>2914</v>
      </c>
    </row>
    <row r="1190" spans="1:2">
      <c r="A1190" s="149" t="s">
        <v>2915</v>
      </c>
      <c r="B1190" s="149" t="s">
        <v>2916</v>
      </c>
    </row>
    <row r="1191" spans="1:2">
      <c r="A1191" s="149" t="s">
        <v>2917</v>
      </c>
      <c r="B1191" s="149" t="s">
        <v>2918</v>
      </c>
    </row>
    <row r="1192" spans="1:2">
      <c r="A1192" s="149" t="s">
        <v>2919</v>
      </c>
      <c r="B1192" s="149" t="s">
        <v>2920</v>
      </c>
    </row>
    <row r="1193" spans="1:2">
      <c r="A1193" s="149" t="s">
        <v>2921</v>
      </c>
      <c r="B1193" s="149" t="s">
        <v>2922</v>
      </c>
    </row>
    <row r="1194" spans="1:2">
      <c r="A1194" s="149" t="s">
        <v>2923</v>
      </c>
      <c r="B1194" s="149" t="s">
        <v>2924</v>
      </c>
    </row>
    <row r="1195" spans="1:2">
      <c r="A1195" s="149" t="s">
        <v>2925</v>
      </c>
      <c r="B1195" s="149" t="s">
        <v>2926</v>
      </c>
    </row>
    <row r="1196" spans="1:2">
      <c r="A1196" s="149" t="s">
        <v>2927</v>
      </c>
      <c r="B1196" s="149" t="s">
        <v>2928</v>
      </c>
    </row>
    <row r="1197" spans="1:2">
      <c r="A1197" s="149" t="s">
        <v>2929</v>
      </c>
      <c r="B1197" s="149" t="s">
        <v>2930</v>
      </c>
    </row>
    <row r="1198" spans="1:2">
      <c r="A1198" s="149" t="s">
        <v>2931</v>
      </c>
      <c r="B1198" s="149" t="s">
        <v>2932</v>
      </c>
    </row>
    <row r="1199" spans="1:2">
      <c r="A1199" s="149" t="s">
        <v>2933</v>
      </c>
      <c r="B1199" s="149" t="s">
        <v>2934</v>
      </c>
    </row>
    <row r="1200" spans="1:2">
      <c r="A1200" s="149" t="s">
        <v>2935</v>
      </c>
      <c r="B1200" s="149" t="s">
        <v>2936</v>
      </c>
    </row>
    <row r="1201" spans="1:2">
      <c r="A1201" s="149" t="s">
        <v>2937</v>
      </c>
      <c r="B1201" s="149" t="s">
        <v>2938</v>
      </c>
    </row>
    <row r="1202" spans="1:2">
      <c r="A1202" s="149" t="s">
        <v>2939</v>
      </c>
      <c r="B1202" s="149" t="s">
        <v>2940</v>
      </c>
    </row>
    <row r="1203" spans="1:2">
      <c r="A1203" s="149" t="s">
        <v>2941</v>
      </c>
      <c r="B1203" s="149" t="s">
        <v>2942</v>
      </c>
    </row>
    <row r="1204" spans="1:2">
      <c r="A1204" s="149" t="s">
        <v>2943</v>
      </c>
      <c r="B1204" s="149" t="s">
        <v>2944</v>
      </c>
    </row>
    <row r="1205" spans="1:2">
      <c r="A1205" s="149" t="s">
        <v>2945</v>
      </c>
      <c r="B1205" s="149" t="s">
        <v>2946</v>
      </c>
    </row>
    <row r="1206" spans="1:2">
      <c r="A1206" s="149" t="s">
        <v>2947</v>
      </c>
      <c r="B1206" s="149" t="s">
        <v>2948</v>
      </c>
    </row>
    <row r="1207" spans="1:2">
      <c r="A1207" s="149" t="s">
        <v>2949</v>
      </c>
      <c r="B1207" s="149" t="s">
        <v>2950</v>
      </c>
    </row>
    <row r="1208" spans="1:2">
      <c r="A1208" s="149" t="s">
        <v>2951</v>
      </c>
      <c r="B1208" s="149" t="s">
        <v>2952</v>
      </c>
    </row>
    <row r="1209" spans="1:2">
      <c r="A1209" s="149" t="s">
        <v>2953</v>
      </c>
      <c r="B1209" s="149" t="s">
        <v>2954</v>
      </c>
    </row>
    <row r="1210" spans="1:2">
      <c r="A1210" s="149" t="s">
        <v>2955</v>
      </c>
      <c r="B1210" s="149" t="s">
        <v>2956</v>
      </c>
    </row>
    <row r="1211" spans="1:2">
      <c r="A1211" s="149" t="s">
        <v>2957</v>
      </c>
      <c r="B1211" s="149" t="s">
        <v>2958</v>
      </c>
    </row>
    <row r="1212" spans="1:2">
      <c r="A1212" s="149" t="s">
        <v>2959</v>
      </c>
      <c r="B1212" s="149" t="s">
        <v>2960</v>
      </c>
    </row>
    <row r="1213" spans="1:2">
      <c r="A1213" s="149" t="s">
        <v>2961</v>
      </c>
      <c r="B1213" s="149" t="s">
        <v>2962</v>
      </c>
    </row>
    <row r="1214" spans="1:2">
      <c r="A1214" s="149" t="s">
        <v>2963</v>
      </c>
      <c r="B1214" s="149" t="s">
        <v>2964</v>
      </c>
    </row>
    <row r="1215" spans="1:2">
      <c r="A1215" s="149" t="s">
        <v>2965</v>
      </c>
      <c r="B1215" s="149" t="s">
        <v>2966</v>
      </c>
    </row>
    <row r="1216" spans="1:2">
      <c r="A1216" s="149" t="s">
        <v>2967</v>
      </c>
      <c r="B1216" s="149" t="s">
        <v>2968</v>
      </c>
    </row>
    <row r="1217" spans="1:2">
      <c r="A1217" s="149" t="s">
        <v>2969</v>
      </c>
      <c r="B1217" s="149" t="s">
        <v>2970</v>
      </c>
    </row>
    <row r="1218" spans="1:2">
      <c r="A1218" s="149" t="s">
        <v>2971</v>
      </c>
      <c r="B1218" s="149" t="s">
        <v>2972</v>
      </c>
    </row>
    <row r="1219" spans="1:2">
      <c r="A1219" s="149" t="s">
        <v>2973</v>
      </c>
      <c r="B1219" s="149" t="s">
        <v>2974</v>
      </c>
    </row>
    <row r="1220" spans="1:2">
      <c r="A1220" s="149" t="s">
        <v>2975</v>
      </c>
      <c r="B1220" s="149" t="s">
        <v>2976</v>
      </c>
    </row>
    <row r="1221" spans="1:2">
      <c r="A1221" s="149" t="s">
        <v>2977</v>
      </c>
      <c r="B1221" s="149" t="s">
        <v>2978</v>
      </c>
    </row>
    <row r="1222" spans="1:2">
      <c r="A1222" s="149" t="s">
        <v>2979</v>
      </c>
      <c r="B1222" s="149" t="s">
        <v>2980</v>
      </c>
    </row>
    <row r="1223" spans="1:2">
      <c r="A1223" s="149" t="s">
        <v>2981</v>
      </c>
      <c r="B1223" s="149" t="s">
        <v>2982</v>
      </c>
    </row>
    <row r="1224" spans="1:2">
      <c r="A1224" s="149" t="s">
        <v>2983</v>
      </c>
      <c r="B1224" s="149" t="s">
        <v>2984</v>
      </c>
    </row>
    <row r="1225" spans="1:2">
      <c r="A1225" s="149" t="s">
        <v>2985</v>
      </c>
      <c r="B1225" s="149" t="s">
        <v>2986</v>
      </c>
    </row>
    <row r="1226" spans="1:2">
      <c r="A1226" s="149" t="s">
        <v>2987</v>
      </c>
      <c r="B1226" s="149" t="s">
        <v>2988</v>
      </c>
    </row>
    <row r="1227" spans="1:2">
      <c r="A1227" s="149" t="s">
        <v>2989</v>
      </c>
      <c r="B1227" s="149" t="s">
        <v>2990</v>
      </c>
    </row>
    <row r="1228" spans="1:2">
      <c r="A1228" s="149" t="s">
        <v>2991</v>
      </c>
      <c r="B1228" s="149" t="s">
        <v>2992</v>
      </c>
    </row>
    <row r="1229" spans="1:2">
      <c r="A1229" s="149" t="s">
        <v>2993</v>
      </c>
      <c r="B1229" s="149" t="s">
        <v>2994</v>
      </c>
    </row>
    <row r="1230" spans="1:2">
      <c r="A1230" s="149" t="s">
        <v>2995</v>
      </c>
      <c r="B1230" s="149" t="s">
        <v>2996</v>
      </c>
    </row>
    <row r="1231" spans="1:2">
      <c r="A1231" s="149" t="s">
        <v>2997</v>
      </c>
      <c r="B1231" s="149" t="s">
        <v>2998</v>
      </c>
    </row>
    <row r="1232" spans="1:2">
      <c r="A1232" s="149" t="s">
        <v>2999</v>
      </c>
      <c r="B1232" s="149" t="s">
        <v>3000</v>
      </c>
    </row>
    <row r="1233" spans="1:2">
      <c r="A1233" s="149" t="s">
        <v>3001</v>
      </c>
      <c r="B1233" s="149" t="s">
        <v>3002</v>
      </c>
    </row>
    <row r="1234" spans="1:2">
      <c r="A1234" s="149" t="s">
        <v>3003</v>
      </c>
      <c r="B1234" s="149" t="s">
        <v>3004</v>
      </c>
    </row>
    <row r="1235" spans="1:2">
      <c r="A1235" s="149" t="s">
        <v>3005</v>
      </c>
      <c r="B1235" s="149" t="s">
        <v>3006</v>
      </c>
    </row>
    <row r="1236" spans="1:2">
      <c r="A1236" s="149" t="s">
        <v>3007</v>
      </c>
      <c r="B1236" s="149" t="s">
        <v>3008</v>
      </c>
    </row>
    <row r="1237" spans="1:2">
      <c r="A1237" s="149" t="s">
        <v>3009</v>
      </c>
      <c r="B1237" s="149" t="s">
        <v>3010</v>
      </c>
    </row>
    <row r="1238" spans="1:2">
      <c r="A1238" s="149" t="s">
        <v>3011</v>
      </c>
      <c r="B1238" s="149" t="s">
        <v>3012</v>
      </c>
    </row>
    <row r="1239" spans="1:2">
      <c r="A1239" s="149" t="s">
        <v>3013</v>
      </c>
      <c r="B1239" s="149" t="s">
        <v>3014</v>
      </c>
    </row>
    <row r="1240" spans="1:2">
      <c r="A1240" s="149" t="s">
        <v>3015</v>
      </c>
      <c r="B1240" s="149" t="s">
        <v>3016</v>
      </c>
    </row>
    <row r="1241" spans="1:2">
      <c r="A1241" s="149" t="s">
        <v>3017</v>
      </c>
      <c r="B1241" s="149" t="s">
        <v>3018</v>
      </c>
    </row>
    <row r="1242" spans="1:2">
      <c r="A1242" s="149" t="s">
        <v>3019</v>
      </c>
      <c r="B1242" s="149" t="s">
        <v>3020</v>
      </c>
    </row>
    <row r="1243" spans="1:2">
      <c r="A1243" s="149" t="s">
        <v>3021</v>
      </c>
      <c r="B1243" s="149" t="s">
        <v>3022</v>
      </c>
    </row>
    <row r="1244" spans="1:2">
      <c r="A1244" s="149" t="s">
        <v>3023</v>
      </c>
      <c r="B1244" s="149" t="s">
        <v>3024</v>
      </c>
    </row>
    <row r="1245" spans="1:2">
      <c r="A1245" s="149" t="s">
        <v>3025</v>
      </c>
      <c r="B1245" s="149" t="s">
        <v>3026</v>
      </c>
    </row>
    <row r="1246" spans="1:2">
      <c r="A1246" s="149" t="s">
        <v>3027</v>
      </c>
      <c r="B1246" s="149" t="s">
        <v>3028</v>
      </c>
    </row>
    <row r="1247" spans="1:2">
      <c r="A1247" s="149" t="s">
        <v>3029</v>
      </c>
      <c r="B1247" s="149" t="s">
        <v>3030</v>
      </c>
    </row>
    <row r="1248" spans="1:2">
      <c r="A1248" s="149" t="s">
        <v>3031</v>
      </c>
      <c r="B1248" s="149" t="s">
        <v>3032</v>
      </c>
    </row>
    <row r="1249" spans="1:2">
      <c r="A1249" s="149" t="s">
        <v>3033</v>
      </c>
      <c r="B1249" s="149" t="s">
        <v>3034</v>
      </c>
    </row>
    <row r="1250" spans="1:2">
      <c r="A1250" s="149" t="s">
        <v>3035</v>
      </c>
      <c r="B1250" s="149" t="s">
        <v>3036</v>
      </c>
    </row>
    <row r="1251" spans="1:2">
      <c r="A1251" s="149" t="s">
        <v>3037</v>
      </c>
      <c r="B1251" s="149" t="s">
        <v>3038</v>
      </c>
    </row>
    <row r="1252" spans="1:2">
      <c r="A1252" s="149" t="s">
        <v>3039</v>
      </c>
      <c r="B1252" s="149" t="s">
        <v>3040</v>
      </c>
    </row>
    <row r="1253" spans="1:2">
      <c r="A1253" s="149" t="s">
        <v>3041</v>
      </c>
      <c r="B1253" s="149" t="s">
        <v>3042</v>
      </c>
    </row>
    <row r="1254" spans="1:2">
      <c r="A1254" s="149" t="s">
        <v>3043</v>
      </c>
      <c r="B1254" s="149" t="s">
        <v>3044</v>
      </c>
    </row>
    <row r="1255" spans="1:2">
      <c r="A1255" s="149" t="s">
        <v>3045</v>
      </c>
      <c r="B1255" s="149" t="s">
        <v>3046</v>
      </c>
    </row>
    <row r="1256" spans="1:2">
      <c r="A1256" s="149" t="s">
        <v>3047</v>
      </c>
      <c r="B1256" s="149" t="s">
        <v>3048</v>
      </c>
    </row>
    <row r="1257" spans="1:2">
      <c r="A1257" s="149" t="s">
        <v>3049</v>
      </c>
      <c r="B1257" s="149" t="s">
        <v>3050</v>
      </c>
    </row>
    <row r="1258" spans="1:2">
      <c r="A1258" s="149" t="s">
        <v>3051</v>
      </c>
      <c r="B1258" s="149" t="s">
        <v>3052</v>
      </c>
    </row>
    <row r="1259" spans="1:2">
      <c r="A1259" s="149" t="s">
        <v>3053</v>
      </c>
      <c r="B1259" s="149" t="s">
        <v>3054</v>
      </c>
    </row>
    <row r="1260" spans="1:2">
      <c r="A1260" s="149" t="s">
        <v>3055</v>
      </c>
      <c r="B1260" s="149" t="s">
        <v>3056</v>
      </c>
    </row>
    <row r="1261" spans="1:2">
      <c r="A1261" s="149" t="s">
        <v>3057</v>
      </c>
      <c r="B1261" s="149" t="s">
        <v>3058</v>
      </c>
    </row>
    <row r="1262" spans="1:2">
      <c r="A1262" s="149" t="s">
        <v>3059</v>
      </c>
      <c r="B1262" s="149" t="s">
        <v>311</v>
      </c>
    </row>
    <row r="1263" spans="1:2">
      <c r="A1263" s="149" t="s">
        <v>3060</v>
      </c>
      <c r="B1263" s="149" t="s">
        <v>3061</v>
      </c>
    </row>
    <row r="1264" spans="1:2">
      <c r="A1264" s="149" t="s">
        <v>3062</v>
      </c>
      <c r="B1264" s="149" t="s">
        <v>3063</v>
      </c>
    </row>
    <row r="1265" spans="1:2">
      <c r="A1265" s="149" t="s">
        <v>3064</v>
      </c>
      <c r="B1265" s="149" t="s">
        <v>3065</v>
      </c>
    </row>
    <row r="1266" spans="1:2">
      <c r="A1266" s="149" t="s">
        <v>3066</v>
      </c>
      <c r="B1266" s="149" t="s">
        <v>3067</v>
      </c>
    </row>
    <row r="1267" spans="1:2">
      <c r="A1267" s="149" t="s">
        <v>3068</v>
      </c>
      <c r="B1267" s="149" t="s">
        <v>3069</v>
      </c>
    </row>
    <row r="1268" spans="1:2">
      <c r="A1268" s="149" t="s">
        <v>3070</v>
      </c>
      <c r="B1268" s="149" t="s">
        <v>3071</v>
      </c>
    </row>
    <row r="1269" spans="1:2">
      <c r="A1269" s="149" t="s">
        <v>3072</v>
      </c>
      <c r="B1269" s="149" t="s">
        <v>316</v>
      </c>
    </row>
    <row r="1270" spans="1:2">
      <c r="A1270" s="149" t="s">
        <v>3073</v>
      </c>
      <c r="B1270" s="149" t="s">
        <v>3074</v>
      </c>
    </row>
    <row r="1271" spans="1:2">
      <c r="A1271" s="149" t="s">
        <v>3075</v>
      </c>
      <c r="B1271" s="149" t="s">
        <v>3076</v>
      </c>
    </row>
    <row r="1272" spans="1:2">
      <c r="A1272" s="149" t="s">
        <v>3077</v>
      </c>
      <c r="B1272" s="149" t="s">
        <v>3078</v>
      </c>
    </row>
    <row r="1273" spans="1:2">
      <c r="A1273" s="149" t="s">
        <v>3079</v>
      </c>
      <c r="B1273" s="149" t="s">
        <v>3080</v>
      </c>
    </row>
    <row r="1274" spans="1:2">
      <c r="A1274" s="149" t="s">
        <v>3081</v>
      </c>
      <c r="B1274" s="149" t="s">
        <v>3082</v>
      </c>
    </row>
    <row r="1275" spans="1:2">
      <c r="A1275" s="149" t="s">
        <v>3083</v>
      </c>
      <c r="B1275" s="149" t="s">
        <v>3084</v>
      </c>
    </row>
    <row r="1276" spans="1:2">
      <c r="A1276" s="149" t="s">
        <v>3085</v>
      </c>
      <c r="B1276" s="149" t="s">
        <v>3086</v>
      </c>
    </row>
    <row r="1277" spans="1:2">
      <c r="A1277" s="149" t="s">
        <v>3087</v>
      </c>
      <c r="B1277" s="149" t="s">
        <v>3088</v>
      </c>
    </row>
    <row r="1278" spans="1:2">
      <c r="A1278" s="149" t="s">
        <v>3089</v>
      </c>
      <c r="B1278" s="149" t="s">
        <v>3090</v>
      </c>
    </row>
    <row r="1279" spans="1:2">
      <c r="A1279" s="149" t="s">
        <v>3091</v>
      </c>
      <c r="B1279" s="149" t="s">
        <v>321</v>
      </c>
    </row>
    <row r="1280" spans="1:2">
      <c r="A1280" s="149" t="s">
        <v>3092</v>
      </c>
      <c r="B1280" s="149" t="s">
        <v>3093</v>
      </c>
    </row>
    <row r="1281" spans="1:2">
      <c r="A1281" s="149" t="s">
        <v>3094</v>
      </c>
      <c r="B1281" s="149" t="s">
        <v>3095</v>
      </c>
    </row>
    <row r="1282" spans="1:2">
      <c r="A1282" s="149" t="s">
        <v>3096</v>
      </c>
      <c r="B1282" s="149" t="s">
        <v>3097</v>
      </c>
    </row>
    <row r="1283" spans="1:2">
      <c r="A1283" s="149" t="s">
        <v>3098</v>
      </c>
      <c r="B1283" s="149" t="s">
        <v>326</v>
      </c>
    </row>
    <row r="1284" spans="1:2">
      <c r="A1284" s="149" t="s">
        <v>3099</v>
      </c>
      <c r="B1284" s="149" t="s">
        <v>331</v>
      </c>
    </row>
    <row r="1285" spans="1:2">
      <c r="A1285" s="149" t="s">
        <v>3100</v>
      </c>
      <c r="B1285" s="149" t="s">
        <v>336</v>
      </c>
    </row>
    <row r="1286" spans="1:2">
      <c r="A1286" s="149" t="s">
        <v>3101</v>
      </c>
      <c r="B1286" s="149" t="s">
        <v>3102</v>
      </c>
    </row>
    <row r="1287" spans="1:2">
      <c r="A1287" s="149" t="s">
        <v>3103</v>
      </c>
      <c r="B1287" s="149" t="s">
        <v>3104</v>
      </c>
    </row>
    <row r="1288" spans="1:2">
      <c r="A1288" s="149" t="s">
        <v>3105</v>
      </c>
      <c r="B1288" s="149" t="s">
        <v>3106</v>
      </c>
    </row>
    <row r="1289" spans="1:2">
      <c r="A1289" s="149" t="s">
        <v>3107</v>
      </c>
      <c r="B1289" s="149" t="s">
        <v>3108</v>
      </c>
    </row>
    <row r="1290" spans="1:2">
      <c r="A1290" s="149" t="s">
        <v>3109</v>
      </c>
      <c r="B1290" s="149" t="s">
        <v>3110</v>
      </c>
    </row>
    <row r="1291" spans="1:2">
      <c r="A1291" s="149" t="s">
        <v>3111</v>
      </c>
      <c r="B1291" s="149" t="s">
        <v>3112</v>
      </c>
    </row>
    <row r="1292" spans="1:2">
      <c r="A1292" s="149" t="s">
        <v>3113</v>
      </c>
      <c r="B1292" s="149" t="s">
        <v>3114</v>
      </c>
    </row>
    <row r="1293" spans="1:2">
      <c r="A1293" s="149" t="s">
        <v>3115</v>
      </c>
      <c r="B1293" s="149" t="s">
        <v>3116</v>
      </c>
    </row>
    <row r="1294" spans="1:2">
      <c r="A1294" s="149" t="s">
        <v>3117</v>
      </c>
      <c r="B1294" s="149" t="s">
        <v>3118</v>
      </c>
    </row>
    <row r="1295" spans="1:2">
      <c r="A1295" s="149" t="s">
        <v>3119</v>
      </c>
      <c r="B1295" s="149" t="s">
        <v>3120</v>
      </c>
    </row>
    <row r="1296" spans="1:2">
      <c r="A1296" s="149" t="s">
        <v>3121</v>
      </c>
      <c r="B1296" s="149" t="s">
        <v>3122</v>
      </c>
    </row>
    <row r="1297" spans="1:2">
      <c r="A1297" s="149" t="s">
        <v>3123</v>
      </c>
      <c r="B1297" s="149" t="s">
        <v>3124</v>
      </c>
    </row>
    <row r="1298" spans="1:2">
      <c r="A1298" s="149" t="s">
        <v>3125</v>
      </c>
      <c r="B1298" s="149" t="s">
        <v>3126</v>
      </c>
    </row>
    <row r="1299" spans="1:2">
      <c r="A1299" s="149" t="s">
        <v>3127</v>
      </c>
      <c r="B1299" s="149" t="s">
        <v>3128</v>
      </c>
    </row>
    <row r="1300" spans="1:2">
      <c r="A1300" s="149" t="s">
        <v>3129</v>
      </c>
      <c r="B1300" s="149" t="s">
        <v>341</v>
      </c>
    </row>
    <row r="1301" spans="1:2">
      <c r="A1301" s="149" t="s">
        <v>3130</v>
      </c>
      <c r="B1301" s="149" t="s">
        <v>3131</v>
      </c>
    </row>
    <row r="1302" spans="1:2">
      <c r="A1302" s="149" t="s">
        <v>3132</v>
      </c>
      <c r="B1302" s="149" t="s">
        <v>3133</v>
      </c>
    </row>
    <row r="1303" spans="1:2">
      <c r="A1303" s="149" t="s">
        <v>3134</v>
      </c>
      <c r="B1303" s="149" t="s">
        <v>346</v>
      </c>
    </row>
    <row r="1304" spans="1:2">
      <c r="A1304" s="149" t="s">
        <v>3135</v>
      </c>
      <c r="B1304" s="149" t="s">
        <v>3136</v>
      </c>
    </row>
    <row r="1305" spans="1:2">
      <c r="A1305" s="149" t="s">
        <v>3137</v>
      </c>
      <c r="B1305" s="149" t="s">
        <v>3138</v>
      </c>
    </row>
    <row r="1306" spans="1:2">
      <c r="A1306" s="149" t="s">
        <v>3139</v>
      </c>
      <c r="B1306" s="149" t="s">
        <v>3140</v>
      </c>
    </row>
    <row r="1307" spans="1:2">
      <c r="A1307" s="149" t="s">
        <v>3141</v>
      </c>
      <c r="B1307" s="149" t="s">
        <v>3142</v>
      </c>
    </row>
    <row r="1308" spans="1:2">
      <c r="A1308" s="149" t="s">
        <v>3143</v>
      </c>
      <c r="B1308" s="149" t="s">
        <v>3144</v>
      </c>
    </row>
    <row r="1309" spans="1:2">
      <c r="A1309" s="149" t="s">
        <v>3145</v>
      </c>
      <c r="B1309" s="149" t="s">
        <v>3146</v>
      </c>
    </row>
    <row r="1310" spans="1:2">
      <c r="A1310" s="149" t="s">
        <v>3147</v>
      </c>
      <c r="B1310" s="149" t="s">
        <v>3148</v>
      </c>
    </row>
    <row r="1311" spans="1:2">
      <c r="A1311" s="149" t="s">
        <v>3149</v>
      </c>
      <c r="B1311" s="149" t="s">
        <v>3150</v>
      </c>
    </row>
    <row r="1312" spans="1:2">
      <c r="A1312" s="149" t="s">
        <v>3151</v>
      </c>
      <c r="B1312" s="149" t="s">
        <v>3152</v>
      </c>
    </row>
    <row r="1313" spans="1:2">
      <c r="A1313" s="149" t="s">
        <v>3153</v>
      </c>
      <c r="B1313" s="149" t="s">
        <v>3154</v>
      </c>
    </row>
    <row r="1314" spans="1:2">
      <c r="A1314" s="149" t="s">
        <v>3155</v>
      </c>
      <c r="B1314" s="149" t="s">
        <v>3156</v>
      </c>
    </row>
    <row r="1315" spans="1:2">
      <c r="A1315" s="149" t="s">
        <v>3157</v>
      </c>
      <c r="B1315" s="149" t="s">
        <v>3158</v>
      </c>
    </row>
    <row r="1316" spans="1:2">
      <c r="A1316" s="149" t="s">
        <v>3159</v>
      </c>
      <c r="B1316" s="149" t="s">
        <v>3160</v>
      </c>
    </row>
    <row r="1317" spans="1:2">
      <c r="A1317" s="149" t="s">
        <v>3161</v>
      </c>
      <c r="B1317" s="149" t="s">
        <v>3162</v>
      </c>
    </row>
    <row r="1318" spans="1:2">
      <c r="A1318" s="149" t="s">
        <v>3163</v>
      </c>
      <c r="B1318" s="149" t="s">
        <v>3164</v>
      </c>
    </row>
    <row r="1319" spans="1:2">
      <c r="A1319" s="149" t="s">
        <v>3165</v>
      </c>
      <c r="B1319" s="149" t="s">
        <v>3166</v>
      </c>
    </row>
    <row r="1320" spans="1:2">
      <c r="A1320" s="149" t="s">
        <v>3167</v>
      </c>
      <c r="B1320" s="149" t="s">
        <v>3168</v>
      </c>
    </row>
    <row r="1321" spans="1:2">
      <c r="A1321" s="149" t="s">
        <v>3169</v>
      </c>
      <c r="B1321" s="149" t="s">
        <v>3170</v>
      </c>
    </row>
    <row r="1322" spans="1:2">
      <c r="A1322" s="149" t="s">
        <v>3171</v>
      </c>
      <c r="B1322" s="149" t="s">
        <v>3172</v>
      </c>
    </row>
    <row r="1323" spans="1:2">
      <c r="A1323" s="149" t="s">
        <v>3173</v>
      </c>
      <c r="B1323" s="149" t="s">
        <v>3174</v>
      </c>
    </row>
    <row r="1324" spans="1:2">
      <c r="A1324" s="149" t="s">
        <v>3175</v>
      </c>
      <c r="B1324" s="149" t="s">
        <v>3176</v>
      </c>
    </row>
    <row r="1325" spans="1:2">
      <c r="A1325" s="149" t="s">
        <v>3177</v>
      </c>
      <c r="B1325" s="149" t="s">
        <v>3178</v>
      </c>
    </row>
    <row r="1326" spans="1:2">
      <c r="A1326" s="149" t="s">
        <v>3179</v>
      </c>
      <c r="B1326" s="149" t="s">
        <v>3180</v>
      </c>
    </row>
    <row r="1327" spans="1:2">
      <c r="A1327" s="149" t="s">
        <v>3181</v>
      </c>
      <c r="B1327" s="149" t="s">
        <v>3182</v>
      </c>
    </row>
    <row r="1328" spans="1:2">
      <c r="A1328" s="149" t="s">
        <v>3183</v>
      </c>
      <c r="B1328" s="149" t="s">
        <v>3184</v>
      </c>
    </row>
    <row r="1329" spans="1:2">
      <c r="A1329" s="149" t="s">
        <v>3185</v>
      </c>
      <c r="B1329" s="149" t="s">
        <v>3186</v>
      </c>
    </row>
    <row r="1330" spans="1:2">
      <c r="A1330" s="149" t="s">
        <v>3187</v>
      </c>
      <c r="B1330" s="149" t="s">
        <v>3188</v>
      </c>
    </row>
    <row r="1331" spans="1:2">
      <c r="A1331" s="149" t="s">
        <v>3189</v>
      </c>
      <c r="B1331" s="149" t="s">
        <v>3190</v>
      </c>
    </row>
    <row r="1332" spans="1:2">
      <c r="A1332" s="149" t="s">
        <v>3191</v>
      </c>
      <c r="B1332" s="149" t="s">
        <v>3192</v>
      </c>
    </row>
    <row r="1333" spans="1:2">
      <c r="A1333" s="149" t="s">
        <v>3193</v>
      </c>
      <c r="B1333" s="149" t="s">
        <v>3194</v>
      </c>
    </row>
    <row r="1334" spans="1:2">
      <c r="A1334" s="149" t="s">
        <v>3195</v>
      </c>
      <c r="B1334" s="149" t="s">
        <v>3196</v>
      </c>
    </row>
    <row r="1335" spans="1:2">
      <c r="A1335" s="149" t="s">
        <v>3197</v>
      </c>
      <c r="B1335" s="149" t="s">
        <v>3198</v>
      </c>
    </row>
    <row r="1336" spans="1:2">
      <c r="A1336" s="149" t="s">
        <v>3199</v>
      </c>
      <c r="B1336" s="149" t="s">
        <v>3200</v>
      </c>
    </row>
    <row r="1337" spans="1:2">
      <c r="A1337" s="149" t="s">
        <v>3201</v>
      </c>
      <c r="B1337" s="149" t="s">
        <v>3202</v>
      </c>
    </row>
    <row r="1338" spans="1:2">
      <c r="A1338" s="149" t="s">
        <v>3203</v>
      </c>
      <c r="B1338" s="149" t="s">
        <v>3204</v>
      </c>
    </row>
    <row r="1339" spans="1:2">
      <c r="A1339" s="149" t="s">
        <v>3205</v>
      </c>
      <c r="B1339" s="149" t="s">
        <v>3206</v>
      </c>
    </row>
    <row r="1340" spans="1:2">
      <c r="A1340" s="149" t="s">
        <v>3207</v>
      </c>
      <c r="B1340" s="149" t="s">
        <v>3208</v>
      </c>
    </row>
    <row r="1341" spans="1:2">
      <c r="A1341" s="149" t="s">
        <v>3209</v>
      </c>
      <c r="B1341" s="149" t="s">
        <v>3210</v>
      </c>
    </row>
    <row r="1342" spans="1:2">
      <c r="A1342" s="149" t="s">
        <v>3211</v>
      </c>
      <c r="B1342" s="149" t="s">
        <v>3212</v>
      </c>
    </row>
    <row r="1343" spans="1:2">
      <c r="A1343" s="149" t="s">
        <v>3213</v>
      </c>
      <c r="B1343" s="149" t="s">
        <v>3214</v>
      </c>
    </row>
    <row r="1344" spans="1:2">
      <c r="A1344" s="149" t="s">
        <v>3215</v>
      </c>
      <c r="B1344" s="149" t="s">
        <v>3216</v>
      </c>
    </row>
    <row r="1345" spans="1:2">
      <c r="A1345" s="149" t="s">
        <v>3217</v>
      </c>
      <c r="B1345" s="149" t="s">
        <v>3218</v>
      </c>
    </row>
    <row r="1346" spans="1:2">
      <c r="A1346" s="149" t="s">
        <v>3219</v>
      </c>
      <c r="B1346" s="149" t="s">
        <v>3220</v>
      </c>
    </row>
    <row r="1347" spans="1:2">
      <c r="A1347" s="149" t="s">
        <v>3221</v>
      </c>
      <c r="B1347" s="149" t="s">
        <v>3222</v>
      </c>
    </row>
    <row r="1348" spans="1:2">
      <c r="A1348" s="149" t="s">
        <v>3223</v>
      </c>
      <c r="B1348" s="149" t="s">
        <v>3224</v>
      </c>
    </row>
    <row r="1349" spans="1:2">
      <c r="A1349" s="149" t="s">
        <v>3225</v>
      </c>
      <c r="B1349" s="149" t="s">
        <v>3226</v>
      </c>
    </row>
    <row r="1350" spans="1:2">
      <c r="A1350" s="149" t="s">
        <v>3227</v>
      </c>
      <c r="B1350" s="149" t="s">
        <v>3228</v>
      </c>
    </row>
    <row r="1351" spans="1:2">
      <c r="A1351" s="149" t="s">
        <v>3229</v>
      </c>
      <c r="B1351" s="149" t="s">
        <v>3230</v>
      </c>
    </row>
    <row r="1352" spans="1:2">
      <c r="A1352" s="149" t="s">
        <v>3231</v>
      </c>
      <c r="B1352" s="149" t="s">
        <v>3232</v>
      </c>
    </row>
    <row r="1353" spans="1:2">
      <c r="A1353" s="149" t="s">
        <v>3233</v>
      </c>
      <c r="B1353" s="149" t="s">
        <v>3234</v>
      </c>
    </row>
    <row r="1354" spans="1:2">
      <c r="A1354" s="149" t="s">
        <v>3235</v>
      </c>
      <c r="B1354" s="149" t="s">
        <v>3236</v>
      </c>
    </row>
    <row r="1355" spans="1:2">
      <c r="A1355" s="149" t="s">
        <v>3237</v>
      </c>
      <c r="B1355" s="149" t="s">
        <v>351</v>
      </c>
    </row>
    <row r="1356" spans="1:2">
      <c r="A1356" s="149" t="s">
        <v>3238</v>
      </c>
      <c r="B1356" s="149" t="s">
        <v>3239</v>
      </c>
    </row>
    <row r="1357" spans="1:2">
      <c r="A1357" s="149" t="s">
        <v>3240</v>
      </c>
      <c r="B1357" s="149" t="s">
        <v>356</v>
      </c>
    </row>
    <row r="1358" spans="1:2">
      <c r="A1358" s="149" t="s">
        <v>3241</v>
      </c>
      <c r="B1358" s="149" t="s">
        <v>3242</v>
      </c>
    </row>
    <row r="1359" spans="1:2">
      <c r="A1359" s="149" t="s">
        <v>3243</v>
      </c>
      <c r="B1359" s="149" t="s">
        <v>3244</v>
      </c>
    </row>
    <row r="1360" spans="1:2">
      <c r="A1360" s="149" t="s">
        <v>3245</v>
      </c>
      <c r="B1360" s="149" t="s">
        <v>3246</v>
      </c>
    </row>
    <row r="1361" spans="1:2">
      <c r="A1361" s="149" t="s">
        <v>3247</v>
      </c>
      <c r="B1361" s="149" t="s">
        <v>3248</v>
      </c>
    </row>
    <row r="1362" spans="1:2">
      <c r="A1362" s="149" t="s">
        <v>3249</v>
      </c>
      <c r="B1362" s="149" t="s">
        <v>3250</v>
      </c>
    </row>
    <row r="1363" spans="1:2">
      <c r="A1363" s="149" t="s">
        <v>3251</v>
      </c>
      <c r="B1363" s="149" t="s">
        <v>3252</v>
      </c>
    </row>
    <row r="1364" spans="1:2">
      <c r="A1364" s="149" t="s">
        <v>3253</v>
      </c>
      <c r="B1364" s="149" t="s">
        <v>3254</v>
      </c>
    </row>
    <row r="1365" spans="1:2">
      <c r="A1365" s="149" t="s">
        <v>3255</v>
      </c>
      <c r="B1365" s="149" t="s">
        <v>3256</v>
      </c>
    </row>
    <row r="1366" spans="1:2">
      <c r="A1366" s="149" t="s">
        <v>3257</v>
      </c>
      <c r="B1366" s="149" t="s">
        <v>3258</v>
      </c>
    </row>
    <row r="1367" spans="1:2">
      <c r="A1367" s="149" t="s">
        <v>3259</v>
      </c>
      <c r="B1367" s="149" t="s">
        <v>3260</v>
      </c>
    </row>
    <row r="1368" spans="1:2">
      <c r="A1368" s="149" t="s">
        <v>3261</v>
      </c>
      <c r="B1368" s="149" t="s">
        <v>3262</v>
      </c>
    </row>
    <row r="1369" spans="1:2">
      <c r="A1369" s="149" t="s">
        <v>3263</v>
      </c>
      <c r="B1369" s="149" t="s">
        <v>3264</v>
      </c>
    </row>
    <row r="1370" spans="1:2">
      <c r="A1370" s="149" t="s">
        <v>3265</v>
      </c>
      <c r="B1370" s="149" t="s">
        <v>3266</v>
      </c>
    </row>
    <row r="1371" spans="1:2">
      <c r="A1371" s="149" t="s">
        <v>3267</v>
      </c>
      <c r="B1371" s="149" t="s">
        <v>3268</v>
      </c>
    </row>
    <row r="1372" spans="1:2">
      <c r="A1372" s="149" t="s">
        <v>3269</v>
      </c>
      <c r="B1372" s="149" t="s">
        <v>3270</v>
      </c>
    </row>
    <row r="1373" spans="1:2">
      <c r="A1373" s="149" t="s">
        <v>3271</v>
      </c>
      <c r="B1373" s="149" t="s">
        <v>3272</v>
      </c>
    </row>
    <row r="1374" spans="1:2">
      <c r="A1374" s="149" t="s">
        <v>3273</v>
      </c>
      <c r="B1374" s="149" t="s">
        <v>3274</v>
      </c>
    </row>
    <row r="1375" spans="1:2">
      <c r="A1375" s="149" t="s">
        <v>3275</v>
      </c>
      <c r="B1375" s="149" t="s">
        <v>3276</v>
      </c>
    </row>
    <row r="1376" spans="1:2">
      <c r="A1376" s="149" t="s">
        <v>3277</v>
      </c>
      <c r="B1376" s="149" t="s">
        <v>3278</v>
      </c>
    </row>
    <row r="1377" spans="1:2">
      <c r="A1377" s="149" t="s">
        <v>3279</v>
      </c>
      <c r="B1377" s="149" t="s">
        <v>3280</v>
      </c>
    </row>
    <row r="1378" spans="1:2">
      <c r="A1378" s="149" t="s">
        <v>3281</v>
      </c>
      <c r="B1378" s="149" t="s">
        <v>3282</v>
      </c>
    </row>
    <row r="1379" spans="1:2">
      <c r="A1379" s="149" t="s">
        <v>3283</v>
      </c>
      <c r="B1379" s="149" t="s">
        <v>3284</v>
      </c>
    </row>
    <row r="1380" spans="1:2">
      <c r="A1380" s="149" t="s">
        <v>3285</v>
      </c>
      <c r="B1380" s="149" t="s">
        <v>3286</v>
      </c>
    </row>
    <row r="1381" spans="1:2">
      <c r="A1381" s="149" t="s">
        <v>3287</v>
      </c>
      <c r="B1381" s="149" t="s">
        <v>3288</v>
      </c>
    </row>
    <row r="1382" spans="1:2">
      <c r="A1382" s="149" t="s">
        <v>3289</v>
      </c>
      <c r="B1382" s="149" t="s">
        <v>3290</v>
      </c>
    </row>
    <row r="1383" spans="1:2">
      <c r="A1383" s="149" t="s">
        <v>3291</v>
      </c>
      <c r="B1383" s="149" t="s">
        <v>3292</v>
      </c>
    </row>
    <row r="1384" spans="1:2">
      <c r="A1384" s="149" t="s">
        <v>3293</v>
      </c>
      <c r="B1384" s="149" t="s">
        <v>3294</v>
      </c>
    </row>
    <row r="1385" spans="1:2">
      <c r="A1385" s="149" t="s">
        <v>3295</v>
      </c>
      <c r="B1385" s="149" t="s">
        <v>918</v>
      </c>
    </row>
    <row r="1386" spans="1:2">
      <c r="A1386" s="149" t="s">
        <v>3296</v>
      </c>
      <c r="B1386" s="149" t="s">
        <v>3297</v>
      </c>
    </row>
    <row r="1387" spans="1:2">
      <c r="A1387" s="149" t="s">
        <v>3298</v>
      </c>
      <c r="B1387" s="149" t="s">
        <v>361</v>
      </c>
    </row>
    <row r="1388" spans="1:2">
      <c r="A1388" s="149" t="s">
        <v>3299</v>
      </c>
      <c r="B1388" s="149" t="s">
        <v>3300</v>
      </c>
    </row>
    <row r="1389" spans="1:2">
      <c r="A1389" s="149" t="s">
        <v>3301</v>
      </c>
      <c r="B1389" s="149" t="s">
        <v>366</v>
      </c>
    </row>
    <row r="1390" spans="1:2">
      <c r="A1390" s="149" t="s">
        <v>3302</v>
      </c>
      <c r="B1390" s="149" t="s">
        <v>3303</v>
      </c>
    </row>
    <row r="1391" spans="1:2">
      <c r="A1391" s="149" t="s">
        <v>3304</v>
      </c>
      <c r="B1391" s="149" t="s">
        <v>371</v>
      </c>
    </row>
    <row r="1392" spans="1:2">
      <c r="A1392" s="149" t="s">
        <v>3305</v>
      </c>
      <c r="B1392" s="149" t="s">
        <v>376</v>
      </c>
    </row>
    <row r="1393" spans="1:2">
      <c r="A1393" s="149" t="s">
        <v>3306</v>
      </c>
      <c r="B1393" s="149" t="s">
        <v>120</v>
      </c>
    </row>
    <row r="1394" spans="1:2">
      <c r="A1394" s="149" t="s">
        <v>3307</v>
      </c>
      <c r="B1394" s="149" t="s">
        <v>3308</v>
      </c>
    </row>
    <row r="1395" spans="1:2">
      <c r="A1395" s="149" t="s">
        <v>3309</v>
      </c>
      <c r="B1395" s="149" t="s">
        <v>3310</v>
      </c>
    </row>
    <row r="1396" spans="1:2">
      <c r="A1396" s="149" t="s">
        <v>3311</v>
      </c>
      <c r="B1396" s="149" t="s">
        <v>3312</v>
      </c>
    </row>
    <row r="1397" spans="1:2">
      <c r="A1397" s="149" t="s">
        <v>3313</v>
      </c>
      <c r="B1397" s="149" t="s">
        <v>381</v>
      </c>
    </row>
    <row r="1398" spans="1:2">
      <c r="A1398" s="149" t="s">
        <v>3314</v>
      </c>
      <c r="B1398" s="149" t="s">
        <v>3315</v>
      </c>
    </row>
    <row r="1399" spans="1:2">
      <c r="A1399" s="149" t="s">
        <v>3316</v>
      </c>
      <c r="B1399" s="149" t="s">
        <v>3317</v>
      </c>
    </row>
    <row r="1400" spans="1:2">
      <c r="A1400" s="149" t="s">
        <v>3318</v>
      </c>
      <c r="B1400" s="149" t="s">
        <v>3319</v>
      </c>
    </row>
    <row r="1401" spans="1:2">
      <c r="A1401" s="149" t="s">
        <v>3320</v>
      </c>
      <c r="B1401" s="149" t="s">
        <v>3321</v>
      </c>
    </row>
    <row r="1402" spans="1:2">
      <c r="A1402" s="149" t="s">
        <v>3322</v>
      </c>
      <c r="B1402" s="149" t="s">
        <v>3323</v>
      </c>
    </row>
    <row r="1403" spans="1:2">
      <c r="A1403" s="149" t="s">
        <v>3324</v>
      </c>
      <c r="B1403" s="149" t="s">
        <v>3325</v>
      </c>
    </row>
    <row r="1404" spans="1:2">
      <c r="A1404" s="149" t="s">
        <v>3326</v>
      </c>
      <c r="B1404" s="149" t="s">
        <v>3327</v>
      </c>
    </row>
    <row r="1405" spans="1:2">
      <c r="A1405" s="149" t="s">
        <v>3328</v>
      </c>
      <c r="B1405" s="149" t="s">
        <v>3329</v>
      </c>
    </row>
    <row r="1406" spans="1:2">
      <c r="A1406" s="149" t="s">
        <v>3330</v>
      </c>
      <c r="B1406" s="149" t="s">
        <v>3331</v>
      </c>
    </row>
    <row r="1407" spans="1:2">
      <c r="A1407" s="149" t="s">
        <v>3332</v>
      </c>
      <c r="B1407" s="149" t="s">
        <v>3333</v>
      </c>
    </row>
    <row r="1408" spans="1:2">
      <c r="A1408" s="149" t="s">
        <v>3334</v>
      </c>
      <c r="B1408" s="149" t="s">
        <v>3335</v>
      </c>
    </row>
    <row r="1409" spans="1:2">
      <c r="A1409" s="149" t="s">
        <v>3336</v>
      </c>
      <c r="B1409" s="149" t="s">
        <v>3337</v>
      </c>
    </row>
    <row r="1410" spans="1:2">
      <c r="A1410" s="149" t="s">
        <v>3338</v>
      </c>
      <c r="B1410" s="149" t="s">
        <v>3339</v>
      </c>
    </row>
    <row r="1411" spans="1:2">
      <c r="A1411" s="149" t="s">
        <v>3340</v>
      </c>
      <c r="B1411" s="149" t="s">
        <v>3341</v>
      </c>
    </row>
    <row r="1412" spans="1:2">
      <c r="A1412" s="149" t="s">
        <v>3342</v>
      </c>
      <c r="B1412" s="149" t="s">
        <v>3343</v>
      </c>
    </row>
    <row r="1413" spans="1:2">
      <c r="A1413" s="149" t="s">
        <v>3344</v>
      </c>
      <c r="B1413" s="149" t="s">
        <v>3345</v>
      </c>
    </row>
    <row r="1414" spans="1:2">
      <c r="A1414" s="149" t="s">
        <v>3346</v>
      </c>
      <c r="B1414" s="149" t="s">
        <v>3347</v>
      </c>
    </row>
    <row r="1415" spans="1:2">
      <c r="A1415" s="149" t="s">
        <v>3348</v>
      </c>
      <c r="B1415" s="149" t="s">
        <v>3349</v>
      </c>
    </row>
    <row r="1416" spans="1:2">
      <c r="A1416" s="149" t="s">
        <v>3350</v>
      </c>
      <c r="B1416" s="149" t="s">
        <v>3351</v>
      </c>
    </row>
    <row r="1417" spans="1:2">
      <c r="A1417" s="149" t="s">
        <v>3352</v>
      </c>
      <c r="B1417" s="149" t="s">
        <v>3353</v>
      </c>
    </row>
    <row r="1418" spans="1:2">
      <c r="A1418" s="149" t="s">
        <v>3354</v>
      </c>
      <c r="B1418" s="149" t="s">
        <v>3355</v>
      </c>
    </row>
    <row r="1419" spans="1:2">
      <c r="A1419" s="149" t="s">
        <v>3356</v>
      </c>
      <c r="B1419" s="149" t="s">
        <v>3357</v>
      </c>
    </row>
    <row r="1420" spans="1:2">
      <c r="A1420" s="149" t="s">
        <v>3358</v>
      </c>
      <c r="B1420" s="149" t="s">
        <v>3359</v>
      </c>
    </row>
    <row r="1421" spans="1:2">
      <c r="A1421" s="149" t="s">
        <v>3360</v>
      </c>
      <c r="B1421" s="149" t="s">
        <v>3361</v>
      </c>
    </row>
    <row r="1422" spans="1:2">
      <c r="A1422" s="149" t="s">
        <v>3362</v>
      </c>
      <c r="B1422" s="149" t="s">
        <v>3363</v>
      </c>
    </row>
    <row r="1423" spans="1:2">
      <c r="A1423" s="149" t="s">
        <v>3364</v>
      </c>
      <c r="B1423" s="149" t="s">
        <v>3365</v>
      </c>
    </row>
    <row r="1424" spans="1:2">
      <c r="A1424" s="149" t="s">
        <v>3366</v>
      </c>
      <c r="B1424" s="149" t="s">
        <v>3367</v>
      </c>
    </row>
    <row r="1425" spans="1:2">
      <c r="A1425" s="149" t="s">
        <v>3368</v>
      </c>
      <c r="B1425" s="149" t="s">
        <v>3369</v>
      </c>
    </row>
    <row r="1426" spans="1:2">
      <c r="A1426" s="149" t="s">
        <v>3370</v>
      </c>
      <c r="B1426" s="149" t="s">
        <v>3371</v>
      </c>
    </row>
    <row r="1427" spans="1:2">
      <c r="A1427" s="149" t="s">
        <v>3372</v>
      </c>
      <c r="B1427" s="149" t="s">
        <v>3373</v>
      </c>
    </row>
    <row r="1428" spans="1:2">
      <c r="A1428" s="149" t="s">
        <v>3374</v>
      </c>
      <c r="B1428" s="149" t="s">
        <v>3375</v>
      </c>
    </row>
    <row r="1429" spans="1:2">
      <c r="A1429" s="149" t="s">
        <v>3376</v>
      </c>
      <c r="B1429" s="149" t="s">
        <v>3377</v>
      </c>
    </row>
    <row r="1430" spans="1:2">
      <c r="A1430" s="149" t="s">
        <v>3378</v>
      </c>
      <c r="B1430" s="149" t="s">
        <v>3379</v>
      </c>
    </row>
    <row r="1431" spans="1:2">
      <c r="A1431" s="149" t="s">
        <v>3380</v>
      </c>
      <c r="B1431" s="149" t="s">
        <v>3381</v>
      </c>
    </row>
    <row r="1432" spans="1:2">
      <c r="A1432" s="149" t="s">
        <v>3382</v>
      </c>
      <c r="B1432" s="149" t="s">
        <v>3383</v>
      </c>
    </row>
    <row r="1433" spans="1:2">
      <c r="A1433" s="149" t="s">
        <v>3384</v>
      </c>
      <c r="B1433" s="149" t="s">
        <v>3385</v>
      </c>
    </row>
    <row r="1434" spans="1:2">
      <c r="A1434" s="149" t="s">
        <v>3386</v>
      </c>
      <c r="B1434" s="149" t="s">
        <v>3387</v>
      </c>
    </row>
    <row r="1435" spans="1:2">
      <c r="A1435" s="149" t="s">
        <v>3388</v>
      </c>
      <c r="B1435" s="149" t="s">
        <v>3389</v>
      </c>
    </row>
    <row r="1436" spans="1:2">
      <c r="A1436" s="149" t="s">
        <v>3390</v>
      </c>
      <c r="B1436" s="149" t="s">
        <v>3391</v>
      </c>
    </row>
    <row r="1437" spans="1:2">
      <c r="A1437" s="149" t="s">
        <v>3392</v>
      </c>
      <c r="B1437" s="149" t="s">
        <v>3393</v>
      </c>
    </row>
    <row r="1438" spans="1:2">
      <c r="A1438" s="149" t="s">
        <v>3394</v>
      </c>
      <c r="B1438" s="149" t="s">
        <v>3395</v>
      </c>
    </row>
    <row r="1439" spans="1:2">
      <c r="A1439" s="149" t="s">
        <v>3396</v>
      </c>
      <c r="B1439" s="149" t="s">
        <v>3397</v>
      </c>
    </row>
    <row r="1440" spans="1:2">
      <c r="A1440" s="149" t="s">
        <v>3398</v>
      </c>
      <c r="B1440" s="149" t="s">
        <v>3399</v>
      </c>
    </row>
    <row r="1441" spans="1:2">
      <c r="A1441" s="149" t="s">
        <v>3400</v>
      </c>
      <c r="B1441" s="149" t="s">
        <v>3401</v>
      </c>
    </row>
    <row r="1442" spans="1:2">
      <c r="A1442" s="149" t="s">
        <v>3402</v>
      </c>
      <c r="B1442" s="149" t="s">
        <v>3403</v>
      </c>
    </row>
    <row r="1443" spans="1:2">
      <c r="A1443" s="149" t="s">
        <v>3404</v>
      </c>
      <c r="B1443" s="149" t="s">
        <v>3405</v>
      </c>
    </row>
    <row r="1444" spans="1:2">
      <c r="A1444" s="149" t="s">
        <v>3406</v>
      </c>
      <c r="B1444" s="149" t="s">
        <v>3407</v>
      </c>
    </row>
    <row r="1445" spans="1:2">
      <c r="A1445" s="149" t="s">
        <v>3408</v>
      </c>
      <c r="B1445" s="149" t="s">
        <v>3409</v>
      </c>
    </row>
    <row r="1446" spans="1:2">
      <c r="A1446" s="149" t="s">
        <v>3410</v>
      </c>
      <c r="B1446" s="149" t="s">
        <v>3411</v>
      </c>
    </row>
    <row r="1447" spans="1:2">
      <c r="A1447" s="149" t="s">
        <v>3412</v>
      </c>
      <c r="B1447" s="149" t="s">
        <v>3413</v>
      </c>
    </row>
    <row r="1448" spans="1:2">
      <c r="A1448" s="149" t="s">
        <v>3414</v>
      </c>
      <c r="B1448" s="149" t="s">
        <v>3415</v>
      </c>
    </row>
    <row r="1449" spans="1:2">
      <c r="A1449" s="149" t="s">
        <v>3416</v>
      </c>
      <c r="B1449" s="149" t="s">
        <v>3417</v>
      </c>
    </row>
    <row r="1450" spans="1:2">
      <c r="A1450" s="149" t="s">
        <v>3418</v>
      </c>
      <c r="B1450" s="149" t="s">
        <v>3419</v>
      </c>
    </row>
    <row r="1451" spans="1:2">
      <c r="A1451" s="149" t="s">
        <v>3420</v>
      </c>
      <c r="B1451" s="149" t="s">
        <v>3421</v>
      </c>
    </row>
    <row r="1452" spans="1:2">
      <c r="A1452" s="149" t="s">
        <v>3422</v>
      </c>
      <c r="B1452" s="149" t="s">
        <v>3423</v>
      </c>
    </row>
    <row r="1453" spans="1:2">
      <c r="A1453" s="149" t="s">
        <v>3424</v>
      </c>
      <c r="B1453" s="149" t="s">
        <v>3425</v>
      </c>
    </row>
    <row r="1454" spans="1:2">
      <c r="A1454" s="149" t="s">
        <v>3426</v>
      </c>
      <c r="B1454" s="149" t="s">
        <v>3427</v>
      </c>
    </row>
    <row r="1455" spans="1:2">
      <c r="A1455" s="149" t="s">
        <v>3428</v>
      </c>
      <c r="B1455" s="149" t="s">
        <v>3429</v>
      </c>
    </row>
    <row r="1456" spans="1:2">
      <c r="A1456" s="149" t="s">
        <v>3430</v>
      </c>
      <c r="B1456" s="149" t="s">
        <v>3431</v>
      </c>
    </row>
    <row r="1457" spans="1:2">
      <c r="A1457" s="149" t="s">
        <v>3432</v>
      </c>
      <c r="B1457" s="149" t="s">
        <v>3433</v>
      </c>
    </row>
    <row r="1458" spans="1:2">
      <c r="A1458" s="149" t="s">
        <v>3434</v>
      </c>
    </row>
    <row r="1459" spans="1:2">
      <c r="A1459" s="149" t="s">
        <v>3435</v>
      </c>
    </row>
    <row r="1460" spans="1:2">
      <c r="A1460" s="149" t="s">
        <v>3436</v>
      </c>
    </row>
    <row r="1461" spans="1:2">
      <c r="A1461" s="149" t="s">
        <v>3437</v>
      </c>
    </row>
    <row r="1462" spans="1:2">
      <c r="A1462" s="149" t="s">
        <v>3438</v>
      </c>
    </row>
    <row r="1463" spans="1:2">
      <c r="A1463" s="149" t="s">
        <v>3439</v>
      </c>
    </row>
    <row r="1464" spans="1:2">
      <c r="A1464" s="149" t="s">
        <v>3440</v>
      </c>
    </row>
    <row r="1465" spans="1:2">
      <c r="A1465" s="149" t="s">
        <v>3441</v>
      </c>
    </row>
    <row r="1466" spans="1:2">
      <c r="A1466" s="149" t="s">
        <v>3442</v>
      </c>
    </row>
    <row r="1467" spans="1:2">
      <c r="A1467" s="149" t="s">
        <v>3443</v>
      </c>
    </row>
    <row r="1468" spans="1:2">
      <c r="A1468" s="149" t="s">
        <v>3444</v>
      </c>
    </row>
    <row r="1469" spans="1:2">
      <c r="A1469" s="149" t="s">
        <v>3445</v>
      </c>
    </row>
    <row r="1470" spans="1:2">
      <c r="A1470" s="149" t="s">
        <v>3446</v>
      </c>
    </row>
    <row r="1471" spans="1:2">
      <c r="A1471" s="149" t="s">
        <v>3447</v>
      </c>
    </row>
    <row r="1472" spans="1:2">
      <c r="A1472" s="149" t="s">
        <v>3448</v>
      </c>
    </row>
    <row r="1473" spans="1:1">
      <c r="A1473" s="149" t="s">
        <v>3449</v>
      </c>
    </row>
    <row r="1474" spans="1:1">
      <c r="A1474" s="149" t="s">
        <v>3450</v>
      </c>
    </row>
    <row r="1475" spans="1:1">
      <c r="A1475" s="149" t="s">
        <v>3451</v>
      </c>
    </row>
    <row r="1476" spans="1:1">
      <c r="A1476" s="149" t="s">
        <v>3452</v>
      </c>
    </row>
    <row r="1477" spans="1:1">
      <c r="A1477" s="149" t="s">
        <v>3453</v>
      </c>
    </row>
    <row r="1478" spans="1:1">
      <c r="A1478" s="149" t="s">
        <v>3454</v>
      </c>
    </row>
    <row r="1479" spans="1:1">
      <c r="A1479" s="149" t="s">
        <v>3455</v>
      </c>
    </row>
    <row r="1480" spans="1:1">
      <c r="A1480" s="149" t="s">
        <v>3456</v>
      </c>
    </row>
    <row r="1481" spans="1:1">
      <c r="A1481" s="149" t="s">
        <v>3457</v>
      </c>
    </row>
    <row r="1482" spans="1:1">
      <c r="A1482" s="149" t="s">
        <v>3458</v>
      </c>
    </row>
    <row r="1483" spans="1:1">
      <c r="A1483" s="149" t="s">
        <v>3459</v>
      </c>
    </row>
    <row r="1484" spans="1:1">
      <c r="A1484" s="149" t="s">
        <v>3460</v>
      </c>
    </row>
    <row r="1485" spans="1:1">
      <c r="A1485" s="149" t="s">
        <v>3461</v>
      </c>
    </row>
    <row r="1486" spans="1:1">
      <c r="A1486" s="149" t="s">
        <v>3462</v>
      </c>
    </row>
    <row r="1487" spans="1:1">
      <c r="A1487" s="149" t="s">
        <v>3463</v>
      </c>
    </row>
    <row r="1488" spans="1:1">
      <c r="A1488" s="149" t="s">
        <v>3464</v>
      </c>
    </row>
    <row r="1489" spans="1:1">
      <c r="A1489" s="149" t="s">
        <v>3465</v>
      </c>
    </row>
    <row r="1490" spans="1:1">
      <c r="A1490" s="149" t="s">
        <v>3466</v>
      </c>
    </row>
    <row r="1491" spans="1:1">
      <c r="A1491" s="149" t="s">
        <v>3467</v>
      </c>
    </row>
    <row r="1492" spans="1:1">
      <c r="A1492" s="149" t="s">
        <v>3468</v>
      </c>
    </row>
    <row r="1493" spans="1:1">
      <c r="A1493" s="149" t="s">
        <v>3469</v>
      </c>
    </row>
    <row r="1494" spans="1:1">
      <c r="A1494" s="149" t="s">
        <v>3470</v>
      </c>
    </row>
    <row r="1495" spans="1:1">
      <c r="A1495" s="149" t="s">
        <v>3471</v>
      </c>
    </row>
    <row r="1496" spans="1:1">
      <c r="A1496" s="149" t="s">
        <v>3472</v>
      </c>
    </row>
    <row r="1497" spans="1:1">
      <c r="A1497" s="149" t="s">
        <v>3473</v>
      </c>
    </row>
    <row r="1498" spans="1:1">
      <c r="A1498" s="149" t="s">
        <v>3474</v>
      </c>
    </row>
    <row r="1499" spans="1:1">
      <c r="A1499" s="149" t="s">
        <v>3475</v>
      </c>
    </row>
    <row r="1500" spans="1:1">
      <c r="A1500" s="149" t="s">
        <v>3476</v>
      </c>
    </row>
    <row r="1501" spans="1:1">
      <c r="A1501" s="149" t="s">
        <v>3477</v>
      </c>
    </row>
    <row r="1502" spans="1:1">
      <c r="A1502" s="149" t="s">
        <v>3478</v>
      </c>
    </row>
    <row r="1503" spans="1:1">
      <c r="A1503" s="149" t="s">
        <v>3479</v>
      </c>
    </row>
    <row r="1504" spans="1:1">
      <c r="A1504" s="149" t="s">
        <v>3480</v>
      </c>
    </row>
    <row r="1505" spans="1:1">
      <c r="A1505" s="149" t="s">
        <v>3481</v>
      </c>
    </row>
    <row r="1506" spans="1:1">
      <c r="A1506" s="149" t="s">
        <v>3482</v>
      </c>
    </row>
    <row r="1507" spans="1:1">
      <c r="A1507" s="149" t="s">
        <v>3483</v>
      </c>
    </row>
    <row r="1508" spans="1:1">
      <c r="A1508" s="149" t="s">
        <v>3484</v>
      </c>
    </row>
    <row r="1509" spans="1:1">
      <c r="A1509" s="149" t="s">
        <v>3485</v>
      </c>
    </row>
    <row r="1510" spans="1:1">
      <c r="A1510" s="149" t="s">
        <v>3486</v>
      </c>
    </row>
    <row r="1511" spans="1:1">
      <c r="A1511" s="149" t="s">
        <v>3487</v>
      </c>
    </row>
    <row r="1512" spans="1:1">
      <c r="A1512" s="149" t="s">
        <v>3488</v>
      </c>
    </row>
    <row r="1513" spans="1:1">
      <c r="A1513" s="149" t="s">
        <v>3489</v>
      </c>
    </row>
    <row r="1514" spans="1:1">
      <c r="A1514" s="149" t="s">
        <v>3490</v>
      </c>
    </row>
    <row r="1515" spans="1:1">
      <c r="A1515" s="149" t="s">
        <v>3491</v>
      </c>
    </row>
    <row r="1516" spans="1:1">
      <c r="A1516" s="149" t="s">
        <v>3492</v>
      </c>
    </row>
    <row r="1517" spans="1:1">
      <c r="A1517" s="149" t="s">
        <v>3493</v>
      </c>
    </row>
    <row r="1518" spans="1:1">
      <c r="A1518" s="149" t="s">
        <v>3494</v>
      </c>
    </row>
    <row r="1519" spans="1:1">
      <c r="A1519" s="149" t="s">
        <v>3495</v>
      </c>
    </row>
    <row r="1520" spans="1:1">
      <c r="A1520" s="149" t="s">
        <v>3496</v>
      </c>
    </row>
    <row r="1521" spans="1:1">
      <c r="A1521" s="149" t="s">
        <v>3497</v>
      </c>
    </row>
    <row r="1522" spans="1:1">
      <c r="A1522" s="149" t="s">
        <v>3498</v>
      </c>
    </row>
    <row r="1523" spans="1:1">
      <c r="A1523" s="149" t="s">
        <v>3499</v>
      </c>
    </row>
    <row r="1524" spans="1:1">
      <c r="A1524" s="149" t="s">
        <v>3500</v>
      </c>
    </row>
    <row r="1525" spans="1:1">
      <c r="A1525" s="149" t="s">
        <v>3501</v>
      </c>
    </row>
    <row r="1526" spans="1:1">
      <c r="A1526" s="149" t="s">
        <v>3502</v>
      </c>
    </row>
    <row r="1527" spans="1:1">
      <c r="A1527" s="149" t="s">
        <v>3503</v>
      </c>
    </row>
    <row r="1528" spans="1:1">
      <c r="A1528" s="149" t="s">
        <v>3504</v>
      </c>
    </row>
    <row r="1529" spans="1:1">
      <c r="A1529" s="149" t="s">
        <v>3505</v>
      </c>
    </row>
    <row r="1530" spans="1:1">
      <c r="A1530" s="149" t="s">
        <v>3506</v>
      </c>
    </row>
    <row r="1531" spans="1:1">
      <c r="A1531" s="149" t="s">
        <v>3507</v>
      </c>
    </row>
    <row r="1532" spans="1:1">
      <c r="A1532" s="149" t="s">
        <v>3508</v>
      </c>
    </row>
    <row r="1533" spans="1:1">
      <c r="A1533" s="149" t="s">
        <v>3509</v>
      </c>
    </row>
    <row r="1534" spans="1:1">
      <c r="A1534" s="149" t="s">
        <v>3510</v>
      </c>
    </row>
    <row r="1535" spans="1:1">
      <c r="A1535" s="149" t="s">
        <v>3511</v>
      </c>
    </row>
    <row r="1536" spans="1:1">
      <c r="A1536" s="149" t="s">
        <v>3512</v>
      </c>
    </row>
    <row r="1537" spans="1:1">
      <c r="A1537" s="149" t="s">
        <v>3513</v>
      </c>
    </row>
    <row r="1538" spans="1:1">
      <c r="A1538" s="149" t="s">
        <v>3514</v>
      </c>
    </row>
    <row r="1539" spans="1:1">
      <c r="A1539" s="149" t="s">
        <v>3515</v>
      </c>
    </row>
    <row r="1540" spans="1:1">
      <c r="A1540" s="149" t="s">
        <v>3516</v>
      </c>
    </row>
    <row r="1541" spans="1:1">
      <c r="A1541" s="149" t="s">
        <v>3517</v>
      </c>
    </row>
    <row r="1542" spans="1:1">
      <c r="A1542" s="149" t="s">
        <v>3518</v>
      </c>
    </row>
    <row r="1543" spans="1:1">
      <c r="A1543" s="149" t="s">
        <v>3519</v>
      </c>
    </row>
    <row r="1544" spans="1:1">
      <c r="A1544" s="149" t="s">
        <v>3520</v>
      </c>
    </row>
    <row r="1545" spans="1:1">
      <c r="A1545" s="149" t="s">
        <v>3521</v>
      </c>
    </row>
    <row r="1546" spans="1:1">
      <c r="A1546" s="149" t="s">
        <v>3522</v>
      </c>
    </row>
    <row r="1547" spans="1:1">
      <c r="A1547" s="149" t="s">
        <v>3523</v>
      </c>
    </row>
    <row r="1548" spans="1:1">
      <c r="A1548" s="149" t="s">
        <v>3524</v>
      </c>
    </row>
    <row r="1549" spans="1:1">
      <c r="A1549" s="149" t="s">
        <v>3525</v>
      </c>
    </row>
    <row r="1550" spans="1:1">
      <c r="A1550" s="149" t="s">
        <v>3526</v>
      </c>
    </row>
    <row r="1551" spans="1:1">
      <c r="A1551" s="149" t="s">
        <v>3527</v>
      </c>
    </row>
    <row r="1552" spans="1:1">
      <c r="A1552" s="149" t="s">
        <v>3528</v>
      </c>
    </row>
    <row r="1553" spans="1:1">
      <c r="A1553" s="149" t="s">
        <v>3529</v>
      </c>
    </row>
    <row r="1554" spans="1:1">
      <c r="A1554" s="149" t="s">
        <v>3530</v>
      </c>
    </row>
    <row r="1555" spans="1:1">
      <c r="A1555" s="149" t="s">
        <v>3531</v>
      </c>
    </row>
    <row r="1556" spans="1:1">
      <c r="A1556" s="149" t="s">
        <v>3532</v>
      </c>
    </row>
    <row r="1557" spans="1:1">
      <c r="A1557" s="149" t="s">
        <v>3533</v>
      </c>
    </row>
    <row r="1558" spans="1:1">
      <c r="A1558" s="149" t="s">
        <v>3534</v>
      </c>
    </row>
    <row r="1559" spans="1:1">
      <c r="A1559" s="149" t="s">
        <v>3535</v>
      </c>
    </row>
    <row r="1560" spans="1:1">
      <c r="A1560" s="149" t="s">
        <v>3536</v>
      </c>
    </row>
    <row r="1561" spans="1:1">
      <c r="A1561" s="149" t="s">
        <v>3537</v>
      </c>
    </row>
    <row r="1562" spans="1:1">
      <c r="A1562" s="149" t="s">
        <v>3538</v>
      </c>
    </row>
    <row r="1563" spans="1:1">
      <c r="A1563" s="149" t="s">
        <v>3539</v>
      </c>
    </row>
    <row r="1564" spans="1:1">
      <c r="A1564" s="149" t="s">
        <v>3540</v>
      </c>
    </row>
    <row r="1565" spans="1:1">
      <c r="A1565" s="149" t="s">
        <v>3541</v>
      </c>
    </row>
    <row r="1566" spans="1:1">
      <c r="A1566" s="149" t="s">
        <v>3542</v>
      </c>
    </row>
    <row r="1567" spans="1:1">
      <c r="A1567" s="149" t="s">
        <v>3543</v>
      </c>
    </row>
    <row r="1568" spans="1:1">
      <c r="A1568" s="149" t="s">
        <v>3544</v>
      </c>
    </row>
    <row r="1569" spans="1:1">
      <c r="A1569" s="149" t="s">
        <v>3545</v>
      </c>
    </row>
    <row r="1570" spans="1:1">
      <c r="A1570" s="149" t="s">
        <v>3546</v>
      </c>
    </row>
    <row r="1571" spans="1:1">
      <c r="A1571" s="149" t="s">
        <v>3547</v>
      </c>
    </row>
    <row r="1572" spans="1:1">
      <c r="A1572" s="149" t="s">
        <v>3548</v>
      </c>
    </row>
    <row r="1573" spans="1:1">
      <c r="A1573" s="149" t="s">
        <v>3549</v>
      </c>
    </row>
    <row r="1574" spans="1:1">
      <c r="A1574" s="149" t="s">
        <v>3550</v>
      </c>
    </row>
    <row r="1575" spans="1:1">
      <c r="A1575" s="149" t="s">
        <v>3551</v>
      </c>
    </row>
    <row r="1576" spans="1:1">
      <c r="A1576" s="149" t="s">
        <v>3552</v>
      </c>
    </row>
    <row r="1577" spans="1:1">
      <c r="A1577" s="149" t="s">
        <v>3553</v>
      </c>
    </row>
    <row r="1578" spans="1:1">
      <c r="A1578" s="149" t="s">
        <v>3554</v>
      </c>
    </row>
    <row r="1579" spans="1:1">
      <c r="A1579" s="149" t="s">
        <v>3555</v>
      </c>
    </row>
    <row r="1580" spans="1:1">
      <c r="A1580" s="149" t="s">
        <v>3556</v>
      </c>
    </row>
    <row r="1581" spans="1:1">
      <c r="A1581" s="149" t="s">
        <v>3557</v>
      </c>
    </row>
    <row r="1582" spans="1:1">
      <c r="A1582" s="149" t="s">
        <v>3558</v>
      </c>
    </row>
    <row r="1583" spans="1:1">
      <c r="A1583" s="149" t="s">
        <v>3559</v>
      </c>
    </row>
    <row r="1584" spans="1:1">
      <c r="A1584" s="149" t="s">
        <v>3560</v>
      </c>
    </row>
    <row r="1585" spans="1:1">
      <c r="A1585" s="149" t="s">
        <v>3561</v>
      </c>
    </row>
    <row r="1586" spans="1:1">
      <c r="A1586" s="149" t="s">
        <v>3562</v>
      </c>
    </row>
    <row r="1587" spans="1:1">
      <c r="A1587" s="149" t="s">
        <v>3563</v>
      </c>
    </row>
    <row r="1588" spans="1:1">
      <c r="A1588" s="149" t="s">
        <v>3564</v>
      </c>
    </row>
    <row r="1589" spans="1:1">
      <c r="A1589" s="149" t="s">
        <v>3565</v>
      </c>
    </row>
    <row r="1590" spans="1:1">
      <c r="A1590" s="149" t="s">
        <v>3566</v>
      </c>
    </row>
    <row r="1591" spans="1:1">
      <c r="A1591" s="149" t="s">
        <v>3567</v>
      </c>
    </row>
    <row r="1592" spans="1:1">
      <c r="A1592" s="149" t="s">
        <v>3568</v>
      </c>
    </row>
    <row r="1593" spans="1:1">
      <c r="A1593" s="149" t="s">
        <v>3569</v>
      </c>
    </row>
    <row r="1594" spans="1:1">
      <c r="A1594" s="149" t="s">
        <v>3570</v>
      </c>
    </row>
    <row r="1595" spans="1:1">
      <c r="A1595" s="149" t="s">
        <v>3571</v>
      </c>
    </row>
    <row r="1596" spans="1:1">
      <c r="A1596" s="149" t="s">
        <v>3572</v>
      </c>
    </row>
    <row r="1597" spans="1:1">
      <c r="A1597" s="149" t="s">
        <v>3573</v>
      </c>
    </row>
    <row r="1598" spans="1:1">
      <c r="A1598" s="149" t="s">
        <v>3574</v>
      </c>
    </row>
    <row r="1599" spans="1:1">
      <c r="A1599" s="149" t="s">
        <v>3575</v>
      </c>
    </row>
    <row r="1600" spans="1:1">
      <c r="A1600" s="149" t="s">
        <v>3576</v>
      </c>
    </row>
    <row r="1601" spans="1:1">
      <c r="A1601" s="149" t="s">
        <v>3577</v>
      </c>
    </row>
    <row r="1602" spans="1:1">
      <c r="A1602" s="149" t="s">
        <v>3578</v>
      </c>
    </row>
    <row r="1603" spans="1:1">
      <c r="A1603" s="149" t="s">
        <v>3579</v>
      </c>
    </row>
    <row r="1604" spans="1:1">
      <c r="A1604" s="149" t="s">
        <v>3580</v>
      </c>
    </row>
    <row r="1605" spans="1:1">
      <c r="A1605" s="149" t="s">
        <v>3581</v>
      </c>
    </row>
    <row r="1606" spans="1:1">
      <c r="A1606" s="149" t="s">
        <v>3582</v>
      </c>
    </row>
    <row r="1607" spans="1:1">
      <c r="A1607" s="149" t="s">
        <v>3583</v>
      </c>
    </row>
    <row r="1608" spans="1:1">
      <c r="A1608" s="149" t="s">
        <v>3584</v>
      </c>
    </row>
    <row r="1609" spans="1:1">
      <c r="A1609" s="149" t="s">
        <v>3585</v>
      </c>
    </row>
    <row r="1610" spans="1:1">
      <c r="A1610" s="149" t="s">
        <v>3586</v>
      </c>
    </row>
    <row r="1611" spans="1:1">
      <c r="A1611" s="149" t="s">
        <v>3587</v>
      </c>
    </row>
    <row r="1612" spans="1:1">
      <c r="A1612" s="149" t="s">
        <v>3588</v>
      </c>
    </row>
    <row r="1613" spans="1:1">
      <c r="A1613" s="149" t="s">
        <v>3589</v>
      </c>
    </row>
    <row r="1614" spans="1:1">
      <c r="A1614" s="149" t="s">
        <v>3590</v>
      </c>
    </row>
    <row r="1615" spans="1:1">
      <c r="A1615" s="149" t="s">
        <v>3591</v>
      </c>
    </row>
    <row r="1616" spans="1:1">
      <c r="A1616" s="149" t="s">
        <v>3592</v>
      </c>
    </row>
    <row r="1617" spans="1:1">
      <c r="A1617" s="149" t="s">
        <v>3593</v>
      </c>
    </row>
    <row r="1618" spans="1:1">
      <c r="A1618" s="149" t="s">
        <v>3594</v>
      </c>
    </row>
    <row r="1619" spans="1:1">
      <c r="A1619" s="149" t="s">
        <v>3595</v>
      </c>
    </row>
    <row r="1620" spans="1:1">
      <c r="A1620" s="149" t="s">
        <v>3596</v>
      </c>
    </row>
    <row r="1621" spans="1:1">
      <c r="A1621" s="149" t="s">
        <v>3597</v>
      </c>
    </row>
    <row r="1622" spans="1:1">
      <c r="A1622" s="149" t="s">
        <v>3598</v>
      </c>
    </row>
    <row r="1623" spans="1:1">
      <c r="A1623" s="149" t="s">
        <v>3599</v>
      </c>
    </row>
    <row r="1624" spans="1:1">
      <c r="A1624" s="149" t="s">
        <v>3600</v>
      </c>
    </row>
    <row r="1625" spans="1:1">
      <c r="A1625" s="149" t="s">
        <v>3601</v>
      </c>
    </row>
    <row r="1626" spans="1:1">
      <c r="A1626" s="149" t="s">
        <v>3602</v>
      </c>
    </row>
    <row r="1627" spans="1:1">
      <c r="A1627" s="149" t="s">
        <v>3603</v>
      </c>
    </row>
    <row r="1628" spans="1:1">
      <c r="A1628" s="149" t="s">
        <v>3604</v>
      </c>
    </row>
    <row r="1629" spans="1:1">
      <c r="A1629" s="149" t="s">
        <v>3605</v>
      </c>
    </row>
    <row r="1630" spans="1:1">
      <c r="A1630" s="149" t="s">
        <v>3606</v>
      </c>
    </row>
    <row r="1631" spans="1:1">
      <c r="A1631" s="149" t="s">
        <v>3607</v>
      </c>
    </row>
    <row r="1632" spans="1:1">
      <c r="A1632" s="149" t="s">
        <v>3608</v>
      </c>
    </row>
    <row r="1633" spans="1:1">
      <c r="A1633" s="149" t="s">
        <v>3609</v>
      </c>
    </row>
    <row r="1634" spans="1:1">
      <c r="A1634" s="149" t="s">
        <v>3610</v>
      </c>
    </row>
    <row r="1635" spans="1:1">
      <c r="A1635" s="149" t="s">
        <v>3611</v>
      </c>
    </row>
    <row r="1636" spans="1:1">
      <c r="A1636" s="149" t="s">
        <v>3612</v>
      </c>
    </row>
    <row r="1637" spans="1:1">
      <c r="A1637" s="149" t="s">
        <v>3613</v>
      </c>
    </row>
    <row r="1638" spans="1:1">
      <c r="A1638" s="149" t="s">
        <v>3614</v>
      </c>
    </row>
    <row r="1639" spans="1:1">
      <c r="A1639" s="149" t="s">
        <v>3615</v>
      </c>
    </row>
    <row r="1640" spans="1:1">
      <c r="A1640" s="149" t="s">
        <v>3616</v>
      </c>
    </row>
    <row r="1641" spans="1:1">
      <c r="A1641" s="149" t="s">
        <v>3617</v>
      </c>
    </row>
    <row r="1642" spans="1:1">
      <c r="A1642" s="149" t="s">
        <v>3618</v>
      </c>
    </row>
    <row r="1643" spans="1:1">
      <c r="A1643" s="149" t="s">
        <v>3619</v>
      </c>
    </row>
    <row r="1644" spans="1:1">
      <c r="A1644" s="149" t="s">
        <v>3620</v>
      </c>
    </row>
    <row r="1645" spans="1:1">
      <c r="A1645" s="149" t="s">
        <v>3621</v>
      </c>
    </row>
    <row r="1646" spans="1:1">
      <c r="A1646" s="149" t="s">
        <v>3622</v>
      </c>
    </row>
    <row r="1647" spans="1:1">
      <c r="A1647" s="149" t="s">
        <v>3623</v>
      </c>
    </row>
    <row r="1648" spans="1:1">
      <c r="A1648" s="149" t="s">
        <v>3624</v>
      </c>
    </row>
    <row r="1649" spans="1:1">
      <c r="A1649" s="149" t="s">
        <v>3625</v>
      </c>
    </row>
    <row r="1650" spans="1:1">
      <c r="A1650" s="149" t="s">
        <v>3626</v>
      </c>
    </row>
    <row r="1651" spans="1:1">
      <c r="A1651" s="149" t="s">
        <v>3627</v>
      </c>
    </row>
    <row r="1652" spans="1:1">
      <c r="A1652" s="149" t="s">
        <v>3628</v>
      </c>
    </row>
    <row r="1653" spans="1:1">
      <c r="A1653" s="149" t="s">
        <v>3629</v>
      </c>
    </row>
    <row r="1654" spans="1:1">
      <c r="A1654" s="149" t="s">
        <v>3630</v>
      </c>
    </row>
    <row r="1655" spans="1:1">
      <c r="A1655" s="149" t="s">
        <v>3631</v>
      </c>
    </row>
    <row r="1656" spans="1:1">
      <c r="A1656" s="149" t="s">
        <v>3632</v>
      </c>
    </row>
    <row r="1657" spans="1:1">
      <c r="A1657" s="149" t="s">
        <v>3633</v>
      </c>
    </row>
    <row r="1658" spans="1:1">
      <c r="A1658" s="149" t="s">
        <v>3634</v>
      </c>
    </row>
    <row r="1659" spans="1:1">
      <c r="A1659" s="149" t="s">
        <v>3635</v>
      </c>
    </row>
    <row r="1660" spans="1:1">
      <c r="A1660" s="149" t="s">
        <v>3636</v>
      </c>
    </row>
    <row r="1661" spans="1:1">
      <c r="A1661" s="149" t="s">
        <v>3637</v>
      </c>
    </row>
    <row r="1662" spans="1:1">
      <c r="A1662" s="149" t="s">
        <v>3638</v>
      </c>
    </row>
    <row r="1663" spans="1:1">
      <c r="A1663" s="149" t="s">
        <v>3639</v>
      </c>
    </row>
    <row r="1664" spans="1:1">
      <c r="A1664" s="149" t="s">
        <v>3640</v>
      </c>
    </row>
    <row r="1665" spans="1:1">
      <c r="A1665" s="149" t="s">
        <v>3641</v>
      </c>
    </row>
    <row r="1666" spans="1:1">
      <c r="A1666" s="149" t="s">
        <v>3642</v>
      </c>
    </row>
    <row r="1667" spans="1:1">
      <c r="A1667" s="149" t="s">
        <v>3643</v>
      </c>
    </row>
    <row r="1668" spans="1:1">
      <c r="A1668" s="149" t="s">
        <v>3644</v>
      </c>
    </row>
    <row r="1669" spans="1:1">
      <c r="A1669" s="149" t="s">
        <v>3645</v>
      </c>
    </row>
    <row r="1670" spans="1:1">
      <c r="A1670" s="149" t="s">
        <v>3646</v>
      </c>
    </row>
    <row r="1671" spans="1:1">
      <c r="A1671" s="149" t="s">
        <v>3647</v>
      </c>
    </row>
    <row r="1672" spans="1:1">
      <c r="A1672" s="149" t="s">
        <v>3648</v>
      </c>
    </row>
    <row r="1673" spans="1:1">
      <c r="A1673" s="149" t="s">
        <v>3649</v>
      </c>
    </row>
    <row r="1674" spans="1:1">
      <c r="A1674" s="149" t="s">
        <v>3650</v>
      </c>
    </row>
    <row r="1675" spans="1:1">
      <c r="A1675" s="149" t="s">
        <v>3651</v>
      </c>
    </row>
    <row r="1676" spans="1:1">
      <c r="A1676" s="149" t="s">
        <v>3652</v>
      </c>
    </row>
    <row r="1677" spans="1:1">
      <c r="A1677" s="149" t="s">
        <v>3653</v>
      </c>
    </row>
    <row r="1678" spans="1:1">
      <c r="A1678" s="149" t="s">
        <v>3654</v>
      </c>
    </row>
    <row r="1679" spans="1:1">
      <c r="A1679" s="149" t="s">
        <v>3655</v>
      </c>
    </row>
    <row r="1680" spans="1:1">
      <c r="A1680" s="149" t="s">
        <v>3656</v>
      </c>
    </row>
    <row r="1681" spans="1:1">
      <c r="A1681" s="149" t="s">
        <v>3657</v>
      </c>
    </row>
    <row r="1682" spans="1:1">
      <c r="A1682" s="149" t="s">
        <v>3658</v>
      </c>
    </row>
    <row r="1683" spans="1:1">
      <c r="A1683" s="149" t="s">
        <v>3659</v>
      </c>
    </row>
    <row r="1684" spans="1:1">
      <c r="A1684" s="149" t="s">
        <v>3660</v>
      </c>
    </row>
    <row r="1685" spans="1:1">
      <c r="A1685" s="149" t="s">
        <v>3661</v>
      </c>
    </row>
    <row r="1686" spans="1:1">
      <c r="A1686" s="149" t="s">
        <v>3662</v>
      </c>
    </row>
    <row r="1687" spans="1:1">
      <c r="A1687" s="149" t="s">
        <v>3663</v>
      </c>
    </row>
    <row r="1688" spans="1:1">
      <c r="A1688" s="149" t="s">
        <v>3664</v>
      </c>
    </row>
    <row r="1689" spans="1:1">
      <c r="A1689" s="149" t="s">
        <v>3665</v>
      </c>
    </row>
    <row r="1690" spans="1:1">
      <c r="A1690" s="149" t="s">
        <v>3666</v>
      </c>
    </row>
    <row r="1691" spans="1:1">
      <c r="A1691" s="149" t="s">
        <v>3667</v>
      </c>
    </row>
    <row r="1692" spans="1:1">
      <c r="A1692" s="149" t="s">
        <v>3668</v>
      </c>
    </row>
    <row r="1693" spans="1:1">
      <c r="A1693" s="149" t="s">
        <v>3669</v>
      </c>
    </row>
    <row r="1694" spans="1:1">
      <c r="A1694" s="149" t="s">
        <v>3670</v>
      </c>
    </row>
    <row r="1695" spans="1:1">
      <c r="A1695" s="149" t="s">
        <v>3671</v>
      </c>
    </row>
    <row r="1696" spans="1:1">
      <c r="A1696" s="149" t="s">
        <v>3672</v>
      </c>
    </row>
    <row r="1697" spans="1:1">
      <c r="A1697" s="149" t="s">
        <v>3673</v>
      </c>
    </row>
    <row r="1698" spans="1:1">
      <c r="A1698" s="149" t="s">
        <v>3674</v>
      </c>
    </row>
    <row r="1699" spans="1:1">
      <c r="A1699" s="149" t="s">
        <v>3675</v>
      </c>
    </row>
    <row r="1700" spans="1:1">
      <c r="A1700" s="149" t="s">
        <v>3676</v>
      </c>
    </row>
    <row r="1701" spans="1:1">
      <c r="A1701" s="149" t="s">
        <v>3677</v>
      </c>
    </row>
    <row r="1702" spans="1:1">
      <c r="A1702" s="149" t="s">
        <v>3678</v>
      </c>
    </row>
    <row r="1703" spans="1:1">
      <c r="A1703" s="149" t="s">
        <v>3679</v>
      </c>
    </row>
    <row r="1704" spans="1:1">
      <c r="A1704" s="149" t="s">
        <v>3680</v>
      </c>
    </row>
    <row r="1705" spans="1:1">
      <c r="A1705" s="149" t="s">
        <v>3681</v>
      </c>
    </row>
    <row r="1706" spans="1:1">
      <c r="A1706" s="149" t="s">
        <v>3682</v>
      </c>
    </row>
    <row r="1707" spans="1:1">
      <c r="A1707" s="149" t="s">
        <v>3683</v>
      </c>
    </row>
    <row r="1708" spans="1:1">
      <c r="A1708" s="149" t="s">
        <v>3684</v>
      </c>
    </row>
    <row r="1709" spans="1:1">
      <c r="A1709" s="149" t="s">
        <v>3685</v>
      </c>
    </row>
    <row r="1710" spans="1:1">
      <c r="A1710" s="149" t="s">
        <v>3686</v>
      </c>
    </row>
    <row r="1711" spans="1:1">
      <c r="A1711" s="149" t="s">
        <v>3687</v>
      </c>
    </row>
    <row r="1712" spans="1:1">
      <c r="A1712" s="149" t="s">
        <v>3688</v>
      </c>
    </row>
    <row r="1713" spans="1:1">
      <c r="A1713" s="149" t="s">
        <v>3689</v>
      </c>
    </row>
    <row r="1714" spans="1:1">
      <c r="A1714" s="149" t="s">
        <v>3690</v>
      </c>
    </row>
    <row r="1715" spans="1:1">
      <c r="A1715" s="149" t="s">
        <v>3691</v>
      </c>
    </row>
    <row r="1716" spans="1:1">
      <c r="A1716" s="149" t="s">
        <v>3692</v>
      </c>
    </row>
    <row r="1717" spans="1:1">
      <c r="A1717" s="149" t="s">
        <v>3693</v>
      </c>
    </row>
    <row r="1718" spans="1:1">
      <c r="A1718" s="149" t="s">
        <v>3694</v>
      </c>
    </row>
    <row r="1719" spans="1:1">
      <c r="A1719" s="149" t="s">
        <v>3695</v>
      </c>
    </row>
    <row r="1720" spans="1:1">
      <c r="A1720" s="149" t="s">
        <v>3696</v>
      </c>
    </row>
    <row r="1721" spans="1:1">
      <c r="A1721" s="149" t="s">
        <v>3697</v>
      </c>
    </row>
    <row r="1722" spans="1:1">
      <c r="A1722" s="149" t="s">
        <v>3698</v>
      </c>
    </row>
    <row r="1723" spans="1:1">
      <c r="A1723" s="149" t="s">
        <v>3699</v>
      </c>
    </row>
    <row r="1724" spans="1:1">
      <c r="A1724" s="149" t="s">
        <v>3700</v>
      </c>
    </row>
    <row r="1725" spans="1:1">
      <c r="A1725" s="149" t="s">
        <v>3701</v>
      </c>
    </row>
    <row r="1726" spans="1:1">
      <c r="A1726" s="149" t="s">
        <v>3702</v>
      </c>
    </row>
    <row r="1727" spans="1:1">
      <c r="A1727" s="149" t="s">
        <v>3703</v>
      </c>
    </row>
    <row r="1728" spans="1:1">
      <c r="A1728" s="149" t="s">
        <v>3704</v>
      </c>
    </row>
    <row r="1729" spans="1:1">
      <c r="A1729" s="149" t="s">
        <v>3705</v>
      </c>
    </row>
    <row r="1730" spans="1:1">
      <c r="A1730" s="149" t="s">
        <v>3706</v>
      </c>
    </row>
    <row r="1731" spans="1:1">
      <c r="A1731" s="149" t="s">
        <v>3707</v>
      </c>
    </row>
    <row r="1732" spans="1:1">
      <c r="A1732" s="149" t="s">
        <v>3708</v>
      </c>
    </row>
    <row r="1733" spans="1:1">
      <c r="A1733" s="149" t="s">
        <v>3709</v>
      </c>
    </row>
    <row r="1734" spans="1:1">
      <c r="A1734" s="149" t="s">
        <v>3710</v>
      </c>
    </row>
    <row r="1735" spans="1:1">
      <c r="A1735" s="149" t="s">
        <v>3711</v>
      </c>
    </row>
    <row r="1736" spans="1:1">
      <c r="A1736" s="149" t="s">
        <v>3712</v>
      </c>
    </row>
    <row r="1737" spans="1:1">
      <c r="A1737" s="149" t="s">
        <v>3713</v>
      </c>
    </row>
    <row r="1738" spans="1:1">
      <c r="A1738" s="149" t="s">
        <v>3714</v>
      </c>
    </row>
    <row r="1739" spans="1:1">
      <c r="A1739" s="149" t="s">
        <v>3715</v>
      </c>
    </row>
    <row r="1740" spans="1:1">
      <c r="A1740" s="149" t="s">
        <v>3716</v>
      </c>
    </row>
    <row r="1741" spans="1:1">
      <c r="A1741" s="149" t="s">
        <v>3717</v>
      </c>
    </row>
    <row r="1742" spans="1:1">
      <c r="A1742" s="149" t="s">
        <v>3718</v>
      </c>
    </row>
    <row r="1743" spans="1:1">
      <c r="A1743" s="149" t="s">
        <v>3719</v>
      </c>
    </row>
    <row r="1744" spans="1:1">
      <c r="A1744" s="149" t="s">
        <v>3720</v>
      </c>
    </row>
    <row r="1745" spans="1:1">
      <c r="A1745" s="149" t="s">
        <v>3721</v>
      </c>
    </row>
    <row r="1746" spans="1:1">
      <c r="A1746" s="149" t="s">
        <v>3722</v>
      </c>
    </row>
    <row r="1747" spans="1:1">
      <c r="A1747" s="149" t="s">
        <v>3723</v>
      </c>
    </row>
    <row r="1748" spans="1:1">
      <c r="A1748" s="149" t="s">
        <v>3724</v>
      </c>
    </row>
    <row r="1749" spans="1:1">
      <c r="A1749" s="149" t="s">
        <v>3725</v>
      </c>
    </row>
    <row r="1750" spans="1:1">
      <c r="A1750" s="149" t="s">
        <v>3726</v>
      </c>
    </row>
    <row r="1751" spans="1:1">
      <c r="A1751" s="149" t="s">
        <v>3727</v>
      </c>
    </row>
    <row r="1752" spans="1:1">
      <c r="A1752" s="149" t="s">
        <v>3728</v>
      </c>
    </row>
    <row r="1753" spans="1:1">
      <c r="A1753" s="149" t="s">
        <v>3729</v>
      </c>
    </row>
    <row r="1754" spans="1:1">
      <c r="A1754" s="149" t="s">
        <v>3730</v>
      </c>
    </row>
    <row r="1755" spans="1:1">
      <c r="A1755" s="149" t="s">
        <v>3731</v>
      </c>
    </row>
    <row r="1756" spans="1:1">
      <c r="A1756" s="149" t="s">
        <v>3732</v>
      </c>
    </row>
    <row r="1757" spans="1:1">
      <c r="A1757" s="149" t="s">
        <v>3733</v>
      </c>
    </row>
    <row r="1758" spans="1:1">
      <c r="A1758" s="149" t="s">
        <v>3734</v>
      </c>
    </row>
    <row r="1759" spans="1:1">
      <c r="A1759" s="149" t="s">
        <v>3735</v>
      </c>
    </row>
    <row r="1760" spans="1:1">
      <c r="A1760" s="149" t="s">
        <v>3736</v>
      </c>
    </row>
    <row r="1761" spans="1:1">
      <c r="A1761" s="149" t="s">
        <v>3737</v>
      </c>
    </row>
    <row r="1762" spans="1:1">
      <c r="A1762" s="149" t="s">
        <v>3738</v>
      </c>
    </row>
    <row r="1763" spans="1:1">
      <c r="A1763" s="149" t="s">
        <v>3739</v>
      </c>
    </row>
    <row r="1764" spans="1:1">
      <c r="A1764" s="149" t="s">
        <v>3740</v>
      </c>
    </row>
    <row r="1765" spans="1:1">
      <c r="A1765" s="149" t="s">
        <v>3741</v>
      </c>
    </row>
    <row r="1766" spans="1:1">
      <c r="A1766" s="149" t="s">
        <v>3742</v>
      </c>
    </row>
    <row r="1767" spans="1:1">
      <c r="A1767" s="149" t="s">
        <v>3743</v>
      </c>
    </row>
    <row r="1768" spans="1:1">
      <c r="A1768" s="149" t="s">
        <v>3744</v>
      </c>
    </row>
    <row r="1769" spans="1:1">
      <c r="A1769" s="149" t="s">
        <v>3745</v>
      </c>
    </row>
    <row r="1770" spans="1:1">
      <c r="A1770" s="149" t="s">
        <v>3746</v>
      </c>
    </row>
    <row r="1771" spans="1:1">
      <c r="A1771" s="149" t="s">
        <v>3747</v>
      </c>
    </row>
    <row r="1772" spans="1:1">
      <c r="A1772" s="149" t="s">
        <v>3748</v>
      </c>
    </row>
    <row r="1773" spans="1:1">
      <c r="A1773" s="149" t="s">
        <v>3749</v>
      </c>
    </row>
    <row r="1774" spans="1:1">
      <c r="A1774" s="149" t="s">
        <v>3750</v>
      </c>
    </row>
    <row r="1775" spans="1:1">
      <c r="A1775" s="149" t="s">
        <v>3751</v>
      </c>
    </row>
    <row r="1776" spans="1:1">
      <c r="A1776" s="149" t="s">
        <v>3752</v>
      </c>
    </row>
    <row r="1777" spans="1:1">
      <c r="A1777" s="149" t="s">
        <v>3753</v>
      </c>
    </row>
    <row r="1778" spans="1:1">
      <c r="A1778" s="149" t="s">
        <v>3754</v>
      </c>
    </row>
    <row r="1779" spans="1:1">
      <c r="A1779" s="149" t="s">
        <v>3755</v>
      </c>
    </row>
    <row r="1780" spans="1:1">
      <c r="A1780" s="149" t="s">
        <v>3756</v>
      </c>
    </row>
    <row r="1781" spans="1:1">
      <c r="A1781" s="149" t="s">
        <v>3757</v>
      </c>
    </row>
    <row r="1782" spans="1:1">
      <c r="A1782" s="149" t="s">
        <v>3758</v>
      </c>
    </row>
    <row r="1783" spans="1:1">
      <c r="A1783" s="149" t="s">
        <v>3759</v>
      </c>
    </row>
    <row r="1784" spans="1:1">
      <c r="A1784" s="149" t="s">
        <v>3760</v>
      </c>
    </row>
    <row r="1785" spans="1:1">
      <c r="A1785" s="149" t="s">
        <v>3761</v>
      </c>
    </row>
    <row r="1786" spans="1:1">
      <c r="A1786" s="149" t="s">
        <v>3762</v>
      </c>
    </row>
    <row r="1787" spans="1:1">
      <c r="A1787" s="149" t="s">
        <v>3763</v>
      </c>
    </row>
    <row r="1788" spans="1:1">
      <c r="A1788" s="149" t="s">
        <v>3764</v>
      </c>
    </row>
    <row r="1789" spans="1:1">
      <c r="A1789" s="149" t="s">
        <v>3765</v>
      </c>
    </row>
    <row r="1790" spans="1:1">
      <c r="A1790" s="149" t="s">
        <v>3766</v>
      </c>
    </row>
    <row r="1791" spans="1:1">
      <c r="A1791" s="149" t="s">
        <v>3767</v>
      </c>
    </row>
    <row r="1792" spans="1:1">
      <c r="A1792" s="149" t="s">
        <v>3768</v>
      </c>
    </row>
    <row r="1793" spans="1:1">
      <c r="A1793" s="149" t="s">
        <v>3769</v>
      </c>
    </row>
    <row r="1794" spans="1:1">
      <c r="A1794" s="149" t="s">
        <v>3770</v>
      </c>
    </row>
    <row r="1795" spans="1:1">
      <c r="A1795" s="149" t="s">
        <v>3771</v>
      </c>
    </row>
    <row r="1796" spans="1:1">
      <c r="A1796" s="149" t="s">
        <v>3772</v>
      </c>
    </row>
    <row r="1797" spans="1:1">
      <c r="A1797" s="149" t="s">
        <v>3773</v>
      </c>
    </row>
    <row r="1798" spans="1:1">
      <c r="A1798" s="149" t="s">
        <v>3774</v>
      </c>
    </row>
    <row r="1799" spans="1:1">
      <c r="A1799" s="149" t="s">
        <v>3775</v>
      </c>
    </row>
    <row r="1800" spans="1:1">
      <c r="A1800" s="149" t="s">
        <v>3776</v>
      </c>
    </row>
    <row r="1801" spans="1:1">
      <c r="A1801" s="149" t="s">
        <v>3777</v>
      </c>
    </row>
    <row r="1802" spans="1:1">
      <c r="A1802" s="149" t="s">
        <v>3778</v>
      </c>
    </row>
    <row r="1803" spans="1:1">
      <c r="A1803" s="149" t="s">
        <v>3779</v>
      </c>
    </row>
    <row r="1804" spans="1:1">
      <c r="A1804" s="149" t="s">
        <v>3780</v>
      </c>
    </row>
    <row r="1805" spans="1:1">
      <c r="A1805" s="149" t="s">
        <v>3781</v>
      </c>
    </row>
    <row r="1806" spans="1:1">
      <c r="A1806" s="149" t="s">
        <v>3782</v>
      </c>
    </row>
    <row r="1807" spans="1:1">
      <c r="A1807" s="149" t="s">
        <v>3783</v>
      </c>
    </row>
    <row r="1808" spans="1:1">
      <c r="A1808" s="149" t="s">
        <v>3784</v>
      </c>
    </row>
    <row r="1809" spans="1:1">
      <c r="A1809" s="149" t="s">
        <v>3785</v>
      </c>
    </row>
    <row r="1810" spans="1:1">
      <c r="A1810" s="149" t="s">
        <v>3786</v>
      </c>
    </row>
    <row r="1811" spans="1:1">
      <c r="A1811" s="149" t="s">
        <v>3787</v>
      </c>
    </row>
    <row r="1812" spans="1:1">
      <c r="A1812" s="149" t="s">
        <v>3788</v>
      </c>
    </row>
    <row r="1813" spans="1:1">
      <c r="A1813" s="149" t="s">
        <v>3789</v>
      </c>
    </row>
    <row r="1814" spans="1:1">
      <c r="A1814" s="149" t="s">
        <v>3790</v>
      </c>
    </row>
    <row r="1815" spans="1:1">
      <c r="A1815" s="149" t="s">
        <v>3791</v>
      </c>
    </row>
    <row r="1816" spans="1:1">
      <c r="A1816" s="149" t="s">
        <v>3792</v>
      </c>
    </row>
    <row r="1817" spans="1:1">
      <c r="A1817" s="149" t="s">
        <v>3793</v>
      </c>
    </row>
    <row r="1818" spans="1:1">
      <c r="A1818" s="149" t="s">
        <v>3794</v>
      </c>
    </row>
    <row r="1819" spans="1:1">
      <c r="A1819" s="149" t="s">
        <v>3795</v>
      </c>
    </row>
    <row r="1820" spans="1:1">
      <c r="A1820" s="149" t="s">
        <v>3796</v>
      </c>
    </row>
    <row r="1821" spans="1:1">
      <c r="A1821" s="149" t="s">
        <v>3797</v>
      </c>
    </row>
    <row r="1822" spans="1:1">
      <c r="A1822" s="149" t="s">
        <v>3798</v>
      </c>
    </row>
    <row r="1823" spans="1:1">
      <c r="A1823" s="149" t="s">
        <v>3799</v>
      </c>
    </row>
    <row r="1824" spans="1:1">
      <c r="A1824" s="149" t="s">
        <v>3800</v>
      </c>
    </row>
    <row r="1825" spans="1:1">
      <c r="A1825" s="149" t="s">
        <v>3801</v>
      </c>
    </row>
    <row r="1826" spans="1:1">
      <c r="A1826" s="149" t="s">
        <v>3802</v>
      </c>
    </row>
    <row r="1827" spans="1:1">
      <c r="A1827" s="149" t="s">
        <v>3803</v>
      </c>
    </row>
    <row r="1828" spans="1:1">
      <c r="A1828" s="149" t="s">
        <v>3804</v>
      </c>
    </row>
    <row r="1829" spans="1:1">
      <c r="A1829" s="149" t="s">
        <v>3805</v>
      </c>
    </row>
    <row r="1830" spans="1:1">
      <c r="A1830" s="149" t="s">
        <v>3806</v>
      </c>
    </row>
    <row r="1831" spans="1:1">
      <c r="A1831" s="149" t="s">
        <v>3807</v>
      </c>
    </row>
    <row r="1832" spans="1:1">
      <c r="A1832" s="149" t="s">
        <v>3808</v>
      </c>
    </row>
    <row r="1833" spans="1:1">
      <c r="A1833" s="149" t="s">
        <v>3809</v>
      </c>
    </row>
    <row r="1834" spans="1:1">
      <c r="A1834" s="149" t="s">
        <v>3810</v>
      </c>
    </row>
    <row r="1835" spans="1:1">
      <c r="A1835" s="149" t="s">
        <v>3811</v>
      </c>
    </row>
    <row r="1836" spans="1:1">
      <c r="A1836" s="149" t="s">
        <v>3812</v>
      </c>
    </row>
    <row r="1837" spans="1:1">
      <c r="A1837" s="149" t="s">
        <v>3813</v>
      </c>
    </row>
    <row r="1838" spans="1:1">
      <c r="A1838" s="149" t="s">
        <v>3814</v>
      </c>
    </row>
    <row r="1839" spans="1:1">
      <c r="A1839" s="149" t="s">
        <v>3815</v>
      </c>
    </row>
    <row r="1840" spans="1:1">
      <c r="A1840" s="149" t="s">
        <v>3816</v>
      </c>
    </row>
    <row r="1841" spans="1:1">
      <c r="A1841" s="149" t="s">
        <v>3817</v>
      </c>
    </row>
    <row r="1842" spans="1:1">
      <c r="A1842" s="149" t="s">
        <v>3818</v>
      </c>
    </row>
    <row r="1843" spans="1:1">
      <c r="A1843" s="149" t="s">
        <v>3819</v>
      </c>
    </row>
    <row r="1844" spans="1:1">
      <c r="A1844" s="149" t="s">
        <v>3820</v>
      </c>
    </row>
    <row r="1845" spans="1:1">
      <c r="A1845" s="149" t="s">
        <v>3821</v>
      </c>
    </row>
    <row r="1846" spans="1:1">
      <c r="A1846" s="149" t="s">
        <v>3822</v>
      </c>
    </row>
    <row r="1847" spans="1:1">
      <c r="A1847" s="149" t="s">
        <v>3823</v>
      </c>
    </row>
    <row r="1848" spans="1:1">
      <c r="A1848" s="149" t="s">
        <v>3824</v>
      </c>
    </row>
    <row r="1849" spans="1:1">
      <c r="A1849" s="149" t="s">
        <v>3825</v>
      </c>
    </row>
    <row r="1850" spans="1:1">
      <c r="A1850" s="149" t="s">
        <v>3826</v>
      </c>
    </row>
    <row r="1851" spans="1:1">
      <c r="A1851" s="149" t="s">
        <v>3827</v>
      </c>
    </row>
    <row r="1852" spans="1:1">
      <c r="A1852" s="149" t="s">
        <v>3828</v>
      </c>
    </row>
    <row r="1853" spans="1:1">
      <c r="A1853" s="149" t="s">
        <v>3829</v>
      </c>
    </row>
    <row r="1854" spans="1:1">
      <c r="A1854" s="149" t="s">
        <v>3830</v>
      </c>
    </row>
    <row r="1855" spans="1:1">
      <c r="A1855" s="149" t="s">
        <v>3831</v>
      </c>
    </row>
    <row r="1856" spans="1:1">
      <c r="A1856" s="149" t="s">
        <v>3832</v>
      </c>
    </row>
    <row r="1857" spans="1:1">
      <c r="A1857" s="149" t="s">
        <v>3833</v>
      </c>
    </row>
    <row r="1858" spans="1:1">
      <c r="A1858" s="149" t="s">
        <v>3834</v>
      </c>
    </row>
    <row r="1859" spans="1:1">
      <c r="A1859" s="149" t="s">
        <v>3835</v>
      </c>
    </row>
    <row r="1860" spans="1:1">
      <c r="A1860" s="149" t="s">
        <v>3836</v>
      </c>
    </row>
    <row r="1861" spans="1:1">
      <c r="A1861" s="149" t="s">
        <v>3837</v>
      </c>
    </row>
    <row r="1862" spans="1:1">
      <c r="A1862" s="149" t="s">
        <v>3838</v>
      </c>
    </row>
    <row r="1863" spans="1:1">
      <c r="A1863" s="149" t="s">
        <v>3839</v>
      </c>
    </row>
    <row r="1864" spans="1:1">
      <c r="A1864" s="149" t="s">
        <v>3840</v>
      </c>
    </row>
    <row r="1865" spans="1:1">
      <c r="A1865" s="149" t="s">
        <v>3841</v>
      </c>
    </row>
    <row r="1866" spans="1:1">
      <c r="A1866" s="149" t="s">
        <v>3842</v>
      </c>
    </row>
    <row r="1867" spans="1:1">
      <c r="A1867" s="149" t="s">
        <v>3843</v>
      </c>
    </row>
    <row r="1868" spans="1:1">
      <c r="A1868" s="149" t="s">
        <v>3844</v>
      </c>
    </row>
    <row r="1869" spans="1:1">
      <c r="A1869" s="149" t="s">
        <v>3845</v>
      </c>
    </row>
    <row r="1870" spans="1:1">
      <c r="A1870" s="149" t="s">
        <v>3846</v>
      </c>
    </row>
    <row r="1871" spans="1:1">
      <c r="A1871" s="149" t="s">
        <v>3847</v>
      </c>
    </row>
    <row r="1872" spans="1:1">
      <c r="A1872" s="149" t="s">
        <v>3848</v>
      </c>
    </row>
    <row r="1873" spans="1:1">
      <c r="A1873" s="149" t="s">
        <v>3849</v>
      </c>
    </row>
    <row r="1874" spans="1:1">
      <c r="A1874" s="149" t="s">
        <v>3850</v>
      </c>
    </row>
    <row r="1875" spans="1:1">
      <c r="A1875" s="149" t="s">
        <v>3851</v>
      </c>
    </row>
    <row r="1876" spans="1:1">
      <c r="A1876" s="149" t="s">
        <v>3852</v>
      </c>
    </row>
    <row r="1877" spans="1:1">
      <c r="A1877" s="149" t="s">
        <v>3853</v>
      </c>
    </row>
    <row r="1878" spans="1:1">
      <c r="A1878" s="149" t="s">
        <v>3854</v>
      </c>
    </row>
    <row r="1879" spans="1:1">
      <c r="A1879" s="149" t="s">
        <v>3855</v>
      </c>
    </row>
    <row r="1880" spans="1:1">
      <c r="A1880" s="149" t="s">
        <v>3856</v>
      </c>
    </row>
    <row r="1881" spans="1:1">
      <c r="A1881" s="149" t="s">
        <v>3857</v>
      </c>
    </row>
    <row r="1882" spans="1:1">
      <c r="A1882" s="149" t="s">
        <v>3858</v>
      </c>
    </row>
    <row r="1883" spans="1:1">
      <c r="A1883" s="149" t="s">
        <v>3859</v>
      </c>
    </row>
    <row r="1884" spans="1:1">
      <c r="A1884" s="149" t="s">
        <v>3860</v>
      </c>
    </row>
    <row r="1885" spans="1:1">
      <c r="A1885" s="149" t="s">
        <v>3861</v>
      </c>
    </row>
    <row r="1886" spans="1:1">
      <c r="A1886" s="149" t="s">
        <v>3862</v>
      </c>
    </row>
    <row r="1887" spans="1:1">
      <c r="A1887" s="149" t="s">
        <v>3863</v>
      </c>
    </row>
    <row r="1888" spans="1:1">
      <c r="A1888" s="149" t="s">
        <v>3864</v>
      </c>
    </row>
    <row r="1889" spans="1:1">
      <c r="A1889" s="149" t="s">
        <v>3865</v>
      </c>
    </row>
    <row r="1890" spans="1:1">
      <c r="A1890" s="149" t="s">
        <v>3866</v>
      </c>
    </row>
    <row r="1891" spans="1:1">
      <c r="A1891" s="149" t="s">
        <v>3867</v>
      </c>
    </row>
    <row r="1892" spans="1:1">
      <c r="A1892" s="149" t="s">
        <v>3868</v>
      </c>
    </row>
    <row r="1893" spans="1:1">
      <c r="A1893" s="149" t="s">
        <v>3869</v>
      </c>
    </row>
    <row r="1894" spans="1:1">
      <c r="A1894" s="149" t="s">
        <v>3870</v>
      </c>
    </row>
    <row r="1895" spans="1:1">
      <c r="A1895" s="149" t="s">
        <v>3871</v>
      </c>
    </row>
    <row r="1896" spans="1:1">
      <c r="A1896" s="149" t="s">
        <v>3872</v>
      </c>
    </row>
    <row r="1897" spans="1:1">
      <c r="A1897" s="149" t="s">
        <v>3873</v>
      </c>
    </row>
    <row r="1898" spans="1:1">
      <c r="A1898" s="149" t="s">
        <v>3874</v>
      </c>
    </row>
    <row r="1899" spans="1:1">
      <c r="A1899" s="149" t="s">
        <v>3875</v>
      </c>
    </row>
    <row r="1900" spans="1:1">
      <c r="A1900" s="149" t="s">
        <v>3876</v>
      </c>
    </row>
    <row r="1901" spans="1:1">
      <c r="A1901" s="149" t="s">
        <v>3877</v>
      </c>
    </row>
    <row r="1902" spans="1:1">
      <c r="A1902" s="149" t="s">
        <v>3878</v>
      </c>
    </row>
    <row r="1903" spans="1:1">
      <c r="A1903" s="149" t="s">
        <v>3879</v>
      </c>
    </row>
    <row r="1904" spans="1:1">
      <c r="A1904" s="149" t="s">
        <v>3880</v>
      </c>
    </row>
    <row r="1905" spans="1:1">
      <c r="A1905" s="149" t="s">
        <v>3881</v>
      </c>
    </row>
    <row r="1906" spans="1:1">
      <c r="A1906" s="149" t="s">
        <v>3882</v>
      </c>
    </row>
    <row r="1907" spans="1:1">
      <c r="A1907" s="149" t="s">
        <v>3883</v>
      </c>
    </row>
    <row r="1908" spans="1:1">
      <c r="A1908" s="149" t="s">
        <v>3884</v>
      </c>
    </row>
    <row r="1909" spans="1:1">
      <c r="A1909" s="149" t="s">
        <v>3885</v>
      </c>
    </row>
    <row r="1910" spans="1:1">
      <c r="A1910" s="149" t="s">
        <v>3886</v>
      </c>
    </row>
    <row r="1911" spans="1:1">
      <c r="A1911" s="149" t="s">
        <v>3887</v>
      </c>
    </row>
    <row r="1912" spans="1:1">
      <c r="A1912" s="149" t="s">
        <v>3888</v>
      </c>
    </row>
    <row r="1913" spans="1:1">
      <c r="A1913" s="149" t="s">
        <v>3889</v>
      </c>
    </row>
    <row r="1914" spans="1:1">
      <c r="A1914" s="149" t="s">
        <v>3890</v>
      </c>
    </row>
    <row r="1915" spans="1:1">
      <c r="A1915" s="149" t="s">
        <v>3891</v>
      </c>
    </row>
    <row r="1916" spans="1:1">
      <c r="A1916" s="149" t="s">
        <v>3892</v>
      </c>
    </row>
    <row r="1917" spans="1:1">
      <c r="A1917" s="149" t="s">
        <v>3893</v>
      </c>
    </row>
    <row r="1918" spans="1:1">
      <c r="A1918" s="149" t="s">
        <v>3894</v>
      </c>
    </row>
    <row r="1919" spans="1:1">
      <c r="A1919" s="149" t="s">
        <v>3895</v>
      </c>
    </row>
    <row r="1920" spans="1:1">
      <c r="A1920" s="149" t="s">
        <v>3896</v>
      </c>
    </row>
    <row r="1921" spans="1:1">
      <c r="A1921" s="149" t="s">
        <v>3897</v>
      </c>
    </row>
    <row r="1922" spans="1:1">
      <c r="A1922" s="149" t="s">
        <v>3898</v>
      </c>
    </row>
    <row r="1923" spans="1:1">
      <c r="A1923" s="149" t="s">
        <v>3899</v>
      </c>
    </row>
    <row r="1924" spans="1:1">
      <c r="A1924" s="149" t="s">
        <v>3900</v>
      </c>
    </row>
    <row r="1925" spans="1:1">
      <c r="A1925" s="149" t="s">
        <v>3901</v>
      </c>
    </row>
    <row r="1926" spans="1:1">
      <c r="A1926" s="149" t="s">
        <v>3902</v>
      </c>
    </row>
    <row r="1927" spans="1:1">
      <c r="A1927" s="149" t="s">
        <v>3903</v>
      </c>
    </row>
    <row r="1928" spans="1:1">
      <c r="A1928" s="149" t="s">
        <v>3904</v>
      </c>
    </row>
    <row r="1929" spans="1:1">
      <c r="A1929" s="149" t="s">
        <v>3905</v>
      </c>
    </row>
    <row r="1930" spans="1:1">
      <c r="A1930" s="149" t="s">
        <v>3906</v>
      </c>
    </row>
    <row r="1931" spans="1:1">
      <c r="A1931" s="149" t="s">
        <v>3907</v>
      </c>
    </row>
    <row r="1932" spans="1:1">
      <c r="A1932" s="149" t="s">
        <v>3908</v>
      </c>
    </row>
    <row r="1933" spans="1:1">
      <c r="A1933" s="149" t="s">
        <v>3909</v>
      </c>
    </row>
    <row r="1934" spans="1:1">
      <c r="A1934" s="149" t="s">
        <v>3910</v>
      </c>
    </row>
    <row r="1935" spans="1:1">
      <c r="A1935" s="149" t="s">
        <v>3911</v>
      </c>
    </row>
    <row r="1936" spans="1:1">
      <c r="A1936" s="149" t="s">
        <v>3912</v>
      </c>
    </row>
    <row r="1937" spans="1:1">
      <c r="A1937" s="149" t="s">
        <v>3913</v>
      </c>
    </row>
    <row r="1938" spans="1:1">
      <c r="A1938" s="149" t="s">
        <v>3914</v>
      </c>
    </row>
    <row r="1939" spans="1:1">
      <c r="A1939" s="149" t="s">
        <v>3915</v>
      </c>
    </row>
    <row r="1940" spans="1:1">
      <c r="A1940" s="149" t="s">
        <v>3916</v>
      </c>
    </row>
    <row r="1941" spans="1:1">
      <c r="A1941" s="149" t="s">
        <v>3917</v>
      </c>
    </row>
    <row r="1942" spans="1:1">
      <c r="A1942" s="149" t="s">
        <v>3918</v>
      </c>
    </row>
    <row r="1943" spans="1:1">
      <c r="A1943" s="149" t="s">
        <v>3919</v>
      </c>
    </row>
    <row r="1944" spans="1:1">
      <c r="A1944" s="149" t="s">
        <v>3920</v>
      </c>
    </row>
    <row r="1945" spans="1:1">
      <c r="A1945" s="149" t="s">
        <v>3921</v>
      </c>
    </row>
    <row r="1946" spans="1:1">
      <c r="A1946" s="149" t="s">
        <v>3922</v>
      </c>
    </row>
    <row r="1947" spans="1:1">
      <c r="A1947" s="149" t="s">
        <v>3923</v>
      </c>
    </row>
    <row r="1948" spans="1:1">
      <c r="A1948" s="149" t="s">
        <v>3924</v>
      </c>
    </row>
    <row r="1949" spans="1:1">
      <c r="A1949" s="149" t="s">
        <v>3925</v>
      </c>
    </row>
    <row r="1950" spans="1:1">
      <c r="A1950" s="149" t="s">
        <v>3926</v>
      </c>
    </row>
    <row r="1951" spans="1:1">
      <c r="A1951" s="149" t="s">
        <v>3927</v>
      </c>
    </row>
    <row r="1952" spans="1:1">
      <c r="A1952" s="149" t="s">
        <v>3928</v>
      </c>
    </row>
    <row r="1953" spans="1:1">
      <c r="A1953" s="149" t="s">
        <v>3929</v>
      </c>
    </row>
    <row r="1954" spans="1:1">
      <c r="A1954" s="149" t="s">
        <v>3930</v>
      </c>
    </row>
    <row r="1955" spans="1:1">
      <c r="A1955" s="149" t="s">
        <v>3931</v>
      </c>
    </row>
    <row r="1956" spans="1:1">
      <c r="A1956" s="149" t="s">
        <v>3932</v>
      </c>
    </row>
    <row r="1957" spans="1:1">
      <c r="A1957" s="149" t="s">
        <v>3933</v>
      </c>
    </row>
    <row r="1958" spans="1:1">
      <c r="A1958" s="149" t="s">
        <v>3934</v>
      </c>
    </row>
    <row r="1959" spans="1:1">
      <c r="A1959" s="149" t="s">
        <v>3935</v>
      </c>
    </row>
    <row r="1960" spans="1:1">
      <c r="A1960" s="149" t="s">
        <v>3936</v>
      </c>
    </row>
    <row r="1961" spans="1:1">
      <c r="A1961" s="149" t="s">
        <v>3937</v>
      </c>
    </row>
    <row r="1962" spans="1:1">
      <c r="A1962" s="149" t="s">
        <v>3938</v>
      </c>
    </row>
    <row r="1963" spans="1:1">
      <c r="A1963" s="149" t="s">
        <v>3939</v>
      </c>
    </row>
    <row r="1964" spans="1:1">
      <c r="A1964" s="149" t="s">
        <v>3940</v>
      </c>
    </row>
    <row r="1965" spans="1:1">
      <c r="A1965" s="149" t="s">
        <v>3941</v>
      </c>
    </row>
    <row r="1966" spans="1:1">
      <c r="A1966" s="149" t="s">
        <v>3942</v>
      </c>
    </row>
    <row r="1967" spans="1:1">
      <c r="A1967" s="149" t="s">
        <v>3943</v>
      </c>
    </row>
    <row r="1968" spans="1:1">
      <c r="A1968" s="149" t="s">
        <v>3944</v>
      </c>
    </row>
    <row r="1969" spans="1:1">
      <c r="A1969" s="149" t="s">
        <v>3945</v>
      </c>
    </row>
    <row r="1970" spans="1:1">
      <c r="A1970" s="149" t="s">
        <v>3946</v>
      </c>
    </row>
    <row r="1971" spans="1:1">
      <c r="A1971" s="149" t="s">
        <v>3947</v>
      </c>
    </row>
    <row r="1972" spans="1:1">
      <c r="A1972" s="149" t="s">
        <v>3948</v>
      </c>
    </row>
    <row r="1973" spans="1:1">
      <c r="A1973" s="149" t="s">
        <v>3949</v>
      </c>
    </row>
    <row r="1974" spans="1:1">
      <c r="A1974" s="149" t="s">
        <v>3950</v>
      </c>
    </row>
    <row r="1975" spans="1:1">
      <c r="A1975" s="149" t="s">
        <v>3951</v>
      </c>
    </row>
    <row r="1976" spans="1:1">
      <c r="A1976" s="149" t="s">
        <v>3952</v>
      </c>
    </row>
    <row r="1977" spans="1:1">
      <c r="A1977" s="149" t="s">
        <v>3953</v>
      </c>
    </row>
    <row r="1978" spans="1:1">
      <c r="A1978" s="149" t="s">
        <v>3954</v>
      </c>
    </row>
    <row r="1979" spans="1:1">
      <c r="A1979" s="149" t="s">
        <v>3955</v>
      </c>
    </row>
    <row r="1980" spans="1:1">
      <c r="A1980" s="149" t="s">
        <v>3956</v>
      </c>
    </row>
    <row r="1981" spans="1:1">
      <c r="A1981" s="149" t="s">
        <v>3957</v>
      </c>
    </row>
    <row r="1982" spans="1:1">
      <c r="A1982" s="149" t="s">
        <v>3958</v>
      </c>
    </row>
    <row r="1983" spans="1:1">
      <c r="A1983" s="149" t="s">
        <v>3959</v>
      </c>
    </row>
    <row r="1984" spans="1:1">
      <c r="A1984" s="149" t="s">
        <v>3960</v>
      </c>
    </row>
    <row r="1985" spans="1:1">
      <c r="A1985" s="149" t="s">
        <v>3961</v>
      </c>
    </row>
    <row r="1986" spans="1:1">
      <c r="A1986" s="149" t="s">
        <v>3962</v>
      </c>
    </row>
    <row r="1987" spans="1:1">
      <c r="A1987" s="149" t="s">
        <v>3963</v>
      </c>
    </row>
    <row r="1988" spans="1:1">
      <c r="A1988" s="149" t="s">
        <v>3964</v>
      </c>
    </row>
    <row r="1989" spans="1:1">
      <c r="A1989" s="149" t="s">
        <v>3965</v>
      </c>
    </row>
    <row r="1990" spans="1:1">
      <c r="A1990" s="149" t="s">
        <v>3966</v>
      </c>
    </row>
    <row r="1991" spans="1:1">
      <c r="A1991" s="149" t="s">
        <v>3967</v>
      </c>
    </row>
    <row r="1992" spans="1:1">
      <c r="A1992" s="149" t="s">
        <v>3968</v>
      </c>
    </row>
    <row r="1993" spans="1:1">
      <c r="A1993" s="149" t="s">
        <v>3969</v>
      </c>
    </row>
    <row r="1994" spans="1:1">
      <c r="A1994" s="149" t="s">
        <v>3970</v>
      </c>
    </row>
    <row r="1995" spans="1:1">
      <c r="A1995" s="149" t="s">
        <v>3971</v>
      </c>
    </row>
    <row r="1996" spans="1:1">
      <c r="A1996" s="149" t="s">
        <v>3972</v>
      </c>
    </row>
    <row r="1997" spans="1:1">
      <c r="A1997" s="149" t="s">
        <v>3973</v>
      </c>
    </row>
    <row r="1998" spans="1:1">
      <c r="A1998" s="149" t="s">
        <v>3974</v>
      </c>
    </row>
    <row r="1999" spans="1:1">
      <c r="A1999" s="149" t="s">
        <v>3975</v>
      </c>
    </row>
    <row r="2000" spans="1:1">
      <c r="A2000" s="149" t="s">
        <v>3976</v>
      </c>
    </row>
    <row r="2001" spans="1:1">
      <c r="A2001" s="149" t="s">
        <v>3977</v>
      </c>
    </row>
    <row r="2002" spans="1:1">
      <c r="A2002" s="149" t="s">
        <v>3978</v>
      </c>
    </row>
    <row r="2003" spans="1:1">
      <c r="A2003" s="149" t="s">
        <v>3979</v>
      </c>
    </row>
    <row r="2004" spans="1:1">
      <c r="A2004" s="149" t="s">
        <v>3980</v>
      </c>
    </row>
    <row r="2005" spans="1:1">
      <c r="A2005" s="149" t="s">
        <v>3981</v>
      </c>
    </row>
    <row r="2006" spans="1:1">
      <c r="A2006" s="149" t="s">
        <v>3982</v>
      </c>
    </row>
    <row r="2007" spans="1:1">
      <c r="A2007" s="149" t="s">
        <v>3983</v>
      </c>
    </row>
    <row r="2008" spans="1:1">
      <c r="A2008" s="149" t="s">
        <v>3984</v>
      </c>
    </row>
    <row r="2009" spans="1:1">
      <c r="A2009" s="149" t="s">
        <v>3985</v>
      </c>
    </row>
    <row r="2010" spans="1:1">
      <c r="A2010" s="149" t="s">
        <v>3986</v>
      </c>
    </row>
    <row r="2011" spans="1:1">
      <c r="A2011" s="149" t="s">
        <v>3987</v>
      </c>
    </row>
    <row r="2012" spans="1:1">
      <c r="A2012" s="149" t="s">
        <v>3988</v>
      </c>
    </row>
    <row r="2013" spans="1:1">
      <c r="A2013" s="149" t="s">
        <v>3989</v>
      </c>
    </row>
    <row r="2014" spans="1:1">
      <c r="A2014" s="149" t="s">
        <v>3990</v>
      </c>
    </row>
    <row r="2015" spans="1:1">
      <c r="A2015" s="149" t="s">
        <v>3991</v>
      </c>
    </row>
    <row r="2016" spans="1:1">
      <c r="A2016" s="149" t="s">
        <v>3992</v>
      </c>
    </row>
    <row r="2017" spans="1:1">
      <c r="A2017" s="149" t="s">
        <v>3993</v>
      </c>
    </row>
    <row r="2018" spans="1:1">
      <c r="A2018" s="149" t="s">
        <v>3994</v>
      </c>
    </row>
    <row r="2019" spans="1:1">
      <c r="A2019" s="149" t="s">
        <v>3995</v>
      </c>
    </row>
    <row r="2020" spans="1:1">
      <c r="A2020" s="149" t="s">
        <v>3996</v>
      </c>
    </row>
    <row r="2021" spans="1:1">
      <c r="A2021" s="149" t="s">
        <v>3997</v>
      </c>
    </row>
    <row r="2022" spans="1:1">
      <c r="A2022" s="149" t="s">
        <v>3998</v>
      </c>
    </row>
    <row r="2023" spans="1:1">
      <c r="A2023" s="149" t="s">
        <v>3999</v>
      </c>
    </row>
    <row r="2024" spans="1:1">
      <c r="A2024" s="149" t="s">
        <v>4000</v>
      </c>
    </row>
    <row r="2025" spans="1:1">
      <c r="A2025" s="149" t="s">
        <v>4001</v>
      </c>
    </row>
    <row r="2026" spans="1:1">
      <c r="A2026" s="149" t="s">
        <v>4002</v>
      </c>
    </row>
    <row r="2027" spans="1:1">
      <c r="A2027" s="149" t="s">
        <v>4003</v>
      </c>
    </row>
    <row r="2028" spans="1:1">
      <c r="A2028" s="149" t="s">
        <v>4004</v>
      </c>
    </row>
    <row r="2029" spans="1:1">
      <c r="A2029" s="149" t="s">
        <v>4005</v>
      </c>
    </row>
    <row r="2030" spans="1:1">
      <c r="A2030" s="149" t="s">
        <v>4006</v>
      </c>
    </row>
    <row r="2031" spans="1:1">
      <c r="A2031" s="149" t="s">
        <v>4007</v>
      </c>
    </row>
    <row r="2032" spans="1:1">
      <c r="A2032" s="149" t="s">
        <v>4008</v>
      </c>
    </row>
    <row r="2033" spans="1:1">
      <c r="A2033" s="149" t="s">
        <v>4009</v>
      </c>
    </row>
    <row r="2034" spans="1:1">
      <c r="A2034" s="149" t="s">
        <v>4010</v>
      </c>
    </row>
    <row r="2035" spans="1:1">
      <c r="A2035" s="149" t="s">
        <v>4011</v>
      </c>
    </row>
    <row r="2036" spans="1:1">
      <c r="A2036" s="149" t="s">
        <v>4012</v>
      </c>
    </row>
    <row r="2037" spans="1:1">
      <c r="A2037" s="149" t="s">
        <v>4013</v>
      </c>
    </row>
    <row r="2038" spans="1:1">
      <c r="A2038" s="149" t="s">
        <v>4014</v>
      </c>
    </row>
    <row r="2039" spans="1:1">
      <c r="A2039" s="149" t="s">
        <v>4015</v>
      </c>
    </row>
    <row r="2040" spans="1:1">
      <c r="A2040" s="149" t="s">
        <v>4016</v>
      </c>
    </row>
    <row r="2041" spans="1:1">
      <c r="A2041" s="149" t="s">
        <v>4017</v>
      </c>
    </row>
    <row r="2042" spans="1:1">
      <c r="A2042" s="149" t="s">
        <v>4018</v>
      </c>
    </row>
    <row r="2043" spans="1:1">
      <c r="A2043" s="149" t="s">
        <v>4019</v>
      </c>
    </row>
    <row r="2044" spans="1:1">
      <c r="A2044" s="149" t="s">
        <v>4020</v>
      </c>
    </row>
    <row r="2045" spans="1:1">
      <c r="A2045" s="149" t="s">
        <v>4021</v>
      </c>
    </row>
    <row r="2046" spans="1:1">
      <c r="A2046" s="149" t="s">
        <v>4022</v>
      </c>
    </row>
    <row r="2047" spans="1:1">
      <c r="A2047" s="149" t="s">
        <v>4023</v>
      </c>
    </row>
    <row r="2048" spans="1:1">
      <c r="A2048" s="149" t="s">
        <v>4024</v>
      </c>
    </row>
    <row r="2049" spans="1:1">
      <c r="A2049" s="149" t="s">
        <v>4025</v>
      </c>
    </row>
    <row r="2050" spans="1:1">
      <c r="A2050" s="149" t="s">
        <v>4026</v>
      </c>
    </row>
    <row r="2051" spans="1:1">
      <c r="A2051" s="149" t="s">
        <v>4027</v>
      </c>
    </row>
    <row r="2052" spans="1:1">
      <c r="A2052" s="149" t="s">
        <v>4028</v>
      </c>
    </row>
    <row r="2053" spans="1:1">
      <c r="A2053" s="149" t="s">
        <v>4029</v>
      </c>
    </row>
    <row r="2054" spans="1:1">
      <c r="A2054" s="149" t="s">
        <v>4030</v>
      </c>
    </row>
    <row r="2055" spans="1:1">
      <c r="A2055" s="149" t="s">
        <v>4031</v>
      </c>
    </row>
    <row r="2056" spans="1:1">
      <c r="A2056" s="149" t="s">
        <v>4032</v>
      </c>
    </row>
    <row r="2057" spans="1:1">
      <c r="A2057" s="149" t="s">
        <v>4033</v>
      </c>
    </row>
    <row r="2058" spans="1:1">
      <c r="A2058" s="149" t="s">
        <v>4034</v>
      </c>
    </row>
    <row r="2059" spans="1:1">
      <c r="A2059" s="149" t="s">
        <v>4035</v>
      </c>
    </row>
    <row r="2060" spans="1:1">
      <c r="A2060" s="149" t="s">
        <v>4036</v>
      </c>
    </row>
    <row r="2061" spans="1:1">
      <c r="A2061" s="149" t="s">
        <v>4037</v>
      </c>
    </row>
    <row r="2062" spans="1:1">
      <c r="A2062" s="149" t="s">
        <v>4038</v>
      </c>
    </row>
    <row r="2063" spans="1:1">
      <c r="A2063" s="149" t="s">
        <v>4039</v>
      </c>
    </row>
    <row r="2064" spans="1:1">
      <c r="A2064" s="149" t="s">
        <v>4040</v>
      </c>
    </row>
    <row r="2065" spans="1:1">
      <c r="A2065" s="149" t="s">
        <v>4041</v>
      </c>
    </row>
    <row r="2066" spans="1:1">
      <c r="A2066" s="149" t="s">
        <v>4042</v>
      </c>
    </row>
    <row r="2067" spans="1:1">
      <c r="A2067" s="149" t="s">
        <v>4043</v>
      </c>
    </row>
    <row r="2068" spans="1:1">
      <c r="A2068" s="149" t="s">
        <v>4044</v>
      </c>
    </row>
    <row r="2069" spans="1:1">
      <c r="A2069" s="149" t="s">
        <v>4045</v>
      </c>
    </row>
    <row r="2070" spans="1:1">
      <c r="A2070" s="149" t="s">
        <v>4046</v>
      </c>
    </row>
    <row r="2071" spans="1:1">
      <c r="A2071" s="149" t="s">
        <v>4047</v>
      </c>
    </row>
    <row r="2072" spans="1:1">
      <c r="A2072" s="149" t="s">
        <v>4048</v>
      </c>
    </row>
    <row r="2073" spans="1:1">
      <c r="A2073" s="149" t="s">
        <v>4049</v>
      </c>
    </row>
    <row r="2074" spans="1:1">
      <c r="A2074" s="149" t="s">
        <v>4050</v>
      </c>
    </row>
    <row r="2075" spans="1:1">
      <c r="A2075" s="149" t="s">
        <v>4051</v>
      </c>
    </row>
    <row r="2076" spans="1:1">
      <c r="A2076" s="149" t="s">
        <v>4052</v>
      </c>
    </row>
    <row r="2077" spans="1:1">
      <c r="A2077" s="149" t="s">
        <v>4053</v>
      </c>
    </row>
    <row r="2078" spans="1:1">
      <c r="A2078" s="149" t="s">
        <v>4054</v>
      </c>
    </row>
    <row r="2079" spans="1:1">
      <c r="A2079" s="149" t="s">
        <v>4055</v>
      </c>
    </row>
    <row r="2080" spans="1:1">
      <c r="A2080" s="149" t="s">
        <v>4056</v>
      </c>
    </row>
    <row r="2081" spans="1:1">
      <c r="A2081" s="149" t="s">
        <v>4057</v>
      </c>
    </row>
    <row r="2082" spans="1:1">
      <c r="A2082" s="149" t="s">
        <v>4058</v>
      </c>
    </row>
    <row r="2083" spans="1:1">
      <c r="A2083" s="149" t="s">
        <v>4059</v>
      </c>
    </row>
    <row r="2084" spans="1:1">
      <c r="A2084" s="149" t="s">
        <v>4060</v>
      </c>
    </row>
    <row r="2085" spans="1:1">
      <c r="A2085" s="149" t="s">
        <v>4061</v>
      </c>
    </row>
    <row r="2086" spans="1:1">
      <c r="A2086" s="149" t="s">
        <v>4062</v>
      </c>
    </row>
    <row r="2087" spans="1:1">
      <c r="A2087" s="149" t="s">
        <v>4063</v>
      </c>
    </row>
    <row r="2088" spans="1:1">
      <c r="A2088" s="149" t="s">
        <v>4064</v>
      </c>
    </row>
    <row r="2089" spans="1:1">
      <c r="A2089" s="149" t="s">
        <v>4065</v>
      </c>
    </row>
    <row r="2090" spans="1:1">
      <c r="A2090" s="149" t="s">
        <v>4066</v>
      </c>
    </row>
    <row r="2091" spans="1:1">
      <c r="A2091" s="149" t="s">
        <v>4067</v>
      </c>
    </row>
    <row r="2092" spans="1:1">
      <c r="A2092" s="149" t="s">
        <v>4068</v>
      </c>
    </row>
    <row r="2093" spans="1:1">
      <c r="A2093" s="149" t="s">
        <v>4069</v>
      </c>
    </row>
    <row r="2094" spans="1:1">
      <c r="A2094" s="149" t="s">
        <v>4070</v>
      </c>
    </row>
    <row r="2095" spans="1:1">
      <c r="A2095" s="149" t="s">
        <v>4071</v>
      </c>
    </row>
    <row r="2096" spans="1:1">
      <c r="A2096" s="149" t="s">
        <v>4072</v>
      </c>
    </row>
    <row r="2097" spans="1:1">
      <c r="A2097" s="149" t="s">
        <v>4073</v>
      </c>
    </row>
    <row r="2098" spans="1:1">
      <c r="A2098" s="149" t="s">
        <v>4074</v>
      </c>
    </row>
    <row r="2099" spans="1:1">
      <c r="A2099" s="149" t="s">
        <v>4075</v>
      </c>
    </row>
    <row r="2100" spans="1:1">
      <c r="A2100" s="149" t="s">
        <v>4076</v>
      </c>
    </row>
    <row r="2101" spans="1:1">
      <c r="A2101" s="149" t="s">
        <v>4077</v>
      </c>
    </row>
    <row r="2102" spans="1:1">
      <c r="A2102" s="149" t="s">
        <v>4078</v>
      </c>
    </row>
    <row r="2103" spans="1:1">
      <c r="A2103" s="149" t="s">
        <v>4079</v>
      </c>
    </row>
    <row r="2104" spans="1:1">
      <c r="A2104" s="149" t="s">
        <v>4080</v>
      </c>
    </row>
    <row r="2105" spans="1:1">
      <c r="A2105" s="149" t="s">
        <v>4081</v>
      </c>
    </row>
    <row r="2106" spans="1:1">
      <c r="A2106" s="149" t="s">
        <v>4082</v>
      </c>
    </row>
    <row r="2107" spans="1:1">
      <c r="A2107" s="149" t="s">
        <v>4083</v>
      </c>
    </row>
    <row r="2108" spans="1:1">
      <c r="A2108" s="149" t="s">
        <v>4084</v>
      </c>
    </row>
    <row r="2109" spans="1:1">
      <c r="A2109" s="149" t="s">
        <v>4085</v>
      </c>
    </row>
    <row r="2110" spans="1:1">
      <c r="A2110" s="149" t="s">
        <v>4086</v>
      </c>
    </row>
    <row r="2111" spans="1:1">
      <c r="A2111" s="149" t="s">
        <v>4087</v>
      </c>
    </row>
    <row r="2112" spans="1:1">
      <c r="A2112" s="149" t="s">
        <v>4088</v>
      </c>
    </row>
    <row r="2113" spans="1:1">
      <c r="A2113" s="149" t="s">
        <v>4089</v>
      </c>
    </row>
    <row r="2114" spans="1:1">
      <c r="A2114" s="149" t="s">
        <v>4090</v>
      </c>
    </row>
    <row r="2115" spans="1:1">
      <c r="A2115" s="149" t="s">
        <v>4091</v>
      </c>
    </row>
    <row r="2116" spans="1:1">
      <c r="A2116" s="149" t="s">
        <v>4092</v>
      </c>
    </row>
    <row r="2117" spans="1:1">
      <c r="A2117" s="149" t="s">
        <v>4093</v>
      </c>
    </row>
    <row r="2118" spans="1:1">
      <c r="A2118" s="149" t="s">
        <v>4094</v>
      </c>
    </row>
    <row r="2119" spans="1:1">
      <c r="A2119" s="149" t="s">
        <v>4095</v>
      </c>
    </row>
    <row r="2120" spans="1:1">
      <c r="A2120" s="149" t="s">
        <v>4096</v>
      </c>
    </row>
    <row r="2121" spans="1:1">
      <c r="A2121" s="149" t="s">
        <v>4097</v>
      </c>
    </row>
    <row r="2122" spans="1:1">
      <c r="A2122" s="149" t="s">
        <v>4098</v>
      </c>
    </row>
    <row r="2123" spans="1:1">
      <c r="A2123" s="149" t="s">
        <v>4099</v>
      </c>
    </row>
    <row r="2124" spans="1:1">
      <c r="A2124" s="149" t="s">
        <v>4100</v>
      </c>
    </row>
    <row r="2125" spans="1:1">
      <c r="A2125" s="149" t="s">
        <v>4101</v>
      </c>
    </row>
    <row r="2126" spans="1:1">
      <c r="A2126" s="149" t="s">
        <v>4102</v>
      </c>
    </row>
    <row r="2127" spans="1:1">
      <c r="A2127" s="149" t="s">
        <v>4103</v>
      </c>
    </row>
    <row r="2128" spans="1:1">
      <c r="A2128" s="149" t="s">
        <v>4104</v>
      </c>
    </row>
    <row r="2129" spans="1:1">
      <c r="A2129" s="149" t="s">
        <v>4105</v>
      </c>
    </row>
    <row r="2130" spans="1:1">
      <c r="A2130" s="149" t="s">
        <v>4106</v>
      </c>
    </row>
    <row r="2131" spans="1:1">
      <c r="A2131" s="149" t="s">
        <v>4107</v>
      </c>
    </row>
    <row r="2132" spans="1:1">
      <c r="A2132" s="149" t="s">
        <v>4108</v>
      </c>
    </row>
    <row r="2133" spans="1:1">
      <c r="A2133" s="149" t="s">
        <v>4109</v>
      </c>
    </row>
    <row r="2134" spans="1:1">
      <c r="A2134" s="149" t="s">
        <v>4110</v>
      </c>
    </row>
    <row r="2135" spans="1:1">
      <c r="A2135" s="149" t="s">
        <v>4111</v>
      </c>
    </row>
    <row r="2136" spans="1:1">
      <c r="A2136" s="149" t="s">
        <v>4112</v>
      </c>
    </row>
    <row r="2137" spans="1:1">
      <c r="A2137" s="149" t="s">
        <v>4113</v>
      </c>
    </row>
    <row r="2138" spans="1:1">
      <c r="A2138" s="149" t="s">
        <v>4114</v>
      </c>
    </row>
    <row r="2139" spans="1:1">
      <c r="A2139" s="149" t="s">
        <v>4115</v>
      </c>
    </row>
    <row r="2140" spans="1:1">
      <c r="A2140" s="149" t="s">
        <v>4116</v>
      </c>
    </row>
    <row r="2141" spans="1:1">
      <c r="A2141" s="149" t="s">
        <v>4117</v>
      </c>
    </row>
    <row r="2142" spans="1:1">
      <c r="A2142" s="149" t="s">
        <v>4118</v>
      </c>
    </row>
    <row r="2143" spans="1:1">
      <c r="A2143" s="149" t="s">
        <v>4119</v>
      </c>
    </row>
    <row r="2144" spans="1:1">
      <c r="A2144" s="149" t="s">
        <v>4120</v>
      </c>
    </row>
    <row r="2145" spans="1:1">
      <c r="A2145" s="149" t="s">
        <v>4121</v>
      </c>
    </row>
    <row r="2146" spans="1:1">
      <c r="A2146" s="149" t="s">
        <v>4122</v>
      </c>
    </row>
    <row r="2147" spans="1:1">
      <c r="A2147" s="149" t="s">
        <v>4123</v>
      </c>
    </row>
    <row r="2148" spans="1:1">
      <c r="A2148" s="149" t="s">
        <v>4124</v>
      </c>
    </row>
    <row r="2149" spans="1:1">
      <c r="A2149" s="149" t="s">
        <v>4125</v>
      </c>
    </row>
    <row r="2150" spans="1:1">
      <c r="A2150" s="149" t="s">
        <v>4126</v>
      </c>
    </row>
    <row r="2151" spans="1:1">
      <c r="A2151" s="149" t="s">
        <v>4127</v>
      </c>
    </row>
    <row r="2152" spans="1:1">
      <c r="A2152" s="149" t="s">
        <v>4128</v>
      </c>
    </row>
    <row r="2153" spans="1:1">
      <c r="A2153" s="149" t="s">
        <v>4129</v>
      </c>
    </row>
    <row r="2154" spans="1:1">
      <c r="A2154" s="149" t="s">
        <v>4130</v>
      </c>
    </row>
    <row r="2155" spans="1:1">
      <c r="A2155" s="149" t="s">
        <v>4131</v>
      </c>
    </row>
    <row r="2156" spans="1:1">
      <c r="A2156" s="149" t="s">
        <v>4132</v>
      </c>
    </row>
    <row r="2157" spans="1:1">
      <c r="A2157" s="149" t="s">
        <v>4133</v>
      </c>
    </row>
    <row r="2158" spans="1:1">
      <c r="A2158" s="149" t="s">
        <v>4134</v>
      </c>
    </row>
    <row r="2159" spans="1:1">
      <c r="A2159" s="149" t="s">
        <v>4135</v>
      </c>
    </row>
    <row r="2160" spans="1:1">
      <c r="A2160" s="149" t="s">
        <v>4136</v>
      </c>
    </row>
    <row r="2161" spans="1:1">
      <c r="A2161" s="149" t="s">
        <v>4137</v>
      </c>
    </row>
    <row r="2162" spans="1:1">
      <c r="A2162" s="149" t="s">
        <v>4138</v>
      </c>
    </row>
    <row r="2163" spans="1:1">
      <c r="A2163" s="149" t="s">
        <v>4139</v>
      </c>
    </row>
    <row r="2164" spans="1:1">
      <c r="A2164" s="149" t="s">
        <v>4140</v>
      </c>
    </row>
    <row r="2165" spans="1:1">
      <c r="A2165" s="149" t="s">
        <v>4141</v>
      </c>
    </row>
    <row r="2166" spans="1:1">
      <c r="A2166" s="149" t="s">
        <v>4142</v>
      </c>
    </row>
    <row r="2167" spans="1:1">
      <c r="A2167" s="149" t="s">
        <v>4143</v>
      </c>
    </row>
    <row r="2168" spans="1:1">
      <c r="A2168" s="149" t="s">
        <v>4144</v>
      </c>
    </row>
    <row r="2169" spans="1:1">
      <c r="A2169" s="149" t="s">
        <v>4145</v>
      </c>
    </row>
    <row r="2170" spans="1:1">
      <c r="A2170" s="149" t="s">
        <v>4146</v>
      </c>
    </row>
    <row r="2171" spans="1:1">
      <c r="A2171" s="149" t="s">
        <v>4147</v>
      </c>
    </row>
    <row r="2172" spans="1:1">
      <c r="A2172" s="149" t="s">
        <v>4148</v>
      </c>
    </row>
    <row r="2173" spans="1:1">
      <c r="A2173" s="149" t="s">
        <v>4149</v>
      </c>
    </row>
    <row r="2174" spans="1:1">
      <c r="A2174" s="149" t="s">
        <v>4150</v>
      </c>
    </row>
    <row r="2175" spans="1:1">
      <c r="A2175" s="149" t="s">
        <v>4151</v>
      </c>
    </row>
    <row r="2176" spans="1:1">
      <c r="A2176" s="149" t="s">
        <v>4152</v>
      </c>
    </row>
    <row r="2177" spans="1:1">
      <c r="A2177" s="149" t="s">
        <v>4153</v>
      </c>
    </row>
    <row r="2178" spans="1:1">
      <c r="A2178" s="149" t="s">
        <v>4154</v>
      </c>
    </row>
    <row r="2179" spans="1:1">
      <c r="A2179" s="149" t="s">
        <v>4155</v>
      </c>
    </row>
    <row r="2180" spans="1:1">
      <c r="A2180" s="149" t="s">
        <v>4156</v>
      </c>
    </row>
    <row r="2181" spans="1:1">
      <c r="A2181" s="149" t="s">
        <v>4157</v>
      </c>
    </row>
    <row r="2182" spans="1:1">
      <c r="A2182" s="149" t="s">
        <v>4158</v>
      </c>
    </row>
    <row r="2183" spans="1:1">
      <c r="A2183" s="149" t="s">
        <v>4159</v>
      </c>
    </row>
    <row r="2184" spans="1:1">
      <c r="A2184" s="149" t="s">
        <v>4160</v>
      </c>
    </row>
    <row r="2185" spans="1:1">
      <c r="A2185" s="149" t="s">
        <v>4161</v>
      </c>
    </row>
    <row r="2186" spans="1:1">
      <c r="A2186" s="149" t="s">
        <v>4162</v>
      </c>
    </row>
    <row r="2187" spans="1:1">
      <c r="A2187" s="149" t="s">
        <v>4163</v>
      </c>
    </row>
    <row r="2188" spans="1:1">
      <c r="A2188" s="149" t="s">
        <v>4164</v>
      </c>
    </row>
    <row r="2189" spans="1:1">
      <c r="A2189" s="149" t="s">
        <v>4165</v>
      </c>
    </row>
    <row r="2190" spans="1:1">
      <c r="A2190" s="149" t="s">
        <v>4166</v>
      </c>
    </row>
    <row r="2191" spans="1:1">
      <c r="A2191" s="149" t="s">
        <v>4167</v>
      </c>
    </row>
    <row r="2192" spans="1:1">
      <c r="A2192" s="149" t="s">
        <v>4168</v>
      </c>
    </row>
    <row r="2193" spans="1:1">
      <c r="A2193" s="149" t="s">
        <v>4169</v>
      </c>
    </row>
    <row r="2194" spans="1:1">
      <c r="A2194" s="149" t="s">
        <v>4170</v>
      </c>
    </row>
    <row r="2195" spans="1:1">
      <c r="A2195" s="149" t="s">
        <v>4171</v>
      </c>
    </row>
    <row r="2196" spans="1:1">
      <c r="A2196" s="149" t="s">
        <v>4172</v>
      </c>
    </row>
    <row r="2197" spans="1:1">
      <c r="A2197" s="149" t="s">
        <v>4173</v>
      </c>
    </row>
    <row r="2198" spans="1:1">
      <c r="A2198" s="149" t="s">
        <v>4174</v>
      </c>
    </row>
    <row r="2199" spans="1:1">
      <c r="A2199" s="149" t="s">
        <v>4175</v>
      </c>
    </row>
    <row r="2200" spans="1:1">
      <c r="A2200" s="149" t="s">
        <v>4176</v>
      </c>
    </row>
    <row r="2201" spans="1:1">
      <c r="A2201" s="149" t="s">
        <v>4177</v>
      </c>
    </row>
    <row r="2202" spans="1:1">
      <c r="A2202" s="149" t="s">
        <v>4178</v>
      </c>
    </row>
    <row r="2203" spans="1:1">
      <c r="A2203" s="149" t="s">
        <v>4179</v>
      </c>
    </row>
    <row r="2204" spans="1:1">
      <c r="A2204" s="149" t="s">
        <v>4180</v>
      </c>
    </row>
    <row r="2205" spans="1:1">
      <c r="A2205" s="149" t="s">
        <v>4181</v>
      </c>
    </row>
    <row r="2206" spans="1:1">
      <c r="A2206" s="149" t="s">
        <v>4182</v>
      </c>
    </row>
    <row r="2207" spans="1:1">
      <c r="A2207" s="149" t="s">
        <v>4183</v>
      </c>
    </row>
    <row r="2208" spans="1:1">
      <c r="A2208" s="149" t="s">
        <v>4184</v>
      </c>
    </row>
    <row r="2209" spans="1:1">
      <c r="A2209" s="149" t="s">
        <v>4185</v>
      </c>
    </row>
    <row r="2210" spans="1:1">
      <c r="A2210" s="149" t="s">
        <v>4186</v>
      </c>
    </row>
    <row r="2211" spans="1:1">
      <c r="A2211" s="149" t="s">
        <v>4187</v>
      </c>
    </row>
    <row r="2212" spans="1:1">
      <c r="A2212" s="149" t="s">
        <v>4188</v>
      </c>
    </row>
    <row r="2213" spans="1:1">
      <c r="A2213" s="149" t="s">
        <v>4189</v>
      </c>
    </row>
    <row r="2214" spans="1:1">
      <c r="A2214" s="149" t="s">
        <v>4190</v>
      </c>
    </row>
    <row r="2215" spans="1:1">
      <c r="A2215" s="149" t="s">
        <v>4191</v>
      </c>
    </row>
    <row r="2216" spans="1:1">
      <c r="A2216" s="149" t="s">
        <v>4192</v>
      </c>
    </row>
    <row r="2217" spans="1:1">
      <c r="A2217" s="149" t="s">
        <v>4193</v>
      </c>
    </row>
    <row r="2218" spans="1:1">
      <c r="A2218" s="149" t="s">
        <v>4194</v>
      </c>
    </row>
    <row r="2219" spans="1:1">
      <c r="A2219" s="149" t="s">
        <v>4195</v>
      </c>
    </row>
    <row r="2220" spans="1:1">
      <c r="A2220" s="149" t="s">
        <v>4196</v>
      </c>
    </row>
    <row r="2221" spans="1:1">
      <c r="A2221" s="149" t="s">
        <v>4197</v>
      </c>
    </row>
    <row r="2222" spans="1:1">
      <c r="A2222" s="149" t="s">
        <v>4198</v>
      </c>
    </row>
    <row r="2223" spans="1:1">
      <c r="A2223" s="149" t="s">
        <v>4199</v>
      </c>
    </row>
    <row r="2224" spans="1:1">
      <c r="A2224" s="149" t="s">
        <v>4200</v>
      </c>
    </row>
    <row r="2225" spans="1:1">
      <c r="A2225" s="149" t="s">
        <v>4201</v>
      </c>
    </row>
    <row r="2226" spans="1:1">
      <c r="A2226" s="149" t="s">
        <v>4202</v>
      </c>
    </row>
    <row r="2227" spans="1:1">
      <c r="A2227" s="149" t="s">
        <v>4203</v>
      </c>
    </row>
    <row r="2228" spans="1:1">
      <c r="A2228" s="149" t="s">
        <v>4204</v>
      </c>
    </row>
    <row r="2229" spans="1:1">
      <c r="A2229" s="149" t="s">
        <v>4205</v>
      </c>
    </row>
    <row r="2230" spans="1:1">
      <c r="A2230" s="149" t="s">
        <v>4206</v>
      </c>
    </row>
    <row r="2231" spans="1:1">
      <c r="A2231" s="149" t="s">
        <v>4207</v>
      </c>
    </row>
    <row r="2232" spans="1:1">
      <c r="A2232" s="149" t="s">
        <v>4208</v>
      </c>
    </row>
    <row r="2233" spans="1:1">
      <c r="A2233" s="149" t="s">
        <v>4209</v>
      </c>
    </row>
    <row r="2234" spans="1:1">
      <c r="A2234" s="149" t="s">
        <v>4210</v>
      </c>
    </row>
    <row r="2235" spans="1:1">
      <c r="A2235" s="149" t="s">
        <v>4211</v>
      </c>
    </row>
    <row r="2236" spans="1:1">
      <c r="A2236" s="149" t="s">
        <v>4212</v>
      </c>
    </row>
    <row r="2237" spans="1:1">
      <c r="A2237" s="149" t="s">
        <v>4213</v>
      </c>
    </row>
    <row r="2238" spans="1:1">
      <c r="A2238" s="149" t="s">
        <v>4214</v>
      </c>
    </row>
    <row r="2239" spans="1:1">
      <c r="A2239" s="149" t="s">
        <v>4215</v>
      </c>
    </row>
    <row r="2240" spans="1:1">
      <c r="A2240" s="149" t="s">
        <v>4216</v>
      </c>
    </row>
    <row r="2241" spans="1:1">
      <c r="A2241" s="149" t="s">
        <v>4217</v>
      </c>
    </row>
    <row r="2242" spans="1:1">
      <c r="A2242" s="149" t="s">
        <v>4218</v>
      </c>
    </row>
    <row r="2243" spans="1:1">
      <c r="A2243" s="149" t="s">
        <v>4219</v>
      </c>
    </row>
    <row r="2244" spans="1:1">
      <c r="A2244" s="149" t="s">
        <v>4220</v>
      </c>
    </row>
    <row r="2245" spans="1:1">
      <c r="A2245" s="149" t="s">
        <v>4221</v>
      </c>
    </row>
    <row r="2246" spans="1:1">
      <c r="A2246" s="149" t="s">
        <v>4222</v>
      </c>
    </row>
    <row r="2247" spans="1:1">
      <c r="A2247" s="149" t="s">
        <v>4223</v>
      </c>
    </row>
    <row r="2248" spans="1:1">
      <c r="A2248" s="149" t="s">
        <v>4224</v>
      </c>
    </row>
    <row r="2249" spans="1:1">
      <c r="A2249" s="149" t="s">
        <v>4225</v>
      </c>
    </row>
    <row r="2250" spans="1:1">
      <c r="A2250" s="149" t="s">
        <v>4226</v>
      </c>
    </row>
    <row r="2251" spans="1:1">
      <c r="A2251" s="149" t="s">
        <v>4227</v>
      </c>
    </row>
    <row r="2252" spans="1:1">
      <c r="A2252" s="149" t="s">
        <v>4228</v>
      </c>
    </row>
    <row r="2253" spans="1:1">
      <c r="A2253" s="149" t="s">
        <v>4229</v>
      </c>
    </row>
    <row r="2254" spans="1:1">
      <c r="A2254" s="149" t="s">
        <v>4230</v>
      </c>
    </row>
    <row r="2255" spans="1:1">
      <c r="A2255" s="149" t="s">
        <v>4231</v>
      </c>
    </row>
    <row r="2256" spans="1:1">
      <c r="A2256" s="149" t="s">
        <v>4232</v>
      </c>
    </row>
    <row r="2257" spans="1:1">
      <c r="A2257" s="149" t="s">
        <v>4233</v>
      </c>
    </row>
    <row r="2258" spans="1:1">
      <c r="A2258" s="149" t="s">
        <v>4234</v>
      </c>
    </row>
    <row r="2259" spans="1:1">
      <c r="A2259" s="149" t="s">
        <v>4235</v>
      </c>
    </row>
    <row r="2260" spans="1:1">
      <c r="A2260" s="149" t="s">
        <v>4236</v>
      </c>
    </row>
    <row r="2261" spans="1:1">
      <c r="A2261" s="149" t="s">
        <v>4237</v>
      </c>
    </row>
    <row r="2262" spans="1:1">
      <c r="A2262" s="149" t="s">
        <v>4238</v>
      </c>
    </row>
    <row r="2263" spans="1:1">
      <c r="A2263" s="149" t="s">
        <v>4239</v>
      </c>
    </row>
    <row r="2264" spans="1:1">
      <c r="A2264" s="149" t="s">
        <v>4240</v>
      </c>
    </row>
    <row r="2265" spans="1:1">
      <c r="A2265" s="149" t="s">
        <v>4241</v>
      </c>
    </row>
    <row r="2266" spans="1:1">
      <c r="A2266" s="149" t="s">
        <v>4242</v>
      </c>
    </row>
    <row r="2267" spans="1:1">
      <c r="A2267" s="149" t="s">
        <v>4243</v>
      </c>
    </row>
    <row r="2268" spans="1:1">
      <c r="A2268" s="149" t="s">
        <v>4244</v>
      </c>
    </row>
    <row r="2269" spans="1:1">
      <c r="A2269" s="149" t="s">
        <v>4245</v>
      </c>
    </row>
    <row r="2270" spans="1:1">
      <c r="A2270" s="149" t="s">
        <v>4246</v>
      </c>
    </row>
    <row r="2271" spans="1:1">
      <c r="A2271" s="149" t="s">
        <v>4247</v>
      </c>
    </row>
    <row r="2272" spans="1:1">
      <c r="A2272" s="149" t="s">
        <v>4248</v>
      </c>
    </row>
    <row r="2273" spans="1:1">
      <c r="A2273" s="149" t="s">
        <v>4249</v>
      </c>
    </row>
    <row r="2274" spans="1:1">
      <c r="A2274" s="149" t="s">
        <v>4250</v>
      </c>
    </row>
    <row r="2275" spans="1:1">
      <c r="A2275" s="149" t="s">
        <v>4251</v>
      </c>
    </row>
    <row r="2276" spans="1:1">
      <c r="A2276" s="149" t="s">
        <v>4252</v>
      </c>
    </row>
    <row r="2277" spans="1:1">
      <c r="A2277" s="149" t="s">
        <v>4253</v>
      </c>
    </row>
    <row r="2278" spans="1:1">
      <c r="A2278" s="149" t="s">
        <v>4254</v>
      </c>
    </row>
    <row r="2279" spans="1:1">
      <c r="A2279" s="149" t="s">
        <v>4255</v>
      </c>
    </row>
    <row r="2280" spans="1:1">
      <c r="A2280" s="149" t="s">
        <v>4256</v>
      </c>
    </row>
    <row r="2281" spans="1:1">
      <c r="A2281" s="149" t="s">
        <v>4257</v>
      </c>
    </row>
    <row r="2282" spans="1:1">
      <c r="A2282" s="149" t="s">
        <v>4258</v>
      </c>
    </row>
    <row r="2283" spans="1:1">
      <c r="A2283" s="149" t="s">
        <v>4259</v>
      </c>
    </row>
    <row r="2284" spans="1:1">
      <c r="A2284" s="149" t="s">
        <v>4260</v>
      </c>
    </row>
    <row r="2285" spans="1:1">
      <c r="A2285" s="149" t="s">
        <v>4261</v>
      </c>
    </row>
    <row r="2286" spans="1:1">
      <c r="A2286" s="149" t="s">
        <v>4262</v>
      </c>
    </row>
    <row r="2287" spans="1:1">
      <c r="A2287" s="149" t="s">
        <v>4263</v>
      </c>
    </row>
    <row r="2288" spans="1:1">
      <c r="A2288" s="149" t="s">
        <v>4264</v>
      </c>
    </row>
    <row r="2289" spans="1:1">
      <c r="A2289" s="149" t="s">
        <v>4265</v>
      </c>
    </row>
    <row r="2290" spans="1:1">
      <c r="A2290" s="149" t="s">
        <v>4266</v>
      </c>
    </row>
    <row r="2291" spans="1:1">
      <c r="A2291" s="149" t="s">
        <v>4267</v>
      </c>
    </row>
    <row r="2292" spans="1:1">
      <c r="A2292" s="149" t="s">
        <v>4268</v>
      </c>
    </row>
    <row r="2293" spans="1:1">
      <c r="A2293" s="149" t="s">
        <v>4269</v>
      </c>
    </row>
    <row r="2294" spans="1:1">
      <c r="A2294" s="149" t="s">
        <v>4270</v>
      </c>
    </row>
    <row r="2295" spans="1:1">
      <c r="A2295" s="149" t="s">
        <v>4271</v>
      </c>
    </row>
    <row r="2296" spans="1:1">
      <c r="A2296" s="149" t="s">
        <v>4272</v>
      </c>
    </row>
    <row r="2297" spans="1:1">
      <c r="A2297" s="149" t="s">
        <v>4273</v>
      </c>
    </row>
    <row r="2298" spans="1:1">
      <c r="A2298" s="149" t="s">
        <v>4274</v>
      </c>
    </row>
    <row r="2299" spans="1:1">
      <c r="A2299" s="149" t="s">
        <v>4275</v>
      </c>
    </row>
    <row r="2300" spans="1:1">
      <c r="A2300" s="149" t="s">
        <v>4276</v>
      </c>
    </row>
    <row r="2301" spans="1:1">
      <c r="A2301" s="149" t="s">
        <v>4277</v>
      </c>
    </row>
    <row r="2302" spans="1:1">
      <c r="A2302" s="149" t="s">
        <v>4278</v>
      </c>
    </row>
    <row r="2303" spans="1:1">
      <c r="A2303" s="149" t="s">
        <v>4279</v>
      </c>
    </row>
    <row r="2304" spans="1:1">
      <c r="A2304" s="149" t="s">
        <v>4280</v>
      </c>
    </row>
    <row r="2305" spans="1:1">
      <c r="A2305" s="149" t="s">
        <v>4281</v>
      </c>
    </row>
    <row r="2306" spans="1:1">
      <c r="A2306" s="149" t="s">
        <v>4282</v>
      </c>
    </row>
    <row r="2307" spans="1:1">
      <c r="A2307" s="149" t="s">
        <v>4283</v>
      </c>
    </row>
    <row r="2308" spans="1:1">
      <c r="A2308" s="149" t="s">
        <v>4284</v>
      </c>
    </row>
    <row r="2309" spans="1:1">
      <c r="A2309" s="149" t="s">
        <v>4285</v>
      </c>
    </row>
    <row r="2310" spans="1:1">
      <c r="A2310" s="149" t="s">
        <v>4286</v>
      </c>
    </row>
    <row r="2311" spans="1:1">
      <c r="A2311" s="149" t="s">
        <v>4287</v>
      </c>
    </row>
    <row r="2312" spans="1:1">
      <c r="A2312" s="149" t="s">
        <v>4288</v>
      </c>
    </row>
    <row r="2313" spans="1:1">
      <c r="A2313" s="149" t="s">
        <v>4289</v>
      </c>
    </row>
    <row r="2314" spans="1:1">
      <c r="A2314" s="149" t="s">
        <v>4290</v>
      </c>
    </row>
    <row r="2315" spans="1:1">
      <c r="A2315" s="149" t="s">
        <v>4291</v>
      </c>
    </row>
    <row r="2316" spans="1:1">
      <c r="A2316" s="149" t="s">
        <v>4292</v>
      </c>
    </row>
    <row r="2317" spans="1:1">
      <c r="A2317" s="149" t="s">
        <v>4293</v>
      </c>
    </row>
    <row r="2318" spans="1:1">
      <c r="A2318" s="149" t="s">
        <v>4294</v>
      </c>
    </row>
    <row r="2319" spans="1:1">
      <c r="A2319" s="149" t="s">
        <v>4295</v>
      </c>
    </row>
    <row r="2320" spans="1:1">
      <c r="A2320" s="149" t="s">
        <v>4296</v>
      </c>
    </row>
    <row r="2321" spans="1:1">
      <c r="A2321" s="149" t="s">
        <v>4297</v>
      </c>
    </row>
    <row r="2322" spans="1:1">
      <c r="A2322" s="149" t="s">
        <v>4298</v>
      </c>
    </row>
    <row r="2323" spans="1:1">
      <c r="A2323" s="149" t="s">
        <v>4299</v>
      </c>
    </row>
    <row r="2324" spans="1:1">
      <c r="A2324" s="149" t="s">
        <v>4300</v>
      </c>
    </row>
    <row r="2325" spans="1:1">
      <c r="A2325" s="149" t="s">
        <v>4301</v>
      </c>
    </row>
    <row r="2326" spans="1:1">
      <c r="A2326" s="149" t="s">
        <v>4302</v>
      </c>
    </row>
    <row r="2327" spans="1:1">
      <c r="A2327" s="149" t="s">
        <v>4303</v>
      </c>
    </row>
    <row r="2328" spans="1:1">
      <c r="A2328" s="149" t="s">
        <v>4304</v>
      </c>
    </row>
    <row r="2329" spans="1:1">
      <c r="A2329" s="149" t="s">
        <v>4305</v>
      </c>
    </row>
    <row r="2330" spans="1:1">
      <c r="A2330" s="149" t="s">
        <v>4306</v>
      </c>
    </row>
    <row r="2331" spans="1:1">
      <c r="A2331" s="149" t="s">
        <v>4307</v>
      </c>
    </row>
    <row r="2332" spans="1:1">
      <c r="A2332" s="149" t="s">
        <v>4308</v>
      </c>
    </row>
    <row r="2333" spans="1:1">
      <c r="A2333" s="149" t="s">
        <v>4309</v>
      </c>
    </row>
    <row r="2334" spans="1:1">
      <c r="A2334" s="149" t="s">
        <v>4310</v>
      </c>
    </row>
    <row r="2335" spans="1:1">
      <c r="A2335" s="149" t="s">
        <v>4311</v>
      </c>
    </row>
    <row r="2336" spans="1:1">
      <c r="A2336" s="149" t="s">
        <v>4312</v>
      </c>
    </row>
    <row r="2337" spans="1:1">
      <c r="A2337" s="149" t="s">
        <v>4313</v>
      </c>
    </row>
    <row r="2338" spans="1:1">
      <c r="A2338" s="149" t="s">
        <v>4314</v>
      </c>
    </row>
    <row r="2339" spans="1:1">
      <c r="A2339" s="149" t="s">
        <v>4315</v>
      </c>
    </row>
    <row r="2340" spans="1:1">
      <c r="A2340" s="149" t="s">
        <v>4316</v>
      </c>
    </row>
    <row r="2341" spans="1:1">
      <c r="A2341" s="149" t="s">
        <v>4317</v>
      </c>
    </row>
    <row r="2342" spans="1:1">
      <c r="A2342" s="149" t="s">
        <v>4318</v>
      </c>
    </row>
    <row r="2343" spans="1:1">
      <c r="A2343" s="149" t="s">
        <v>4319</v>
      </c>
    </row>
    <row r="2344" spans="1:1">
      <c r="A2344" s="149" t="s">
        <v>4320</v>
      </c>
    </row>
    <row r="2345" spans="1:1">
      <c r="A2345" s="149" t="s">
        <v>4321</v>
      </c>
    </row>
    <row r="2346" spans="1:1">
      <c r="A2346" s="149" t="s">
        <v>4322</v>
      </c>
    </row>
    <row r="2347" spans="1:1">
      <c r="A2347" s="149" t="s">
        <v>4323</v>
      </c>
    </row>
    <row r="2348" spans="1:1">
      <c r="A2348" s="149" t="s">
        <v>4324</v>
      </c>
    </row>
    <row r="2349" spans="1:1">
      <c r="A2349" s="149" t="s">
        <v>4325</v>
      </c>
    </row>
    <row r="2350" spans="1:1">
      <c r="A2350" s="149" t="s">
        <v>4326</v>
      </c>
    </row>
    <row r="2351" spans="1:1">
      <c r="A2351" s="149" t="s">
        <v>4327</v>
      </c>
    </row>
    <row r="2352" spans="1:1">
      <c r="A2352" s="149" t="s">
        <v>4328</v>
      </c>
    </row>
    <row r="2353" spans="1:1">
      <c r="A2353" s="149" t="s">
        <v>4329</v>
      </c>
    </row>
    <row r="2354" spans="1:1">
      <c r="A2354" s="149" t="s">
        <v>4330</v>
      </c>
    </row>
    <row r="2355" spans="1:1">
      <c r="A2355" s="149" t="s">
        <v>4331</v>
      </c>
    </row>
    <row r="2356" spans="1:1">
      <c r="A2356" s="149" t="s">
        <v>4332</v>
      </c>
    </row>
    <row r="2357" spans="1:1">
      <c r="A2357" s="149" t="s">
        <v>4333</v>
      </c>
    </row>
    <row r="2358" spans="1:1">
      <c r="A2358" s="149" t="s">
        <v>4334</v>
      </c>
    </row>
    <row r="2359" spans="1:1">
      <c r="A2359" s="149" t="s">
        <v>4335</v>
      </c>
    </row>
    <row r="2360" spans="1:1">
      <c r="A2360" s="149" t="s">
        <v>4336</v>
      </c>
    </row>
    <row r="2361" spans="1:1">
      <c r="A2361" s="149" t="s">
        <v>4337</v>
      </c>
    </row>
    <row r="2362" spans="1:1">
      <c r="A2362" s="149" t="s">
        <v>4338</v>
      </c>
    </row>
    <row r="2363" spans="1:1">
      <c r="A2363" s="149" t="s">
        <v>4339</v>
      </c>
    </row>
    <row r="2364" spans="1:1">
      <c r="A2364" s="149" t="s">
        <v>4340</v>
      </c>
    </row>
    <row r="2365" spans="1:1">
      <c r="A2365" s="149" t="s">
        <v>4341</v>
      </c>
    </row>
    <row r="2366" spans="1:1">
      <c r="A2366" s="149" t="s">
        <v>4342</v>
      </c>
    </row>
    <row r="2367" spans="1:1">
      <c r="A2367" s="149" t="s">
        <v>4343</v>
      </c>
    </row>
    <row r="2368" spans="1:1">
      <c r="A2368" s="149" t="s">
        <v>4344</v>
      </c>
    </row>
    <row r="2369" spans="1:1">
      <c r="A2369" s="149" t="s">
        <v>4345</v>
      </c>
    </row>
    <row r="2370" spans="1:1">
      <c r="A2370" s="149" t="s">
        <v>4346</v>
      </c>
    </row>
    <row r="2371" spans="1:1">
      <c r="A2371" s="149" t="s">
        <v>4347</v>
      </c>
    </row>
    <row r="2372" spans="1:1">
      <c r="A2372" s="149" t="s">
        <v>4348</v>
      </c>
    </row>
    <row r="2373" spans="1:1">
      <c r="A2373" s="149" t="s">
        <v>4349</v>
      </c>
    </row>
    <row r="2374" spans="1:1">
      <c r="A2374" s="149" t="s">
        <v>4350</v>
      </c>
    </row>
    <row r="2375" spans="1:1">
      <c r="A2375" s="149" t="s">
        <v>4351</v>
      </c>
    </row>
    <row r="2376" spans="1:1">
      <c r="A2376" s="149" t="s">
        <v>4352</v>
      </c>
    </row>
    <row r="2377" spans="1:1">
      <c r="A2377" s="149" t="s">
        <v>4353</v>
      </c>
    </row>
    <row r="2378" spans="1:1">
      <c r="A2378" s="149" t="s">
        <v>4354</v>
      </c>
    </row>
    <row r="2379" spans="1:1">
      <c r="A2379" s="149" t="s">
        <v>4355</v>
      </c>
    </row>
    <row r="2380" spans="1:1">
      <c r="A2380" s="149" t="s">
        <v>4356</v>
      </c>
    </row>
    <row r="2381" spans="1:1">
      <c r="A2381" s="149" t="s">
        <v>4357</v>
      </c>
    </row>
    <row r="2382" spans="1:1">
      <c r="A2382" s="149" t="s">
        <v>4358</v>
      </c>
    </row>
    <row r="2383" spans="1:1">
      <c r="A2383" s="149" t="s">
        <v>4359</v>
      </c>
    </row>
    <row r="2384" spans="1:1">
      <c r="A2384" s="149" t="s">
        <v>4360</v>
      </c>
    </row>
    <row r="2385" spans="1:1">
      <c r="A2385" s="149" t="s">
        <v>4361</v>
      </c>
    </row>
    <row r="2386" spans="1:1">
      <c r="A2386" s="149" t="s">
        <v>4362</v>
      </c>
    </row>
    <row r="2387" spans="1:1">
      <c r="A2387" s="149" t="s">
        <v>4363</v>
      </c>
    </row>
    <row r="2388" spans="1:1">
      <c r="A2388" s="149" t="s">
        <v>4364</v>
      </c>
    </row>
    <row r="2389" spans="1:1">
      <c r="A2389" s="149" t="s">
        <v>4365</v>
      </c>
    </row>
    <row r="2390" spans="1:1">
      <c r="A2390" s="149" t="s">
        <v>4366</v>
      </c>
    </row>
    <row r="2391" spans="1:1">
      <c r="A2391" s="149" t="s">
        <v>4367</v>
      </c>
    </row>
    <row r="2392" spans="1:1">
      <c r="A2392" s="149" t="s">
        <v>4368</v>
      </c>
    </row>
    <row r="2393" spans="1:1">
      <c r="A2393" s="149" t="s">
        <v>4369</v>
      </c>
    </row>
    <row r="2394" spans="1:1">
      <c r="A2394" s="149" t="s">
        <v>4370</v>
      </c>
    </row>
    <row r="2395" spans="1:1">
      <c r="A2395" s="149" t="s">
        <v>4371</v>
      </c>
    </row>
    <row r="2396" spans="1:1">
      <c r="A2396" s="149" t="s">
        <v>4372</v>
      </c>
    </row>
    <row r="2397" spans="1:1">
      <c r="A2397" s="149" t="s">
        <v>4373</v>
      </c>
    </row>
    <row r="2398" spans="1:1">
      <c r="A2398" s="149" t="s">
        <v>4374</v>
      </c>
    </row>
    <row r="2399" spans="1:1">
      <c r="A2399" s="149" t="s">
        <v>4375</v>
      </c>
    </row>
    <row r="2400" spans="1:1">
      <c r="A2400" s="149" t="s">
        <v>4376</v>
      </c>
    </row>
    <row r="2401" spans="1:1">
      <c r="A2401" s="149" t="s">
        <v>4377</v>
      </c>
    </row>
    <row r="2402" spans="1:1">
      <c r="A2402" s="149" t="s">
        <v>4378</v>
      </c>
    </row>
    <row r="2403" spans="1:1">
      <c r="A2403" s="149" t="s">
        <v>4379</v>
      </c>
    </row>
    <row r="2404" spans="1:1">
      <c r="A2404" s="149" t="s">
        <v>4380</v>
      </c>
    </row>
    <row r="2405" spans="1:1">
      <c r="A2405" s="149" t="s">
        <v>4381</v>
      </c>
    </row>
    <row r="2406" spans="1:1">
      <c r="A2406" s="149" t="s">
        <v>4382</v>
      </c>
    </row>
    <row r="2407" spans="1:1">
      <c r="A2407" s="149" t="s">
        <v>4383</v>
      </c>
    </row>
    <row r="2408" spans="1:1">
      <c r="A2408" s="149" t="s">
        <v>4384</v>
      </c>
    </row>
    <row r="2409" spans="1:1">
      <c r="A2409" s="149" t="s">
        <v>4385</v>
      </c>
    </row>
    <row r="2410" spans="1:1">
      <c r="A2410" s="149" t="s">
        <v>4386</v>
      </c>
    </row>
    <row r="2411" spans="1:1">
      <c r="A2411" s="149" t="s">
        <v>4387</v>
      </c>
    </row>
    <row r="2412" spans="1:1">
      <c r="A2412" s="149" t="s">
        <v>4388</v>
      </c>
    </row>
    <row r="2413" spans="1:1">
      <c r="A2413" s="149" t="s">
        <v>4389</v>
      </c>
    </row>
    <row r="2414" spans="1:1">
      <c r="A2414" s="149" t="s">
        <v>4390</v>
      </c>
    </row>
    <row r="2415" spans="1:1">
      <c r="A2415" s="149" t="s">
        <v>4391</v>
      </c>
    </row>
    <row r="2416" spans="1:1">
      <c r="A2416" s="149" t="s">
        <v>4392</v>
      </c>
    </row>
    <row r="2417" spans="1:1">
      <c r="A2417" s="149" t="s">
        <v>4393</v>
      </c>
    </row>
    <row r="2418" spans="1:1">
      <c r="A2418" s="149" t="s">
        <v>4394</v>
      </c>
    </row>
    <row r="2419" spans="1:1">
      <c r="A2419" s="149" t="s">
        <v>4395</v>
      </c>
    </row>
    <row r="2420" spans="1:1">
      <c r="A2420" s="149" t="s">
        <v>4396</v>
      </c>
    </row>
    <row r="2421" spans="1:1">
      <c r="A2421" s="149" t="s">
        <v>4397</v>
      </c>
    </row>
    <row r="2422" spans="1:1">
      <c r="A2422" s="149" t="s">
        <v>4398</v>
      </c>
    </row>
    <row r="2423" spans="1:1">
      <c r="A2423" s="149" t="s">
        <v>4399</v>
      </c>
    </row>
    <row r="2424" spans="1:1">
      <c r="A2424" s="149" t="s">
        <v>4400</v>
      </c>
    </row>
    <row r="2425" spans="1:1">
      <c r="A2425" s="149" t="s">
        <v>4401</v>
      </c>
    </row>
    <row r="2426" spans="1:1">
      <c r="A2426" s="149" t="s">
        <v>4402</v>
      </c>
    </row>
    <row r="2427" spans="1:1">
      <c r="A2427" s="149" t="s">
        <v>4403</v>
      </c>
    </row>
    <row r="2428" spans="1:1">
      <c r="A2428" s="149" t="s">
        <v>4404</v>
      </c>
    </row>
    <row r="2429" spans="1:1">
      <c r="A2429" s="149" t="s">
        <v>4405</v>
      </c>
    </row>
    <row r="2430" spans="1:1">
      <c r="A2430" s="149" t="s">
        <v>4406</v>
      </c>
    </row>
    <row r="2431" spans="1:1">
      <c r="A2431" s="149" t="s">
        <v>4407</v>
      </c>
    </row>
    <row r="2432" spans="1:1">
      <c r="A2432" s="149" t="s">
        <v>4408</v>
      </c>
    </row>
    <row r="2433" spans="1:1">
      <c r="A2433" s="149" t="s">
        <v>4409</v>
      </c>
    </row>
    <row r="2434" spans="1:1">
      <c r="A2434" s="149" t="s">
        <v>4410</v>
      </c>
    </row>
    <row r="2435" spans="1:1">
      <c r="A2435" s="149" t="s">
        <v>4411</v>
      </c>
    </row>
    <row r="2436" spans="1:1">
      <c r="A2436" s="149" t="s">
        <v>4412</v>
      </c>
    </row>
    <row r="2437" spans="1:1">
      <c r="A2437" s="149" t="s">
        <v>4413</v>
      </c>
    </row>
    <row r="2438" spans="1:1">
      <c r="A2438" s="149" t="s">
        <v>4414</v>
      </c>
    </row>
    <row r="2439" spans="1:1">
      <c r="A2439" s="149" t="s">
        <v>4415</v>
      </c>
    </row>
    <row r="2440" spans="1:1">
      <c r="A2440" s="149" t="s">
        <v>4416</v>
      </c>
    </row>
    <row r="2441" spans="1:1">
      <c r="A2441" s="149" t="s">
        <v>4417</v>
      </c>
    </row>
    <row r="2442" spans="1:1">
      <c r="A2442" s="149" t="s">
        <v>4418</v>
      </c>
    </row>
    <row r="2443" spans="1:1">
      <c r="A2443" s="149" t="s">
        <v>4419</v>
      </c>
    </row>
    <row r="2444" spans="1:1">
      <c r="A2444" s="149" t="s">
        <v>4420</v>
      </c>
    </row>
    <row r="2445" spans="1:1">
      <c r="A2445" s="149" t="s">
        <v>4421</v>
      </c>
    </row>
    <row r="2446" spans="1:1">
      <c r="A2446" s="149" t="s">
        <v>4422</v>
      </c>
    </row>
    <row r="2447" spans="1:1">
      <c r="A2447" s="149" t="s">
        <v>4423</v>
      </c>
    </row>
    <row r="2448" spans="1:1">
      <c r="A2448" s="149" t="s">
        <v>4424</v>
      </c>
    </row>
    <row r="2449" spans="1:1">
      <c r="A2449" s="149" t="s">
        <v>4425</v>
      </c>
    </row>
    <row r="2450" spans="1:1">
      <c r="A2450" s="149" t="s">
        <v>4426</v>
      </c>
    </row>
    <row r="2451" spans="1:1">
      <c r="A2451" s="149" t="s">
        <v>4427</v>
      </c>
    </row>
    <row r="2452" spans="1:1">
      <c r="A2452" s="149" t="s">
        <v>4428</v>
      </c>
    </row>
    <row r="2453" spans="1:1">
      <c r="A2453" s="149" t="s">
        <v>4429</v>
      </c>
    </row>
    <row r="2454" spans="1:1">
      <c r="A2454" s="149" t="s">
        <v>4430</v>
      </c>
    </row>
    <row r="2455" spans="1:1">
      <c r="A2455" s="149" t="s">
        <v>4431</v>
      </c>
    </row>
    <row r="2456" spans="1:1">
      <c r="A2456" s="149" t="s">
        <v>4432</v>
      </c>
    </row>
    <row r="2457" spans="1:1">
      <c r="A2457" s="149" t="s">
        <v>4433</v>
      </c>
    </row>
    <row r="2458" spans="1:1">
      <c r="A2458" s="149" t="s">
        <v>4434</v>
      </c>
    </row>
    <row r="2459" spans="1:1">
      <c r="A2459" s="149" t="s">
        <v>4435</v>
      </c>
    </row>
    <row r="2460" spans="1:1">
      <c r="A2460" s="149" t="s">
        <v>4436</v>
      </c>
    </row>
    <row r="2461" spans="1:1">
      <c r="A2461" s="149" t="s">
        <v>4437</v>
      </c>
    </row>
    <row r="2462" spans="1:1">
      <c r="A2462" s="149" t="s">
        <v>4438</v>
      </c>
    </row>
    <row r="2463" spans="1:1">
      <c r="A2463" s="149" t="s">
        <v>4439</v>
      </c>
    </row>
    <row r="2464" spans="1:1">
      <c r="A2464" s="149" t="s">
        <v>4440</v>
      </c>
    </row>
    <row r="2465" spans="1:1">
      <c r="A2465" s="149" t="s">
        <v>4441</v>
      </c>
    </row>
    <row r="2466" spans="1:1">
      <c r="A2466" s="149" t="s">
        <v>4442</v>
      </c>
    </row>
    <row r="2467" spans="1:1">
      <c r="A2467" s="149" t="s">
        <v>4443</v>
      </c>
    </row>
    <row r="2468" spans="1:1">
      <c r="A2468" s="149" t="s">
        <v>4444</v>
      </c>
    </row>
    <row r="2469" spans="1:1">
      <c r="A2469" s="149" t="s">
        <v>4445</v>
      </c>
    </row>
    <row r="2470" spans="1:1">
      <c r="A2470" s="149" t="s">
        <v>4446</v>
      </c>
    </row>
    <row r="2471" spans="1:1">
      <c r="A2471" s="149" t="s">
        <v>4447</v>
      </c>
    </row>
    <row r="2472" spans="1:1">
      <c r="A2472" s="149" t="s">
        <v>4448</v>
      </c>
    </row>
    <row r="2473" spans="1:1">
      <c r="A2473" s="149" t="s">
        <v>4449</v>
      </c>
    </row>
    <row r="2474" spans="1:1">
      <c r="A2474" s="149" t="s">
        <v>4450</v>
      </c>
    </row>
    <row r="2475" spans="1:1">
      <c r="A2475" s="149" t="s">
        <v>4451</v>
      </c>
    </row>
    <row r="2476" spans="1:1">
      <c r="A2476" s="149" t="s">
        <v>4452</v>
      </c>
    </row>
    <row r="2477" spans="1:1">
      <c r="A2477" s="149" t="s">
        <v>4453</v>
      </c>
    </row>
    <row r="2478" spans="1:1">
      <c r="A2478" s="149" t="s">
        <v>4454</v>
      </c>
    </row>
    <row r="2479" spans="1:1">
      <c r="A2479" s="149" t="s">
        <v>4455</v>
      </c>
    </row>
    <row r="2480" spans="1:1">
      <c r="A2480" s="149" t="s">
        <v>4456</v>
      </c>
    </row>
    <row r="2481" spans="1:1">
      <c r="A2481" s="149" t="s">
        <v>4457</v>
      </c>
    </row>
    <row r="2482" spans="1:1">
      <c r="A2482" s="149" t="s">
        <v>4458</v>
      </c>
    </row>
    <row r="2483" spans="1:1">
      <c r="A2483" s="149" t="s">
        <v>4459</v>
      </c>
    </row>
    <row r="2484" spans="1:1">
      <c r="A2484" s="149" t="s">
        <v>4460</v>
      </c>
    </row>
    <row r="2485" spans="1:1">
      <c r="A2485" s="149" t="s">
        <v>4461</v>
      </c>
    </row>
    <row r="2486" spans="1:1">
      <c r="A2486" s="149" t="s">
        <v>4462</v>
      </c>
    </row>
    <row r="2487" spans="1:1">
      <c r="A2487" s="149" t="s">
        <v>4463</v>
      </c>
    </row>
    <row r="2488" spans="1:1">
      <c r="A2488" s="149" t="s">
        <v>4464</v>
      </c>
    </row>
    <row r="2489" spans="1:1">
      <c r="A2489" s="149" t="s">
        <v>4465</v>
      </c>
    </row>
    <row r="2490" spans="1:1">
      <c r="A2490" s="149" t="s">
        <v>4466</v>
      </c>
    </row>
    <row r="2491" spans="1:1">
      <c r="A2491" s="149" t="s">
        <v>4467</v>
      </c>
    </row>
    <row r="2492" spans="1:1">
      <c r="A2492" s="149" t="s">
        <v>4468</v>
      </c>
    </row>
    <row r="2493" spans="1:1">
      <c r="A2493" s="149" t="s">
        <v>4469</v>
      </c>
    </row>
    <row r="2494" spans="1:1">
      <c r="A2494" s="149" t="s">
        <v>4470</v>
      </c>
    </row>
    <row r="2495" spans="1:1">
      <c r="A2495" s="149" t="s">
        <v>4471</v>
      </c>
    </row>
    <row r="2496" spans="1:1">
      <c r="A2496" s="149" t="s">
        <v>4472</v>
      </c>
    </row>
    <row r="2497" spans="1:1">
      <c r="A2497" s="149" t="s">
        <v>4473</v>
      </c>
    </row>
    <row r="2498" spans="1:1">
      <c r="A2498" s="149" t="s">
        <v>4474</v>
      </c>
    </row>
    <row r="2499" spans="1:1">
      <c r="A2499" s="149" t="s">
        <v>4475</v>
      </c>
    </row>
    <row r="2500" spans="1:1">
      <c r="A2500" s="149" t="s">
        <v>4476</v>
      </c>
    </row>
    <row r="2501" spans="1:1">
      <c r="A2501" s="149" t="s">
        <v>4477</v>
      </c>
    </row>
    <row r="2502" spans="1:1">
      <c r="A2502" s="149" t="s">
        <v>4478</v>
      </c>
    </row>
    <row r="2503" spans="1:1">
      <c r="A2503" s="149" t="s">
        <v>4479</v>
      </c>
    </row>
    <row r="2504" spans="1:1">
      <c r="A2504" s="149" t="s">
        <v>4480</v>
      </c>
    </row>
    <row r="2505" spans="1:1">
      <c r="A2505" s="149" t="s">
        <v>4481</v>
      </c>
    </row>
    <row r="2506" spans="1:1">
      <c r="A2506" s="149" t="s">
        <v>4482</v>
      </c>
    </row>
    <row r="2507" spans="1:1">
      <c r="A2507" s="149" t="s">
        <v>4483</v>
      </c>
    </row>
    <row r="2508" spans="1:1">
      <c r="A2508" s="149" t="s">
        <v>4484</v>
      </c>
    </row>
    <row r="2509" spans="1:1">
      <c r="A2509" s="149" t="s">
        <v>4485</v>
      </c>
    </row>
    <row r="2510" spans="1:1">
      <c r="A2510" s="149" t="s">
        <v>4486</v>
      </c>
    </row>
    <row r="2511" spans="1:1">
      <c r="A2511" s="149" t="s">
        <v>4487</v>
      </c>
    </row>
    <row r="2512" spans="1:1">
      <c r="A2512" s="149" t="s">
        <v>4488</v>
      </c>
    </row>
    <row r="2513" spans="1:1">
      <c r="A2513" s="149" t="s">
        <v>4489</v>
      </c>
    </row>
    <row r="2514" spans="1:1">
      <c r="A2514" s="149" t="s">
        <v>4490</v>
      </c>
    </row>
    <row r="2515" spans="1:1">
      <c r="A2515" s="149" t="s">
        <v>4491</v>
      </c>
    </row>
    <row r="2516" spans="1:1">
      <c r="A2516" s="149" t="s">
        <v>4492</v>
      </c>
    </row>
    <row r="2517" spans="1:1">
      <c r="A2517" s="149" t="s">
        <v>4493</v>
      </c>
    </row>
    <row r="2518" spans="1:1">
      <c r="A2518" s="149" t="s">
        <v>4494</v>
      </c>
    </row>
    <row r="2519" spans="1:1">
      <c r="A2519" s="149" t="s">
        <v>4495</v>
      </c>
    </row>
    <row r="2520" spans="1:1">
      <c r="A2520" s="149" t="s">
        <v>4496</v>
      </c>
    </row>
    <row r="2521" spans="1:1">
      <c r="A2521" s="149" t="s">
        <v>4497</v>
      </c>
    </row>
    <row r="2522" spans="1:1">
      <c r="A2522" s="149" t="s">
        <v>4498</v>
      </c>
    </row>
    <row r="2523" spans="1:1">
      <c r="A2523" s="149" t="s">
        <v>4499</v>
      </c>
    </row>
    <row r="2524" spans="1:1">
      <c r="A2524" s="149" t="s">
        <v>4500</v>
      </c>
    </row>
    <row r="2525" spans="1:1">
      <c r="A2525" s="149" t="s">
        <v>4501</v>
      </c>
    </row>
    <row r="2526" spans="1:1">
      <c r="A2526" s="149" t="s">
        <v>4502</v>
      </c>
    </row>
    <row r="2527" spans="1:1">
      <c r="A2527" s="149" t="s">
        <v>4503</v>
      </c>
    </row>
    <row r="2528" spans="1:1">
      <c r="A2528" s="149" t="s">
        <v>4504</v>
      </c>
    </row>
    <row r="2529" spans="1:1">
      <c r="A2529" s="149" t="s">
        <v>4505</v>
      </c>
    </row>
    <row r="2530" spans="1:1">
      <c r="A2530" s="149" t="s">
        <v>4506</v>
      </c>
    </row>
    <row r="2531" spans="1:1">
      <c r="A2531" s="149" t="s">
        <v>4507</v>
      </c>
    </row>
    <row r="2532" spans="1:1">
      <c r="A2532" s="149" t="s">
        <v>4508</v>
      </c>
    </row>
    <row r="2533" spans="1:1">
      <c r="A2533" s="149" t="s">
        <v>4509</v>
      </c>
    </row>
    <row r="2534" spans="1:1">
      <c r="A2534" s="149" t="s">
        <v>4510</v>
      </c>
    </row>
    <row r="2535" spans="1:1">
      <c r="A2535" s="149" t="s">
        <v>4511</v>
      </c>
    </row>
    <row r="2536" spans="1:1">
      <c r="A2536" s="149" t="s">
        <v>4512</v>
      </c>
    </row>
    <row r="2537" spans="1:1">
      <c r="A2537" s="149" t="s">
        <v>4513</v>
      </c>
    </row>
    <row r="2538" spans="1:1">
      <c r="A2538" s="149" t="s">
        <v>4514</v>
      </c>
    </row>
    <row r="2539" spans="1:1">
      <c r="A2539" s="149" t="s">
        <v>4515</v>
      </c>
    </row>
    <row r="2540" spans="1:1">
      <c r="A2540" s="149" t="s">
        <v>4516</v>
      </c>
    </row>
    <row r="2541" spans="1:1">
      <c r="A2541" s="149" t="s">
        <v>4517</v>
      </c>
    </row>
    <row r="2542" spans="1:1">
      <c r="A2542" s="149" t="s">
        <v>4518</v>
      </c>
    </row>
    <row r="2543" spans="1:1">
      <c r="A2543" s="149" t="s">
        <v>4519</v>
      </c>
    </row>
    <row r="2544" spans="1:1">
      <c r="A2544" s="149" t="s">
        <v>4520</v>
      </c>
    </row>
    <row r="2545" spans="1:1">
      <c r="A2545" s="149" t="s">
        <v>4521</v>
      </c>
    </row>
    <row r="2546" spans="1:1">
      <c r="A2546" s="149" t="s">
        <v>4522</v>
      </c>
    </row>
    <row r="2547" spans="1:1">
      <c r="A2547" s="149" t="s">
        <v>4523</v>
      </c>
    </row>
    <row r="2548" spans="1:1">
      <c r="A2548" s="149" t="s">
        <v>4524</v>
      </c>
    </row>
    <row r="2549" spans="1:1">
      <c r="A2549" s="149" t="s">
        <v>4525</v>
      </c>
    </row>
    <row r="2550" spans="1:1">
      <c r="A2550" s="149" t="s">
        <v>4526</v>
      </c>
    </row>
    <row r="2551" spans="1:1">
      <c r="A2551" s="149" t="s">
        <v>4527</v>
      </c>
    </row>
    <row r="2552" spans="1:1">
      <c r="A2552" s="149" t="s">
        <v>4528</v>
      </c>
    </row>
    <row r="2553" spans="1:1">
      <c r="A2553" s="149" t="s">
        <v>4529</v>
      </c>
    </row>
    <row r="2554" spans="1:1">
      <c r="A2554" s="149" t="s">
        <v>4530</v>
      </c>
    </row>
    <row r="2555" spans="1:1">
      <c r="A2555" s="149" t="s">
        <v>4531</v>
      </c>
    </row>
    <row r="2556" spans="1:1">
      <c r="A2556" s="149" t="s">
        <v>4532</v>
      </c>
    </row>
    <row r="2557" spans="1:1">
      <c r="A2557" s="149" t="s">
        <v>4533</v>
      </c>
    </row>
    <row r="2558" spans="1:1">
      <c r="A2558" s="149" t="s">
        <v>4534</v>
      </c>
    </row>
    <row r="2559" spans="1:1">
      <c r="A2559" s="149" t="s">
        <v>4535</v>
      </c>
    </row>
    <row r="2560" spans="1:1">
      <c r="A2560" s="149" t="s">
        <v>4536</v>
      </c>
    </row>
    <row r="2561" spans="1:1">
      <c r="A2561" s="149" t="s">
        <v>4537</v>
      </c>
    </row>
    <row r="2562" spans="1:1">
      <c r="A2562" s="149" t="s">
        <v>4538</v>
      </c>
    </row>
    <row r="2563" spans="1:1">
      <c r="A2563" s="149" t="s">
        <v>4539</v>
      </c>
    </row>
    <row r="2564" spans="1:1">
      <c r="A2564" s="149" t="s">
        <v>4540</v>
      </c>
    </row>
    <row r="2565" spans="1:1">
      <c r="A2565" s="149" t="s">
        <v>4541</v>
      </c>
    </row>
    <row r="2566" spans="1:1">
      <c r="A2566" s="149" t="s">
        <v>4542</v>
      </c>
    </row>
    <row r="2567" spans="1:1">
      <c r="A2567" s="149" t="s">
        <v>4543</v>
      </c>
    </row>
    <row r="2568" spans="1:1">
      <c r="A2568" s="149" t="s">
        <v>4544</v>
      </c>
    </row>
    <row r="2569" spans="1:1">
      <c r="A2569" s="149" t="s">
        <v>4545</v>
      </c>
    </row>
    <row r="2570" spans="1:1">
      <c r="A2570" s="149" t="s">
        <v>4546</v>
      </c>
    </row>
    <row r="2571" spans="1:1">
      <c r="A2571" s="149" t="s">
        <v>4547</v>
      </c>
    </row>
    <row r="2572" spans="1:1">
      <c r="A2572" s="149" t="s">
        <v>4548</v>
      </c>
    </row>
    <row r="2573" spans="1:1">
      <c r="A2573" s="149" t="s">
        <v>4549</v>
      </c>
    </row>
    <row r="2574" spans="1:1">
      <c r="A2574" s="149" t="s">
        <v>4550</v>
      </c>
    </row>
    <row r="2575" spans="1:1">
      <c r="A2575" s="149" t="s">
        <v>4551</v>
      </c>
    </row>
    <row r="2576" spans="1:1">
      <c r="A2576" s="149" t="s">
        <v>4552</v>
      </c>
    </row>
    <row r="2577" spans="1:1">
      <c r="A2577" s="149" t="s">
        <v>4553</v>
      </c>
    </row>
    <row r="2578" spans="1:1">
      <c r="A2578" s="149" t="s">
        <v>4554</v>
      </c>
    </row>
    <row r="2579" spans="1:1">
      <c r="A2579" s="149" t="s">
        <v>4555</v>
      </c>
    </row>
    <row r="2580" spans="1:1">
      <c r="A2580" s="149" t="s">
        <v>4556</v>
      </c>
    </row>
    <row r="2581" spans="1:1">
      <c r="A2581" s="149" t="s">
        <v>4557</v>
      </c>
    </row>
    <row r="2582" spans="1:1">
      <c r="A2582" s="149" t="s">
        <v>4558</v>
      </c>
    </row>
    <row r="2583" spans="1:1">
      <c r="A2583" s="149" t="s">
        <v>4559</v>
      </c>
    </row>
    <row r="2584" spans="1:1">
      <c r="A2584" s="149" t="s">
        <v>4560</v>
      </c>
    </row>
    <row r="2585" spans="1:1">
      <c r="A2585" s="149" t="s">
        <v>4561</v>
      </c>
    </row>
    <row r="2586" spans="1:1">
      <c r="A2586" s="149" t="s">
        <v>4562</v>
      </c>
    </row>
    <row r="2587" spans="1:1">
      <c r="A2587" s="149" t="s">
        <v>4563</v>
      </c>
    </row>
    <row r="2588" spans="1:1">
      <c r="A2588" s="149" t="s">
        <v>4564</v>
      </c>
    </row>
    <row r="2589" spans="1:1">
      <c r="A2589" s="149" t="s">
        <v>4565</v>
      </c>
    </row>
    <row r="2590" spans="1:1">
      <c r="A2590" s="149" t="s">
        <v>4566</v>
      </c>
    </row>
    <row r="2591" spans="1:1">
      <c r="A2591" s="149" t="s">
        <v>4567</v>
      </c>
    </row>
    <row r="2592" spans="1:1">
      <c r="A2592" s="149" t="s">
        <v>4568</v>
      </c>
    </row>
    <row r="2593" spans="1:1">
      <c r="A2593" s="149" t="s">
        <v>4569</v>
      </c>
    </row>
    <row r="2594" spans="1:1">
      <c r="A2594" s="149" t="s">
        <v>4570</v>
      </c>
    </row>
    <row r="2595" spans="1:1">
      <c r="A2595" s="149" t="s">
        <v>4571</v>
      </c>
    </row>
    <row r="2596" spans="1:1">
      <c r="A2596" s="149" t="s">
        <v>4572</v>
      </c>
    </row>
    <row r="2597" spans="1:1">
      <c r="A2597" s="149" t="s">
        <v>4573</v>
      </c>
    </row>
    <row r="2598" spans="1:1">
      <c r="A2598" s="149" t="s">
        <v>4574</v>
      </c>
    </row>
    <row r="2599" spans="1:1">
      <c r="A2599" s="149" t="s">
        <v>4575</v>
      </c>
    </row>
    <row r="2600" spans="1:1">
      <c r="A2600" s="149" t="s">
        <v>4576</v>
      </c>
    </row>
    <row r="2601" spans="1:1">
      <c r="A2601" s="149" t="s">
        <v>4577</v>
      </c>
    </row>
    <row r="2602" spans="1:1">
      <c r="A2602" s="149" t="s">
        <v>4578</v>
      </c>
    </row>
    <row r="2603" spans="1:1">
      <c r="A2603" s="149" t="s">
        <v>4579</v>
      </c>
    </row>
    <row r="2604" spans="1:1">
      <c r="A2604" s="149" t="s">
        <v>4580</v>
      </c>
    </row>
    <row r="2605" spans="1:1">
      <c r="A2605" s="149" t="s">
        <v>4581</v>
      </c>
    </row>
    <row r="2606" spans="1:1">
      <c r="A2606" s="149" t="s">
        <v>4582</v>
      </c>
    </row>
    <row r="2607" spans="1:1">
      <c r="A2607" s="149" t="s">
        <v>4583</v>
      </c>
    </row>
    <row r="2608" spans="1:1">
      <c r="A2608" s="149" t="s">
        <v>4584</v>
      </c>
    </row>
    <row r="2609" spans="1:1">
      <c r="A2609" s="149" t="s">
        <v>4585</v>
      </c>
    </row>
    <row r="2610" spans="1:1">
      <c r="A2610" s="149" t="s">
        <v>4586</v>
      </c>
    </row>
    <row r="2611" spans="1:1">
      <c r="A2611" s="149" t="s">
        <v>4587</v>
      </c>
    </row>
    <row r="2612" spans="1:1">
      <c r="A2612" s="149" t="s">
        <v>4588</v>
      </c>
    </row>
    <row r="2613" spans="1:1">
      <c r="A2613" s="149" t="s">
        <v>4589</v>
      </c>
    </row>
    <row r="2614" spans="1:1">
      <c r="A2614" s="149" t="s">
        <v>4590</v>
      </c>
    </row>
    <row r="2615" spans="1:1">
      <c r="A2615" s="149" t="s">
        <v>4591</v>
      </c>
    </row>
    <row r="2616" spans="1:1">
      <c r="A2616" s="149" t="s">
        <v>4592</v>
      </c>
    </row>
    <row r="2617" spans="1:1">
      <c r="A2617" s="149" t="s">
        <v>4593</v>
      </c>
    </row>
    <row r="2618" spans="1:1">
      <c r="A2618" s="149" t="s">
        <v>4594</v>
      </c>
    </row>
    <row r="2619" spans="1:1">
      <c r="A2619" s="149" t="s">
        <v>4595</v>
      </c>
    </row>
    <row r="2620" spans="1:1">
      <c r="A2620" s="149" t="s">
        <v>4596</v>
      </c>
    </row>
    <row r="2621" spans="1:1">
      <c r="A2621" s="149" t="s">
        <v>4597</v>
      </c>
    </row>
    <row r="2622" spans="1:1">
      <c r="A2622" s="149" t="s">
        <v>4598</v>
      </c>
    </row>
    <row r="2623" spans="1:1">
      <c r="A2623" s="149" t="s">
        <v>4599</v>
      </c>
    </row>
    <row r="2624" spans="1:1">
      <c r="A2624" s="149" t="s">
        <v>4600</v>
      </c>
    </row>
    <row r="2625" spans="1:1">
      <c r="A2625" s="149" t="s">
        <v>4601</v>
      </c>
    </row>
    <row r="2626" spans="1:1">
      <c r="A2626" s="149" t="s">
        <v>4602</v>
      </c>
    </row>
    <row r="2627" spans="1:1">
      <c r="A2627" s="149" t="s">
        <v>4603</v>
      </c>
    </row>
    <row r="2628" spans="1:1">
      <c r="A2628" s="149" t="s">
        <v>4604</v>
      </c>
    </row>
    <row r="2629" spans="1:1">
      <c r="A2629" s="149" t="s">
        <v>4605</v>
      </c>
    </row>
    <row r="2630" spans="1:1">
      <c r="A2630" s="149" t="s">
        <v>4606</v>
      </c>
    </row>
    <row r="2631" spans="1:1">
      <c r="A2631" s="149" t="s">
        <v>4607</v>
      </c>
    </row>
    <row r="2632" spans="1:1">
      <c r="A2632" s="149" t="s">
        <v>4608</v>
      </c>
    </row>
    <row r="2633" spans="1:1">
      <c r="A2633" s="149" t="s">
        <v>4609</v>
      </c>
    </row>
    <row r="2634" spans="1:1">
      <c r="A2634" s="149" t="s">
        <v>4610</v>
      </c>
    </row>
    <row r="2635" spans="1:1">
      <c r="A2635" s="149" t="s">
        <v>4611</v>
      </c>
    </row>
    <row r="2636" spans="1:1">
      <c r="A2636" s="149" t="s">
        <v>4612</v>
      </c>
    </row>
    <row r="2637" spans="1:1">
      <c r="A2637" s="149" t="s">
        <v>4613</v>
      </c>
    </row>
    <row r="2638" spans="1:1">
      <c r="A2638" s="149" t="s">
        <v>4614</v>
      </c>
    </row>
    <row r="2639" spans="1:1">
      <c r="A2639" s="149" t="s">
        <v>4615</v>
      </c>
    </row>
    <row r="2640" spans="1:1">
      <c r="A2640" s="149" t="s">
        <v>4616</v>
      </c>
    </row>
    <row r="2641" spans="1:1">
      <c r="A2641" s="149" t="s">
        <v>4617</v>
      </c>
    </row>
    <row r="2642" spans="1:1">
      <c r="A2642" s="149" t="s">
        <v>4618</v>
      </c>
    </row>
    <row r="2643" spans="1:1">
      <c r="A2643" s="149" t="s">
        <v>4619</v>
      </c>
    </row>
    <row r="2644" spans="1:1">
      <c r="A2644" s="149" t="s">
        <v>4620</v>
      </c>
    </row>
    <row r="2645" spans="1:1">
      <c r="A2645" s="149" t="s">
        <v>4621</v>
      </c>
    </row>
    <row r="2646" spans="1:1">
      <c r="A2646" s="149" t="s">
        <v>4622</v>
      </c>
    </row>
    <row r="2647" spans="1:1">
      <c r="A2647" s="149" t="s">
        <v>4623</v>
      </c>
    </row>
    <row r="2648" spans="1:1">
      <c r="A2648" s="149" t="s">
        <v>4624</v>
      </c>
    </row>
    <row r="2649" spans="1:1">
      <c r="A2649" s="149" t="s">
        <v>4625</v>
      </c>
    </row>
    <row r="2650" spans="1:1">
      <c r="A2650" s="149" t="s">
        <v>4626</v>
      </c>
    </row>
    <row r="2651" spans="1:1">
      <c r="A2651" s="149" t="s">
        <v>4627</v>
      </c>
    </row>
    <row r="2652" spans="1:1">
      <c r="A2652" s="149" t="s">
        <v>4628</v>
      </c>
    </row>
    <row r="2653" spans="1:1">
      <c r="A2653" s="149" t="s">
        <v>4629</v>
      </c>
    </row>
    <row r="2654" spans="1:1">
      <c r="A2654" s="149" t="s">
        <v>4630</v>
      </c>
    </row>
    <row r="2655" spans="1:1">
      <c r="A2655" s="149" t="s">
        <v>4631</v>
      </c>
    </row>
    <row r="2656" spans="1:1">
      <c r="A2656" s="149" t="s">
        <v>4632</v>
      </c>
    </row>
    <row r="2657" spans="1:1">
      <c r="A2657" s="149" t="s">
        <v>4633</v>
      </c>
    </row>
    <row r="2658" spans="1:1">
      <c r="A2658" s="149" t="s">
        <v>4634</v>
      </c>
    </row>
    <row r="2659" spans="1:1">
      <c r="A2659" s="149" t="s">
        <v>4635</v>
      </c>
    </row>
    <row r="2660" spans="1:1">
      <c r="A2660" s="149" t="s">
        <v>4636</v>
      </c>
    </row>
    <row r="2661" spans="1:1">
      <c r="A2661" s="149" t="s">
        <v>4637</v>
      </c>
    </row>
    <row r="2662" spans="1:1">
      <c r="A2662" s="149" t="s">
        <v>4638</v>
      </c>
    </row>
    <row r="2663" spans="1:1">
      <c r="A2663" s="149" t="s">
        <v>4639</v>
      </c>
    </row>
    <row r="2664" spans="1:1">
      <c r="A2664" s="149" t="s">
        <v>4640</v>
      </c>
    </row>
    <row r="2665" spans="1:1">
      <c r="A2665" s="149" t="s">
        <v>4641</v>
      </c>
    </row>
    <row r="2666" spans="1:1">
      <c r="A2666" s="149" t="s">
        <v>4642</v>
      </c>
    </row>
    <row r="2667" spans="1:1">
      <c r="A2667" s="149" t="s">
        <v>4643</v>
      </c>
    </row>
    <row r="2668" spans="1:1">
      <c r="A2668" s="149" t="s">
        <v>4644</v>
      </c>
    </row>
    <row r="2669" spans="1:1">
      <c r="A2669" s="149" t="s">
        <v>4645</v>
      </c>
    </row>
    <row r="2670" spans="1:1">
      <c r="A2670" s="149" t="s">
        <v>4646</v>
      </c>
    </row>
    <row r="2671" spans="1:1">
      <c r="A2671" s="149" t="s">
        <v>4647</v>
      </c>
    </row>
    <row r="2672" spans="1:1">
      <c r="A2672" s="149" t="s">
        <v>4648</v>
      </c>
    </row>
    <row r="2673" spans="1:1">
      <c r="A2673" s="149" t="s">
        <v>4649</v>
      </c>
    </row>
    <row r="2674" spans="1:1">
      <c r="A2674" s="149" t="s">
        <v>4650</v>
      </c>
    </row>
    <row r="2675" spans="1:1">
      <c r="A2675" s="149" t="s">
        <v>4651</v>
      </c>
    </row>
    <row r="2676" spans="1:1">
      <c r="A2676" s="149" t="s">
        <v>4652</v>
      </c>
    </row>
    <row r="2677" spans="1:1">
      <c r="A2677" s="149" t="s">
        <v>4653</v>
      </c>
    </row>
    <row r="2678" spans="1:1">
      <c r="A2678" s="149" t="s">
        <v>4654</v>
      </c>
    </row>
    <row r="2679" spans="1:1">
      <c r="A2679" s="149" t="s">
        <v>4655</v>
      </c>
    </row>
    <row r="2680" spans="1:1">
      <c r="A2680" s="149" t="s">
        <v>4656</v>
      </c>
    </row>
    <row r="2681" spans="1:1">
      <c r="A2681" s="149" t="s">
        <v>4657</v>
      </c>
    </row>
    <row r="2682" spans="1:1">
      <c r="A2682" s="149" t="s">
        <v>4658</v>
      </c>
    </row>
    <row r="2683" spans="1:1">
      <c r="A2683" s="149" t="s">
        <v>4659</v>
      </c>
    </row>
    <row r="2684" spans="1:1">
      <c r="A2684" s="149" t="s">
        <v>4660</v>
      </c>
    </row>
    <row r="2685" spans="1:1">
      <c r="A2685" s="149" t="s">
        <v>4661</v>
      </c>
    </row>
    <row r="2686" spans="1:1">
      <c r="A2686" s="149" t="s">
        <v>4662</v>
      </c>
    </row>
    <row r="2687" spans="1:1">
      <c r="A2687" s="149" t="s">
        <v>4663</v>
      </c>
    </row>
    <row r="2688" spans="1:1">
      <c r="A2688" s="149" t="s">
        <v>4664</v>
      </c>
    </row>
    <row r="2689" spans="1:1">
      <c r="A2689" s="149" t="s">
        <v>4665</v>
      </c>
    </row>
    <row r="2690" spans="1:1">
      <c r="A2690" s="149" t="s">
        <v>4666</v>
      </c>
    </row>
    <row r="2691" spans="1:1">
      <c r="A2691" s="149" t="s">
        <v>4667</v>
      </c>
    </row>
    <row r="2692" spans="1:1">
      <c r="A2692" s="149" t="s">
        <v>4668</v>
      </c>
    </row>
    <row r="2693" spans="1:1">
      <c r="A2693" s="149" t="s">
        <v>4669</v>
      </c>
    </row>
    <row r="2694" spans="1:1">
      <c r="A2694" s="149" t="s">
        <v>4670</v>
      </c>
    </row>
    <row r="2695" spans="1:1">
      <c r="A2695" s="149" t="s">
        <v>4671</v>
      </c>
    </row>
    <row r="2696" spans="1:1">
      <c r="A2696" s="149" t="s">
        <v>4672</v>
      </c>
    </row>
    <row r="2697" spans="1:1">
      <c r="A2697" s="149" t="s">
        <v>4673</v>
      </c>
    </row>
    <row r="2698" spans="1:1">
      <c r="A2698" s="149" t="s">
        <v>4674</v>
      </c>
    </row>
    <row r="2699" spans="1:1">
      <c r="A2699" s="149" t="s">
        <v>4675</v>
      </c>
    </row>
    <row r="2700" spans="1:1">
      <c r="A2700" s="149" t="s">
        <v>4676</v>
      </c>
    </row>
    <row r="2701" spans="1:1">
      <c r="A2701" s="149" t="s">
        <v>4677</v>
      </c>
    </row>
    <row r="2702" spans="1:1">
      <c r="A2702" s="149" t="s">
        <v>4678</v>
      </c>
    </row>
    <row r="2703" spans="1:1">
      <c r="A2703" s="149" t="s">
        <v>4679</v>
      </c>
    </row>
    <row r="2704" spans="1:1">
      <c r="A2704" s="149" t="s">
        <v>4680</v>
      </c>
    </row>
    <row r="2705" spans="1:1">
      <c r="A2705" s="149" t="s">
        <v>4681</v>
      </c>
    </row>
    <row r="2706" spans="1:1">
      <c r="A2706" s="149" t="s">
        <v>4682</v>
      </c>
    </row>
    <row r="2707" spans="1:1">
      <c r="A2707" s="149" t="s">
        <v>4683</v>
      </c>
    </row>
    <row r="2708" spans="1:1">
      <c r="A2708" s="149" t="s">
        <v>4684</v>
      </c>
    </row>
    <row r="2709" spans="1:1">
      <c r="A2709" s="149" t="s">
        <v>4685</v>
      </c>
    </row>
    <row r="2710" spans="1:1">
      <c r="A2710" s="149" t="s">
        <v>4686</v>
      </c>
    </row>
    <row r="2711" spans="1:1">
      <c r="A2711" s="149" t="s">
        <v>4687</v>
      </c>
    </row>
    <row r="2712" spans="1:1">
      <c r="A2712" s="149" t="s">
        <v>4688</v>
      </c>
    </row>
    <row r="2713" spans="1:1">
      <c r="A2713" s="149" t="s">
        <v>4689</v>
      </c>
    </row>
    <row r="2714" spans="1:1">
      <c r="A2714" s="149" t="s">
        <v>4690</v>
      </c>
    </row>
    <row r="2715" spans="1:1">
      <c r="A2715" s="149" t="s">
        <v>4691</v>
      </c>
    </row>
    <row r="2716" spans="1:1">
      <c r="A2716" s="149" t="s">
        <v>4692</v>
      </c>
    </row>
    <row r="2717" spans="1:1">
      <c r="A2717" s="149" t="s">
        <v>4693</v>
      </c>
    </row>
    <row r="2718" spans="1:1">
      <c r="A2718" s="149" t="s">
        <v>4694</v>
      </c>
    </row>
    <row r="2719" spans="1:1">
      <c r="A2719" s="149" t="s">
        <v>4695</v>
      </c>
    </row>
    <row r="2720" spans="1:1">
      <c r="A2720" s="149" t="s">
        <v>4696</v>
      </c>
    </row>
    <row r="2721" spans="1:1">
      <c r="A2721" s="149" t="s">
        <v>4697</v>
      </c>
    </row>
    <row r="2722" spans="1:1">
      <c r="A2722" s="149" t="s">
        <v>4698</v>
      </c>
    </row>
    <row r="2723" spans="1:1">
      <c r="A2723" s="149" t="s">
        <v>4699</v>
      </c>
    </row>
    <row r="2724" spans="1:1">
      <c r="A2724" s="149" t="s">
        <v>4700</v>
      </c>
    </row>
    <row r="2725" spans="1:1">
      <c r="A2725" s="149" t="s">
        <v>4701</v>
      </c>
    </row>
    <row r="2726" spans="1:1">
      <c r="A2726" s="149" t="s">
        <v>4702</v>
      </c>
    </row>
    <row r="2727" spans="1:1">
      <c r="A2727" s="149" t="s">
        <v>4703</v>
      </c>
    </row>
    <row r="2728" spans="1:1">
      <c r="A2728" s="149" t="s">
        <v>4704</v>
      </c>
    </row>
    <row r="2729" spans="1:1">
      <c r="A2729" s="149" t="s">
        <v>4705</v>
      </c>
    </row>
    <row r="2730" spans="1:1">
      <c r="A2730" s="149" t="s">
        <v>4706</v>
      </c>
    </row>
    <row r="2731" spans="1:1">
      <c r="A2731" s="149" t="s">
        <v>4707</v>
      </c>
    </row>
    <row r="2732" spans="1:1">
      <c r="A2732" s="149" t="s">
        <v>4708</v>
      </c>
    </row>
    <row r="2733" spans="1:1">
      <c r="A2733" s="149" t="s">
        <v>4709</v>
      </c>
    </row>
    <row r="2734" spans="1:1">
      <c r="A2734" s="149" t="s">
        <v>4710</v>
      </c>
    </row>
    <row r="2735" spans="1:1">
      <c r="A2735" s="149" t="s">
        <v>4711</v>
      </c>
    </row>
    <row r="2736" spans="1:1">
      <c r="A2736" s="149" t="s">
        <v>4712</v>
      </c>
    </row>
    <row r="2737" spans="1:1">
      <c r="A2737" s="149" t="s">
        <v>4713</v>
      </c>
    </row>
    <row r="2738" spans="1:1">
      <c r="A2738" s="149" t="s">
        <v>4714</v>
      </c>
    </row>
    <row r="2739" spans="1:1">
      <c r="A2739" s="149" t="s">
        <v>4715</v>
      </c>
    </row>
    <row r="2740" spans="1:1">
      <c r="A2740" s="149" t="s">
        <v>4716</v>
      </c>
    </row>
    <row r="2741" spans="1:1">
      <c r="A2741" s="149" t="s">
        <v>4717</v>
      </c>
    </row>
    <row r="2742" spans="1:1">
      <c r="A2742" s="149" t="s">
        <v>4718</v>
      </c>
    </row>
    <row r="2743" spans="1:1">
      <c r="A2743" s="149" t="s">
        <v>4719</v>
      </c>
    </row>
    <row r="2744" spans="1:1">
      <c r="A2744" s="149" t="s">
        <v>4720</v>
      </c>
    </row>
    <row r="2745" spans="1:1">
      <c r="A2745" s="149" t="s">
        <v>4721</v>
      </c>
    </row>
    <row r="2746" spans="1:1">
      <c r="A2746" s="149" t="s">
        <v>4722</v>
      </c>
    </row>
    <row r="2747" spans="1:1">
      <c r="A2747" s="149" t="s">
        <v>4723</v>
      </c>
    </row>
    <row r="2748" spans="1:1">
      <c r="A2748" s="149" t="s">
        <v>4724</v>
      </c>
    </row>
    <row r="2749" spans="1:1">
      <c r="A2749" s="149" t="s">
        <v>4725</v>
      </c>
    </row>
    <row r="2750" spans="1:1">
      <c r="A2750" s="149" t="s">
        <v>4726</v>
      </c>
    </row>
    <row r="2751" spans="1:1">
      <c r="A2751" s="149" t="s">
        <v>4727</v>
      </c>
    </row>
    <row r="2752" spans="1:1">
      <c r="A2752" s="149" t="s">
        <v>4728</v>
      </c>
    </row>
    <row r="2753" spans="1:1">
      <c r="A2753" s="149" t="s">
        <v>4729</v>
      </c>
    </row>
    <row r="2754" spans="1:1">
      <c r="A2754" s="149" t="s">
        <v>4730</v>
      </c>
    </row>
    <row r="2755" spans="1:1">
      <c r="A2755" s="149" t="s">
        <v>4731</v>
      </c>
    </row>
    <row r="2756" spans="1:1">
      <c r="A2756" s="149" t="s">
        <v>4732</v>
      </c>
    </row>
    <row r="2757" spans="1:1">
      <c r="A2757" s="149" t="s">
        <v>4733</v>
      </c>
    </row>
    <row r="2758" spans="1:1">
      <c r="A2758" s="149" t="s">
        <v>4734</v>
      </c>
    </row>
    <row r="2759" spans="1:1">
      <c r="A2759" s="149" t="s">
        <v>4735</v>
      </c>
    </row>
    <row r="2760" spans="1:1">
      <c r="A2760" s="149" t="s">
        <v>4736</v>
      </c>
    </row>
    <row r="2761" spans="1:1">
      <c r="A2761" s="149" t="s">
        <v>4737</v>
      </c>
    </row>
    <row r="2762" spans="1:1">
      <c r="A2762" s="149" t="s">
        <v>4738</v>
      </c>
    </row>
    <row r="2763" spans="1:1">
      <c r="A2763" s="149" t="s">
        <v>4739</v>
      </c>
    </row>
    <row r="2764" spans="1:1">
      <c r="A2764" s="149" t="s">
        <v>4740</v>
      </c>
    </row>
    <row r="2765" spans="1:1">
      <c r="A2765" s="149" t="s">
        <v>4741</v>
      </c>
    </row>
    <row r="2766" spans="1:1">
      <c r="A2766" s="149" t="s">
        <v>4742</v>
      </c>
    </row>
    <row r="2767" spans="1:1">
      <c r="A2767" s="149" t="s">
        <v>4743</v>
      </c>
    </row>
    <row r="2768" spans="1:1">
      <c r="A2768" s="149" t="s">
        <v>4744</v>
      </c>
    </row>
    <row r="2769" spans="1:1">
      <c r="A2769" s="149" t="s">
        <v>4745</v>
      </c>
    </row>
    <row r="2770" spans="1:1">
      <c r="A2770" s="149" t="s">
        <v>4746</v>
      </c>
    </row>
    <row r="2771" spans="1:1">
      <c r="A2771" s="149" t="s">
        <v>4747</v>
      </c>
    </row>
    <row r="2772" spans="1:1">
      <c r="A2772" s="149" t="s">
        <v>4748</v>
      </c>
    </row>
    <row r="2773" spans="1:1">
      <c r="A2773" s="149" t="s">
        <v>4749</v>
      </c>
    </row>
    <row r="2774" spans="1:1">
      <c r="A2774" s="149" t="s">
        <v>4750</v>
      </c>
    </row>
    <row r="2775" spans="1:1">
      <c r="A2775" s="149" t="s">
        <v>4751</v>
      </c>
    </row>
    <row r="2776" spans="1:1">
      <c r="A2776" s="149" t="s">
        <v>4752</v>
      </c>
    </row>
    <row r="2777" spans="1:1">
      <c r="A2777" s="149" t="s">
        <v>4753</v>
      </c>
    </row>
    <row r="2778" spans="1:1">
      <c r="A2778" s="149" t="s">
        <v>4754</v>
      </c>
    </row>
    <row r="2779" spans="1:1">
      <c r="A2779" s="149" t="s">
        <v>4755</v>
      </c>
    </row>
    <row r="2780" spans="1:1">
      <c r="A2780" s="149" t="s">
        <v>4756</v>
      </c>
    </row>
    <row r="2781" spans="1:1">
      <c r="A2781" s="149" t="s">
        <v>4757</v>
      </c>
    </row>
    <row r="2782" spans="1:1">
      <c r="A2782" s="149" t="s">
        <v>4758</v>
      </c>
    </row>
    <row r="2783" spans="1:1">
      <c r="A2783" s="149" t="s">
        <v>4759</v>
      </c>
    </row>
    <row r="2784" spans="1:1">
      <c r="A2784" s="149" t="s">
        <v>4760</v>
      </c>
    </row>
    <row r="2785" spans="1:1">
      <c r="A2785" s="149" t="s">
        <v>4761</v>
      </c>
    </row>
    <row r="2786" spans="1:1">
      <c r="A2786" s="149" t="s">
        <v>4762</v>
      </c>
    </row>
    <row r="2787" spans="1:1">
      <c r="A2787" s="149" t="s">
        <v>4763</v>
      </c>
    </row>
    <row r="2788" spans="1:1">
      <c r="A2788" s="149" t="s">
        <v>4764</v>
      </c>
    </row>
    <row r="2789" spans="1:1">
      <c r="A2789" s="149" t="s">
        <v>4765</v>
      </c>
    </row>
    <row r="2790" spans="1:1">
      <c r="A2790" s="149" t="s">
        <v>4766</v>
      </c>
    </row>
    <row r="2791" spans="1:1">
      <c r="A2791" s="149" t="s">
        <v>4767</v>
      </c>
    </row>
    <row r="2792" spans="1:1">
      <c r="A2792" s="149" t="s">
        <v>4768</v>
      </c>
    </row>
    <row r="2793" spans="1:1">
      <c r="A2793" s="149" t="s">
        <v>4769</v>
      </c>
    </row>
    <row r="2794" spans="1:1">
      <c r="A2794" s="149" t="s">
        <v>4770</v>
      </c>
    </row>
    <row r="2795" spans="1:1">
      <c r="A2795" s="149" t="s">
        <v>4771</v>
      </c>
    </row>
    <row r="2796" spans="1:1">
      <c r="A2796" s="149" t="s">
        <v>4772</v>
      </c>
    </row>
    <row r="2797" spans="1:1">
      <c r="A2797" s="149" t="s">
        <v>4773</v>
      </c>
    </row>
    <row r="2798" spans="1:1">
      <c r="A2798" s="149" t="s">
        <v>4774</v>
      </c>
    </row>
    <row r="2799" spans="1:1">
      <c r="A2799" s="149" t="s">
        <v>4775</v>
      </c>
    </row>
    <row r="2800" spans="1:1">
      <c r="A2800" s="149" t="s">
        <v>4776</v>
      </c>
    </row>
    <row r="2801" spans="1:1">
      <c r="A2801" s="149" t="s">
        <v>4777</v>
      </c>
    </row>
    <row r="2802" spans="1:1">
      <c r="A2802" s="149" t="s">
        <v>4778</v>
      </c>
    </row>
    <row r="2803" spans="1:1">
      <c r="A2803" s="149" t="s">
        <v>4779</v>
      </c>
    </row>
    <row r="2804" spans="1:1">
      <c r="A2804" s="149" t="s">
        <v>4780</v>
      </c>
    </row>
    <row r="2805" spans="1:1">
      <c r="A2805" s="149" t="s">
        <v>4781</v>
      </c>
    </row>
    <row r="2806" spans="1:1">
      <c r="A2806" s="149" t="s">
        <v>4782</v>
      </c>
    </row>
    <row r="2807" spans="1:1">
      <c r="A2807" s="149" t="s">
        <v>4783</v>
      </c>
    </row>
    <row r="2808" spans="1:1">
      <c r="A2808" s="149" t="s">
        <v>4784</v>
      </c>
    </row>
    <row r="2809" spans="1:1">
      <c r="A2809" s="149" t="s">
        <v>4785</v>
      </c>
    </row>
    <row r="2810" spans="1:1">
      <c r="A2810" s="149" t="s">
        <v>4786</v>
      </c>
    </row>
    <row r="2811" spans="1:1">
      <c r="A2811" s="149" t="s">
        <v>4787</v>
      </c>
    </row>
    <row r="2812" spans="1:1">
      <c r="A2812" s="149" t="s">
        <v>4788</v>
      </c>
    </row>
    <row r="2813" spans="1:1">
      <c r="A2813" s="149" t="s">
        <v>4789</v>
      </c>
    </row>
    <row r="2814" spans="1:1">
      <c r="A2814" s="149" t="s">
        <v>4790</v>
      </c>
    </row>
    <row r="2815" spans="1:1">
      <c r="A2815" s="149" t="s">
        <v>4791</v>
      </c>
    </row>
    <row r="2816" spans="1:1">
      <c r="A2816" s="149" t="s">
        <v>4792</v>
      </c>
    </row>
    <row r="2817" spans="1:1">
      <c r="A2817" s="149" t="s">
        <v>4793</v>
      </c>
    </row>
    <row r="2818" spans="1:1">
      <c r="A2818" s="149" t="s">
        <v>4794</v>
      </c>
    </row>
    <row r="2819" spans="1:1">
      <c r="A2819" s="149" t="s">
        <v>4795</v>
      </c>
    </row>
    <row r="2820" spans="1:1">
      <c r="A2820" s="149" t="s">
        <v>4796</v>
      </c>
    </row>
    <row r="2821" spans="1:1">
      <c r="A2821" s="149" t="s">
        <v>4797</v>
      </c>
    </row>
    <row r="2822" spans="1:1">
      <c r="A2822" s="149" t="s">
        <v>4798</v>
      </c>
    </row>
    <row r="2823" spans="1:1">
      <c r="A2823" s="149" t="s">
        <v>4799</v>
      </c>
    </row>
    <row r="2824" spans="1:1">
      <c r="A2824" s="149" t="s">
        <v>4800</v>
      </c>
    </row>
    <row r="2825" spans="1:1">
      <c r="A2825" s="149" t="s">
        <v>4801</v>
      </c>
    </row>
    <row r="2826" spans="1:1">
      <c r="A2826" s="149" t="s">
        <v>4802</v>
      </c>
    </row>
    <row r="2827" spans="1:1">
      <c r="A2827" s="149" t="s">
        <v>4803</v>
      </c>
    </row>
    <row r="2828" spans="1:1">
      <c r="A2828" s="149" t="s">
        <v>4804</v>
      </c>
    </row>
    <row r="2829" spans="1:1">
      <c r="A2829" s="149" t="s">
        <v>4805</v>
      </c>
    </row>
    <row r="2830" spans="1:1">
      <c r="A2830" s="149" t="s">
        <v>4806</v>
      </c>
    </row>
    <row r="2831" spans="1:1">
      <c r="A2831" s="149" t="s">
        <v>4807</v>
      </c>
    </row>
    <row r="2832" spans="1:1">
      <c r="A2832" s="149" t="s">
        <v>4808</v>
      </c>
    </row>
    <row r="2833" spans="1:1">
      <c r="A2833" s="149" t="s">
        <v>4809</v>
      </c>
    </row>
    <row r="2834" spans="1:1">
      <c r="A2834" s="149" t="s">
        <v>4810</v>
      </c>
    </row>
    <row r="2835" spans="1:1">
      <c r="A2835" s="149" t="s">
        <v>4811</v>
      </c>
    </row>
    <row r="2836" spans="1:1">
      <c r="A2836" s="149" t="s">
        <v>4812</v>
      </c>
    </row>
    <row r="2837" spans="1:1">
      <c r="A2837" s="149" t="s">
        <v>4813</v>
      </c>
    </row>
    <row r="2838" spans="1:1">
      <c r="A2838" s="149" t="s">
        <v>4814</v>
      </c>
    </row>
    <row r="2839" spans="1:1">
      <c r="A2839" s="149" t="s">
        <v>4815</v>
      </c>
    </row>
    <row r="2840" spans="1:1">
      <c r="A2840" s="149" t="s">
        <v>4816</v>
      </c>
    </row>
    <row r="2841" spans="1:1">
      <c r="A2841" s="149" t="s">
        <v>4817</v>
      </c>
    </row>
    <row r="2842" spans="1:1">
      <c r="A2842" s="149" t="s">
        <v>4818</v>
      </c>
    </row>
    <row r="2843" spans="1:1">
      <c r="A2843" s="149" t="s">
        <v>4819</v>
      </c>
    </row>
    <row r="2844" spans="1:1">
      <c r="A2844" s="149" t="s">
        <v>4820</v>
      </c>
    </row>
    <row r="2845" spans="1:1">
      <c r="A2845" s="149" t="s">
        <v>4821</v>
      </c>
    </row>
    <row r="2846" spans="1:1">
      <c r="A2846" s="149" t="s">
        <v>4822</v>
      </c>
    </row>
    <row r="2847" spans="1:1">
      <c r="A2847" s="149" t="s">
        <v>4823</v>
      </c>
    </row>
    <row r="2848" spans="1:1">
      <c r="A2848" s="149" t="s">
        <v>4824</v>
      </c>
    </row>
    <row r="2849" spans="1:1">
      <c r="A2849" s="149" t="s">
        <v>4825</v>
      </c>
    </row>
    <row r="2850" spans="1:1">
      <c r="A2850" s="149" t="s">
        <v>4826</v>
      </c>
    </row>
    <row r="2851" spans="1:1">
      <c r="A2851" s="149" t="s">
        <v>4827</v>
      </c>
    </row>
    <row r="2852" spans="1:1">
      <c r="A2852" s="149" t="s">
        <v>4828</v>
      </c>
    </row>
    <row r="2853" spans="1:1">
      <c r="A2853" s="149" t="s">
        <v>4829</v>
      </c>
    </row>
    <row r="2854" spans="1:1">
      <c r="A2854" s="149" t="s">
        <v>4830</v>
      </c>
    </row>
    <row r="2855" spans="1:1">
      <c r="A2855" s="149" t="s">
        <v>4831</v>
      </c>
    </row>
    <row r="2856" spans="1:1">
      <c r="A2856" s="149" t="s">
        <v>4832</v>
      </c>
    </row>
    <row r="2857" spans="1:1">
      <c r="A2857" s="149" t="s">
        <v>4833</v>
      </c>
    </row>
    <row r="2858" spans="1:1">
      <c r="A2858" s="149" t="s">
        <v>4834</v>
      </c>
    </row>
    <row r="2859" spans="1:1">
      <c r="A2859" s="149" t="s">
        <v>4835</v>
      </c>
    </row>
    <row r="2860" spans="1:1">
      <c r="A2860" s="149" t="s">
        <v>4836</v>
      </c>
    </row>
    <row r="2861" spans="1:1">
      <c r="A2861" s="149" t="s">
        <v>4837</v>
      </c>
    </row>
    <row r="2862" spans="1:1">
      <c r="A2862" s="149" t="s">
        <v>4838</v>
      </c>
    </row>
    <row r="2863" spans="1:1">
      <c r="A2863" s="149" t="s">
        <v>4839</v>
      </c>
    </row>
    <row r="2864" spans="1:1">
      <c r="A2864" s="149" t="s">
        <v>4840</v>
      </c>
    </row>
    <row r="2865" spans="1:1">
      <c r="A2865" s="149" t="s">
        <v>4841</v>
      </c>
    </row>
    <row r="2866" spans="1:1">
      <c r="A2866" s="149" t="s">
        <v>4842</v>
      </c>
    </row>
    <row r="2867" spans="1:1">
      <c r="A2867" s="149" t="s">
        <v>4843</v>
      </c>
    </row>
    <row r="2868" spans="1:1">
      <c r="A2868" s="149" t="s">
        <v>4844</v>
      </c>
    </row>
    <row r="2869" spans="1:1">
      <c r="A2869" s="149" t="s">
        <v>4845</v>
      </c>
    </row>
    <row r="2870" spans="1:1">
      <c r="A2870" s="149" t="s">
        <v>4846</v>
      </c>
    </row>
    <row r="2871" spans="1:1">
      <c r="A2871" s="149" t="s">
        <v>4847</v>
      </c>
    </row>
    <row r="2872" spans="1:1">
      <c r="A2872" s="149" t="s">
        <v>4848</v>
      </c>
    </row>
    <row r="2873" spans="1:1">
      <c r="A2873" s="149" t="s">
        <v>4849</v>
      </c>
    </row>
    <row r="2874" spans="1:1">
      <c r="A2874" s="149" t="s">
        <v>4850</v>
      </c>
    </row>
    <row r="2875" spans="1:1">
      <c r="A2875" s="149" t="s">
        <v>4851</v>
      </c>
    </row>
    <row r="2876" spans="1:1">
      <c r="A2876" s="149" t="s">
        <v>4852</v>
      </c>
    </row>
    <row r="2877" spans="1:1">
      <c r="A2877" s="149" t="s">
        <v>4853</v>
      </c>
    </row>
    <row r="2878" spans="1:1">
      <c r="A2878" s="149" t="s">
        <v>4854</v>
      </c>
    </row>
    <row r="2879" spans="1:1">
      <c r="A2879" s="149" t="s">
        <v>4855</v>
      </c>
    </row>
    <row r="2880" spans="1:1">
      <c r="A2880" s="149" t="s">
        <v>4856</v>
      </c>
    </row>
    <row r="2881" spans="1:1">
      <c r="A2881" s="149" t="s">
        <v>4857</v>
      </c>
    </row>
    <row r="2882" spans="1:1">
      <c r="A2882" s="149" t="s">
        <v>4858</v>
      </c>
    </row>
    <row r="2883" spans="1:1">
      <c r="A2883" s="149" t="s">
        <v>4859</v>
      </c>
    </row>
    <row r="2884" spans="1:1">
      <c r="A2884" s="149" t="s">
        <v>4860</v>
      </c>
    </row>
    <row r="2885" spans="1:1">
      <c r="A2885" s="149" t="s">
        <v>4861</v>
      </c>
    </row>
    <row r="2886" spans="1:1">
      <c r="A2886" s="149" t="s">
        <v>4862</v>
      </c>
    </row>
    <row r="2887" spans="1:1">
      <c r="A2887" s="149" t="s">
        <v>4863</v>
      </c>
    </row>
    <row r="2888" spans="1:1">
      <c r="A2888" s="149" t="s">
        <v>4864</v>
      </c>
    </row>
    <row r="2889" spans="1:1">
      <c r="A2889" s="149" t="s">
        <v>4865</v>
      </c>
    </row>
    <row r="2890" spans="1:1">
      <c r="A2890" s="149" t="s">
        <v>4866</v>
      </c>
    </row>
    <row r="2891" spans="1:1">
      <c r="A2891" s="149" t="s">
        <v>4867</v>
      </c>
    </row>
    <row r="2892" spans="1:1">
      <c r="A2892" s="149" t="s">
        <v>4868</v>
      </c>
    </row>
    <row r="2893" spans="1:1">
      <c r="A2893" s="149" t="s">
        <v>4869</v>
      </c>
    </row>
    <row r="2894" spans="1:1">
      <c r="A2894" s="149" t="s">
        <v>4870</v>
      </c>
    </row>
    <row r="2895" spans="1:1">
      <c r="A2895" s="149" t="s">
        <v>4871</v>
      </c>
    </row>
    <row r="2896" spans="1:1">
      <c r="A2896" s="149" t="s">
        <v>4872</v>
      </c>
    </row>
    <row r="2897" spans="1:1">
      <c r="A2897" s="149" t="s">
        <v>4873</v>
      </c>
    </row>
    <row r="2898" spans="1:1">
      <c r="A2898" s="149" t="s">
        <v>4874</v>
      </c>
    </row>
    <row r="2899" spans="1:1">
      <c r="A2899" s="149" t="s">
        <v>4875</v>
      </c>
    </row>
    <row r="2900" spans="1:1">
      <c r="A2900" s="149" t="s">
        <v>4876</v>
      </c>
    </row>
    <row r="2901" spans="1:1">
      <c r="A2901" s="149" t="s">
        <v>4877</v>
      </c>
    </row>
    <row r="2902" spans="1:1">
      <c r="A2902" s="149" t="s">
        <v>4878</v>
      </c>
    </row>
    <row r="2903" spans="1:1">
      <c r="A2903" s="149" t="s">
        <v>4879</v>
      </c>
    </row>
    <row r="2904" spans="1:1">
      <c r="A2904" s="149" t="s">
        <v>4880</v>
      </c>
    </row>
    <row r="2905" spans="1:1">
      <c r="A2905" s="149" t="s">
        <v>4881</v>
      </c>
    </row>
    <row r="2906" spans="1:1">
      <c r="A2906" s="149" t="s">
        <v>4882</v>
      </c>
    </row>
    <row r="2907" spans="1:1">
      <c r="A2907" s="149" t="s">
        <v>4883</v>
      </c>
    </row>
    <row r="2908" spans="1:1">
      <c r="A2908" s="149" t="s">
        <v>4884</v>
      </c>
    </row>
    <row r="2909" spans="1:1">
      <c r="A2909" s="149" t="s">
        <v>4885</v>
      </c>
    </row>
    <row r="2910" spans="1:1">
      <c r="A2910" s="149" t="s">
        <v>4886</v>
      </c>
    </row>
    <row r="2911" spans="1:1">
      <c r="A2911" s="149" t="s">
        <v>4887</v>
      </c>
    </row>
    <row r="2912" spans="1:1">
      <c r="A2912" s="149" t="s">
        <v>4888</v>
      </c>
    </row>
    <row r="2913" spans="1:1">
      <c r="A2913" s="149" t="s">
        <v>4889</v>
      </c>
    </row>
    <row r="2914" spans="1:1">
      <c r="A2914" s="149" t="s">
        <v>4890</v>
      </c>
    </row>
    <row r="2915" spans="1:1">
      <c r="A2915" s="149" t="s">
        <v>4891</v>
      </c>
    </row>
    <row r="2916" spans="1:1">
      <c r="A2916" s="149" t="s">
        <v>4892</v>
      </c>
    </row>
    <row r="2917" spans="1:1">
      <c r="A2917" s="149" t="s">
        <v>4893</v>
      </c>
    </row>
    <row r="2918" spans="1:1">
      <c r="A2918" s="149" t="s">
        <v>4894</v>
      </c>
    </row>
    <row r="2919" spans="1:1">
      <c r="A2919" s="149" t="s">
        <v>4895</v>
      </c>
    </row>
    <row r="2920" spans="1:1">
      <c r="A2920" s="149" t="s">
        <v>4896</v>
      </c>
    </row>
    <row r="2921" spans="1:1">
      <c r="A2921" s="149" t="s">
        <v>4897</v>
      </c>
    </row>
    <row r="2922" spans="1:1">
      <c r="A2922" s="149" t="s">
        <v>4898</v>
      </c>
    </row>
    <row r="2923" spans="1:1">
      <c r="A2923" s="149" t="s">
        <v>4899</v>
      </c>
    </row>
    <row r="2924" spans="1:1">
      <c r="A2924" s="149" t="s">
        <v>4900</v>
      </c>
    </row>
    <row r="2925" spans="1:1">
      <c r="A2925" s="149" t="s">
        <v>4901</v>
      </c>
    </row>
    <row r="2926" spans="1:1">
      <c r="A2926" s="149" t="s">
        <v>4902</v>
      </c>
    </row>
    <row r="2927" spans="1:1">
      <c r="A2927" s="149" t="s">
        <v>4903</v>
      </c>
    </row>
    <row r="2928" spans="1:1">
      <c r="A2928" s="149" t="s">
        <v>4904</v>
      </c>
    </row>
    <row r="2929" spans="1:1">
      <c r="A2929" s="149" t="s">
        <v>4905</v>
      </c>
    </row>
    <row r="2930" spans="1:1">
      <c r="A2930" s="149" t="s">
        <v>4906</v>
      </c>
    </row>
    <row r="2931" spans="1:1">
      <c r="A2931" s="149" t="s">
        <v>4907</v>
      </c>
    </row>
    <row r="2932" spans="1:1">
      <c r="A2932" s="149" t="s">
        <v>4908</v>
      </c>
    </row>
    <row r="2933" spans="1:1">
      <c r="A2933" s="149" t="s">
        <v>4909</v>
      </c>
    </row>
    <row r="2934" spans="1:1">
      <c r="A2934" s="149" t="s">
        <v>4910</v>
      </c>
    </row>
    <row r="2935" spans="1:1">
      <c r="A2935" s="149" t="s">
        <v>4911</v>
      </c>
    </row>
    <row r="2936" spans="1:1">
      <c r="A2936" s="149" t="s">
        <v>4912</v>
      </c>
    </row>
    <row r="2937" spans="1:1">
      <c r="A2937" s="149" t="s">
        <v>4913</v>
      </c>
    </row>
    <row r="2938" spans="1:1">
      <c r="A2938" s="149" t="s">
        <v>4914</v>
      </c>
    </row>
    <row r="2939" spans="1:1">
      <c r="A2939" s="149" t="s">
        <v>4915</v>
      </c>
    </row>
    <row r="2940" spans="1:1">
      <c r="A2940" s="149" t="s">
        <v>4916</v>
      </c>
    </row>
    <row r="2941" spans="1:1">
      <c r="A2941" s="149" t="s">
        <v>4917</v>
      </c>
    </row>
    <row r="2942" spans="1:1">
      <c r="A2942" s="149" t="s">
        <v>4918</v>
      </c>
    </row>
    <row r="2943" spans="1:1">
      <c r="A2943" s="149" t="s">
        <v>4919</v>
      </c>
    </row>
    <row r="2944" spans="1:1">
      <c r="A2944" s="149" t="s">
        <v>4920</v>
      </c>
    </row>
    <row r="2945" spans="1:1">
      <c r="A2945" s="149" t="s">
        <v>4921</v>
      </c>
    </row>
    <row r="2946" spans="1:1">
      <c r="A2946" s="149" t="s">
        <v>4922</v>
      </c>
    </row>
    <row r="2947" spans="1:1">
      <c r="A2947" s="149" t="s">
        <v>4923</v>
      </c>
    </row>
    <row r="2948" spans="1:1">
      <c r="A2948" s="149" t="s">
        <v>4924</v>
      </c>
    </row>
    <row r="2949" spans="1:1">
      <c r="A2949" s="149" t="s">
        <v>4925</v>
      </c>
    </row>
    <row r="2950" spans="1:1">
      <c r="A2950" s="149" t="s">
        <v>4926</v>
      </c>
    </row>
    <row r="2951" spans="1:1">
      <c r="A2951" s="149" t="s">
        <v>4927</v>
      </c>
    </row>
    <row r="2952" spans="1:1">
      <c r="A2952" s="149" t="s">
        <v>4928</v>
      </c>
    </row>
    <row r="2953" spans="1:1">
      <c r="A2953" s="149" t="s">
        <v>4929</v>
      </c>
    </row>
    <row r="2954" spans="1:1">
      <c r="A2954" s="149" t="s">
        <v>4930</v>
      </c>
    </row>
    <row r="2955" spans="1:1">
      <c r="A2955" s="149" t="s">
        <v>4931</v>
      </c>
    </row>
    <row r="2956" spans="1:1">
      <c r="A2956" s="149" t="s">
        <v>4932</v>
      </c>
    </row>
    <row r="2957" spans="1:1">
      <c r="A2957" s="149" t="s">
        <v>4933</v>
      </c>
    </row>
    <row r="2958" spans="1:1">
      <c r="A2958" s="149" t="s">
        <v>4934</v>
      </c>
    </row>
    <row r="2959" spans="1:1">
      <c r="A2959" s="149" t="s">
        <v>4935</v>
      </c>
    </row>
    <row r="2960" spans="1:1">
      <c r="A2960" s="149" t="s">
        <v>4936</v>
      </c>
    </row>
    <row r="2961" spans="1:1">
      <c r="A2961" s="149" t="s">
        <v>4937</v>
      </c>
    </row>
    <row r="2962" spans="1:1">
      <c r="A2962" s="149" t="s">
        <v>4938</v>
      </c>
    </row>
    <row r="2963" spans="1:1">
      <c r="A2963" s="149" t="s">
        <v>4939</v>
      </c>
    </row>
    <row r="2964" spans="1:1">
      <c r="A2964" s="149" t="s">
        <v>4940</v>
      </c>
    </row>
    <row r="2965" spans="1:1">
      <c r="A2965" s="149" t="s">
        <v>4941</v>
      </c>
    </row>
    <row r="2966" spans="1:1">
      <c r="A2966" s="149" t="s">
        <v>4942</v>
      </c>
    </row>
    <row r="2967" spans="1:1">
      <c r="A2967" s="149" t="s">
        <v>4943</v>
      </c>
    </row>
    <row r="2968" spans="1:1">
      <c r="A2968" s="149" t="s">
        <v>4944</v>
      </c>
    </row>
    <row r="2969" spans="1:1">
      <c r="A2969" s="149" t="s">
        <v>4945</v>
      </c>
    </row>
    <row r="2970" spans="1:1">
      <c r="A2970" s="149" t="s">
        <v>4946</v>
      </c>
    </row>
    <row r="2971" spans="1:1">
      <c r="A2971" s="149" t="s">
        <v>4947</v>
      </c>
    </row>
    <row r="2972" spans="1:1">
      <c r="A2972" s="149" t="s">
        <v>4948</v>
      </c>
    </row>
    <row r="2973" spans="1:1">
      <c r="A2973" s="149" t="s">
        <v>4949</v>
      </c>
    </row>
    <row r="2974" spans="1:1">
      <c r="A2974" s="149" t="s">
        <v>4950</v>
      </c>
    </row>
    <row r="2975" spans="1:1">
      <c r="A2975" s="149" t="s">
        <v>4951</v>
      </c>
    </row>
    <row r="2976" spans="1:1">
      <c r="A2976" s="149" t="s">
        <v>4952</v>
      </c>
    </row>
    <row r="2977" spans="1:1">
      <c r="A2977" s="149" t="s">
        <v>4953</v>
      </c>
    </row>
    <row r="2978" spans="1:1">
      <c r="A2978" s="149" t="s">
        <v>4954</v>
      </c>
    </row>
    <row r="2979" spans="1:1">
      <c r="A2979" s="149" t="s">
        <v>4955</v>
      </c>
    </row>
    <row r="2980" spans="1:1">
      <c r="A2980" s="149" t="s">
        <v>4956</v>
      </c>
    </row>
    <row r="2981" spans="1:1">
      <c r="A2981" s="149" t="s">
        <v>4957</v>
      </c>
    </row>
    <row r="2982" spans="1:1">
      <c r="A2982" s="149" t="s">
        <v>4958</v>
      </c>
    </row>
    <row r="2983" spans="1:1">
      <c r="A2983" s="149" t="s">
        <v>4959</v>
      </c>
    </row>
    <row r="2984" spans="1:1">
      <c r="A2984" s="149" t="s">
        <v>4960</v>
      </c>
    </row>
    <row r="2985" spans="1:1">
      <c r="A2985" s="149" t="s">
        <v>4961</v>
      </c>
    </row>
    <row r="2986" spans="1:1">
      <c r="A2986" s="149" t="s">
        <v>4962</v>
      </c>
    </row>
    <row r="2987" spans="1:1">
      <c r="A2987" s="149" t="s">
        <v>4963</v>
      </c>
    </row>
    <row r="2988" spans="1:1">
      <c r="A2988" s="149" t="s">
        <v>4964</v>
      </c>
    </row>
    <row r="2989" spans="1:1">
      <c r="A2989" s="149" t="s">
        <v>4965</v>
      </c>
    </row>
    <row r="2990" spans="1:1">
      <c r="A2990" s="149" t="s">
        <v>4966</v>
      </c>
    </row>
    <row r="2991" spans="1:1">
      <c r="A2991" s="149" t="s">
        <v>4967</v>
      </c>
    </row>
    <row r="2992" spans="1:1">
      <c r="A2992" s="149" t="s">
        <v>4968</v>
      </c>
    </row>
    <row r="2993" spans="1:1">
      <c r="A2993" s="149" t="s">
        <v>4969</v>
      </c>
    </row>
    <row r="2994" spans="1:1">
      <c r="A2994" s="149" t="s">
        <v>4970</v>
      </c>
    </row>
    <row r="2995" spans="1:1">
      <c r="A2995" s="149" t="s">
        <v>4971</v>
      </c>
    </row>
    <row r="2996" spans="1:1">
      <c r="A2996" s="149" t="s">
        <v>4972</v>
      </c>
    </row>
    <row r="2997" spans="1:1">
      <c r="A2997" s="149" t="s">
        <v>4973</v>
      </c>
    </row>
    <row r="2998" spans="1:1">
      <c r="A2998" s="149" t="s">
        <v>4974</v>
      </c>
    </row>
    <row r="2999" spans="1:1">
      <c r="A2999" s="149" t="s">
        <v>4975</v>
      </c>
    </row>
    <row r="3000" spans="1:1">
      <c r="A3000" s="149" t="s">
        <v>4976</v>
      </c>
    </row>
    <row r="3001" spans="1:1">
      <c r="A3001" s="149" t="s">
        <v>4977</v>
      </c>
    </row>
    <row r="3002" spans="1:1">
      <c r="A3002" s="149" t="s">
        <v>4978</v>
      </c>
    </row>
    <row r="3003" spans="1:1">
      <c r="A3003" s="149" t="s">
        <v>4979</v>
      </c>
    </row>
    <row r="3004" spans="1:1">
      <c r="A3004" s="149" t="s">
        <v>4980</v>
      </c>
    </row>
    <row r="3005" spans="1:1">
      <c r="A3005" s="149" t="s">
        <v>4981</v>
      </c>
    </row>
    <row r="3006" spans="1:1">
      <c r="A3006" s="149" t="s">
        <v>4982</v>
      </c>
    </row>
    <row r="3007" spans="1:1">
      <c r="A3007" s="149" t="s">
        <v>4983</v>
      </c>
    </row>
    <row r="3008" spans="1:1">
      <c r="A3008" s="149" t="s">
        <v>4984</v>
      </c>
    </row>
    <row r="3009" spans="1:1">
      <c r="A3009" s="149" t="s">
        <v>4985</v>
      </c>
    </row>
    <row r="3010" spans="1:1">
      <c r="A3010" s="149" t="s">
        <v>4986</v>
      </c>
    </row>
    <row r="3011" spans="1:1">
      <c r="A3011" s="149" t="s">
        <v>4987</v>
      </c>
    </row>
    <row r="3012" spans="1:1">
      <c r="A3012" s="149" t="s">
        <v>4988</v>
      </c>
    </row>
    <row r="3013" spans="1:1">
      <c r="A3013" s="149" t="s">
        <v>4989</v>
      </c>
    </row>
    <row r="3014" spans="1:1">
      <c r="A3014" s="149" t="s">
        <v>4990</v>
      </c>
    </row>
    <row r="3015" spans="1:1">
      <c r="A3015" s="149" t="s">
        <v>4991</v>
      </c>
    </row>
    <row r="3016" spans="1:1">
      <c r="A3016" s="149" t="s">
        <v>4992</v>
      </c>
    </row>
    <row r="3017" spans="1:1">
      <c r="A3017" s="149" t="s">
        <v>4993</v>
      </c>
    </row>
    <row r="3018" spans="1:1">
      <c r="A3018" s="149" t="s">
        <v>4994</v>
      </c>
    </row>
    <row r="3019" spans="1:1">
      <c r="A3019" s="149" t="s">
        <v>4995</v>
      </c>
    </row>
    <row r="3020" spans="1:1">
      <c r="A3020" s="149" t="s">
        <v>4996</v>
      </c>
    </row>
    <row r="3021" spans="1:1">
      <c r="A3021" s="149" t="s">
        <v>4997</v>
      </c>
    </row>
    <row r="3022" spans="1:1">
      <c r="A3022" s="149" t="s">
        <v>4998</v>
      </c>
    </row>
    <row r="3023" spans="1:1">
      <c r="A3023" s="149" t="s">
        <v>4999</v>
      </c>
    </row>
    <row r="3024" spans="1:1">
      <c r="A3024" s="149" t="s">
        <v>5000</v>
      </c>
    </row>
    <row r="3025" spans="1:1">
      <c r="A3025" s="149" t="s">
        <v>5001</v>
      </c>
    </row>
    <row r="3026" spans="1:1">
      <c r="A3026" s="149" t="s">
        <v>5002</v>
      </c>
    </row>
    <row r="3027" spans="1:1">
      <c r="A3027" s="149" t="s">
        <v>5003</v>
      </c>
    </row>
    <row r="3028" spans="1:1">
      <c r="A3028" s="149" t="s">
        <v>5004</v>
      </c>
    </row>
    <row r="3029" spans="1:1">
      <c r="A3029" s="149" t="s">
        <v>5005</v>
      </c>
    </row>
    <row r="3030" spans="1:1">
      <c r="A3030" s="149" t="s">
        <v>5006</v>
      </c>
    </row>
    <row r="3031" spans="1:1">
      <c r="A3031" s="149" t="s">
        <v>5007</v>
      </c>
    </row>
    <row r="3032" spans="1:1">
      <c r="A3032" s="149" t="s">
        <v>5008</v>
      </c>
    </row>
    <row r="3033" spans="1:1">
      <c r="A3033" s="149" t="s">
        <v>5009</v>
      </c>
    </row>
    <row r="3034" spans="1:1">
      <c r="A3034" s="149" t="s">
        <v>5010</v>
      </c>
    </row>
    <row r="3035" spans="1:1">
      <c r="A3035" s="149" t="s">
        <v>5011</v>
      </c>
    </row>
    <row r="3036" spans="1:1">
      <c r="A3036" s="149" t="s">
        <v>5012</v>
      </c>
    </row>
    <row r="3037" spans="1:1">
      <c r="A3037" s="149" t="s">
        <v>5013</v>
      </c>
    </row>
    <row r="3038" spans="1:1">
      <c r="A3038" s="149" t="s">
        <v>5014</v>
      </c>
    </row>
    <row r="3039" spans="1:1">
      <c r="A3039" s="149" t="s">
        <v>5015</v>
      </c>
    </row>
    <row r="3040" spans="1:1">
      <c r="A3040" s="149" t="s">
        <v>5016</v>
      </c>
    </row>
    <row r="3041" spans="1:1">
      <c r="A3041" s="149" t="s">
        <v>5017</v>
      </c>
    </row>
    <row r="3042" spans="1:1">
      <c r="A3042" s="149" t="s">
        <v>5018</v>
      </c>
    </row>
    <row r="3043" spans="1:1">
      <c r="A3043" s="149" t="s">
        <v>5019</v>
      </c>
    </row>
    <row r="3044" spans="1:1">
      <c r="A3044" s="149" t="s">
        <v>5020</v>
      </c>
    </row>
    <row r="3045" spans="1:1">
      <c r="A3045" s="149" t="s">
        <v>5021</v>
      </c>
    </row>
    <row r="3046" spans="1:1">
      <c r="A3046" s="149" t="s">
        <v>5022</v>
      </c>
    </row>
    <row r="3047" spans="1:1">
      <c r="A3047" s="149" t="s">
        <v>5023</v>
      </c>
    </row>
    <row r="3048" spans="1:1">
      <c r="A3048" s="149" t="s">
        <v>5024</v>
      </c>
    </row>
    <row r="3049" spans="1:1">
      <c r="A3049" s="149" t="s">
        <v>5025</v>
      </c>
    </row>
    <row r="3050" spans="1:1">
      <c r="A3050" s="149" t="s">
        <v>5026</v>
      </c>
    </row>
    <row r="3051" spans="1:1">
      <c r="A3051" s="149" t="s">
        <v>5027</v>
      </c>
    </row>
    <row r="3052" spans="1:1">
      <c r="A3052" s="149" t="s">
        <v>5028</v>
      </c>
    </row>
    <row r="3053" spans="1:1">
      <c r="A3053" s="149" t="s">
        <v>5029</v>
      </c>
    </row>
    <row r="3054" spans="1:1">
      <c r="A3054" s="149" t="s">
        <v>5030</v>
      </c>
    </row>
    <row r="3055" spans="1:1">
      <c r="A3055" s="149" t="s">
        <v>5031</v>
      </c>
    </row>
    <row r="3056" spans="1:1">
      <c r="A3056" s="149" t="s">
        <v>5032</v>
      </c>
    </row>
    <row r="3057" spans="1:1">
      <c r="A3057" s="149" t="s">
        <v>5033</v>
      </c>
    </row>
    <row r="3058" spans="1:1">
      <c r="A3058" s="149" t="s">
        <v>5034</v>
      </c>
    </row>
    <row r="3059" spans="1:1">
      <c r="A3059" s="149" t="s">
        <v>5035</v>
      </c>
    </row>
    <row r="3060" spans="1:1">
      <c r="A3060" s="149" t="s">
        <v>5036</v>
      </c>
    </row>
    <row r="3061" spans="1:1">
      <c r="A3061" s="149" t="s">
        <v>5037</v>
      </c>
    </row>
    <row r="3062" spans="1:1">
      <c r="A3062" s="149" t="s">
        <v>5038</v>
      </c>
    </row>
    <row r="3063" spans="1:1">
      <c r="A3063" s="149" t="s">
        <v>5039</v>
      </c>
    </row>
    <row r="3064" spans="1:1">
      <c r="A3064" s="149" t="s">
        <v>5040</v>
      </c>
    </row>
    <row r="3065" spans="1:1">
      <c r="A3065" s="149" t="s">
        <v>5041</v>
      </c>
    </row>
    <row r="3066" spans="1:1">
      <c r="A3066" s="149" t="s">
        <v>5042</v>
      </c>
    </row>
    <row r="3067" spans="1:1">
      <c r="A3067" s="149" t="s">
        <v>5043</v>
      </c>
    </row>
    <row r="3068" spans="1:1">
      <c r="A3068" s="149" t="s">
        <v>5044</v>
      </c>
    </row>
    <row r="3069" spans="1:1">
      <c r="A3069" s="149" t="s">
        <v>5045</v>
      </c>
    </row>
    <row r="3070" spans="1:1">
      <c r="A3070" s="149" t="s">
        <v>5046</v>
      </c>
    </row>
    <row r="3071" spans="1:1">
      <c r="A3071" s="149" t="s">
        <v>5047</v>
      </c>
    </row>
    <row r="3072" spans="1:1">
      <c r="A3072" s="149" t="s">
        <v>5048</v>
      </c>
    </row>
    <row r="3073" spans="1:1">
      <c r="A3073" s="149" t="s">
        <v>5049</v>
      </c>
    </row>
    <row r="3074" spans="1:1">
      <c r="A3074" s="149" t="s">
        <v>5050</v>
      </c>
    </row>
    <row r="3075" spans="1:1">
      <c r="A3075" s="149" t="s">
        <v>5051</v>
      </c>
    </row>
    <row r="3076" spans="1:1">
      <c r="A3076" s="149" t="s">
        <v>5052</v>
      </c>
    </row>
    <row r="3077" spans="1:1">
      <c r="A3077" s="149" t="s">
        <v>5053</v>
      </c>
    </row>
    <row r="3078" spans="1:1">
      <c r="A3078" s="149" t="s">
        <v>5054</v>
      </c>
    </row>
    <row r="3079" spans="1:1">
      <c r="A3079" s="149" t="s">
        <v>5055</v>
      </c>
    </row>
    <row r="3080" spans="1:1">
      <c r="A3080" s="149" t="s">
        <v>5056</v>
      </c>
    </row>
    <row r="3081" spans="1:1">
      <c r="A3081" s="149" t="s">
        <v>5057</v>
      </c>
    </row>
    <row r="3082" spans="1:1">
      <c r="A3082" s="149" t="s">
        <v>5058</v>
      </c>
    </row>
    <row r="3083" spans="1:1">
      <c r="A3083" s="149" t="s">
        <v>5059</v>
      </c>
    </row>
    <row r="3084" spans="1:1">
      <c r="A3084" s="149" t="s">
        <v>5060</v>
      </c>
    </row>
    <row r="3085" spans="1:1">
      <c r="A3085" s="149" t="s">
        <v>5061</v>
      </c>
    </row>
    <row r="3086" spans="1:1">
      <c r="A3086" s="149" t="s">
        <v>5062</v>
      </c>
    </row>
    <row r="3087" spans="1:1">
      <c r="A3087" s="149" t="s">
        <v>5063</v>
      </c>
    </row>
    <row r="3088" spans="1:1">
      <c r="A3088" s="149" t="s">
        <v>5064</v>
      </c>
    </row>
    <row r="3089" spans="1:1">
      <c r="A3089" s="149" t="s">
        <v>5065</v>
      </c>
    </row>
    <row r="3090" spans="1:1">
      <c r="A3090" s="149" t="s">
        <v>5066</v>
      </c>
    </row>
    <row r="3091" spans="1:1">
      <c r="A3091" s="149" t="s">
        <v>5067</v>
      </c>
    </row>
    <row r="3092" spans="1:1">
      <c r="A3092" s="149" t="s">
        <v>5068</v>
      </c>
    </row>
    <row r="3093" spans="1:1">
      <c r="A3093" s="149" t="s">
        <v>5069</v>
      </c>
    </row>
    <row r="3094" spans="1:1">
      <c r="A3094" s="149" t="s">
        <v>5070</v>
      </c>
    </row>
    <row r="3095" spans="1:1">
      <c r="A3095" s="149" t="s">
        <v>5071</v>
      </c>
    </row>
    <row r="3096" spans="1:1">
      <c r="A3096" s="149" t="s">
        <v>5072</v>
      </c>
    </row>
    <row r="3097" spans="1:1">
      <c r="A3097" s="149" t="s">
        <v>5073</v>
      </c>
    </row>
    <row r="3098" spans="1:1">
      <c r="A3098" s="149" t="s">
        <v>5074</v>
      </c>
    </row>
    <row r="3099" spans="1:1">
      <c r="A3099" s="149" t="s">
        <v>5075</v>
      </c>
    </row>
    <row r="3100" spans="1:1">
      <c r="A3100" s="149" t="s">
        <v>5076</v>
      </c>
    </row>
    <row r="3101" spans="1:1">
      <c r="A3101" s="149" t="s">
        <v>5077</v>
      </c>
    </row>
    <row r="3102" spans="1:1">
      <c r="A3102" s="149" t="s">
        <v>5078</v>
      </c>
    </row>
    <row r="3103" spans="1:1">
      <c r="A3103" s="149" t="s">
        <v>5079</v>
      </c>
    </row>
    <row r="3104" spans="1:1">
      <c r="A3104" s="149" t="s">
        <v>5080</v>
      </c>
    </row>
    <row r="3105" spans="1:1">
      <c r="A3105" s="149" t="s">
        <v>5081</v>
      </c>
    </row>
    <row r="3106" spans="1:1">
      <c r="A3106" s="149" t="s">
        <v>5082</v>
      </c>
    </row>
    <row r="3107" spans="1:1">
      <c r="A3107" s="149" t="s">
        <v>5083</v>
      </c>
    </row>
    <row r="3108" spans="1:1">
      <c r="A3108" s="149" t="s">
        <v>5084</v>
      </c>
    </row>
    <row r="3109" spans="1:1">
      <c r="A3109" s="149" t="s">
        <v>5085</v>
      </c>
    </row>
    <row r="3110" spans="1:1">
      <c r="A3110" s="149" t="s">
        <v>5086</v>
      </c>
    </row>
    <row r="3111" spans="1:1">
      <c r="A3111" s="149" t="s">
        <v>5087</v>
      </c>
    </row>
    <row r="3112" spans="1:1">
      <c r="A3112" s="149" t="s">
        <v>5088</v>
      </c>
    </row>
    <row r="3113" spans="1:1">
      <c r="A3113" s="149" t="s">
        <v>5089</v>
      </c>
    </row>
    <row r="3114" spans="1:1">
      <c r="A3114" s="149" t="s">
        <v>5090</v>
      </c>
    </row>
    <row r="3115" spans="1:1">
      <c r="A3115" s="149" t="s">
        <v>5091</v>
      </c>
    </row>
    <row r="3116" spans="1:1">
      <c r="A3116" s="149" t="s">
        <v>5092</v>
      </c>
    </row>
    <row r="3117" spans="1:1">
      <c r="A3117" s="149" t="s">
        <v>5093</v>
      </c>
    </row>
    <row r="3118" spans="1:1">
      <c r="A3118" s="149" t="s">
        <v>5094</v>
      </c>
    </row>
    <row r="3119" spans="1:1">
      <c r="A3119" s="149" t="s">
        <v>5095</v>
      </c>
    </row>
    <row r="3120" spans="1:1">
      <c r="A3120" s="149" t="s">
        <v>5096</v>
      </c>
    </row>
    <row r="3121" spans="1:1">
      <c r="A3121" s="149" t="s">
        <v>5097</v>
      </c>
    </row>
    <row r="3122" spans="1:1">
      <c r="A3122" s="149" t="s">
        <v>5098</v>
      </c>
    </row>
    <row r="3123" spans="1:1">
      <c r="A3123" s="149" t="s">
        <v>5099</v>
      </c>
    </row>
    <row r="3124" spans="1:1">
      <c r="A3124" s="149" t="s">
        <v>5100</v>
      </c>
    </row>
    <row r="3125" spans="1:1">
      <c r="A3125" s="149" t="s">
        <v>5101</v>
      </c>
    </row>
    <row r="3126" spans="1:1">
      <c r="A3126" s="149" t="s">
        <v>5102</v>
      </c>
    </row>
    <row r="3127" spans="1:1">
      <c r="A3127" s="149" t="s">
        <v>5103</v>
      </c>
    </row>
    <row r="3128" spans="1:1">
      <c r="A3128" s="149" t="s">
        <v>5104</v>
      </c>
    </row>
    <row r="3129" spans="1:1">
      <c r="A3129" s="149" t="s">
        <v>5105</v>
      </c>
    </row>
    <row r="3130" spans="1:1">
      <c r="A3130" s="149" t="s">
        <v>5106</v>
      </c>
    </row>
    <row r="3131" spans="1:1">
      <c r="A3131" s="149" t="s">
        <v>5107</v>
      </c>
    </row>
    <row r="3132" spans="1:1">
      <c r="A3132" s="149" t="s">
        <v>5108</v>
      </c>
    </row>
    <row r="3133" spans="1:1">
      <c r="A3133" s="149" t="s">
        <v>5109</v>
      </c>
    </row>
    <row r="3134" spans="1:1">
      <c r="A3134" s="149" t="s">
        <v>5110</v>
      </c>
    </row>
    <row r="3135" spans="1:1">
      <c r="A3135" s="149" t="s">
        <v>5111</v>
      </c>
    </row>
    <row r="3136" spans="1:1">
      <c r="A3136" s="149" t="s">
        <v>5112</v>
      </c>
    </row>
    <row r="3137" spans="1:1">
      <c r="A3137" s="149" t="s">
        <v>5113</v>
      </c>
    </row>
    <row r="3138" spans="1:1">
      <c r="A3138" s="149" t="s">
        <v>5114</v>
      </c>
    </row>
    <row r="3139" spans="1:1">
      <c r="A3139" s="149" t="s">
        <v>5115</v>
      </c>
    </row>
    <row r="3140" spans="1:1">
      <c r="A3140" s="149" t="s">
        <v>5116</v>
      </c>
    </row>
    <row r="3141" spans="1:1">
      <c r="A3141" s="149" t="s">
        <v>5117</v>
      </c>
    </row>
    <row r="3142" spans="1:1">
      <c r="A3142" s="149" t="s">
        <v>5118</v>
      </c>
    </row>
    <row r="3143" spans="1:1">
      <c r="A3143" s="149" t="s">
        <v>5119</v>
      </c>
    </row>
    <row r="3144" spans="1:1">
      <c r="A3144" s="149" t="s">
        <v>5120</v>
      </c>
    </row>
    <row r="3145" spans="1:1">
      <c r="A3145" s="149" t="s">
        <v>5121</v>
      </c>
    </row>
    <row r="3146" spans="1:1">
      <c r="A3146" s="149" t="s">
        <v>5122</v>
      </c>
    </row>
    <row r="3147" spans="1:1">
      <c r="A3147" s="149" t="s">
        <v>5123</v>
      </c>
    </row>
    <row r="3148" spans="1:1">
      <c r="A3148" s="149" t="s">
        <v>5124</v>
      </c>
    </row>
    <row r="3149" spans="1:1">
      <c r="A3149" s="149" t="s">
        <v>5125</v>
      </c>
    </row>
    <row r="3150" spans="1:1">
      <c r="A3150" s="149" t="s">
        <v>5126</v>
      </c>
    </row>
    <row r="3151" spans="1:1">
      <c r="A3151" s="149" t="s">
        <v>5127</v>
      </c>
    </row>
    <row r="3152" spans="1:1">
      <c r="A3152" s="149" t="s">
        <v>5128</v>
      </c>
    </row>
    <row r="3153" spans="1:1">
      <c r="A3153" s="149" t="s">
        <v>5129</v>
      </c>
    </row>
    <row r="3154" spans="1:1">
      <c r="A3154" s="149" t="s">
        <v>5130</v>
      </c>
    </row>
    <row r="3155" spans="1:1">
      <c r="A3155" s="149" t="s">
        <v>5131</v>
      </c>
    </row>
    <row r="3156" spans="1:1">
      <c r="A3156" s="149" t="s">
        <v>5132</v>
      </c>
    </row>
    <row r="3157" spans="1:1">
      <c r="A3157" s="149" t="s">
        <v>5133</v>
      </c>
    </row>
    <row r="3158" spans="1:1">
      <c r="A3158" s="149" t="s">
        <v>5134</v>
      </c>
    </row>
    <row r="3159" spans="1:1">
      <c r="A3159" s="149" t="s">
        <v>5135</v>
      </c>
    </row>
    <row r="3160" spans="1:1">
      <c r="A3160" s="149" t="s">
        <v>5136</v>
      </c>
    </row>
    <row r="3161" spans="1:1">
      <c r="A3161" s="149" t="s">
        <v>5137</v>
      </c>
    </row>
    <row r="3162" spans="1:1">
      <c r="A3162" s="149" t="s">
        <v>5138</v>
      </c>
    </row>
    <row r="3163" spans="1:1">
      <c r="A3163" s="149" t="s">
        <v>5139</v>
      </c>
    </row>
    <row r="3164" spans="1:1">
      <c r="A3164" s="149" t="s">
        <v>5140</v>
      </c>
    </row>
    <row r="3165" spans="1:1">
      <c r="A3165" s="149" t="s">
        <v>5141</v>
      </c>
    </row>
    <row r="3166" spans="1:1">
      <c r="A3166" s="149" t="s">
        <v>5142</v>
      </c>
    </row>
    <row r="3167" spans="1:1">
      <c r="A3167" s="149" t="s">
        <v>5143</v>
      </c>
    </row>
    <row r="3168" spans="1:1">
      <c r="A3168" s="149" t="s">
        <v>5144</v>
      </c>
    </row>
    <row r="3169" spans="1:1">
      <c r="A3169" s="149" t="s">
        <v>5145</v>
      </c>
    </row>
    <row r="3170" spans="1:1">
      <c r="A3170" s="149" t="s">
        <v>5146</v>
      </c>
    </row>
    <row r="3171" spans="1:1">
      <c r="A3171" s="149" t="s">
        <v>5147</v>
      </c>
    </row>
    <row r="3172" spans="1:1">
      <c r="A3172" s="149" t="s">
        <v>5148</v>
      </c>
    </row>
    <row r="3173" spans="1:1">
      <c r="A3173" s="149" t="s">
        <v>5149</v>
      </c>
    </row>
    <row r="3174" spans="1:1">
      <c r="A3174" s="149" t="s">
        <v>5150</v>
      </c>
    </row>
    <row r="3175" spans="1:1">
      <c r="A3175" s="149" t="s">
        <v>5151</v>
      </c>
    </row>
    <row r="3176" spans="1:1">
      <c r="A3176" s="149" t="s">
        <v>5152</v>
      </c>
    </row>
    <row r="3177" spans="1:1">
      <c r="A3177" s="149" t="s">
        <v>5153</v>
      </c>
    </row>
    <row r="3178" spans="1:1">
      <c r="A3178" s="149" t="s">
        <v>5154</v>
      </c>
    </row>
    <row r="3179" spans="1:1">
      <c r="A3179" s="149" t="s">
        <v>5155</v>
      </c>
    </row>
    <row r="3180" spans="1:1">
      <c r="A3180" s="149" t="s">
        <v>5156</v>
      </c>
    </row>
    <row r="3181" spans="1:1">
      <c r="A3181" s="149" t="s">
        <v>5157</v>
      </c>
    </row>
    <row r="3182" spans="1:1">
      <c r="A3182" s="149" t="s">
        <v>5158</v>
      </c>
    </row>
    <row r="3183" spans="1:1">
      <c r="A3183" s="149" t="s">
        <v>5159</v>
      </c>
    </row>
    <row r="3184" spans="1:1">
      <c r="A3184" s="149" t="s">
        <v>5160</v>
      </c>
    </row>
    <row r="3185" spans="1:1">
      <c r="A3185" s="149" t="s">
        <v>5161</v>
      </c>
    </row>
    <row r="3186" spans="1:1">
      <c r="A3186" s="149" t="s">
        <v>5162</v>
      </c>
    </row>
    <row r="3187" spans="1:1">
      <c r="A3187" s="149" t="s">
        <v>5163</v>
      </c>
    </row>
    <row r="3188" spans="1:1">
      <c r="A3188" s="149" t="s">
        <v>5164</v>
      </c>
    </row>
    <row r="3189" spans="1:1">
      <c r="A3189" s="149" t="s">
        <v>5165</v>
      </c>
    </row>
    <row r="3190" spans="1:1">
      <c r="A3190" s="149" t="s">
        <v>5166</v>
      </c>
    </row>
    <row r="3191" spans="1:1">
      <c r="A3191" s="149" t="s">
        <v>5167</v>
      </c>
    </row>
    <row r="3192" spans="1:1">
      <c r="A3192" s="149" t="s">
        <v>5168</v>
      </c>
    </row>
    <row r="3193" spans="1:1">
      <c r="A3193" s="149" t="s">
        <v>5169</v>
      </c>
    </row>
    <row r="3194" spans="1:1">
      <c r="A3194" s="149" t="s">
        <v>5170</v>
      </c>
    </row>
    <row r="3195" spans="1:1">
      <c r="A3195" s="149" t="s">
        <v>5171</v>
      </c>
    </row>
    <row r="3196" spans="1:1">
      <c r="A3196" s="149" t="s">
        <v>5172</v>
      </c>
    </row>
    <row r="3197" spans="1:1">
      <c r="A3197" s="149" t="s">
        <v>5173</v>
      </c>
    </row>
    <row r="3198" spans="1:1">
      <c r="A3198" s="149" t="s">
        <v>5174</v>
      </c>
    </row>
    <row r="3199" spans="1:1">
      <c r="A3199" s="149" t="s">
        <v>5175</v>
      </c>
    </row>
    <row r="3200" spans="1:1">
      <c r="A3200" s="149" t="s">
        <v>5176</v>
      </c>
    </row>
    <row r="3201" spans="1:1">
      <c r="A3201" s="149" t="s">
        <v>5177</v>
      </c>
    </row>
    <row r="3202" spans="1:1">
      <c r="A3202" s="149" t="s">
        <v>5178</v>
      </c>
    </row>
    <row r="3203" spans="1:1">
      <c r="A3203" s="149" t="s">
        <v>5179</v>
      </c>
    </row>
    <row r="3204" spans="1:1">
      <c r="A3204" s="149" t="s">
        <v>5180</v>
      </c>
    </row>
    <row r="3205" spans="1:1">
      <c r="A3205" s="149" t="s">
        <v>5181</v>
      </c>
    </row>
    <row r="3206" spans="1:1">
      <c r="A3206" s="149" t="s">
        <v>5182</v>
      </c>
    </row>
    <row r="3207" spans="1:1">
      <c r="A3207" s="149" t="s">
        <v>5183</v>
      </c>
    </row>
    <row r="3208" spans="1:1">
      <c r="A3208" s="149" t="s">
        <v>5184</v>
      </c>
    </row>
    <row r="3209" spans="1:1">
      <c r="A3209" s="149" t="s">
        <v>5185</v>
      </c>
    </row>
    <row r="3210" spans="1:1">
      <c r="A3210" s="149" t="s">
        <v>5186</v>
      </c>
    </row>
    <row r="3211" spans="1:1">
      <c r="A3211" s="149" t="s">
        <v>5187</v>
      </c>
    </row>
    <row r="3212" spans="1:1">
      <c r="A3212" s="149" t="s">
        <v>5188</v>
      </c>
    </row>
    <row r="3213" spans="1:1">
      <c r="A3213" s="149" t="s">
        <v>5189</v>
      </c>
    </row>
    <row r="3214" spans="1:1">
      <c r="A3214" s="149" t="s">
        <v>5190</v>
      </c>
    </row>
    <row r="3215" spans="1:1">
      <c r="A3215" s="149" t="s">
        <v>5191</v>
      </c>
    </row>
    <row r="3216" spans="1:1">
      <c r="A3216" s="149" t="s">
        <v>5192</v>
      </c>
    </row>
    <row r="3217" spans="1:1">
      <c r="A3217" s="149" t="s">
        <v>5193</v>
      </c>
    </row>
    <row r="3218" spans="1:1">
      <c r="A3218" s="149" t="s">
        <v>5194</v>
      </c>
    </row>
    <row r="3219" spans="1:1">
      <c r="A3219" s="149" t="s">
        <v>5195</v>
      </c>
    </row>
    <row r="3220" spans="1:1">
      <c r="A3220" s="149" t="s">
        <v>5196</v>
      </c>
    </row>
    <row r="3221" spans="1:1">
      <c r="A3221" s="149" t="s">
        <v>5197</v>
      </c>
    </row>
    <row r="3222" spans="1:1">
      <c r="A3222" s="149" t="s">
        <v>5198</v>
      </c>
    </row>
    <row r="3223" spans="1:1">
      <c r="A3223" s="149" t="s">
        <v>5199</v>
      </c>
    </row>
    <row r="3224" spans="1:1">
      <c r="A3224" s="149" t="s">
        <v>5200</v>
      </c>
    </row>
    <row r="3225" spans="1:1">
      <c r="A3225" s="149" t="s">
        <v>5201</v>
      </c>
    </row>
    <row r="3226" spans="1:1">
      <c r="A3226" s="149" t="s">
        <v>5202</v>
      </c>
    </row>
    <row r="3227" spans="1:1">
      <c r="A3227" s="149" t="s">
        <v>5203</v>
      </c>
    </row>
    <row r="3228" spans="1:1">
      <c r="A3228" s="149" t="s">
        <v>5204</v>
      </c>
    </row>
    <row r="3229" spans="1:1">
      <c r="A3229" s="149" t="s">
        <v>5205</v>
      </c>
    </row>
    <row r="3230" spans="1:1">
      <c r="A3230" s="149" t="s">
        <v>5206</v>
      </c>
    </row>
    <row r="3231" spans="1:1">
      <c r="A3231" s="149" t="s">
        <v>5207</v>
      </c>
    </row>
    <row r="3232" spans="1:1">
      <c r="A3232" s="149" t="s">
        <v>5208</v>
      </c>
    </row>
    <row r="3233" spans="1:1">
      <c r="A3233" s="149" t="s">
        <v>5209</v>
      </c>
    </row>
    <row r="3234" spans="1:1">
      <c r="A3234" s="149" t="s">
        <v>5210</v>
      </c>
    </row>
    <row r="3235" spans="1:1">
      <c r="A3235" s="149" t="s">
        <v>5211</v>
      </c>
    </row>
    <row r="3236" spans="1:1">
      <c r="A3236" s="149" t="s">
        <v>5212</v>
      </c>
    </row>
    <row r="3237" spans="1:1">
      <c r="A3237" s="149" t="s">
        <v>5213</v>
      </c>
    </row>
    <row r="3238" spans="1:1">
      <c r="A3238" s="149" t="s">
        <v>5214</v>
      </c>
    </row>
    <row r="3239" spans="1:1">
      <c r="A3239" s="149" t="s">
        <v>5215</v>
      </c>
    </row>
    <row r="3240" spans="1:1">
      <c r="A3240" s="149" t="s">
        <v>5216</v>
      </c>
    </row>
    <row r="3241" spans="1:1">
      <c r="A3241" s="149" t="s">
        <v>5217</v>
      </c>
    </row>
    <row r="3242" spans="1:1">
      <c r="A3242" s="149" t="s">
        <v>5218</v>
      </c>
    </row>
    <row r="3243" spans="1:1">
      <c r="A3243" s="149" t="s">
        <v>5219</v>
      </c>
    </row>
    <row r="3244" spans="1:1">
      <c r="A3244" s="149" t="s">
        <v>5220</v>
      </c>
    </row>
    <row r="3245" spans="1:1">
      <c r="A3245" s="149" t="s">
        <v>5221</v>
      </c>
    </row>
    <row r="3246" spans="1:1">
      <c r="A3246" s="149" t="s">
        <v>5222</v>
      </c>
    </row>
    <row r="3247" spans="1:1">
      <c r="A3247" s="149" t="s">
        <v>5223</v>
      </c>
    </row>
    <row r="3248" spans="1:1">
      <c r="A3248" s="149" t="s">
        <v>5224</v>
      </c>
    </row>
    <row r="3249" spans="1:1">
      <c r="A3249" s="149" t="s">
        <v>5225</v>
      </c>
    </row>
    <row r="3250" spans="1:1">
      <c r="A3250" s="149" t="s">
        <v>5226</v>
      </c>
    </row>
    <row r="3251" spans="1:1">
      <c r="A3251" s="149" t="s">
        <v>5227</v>
      </c>
    </row>
    <row r="3252" spans="1:1">
      <c r="A3252" s="149" t="s">
        <v>5228</v>
      </c>
    </row>
    <row r="3253" spans="1:1">
      <c r="A3253" s="149" t="s">
        <v>5229</v>
      </c>
    </row>
    <row r="3254" spans="1:1">
      <c r="A3254" s="149" t="s">
        <v>5230</v>
      </c>
    </row>
    <row r="3255" spans="1:1">
      <c r="A3255" s="149" t="s">
        <v>5231</v>
      </c>
    </row>
    <row r="3256" spans="1:1">
      <c r="A3256" s="149" t="s">
        <v>5232</v>
      </c>
    </row>
    <row r="3257" spans="1:1">
      <c r="A3257" s="149" t="s">
        <v>5233</v>
      </c>
    </row>
    <row r="3258" spans="1:1">
      <c r="A3258" s="149" t="s">
        <v>5234</v>
      </c>
    </row>
    <row r="3259" spans="1:1">
      <c r="A3259" s="149" t="s">
        <v>5235</v>
      </c>
    </row>
    <row r="3260" spans="1:1">
      <c r="A3260" s="149" t="s">
        <v>5236</v>
      </c>
    </row>
    <row r="3261" spans="1:1">
      <c r="A3261" s="149" t="s">
        <v>5237</v>
      </c>
    </row>
    <row r="3262" spans="1:1">
      <c r="A3262" s="149" t="s">
        <v>5238</v>
      </c>
    </row>
    <row r="3263" spans="1:1">
      <c r="A3263" s="149" t="s">
        <v>5239</v>
      </c>
    </row>
    <row r="3264" spans="1:1">
      <c r="A3264" s="149" t="s">
        <v>5240</v>
      </c>
    </row>
    <row r="3265" spans="1:1">
      <c r="A3265" s="149" t="s">
        <v>5241</v>
      </c>
    </row>
    <row r="3266" spans="1:1">
      <c r="A3266" s="149" t="s">
        <v>5242</v>
      </c>
    </row>
    <row r="3267" spans="1:1">
      <c r="A3267" s="149" t="s">
        <v>5243</v>
      </c>
    </row>
    <row r="3268" spans="1:1">
      <c r="A3268" s="149" t="s">
        <v>5244</v>
      </c>
    </row>
    <row r="3269" spans="1:1">
      <c r="A3269" s="149" t="s">
        <v>5245</v>
      </c>
    </row>
    <row r="3270" spans="1:1">
      <c r="A3270" s="149" t="s">
        <v>5246</v>
      </c>
    </row>
    <row r="3271" spans="1:1">
      <c r="A3271" s="149" t="s">
        <v>5247</v>
      </c>
    </row>
    <row r="3272" spans="1:1">
      <c r="A3272" s="149" t="s">
        <v>5248</v>
      </c>
    </row>
    <row r="3273" spans="1:1">
      <c r="A3273" s="149" t="s">
        <v>5249</v>
      </c>
    </row>
    <row r="3274" spans="1:1">
      <c r="A3274" s="149" t="s">
        <v>5250</v>
      </c>
    </row>
    <row r="3275" spans="1:1">
      <c r="A3275" s="149" t="s">
        <v>5251</v>
      </c>
    </row>
    <row r="3276" spans="1:1">
      <c r="A3276" s="149" t="s">
        <v>5252</v>
      </c>
    </row>
    <row r="3277" spans="1:1">
      <c r="A3277" s="149" t="s">
        <v>5253</v>
      </c>
    </row>
    <row r="3278" spans="1:1">
      <c r="A3278" s="149" t="s">
        <v>5254</v>
      </c>
    </row>
    <row r="3279" spans="1:1">
      <c r="A3279" s="149" t="s">
        <v>5255</v>
      </c>
    </row>
    <row r="3280" spans="1:1">
      <c r="A3280" s="149" t="s">
        <v>5256</v>
      </c>
    </row>
    <row r="3281" spans="1:1">
      <c r="A3281" s="149" t="s">
        <v>5257</v>
      </c>
    </row>
    <row r="3282" spans="1:1">
      <c r="A3282" s="149" t="s">
        <v>5258</v>
      </c>
    </row>
    <row r="3283" spans="1:1">
      <c r="A3283" s="149" t="s">
        <v>5259</v>
      </c>
    </row>
    <row r="3284" spans="1:1">
      <c r="A3284" s="149" t="s">
        <v>5260</v>
      </c>
    </row>
    <row r="3285" spans="1:1">
      <c r="A3285" s="149" t="s">
        <v>5261</v>
      </c>
    </row>
    <row r="3286" spans="1:1">
      <c r="A3286" s="149" t="s">
        <v>5262</v>
      </c>
    </row>
    <row r="3287" spans="1:1">
      <c r="A3287" s="149" t="s">
        <v>5263</v>
      </c>
    </row>
    <row r="3288" spans="1:1">
      <c r="A3288" s="149" t="s">
        <v>5264</v>
      </c>
    </row>
    <row r="3289" spans="1:1">
      <c r="A3289" s="149" t="s">
        <v>5265</v>
      </c>
    </row>
    <row r="3290" spans="1:1">
      <c r="A3290" s="149" t="s">
        <v>5266</v>
      </c>
    </row>
    <row r="3291" spans="1:1">
      <c r="A3291" s="149" t="s">
        <v>5267</v>
      </c>
    </row>
    <row r="3292" spans="1:1">
      <c r="A3292" s="149" t="s">
        <v>5268</v>
      </c>
    </row>
    <row r="3293" spans="1:1">
      <c r="A3293" s="149" t="s">
        <v>5269</v>
      </c>
    </row>
    <row r="3294" spans="1:1">
      <c r="A3294" s="149" t="s">
        <v>5270</v>
      </c>
    </row>
    <row r="3295" spans="1:1">
      <c r="A3295" s="149" t="s">
        <v>5271</v>
      </c>
    </row>
    <row r="3296" spans="1:1">
      <c r="A3296" s="149" t="s">
        <v>5272</v>
      </c>
    </row>
    <row r="3297" spans="1:1">
      <c r="A3297" s="149" t="s">
        <v>5273</v>
      </c>
    </row>
    <row r="3298" spans="1:1">
      <c r="A3298" s="149" t="s">
        <v>5274</v>
      </c>
    </row>
    <row r="3299" spans="1:1">
      <c r="A3299" s="149" t="s">
        <v>5275</v>
      </c>
    </row>
    <row r="3300" spans="1:1">
      <c r="A3300" s="149" t="s">
        <v>5276</v>
      </c>
    </row>
    <row r="3301" spans="1:1">
      <c r="A3301" s="149" t="s">
        <v>5277</v>
      </c>
    </row>
    <row r="3302" spans="1:1">
      <c r="A3302" s="149" t="s">
        <v>5278</v>
      </c>
    </row>
    <row r="3303" spans="1:1">
      <c r="A3303" s="149" t="s">
        <v>5279</v>
      </c>
    </row>
    <row r="3304" spans="1:1">
      <c r="A3304" s="149" t="s">
        <v>5280</v>
      </c>
    </row>
    <row r="3305" spans="1:1">
      <c r="A3305" s="149" t="s">
        <v>5281</v>
      </c>
    </row>
    <row r="3306" spans="1:1">
      <c r="A3306" s="149" t="s">
        <v>5282</v>
      </c>
    </row>
    <row r="3307" spans="1:1">
      <c r="A3307" s="149" t="s">
        <v>5283</v>
      </c>
    </row>
    <row r="3308" spans="1:1">
      <c r="A3308" s="149" t="s">
        <v>5284</v>
      </c>
    </row>
    <row r="3309" spans="1:1">
      <c r="A3309" s="149" t="s">
        <v>5285</v>
      </c>
    </row>
    <row r="3310" spans="1:1">
      <c r="A3310" s="149" t="s">
        <v>5286</v>
      </c>
    </row>
    <row r="3311" spans="1:1">
      <c r="A3311" s="149" t="s">
        <v>5287</v>
      </c>
    </row>
    <row r="3312" spans="1:1">
      <c r="A3312" s="149" t="s">
        <v>5288</v>
      </c>
    </row>
    <row r="3313" spans="1:1">
      <c r="A3313" s="149" t="s">
        <v>5289</v>
      </c>
    </row>
    <row r="3314" spans="1:1">
      <c r="A3314" s="149" t="s">
        <v>5290</v>
      </c>
    </row>
    <row r="3315" spans="1:1">
      <c r="A3315" s="149" t="s">
        <v>5291</v>
      </c>
    </row>
    <row r="3316" spans="1:1">
      <c r="A3316" s="149" t="s">
        <v>5292</v>
      </c>
    </row>
    <row r="3317" spans="1:1">
      <c r="A3317" s="149" t="s">
        <v>5293</v>
      </c>
    </row>
    <row r="3318" spans="1:1">
      <c r="A3318" s="149" t="s">
        <v>5294</v>
      </c>
    </row>
    <row r="3319" spans="1:1">
      <c r="A3319" s="149" t="s">
        <v>5295</v>
      </c>
    </row>
    <row r="3320" spans="1:1">
      <c r="A3320" s="149" t="s">
        <v>5296</v>
      </c>
    </row>
    <row r="3321" spans="1:1">
      <c r="A3321" s="149" t="s">
        <v>5297</v>
      </c>
    </row>
    <row r="3322" spans="1:1">
      <c r="A3322" s="149" t="s">
        <v>5298</v>
      </c>
    </row>
    <row r="3323" spans="1:1">
      <c r="A3323" s="149" t="s">
        <v>5299</v>
      </c>
    </row>
    <row r="3324" spans="1:1">
      <c r="A3324" s="149" t="s">
        <v>5300</v>
      </c>
    </row>
    <row r="3325" spans="1:1">
      <c r="A3325" s="149" t="s">
        <v>5301</v>
      </c>
    </row>
    <row r="3326" spans="1:1">
      <c r="A3326" s="149" t="s">
        <v>5302</v>
      </c>
    </row>
    <row r="3327" spans="1:1">
      <c r="A3327" s="149" t="s">
        <v>5303</v>
      </c>
    </row>
    <row r="3328" spans="1:1">
      <c r="A3328" s="149" t="s">
        <v>5304</v>
      </c>
    </row>
    <row r="3329" spans="1:1">
      <c r="A3329" s="149" t="s">
        <v>5305</v>
      </c>
    </row>
    <row r="3330" spans="1:1">
      <c r="A3330" s="149" t="s">
        <v>5306</v>
      </c>
    </row>
    <row r="3331" spans="1:1">
      <c r="A3331" s="149" t="s">
        <v>5307</v>
      </c>
    </row>
    <row r="3332" spans="1:1">
      <c r="A3332" s="149" t="s">
        <v>5308</v>
      </c>
    </row>
    <row r="3333" spans="1:1">
      <c r="A3333" s="149" t="s">
        <v>5309</v>
      </c>
    </row>
    <row r="3334" spans="1:1">
      <c r="A3334" s="149" t="s">
        <v>5310</v>
      </c>
    </row>
    <row r="3335" spans="1:1">
      <c r="A3335" s="149" t="s">
        <v>5311</v>
      </c>
    </row>
    <row r="3336" spans="1:1">
      <c r="A3336" s="149" t="s">
        <v>5312</v>
      </c>
    </row>
    <row r="3337" spans="1:1">
      <c r="A3337" s="149" t="s">
        <v>5313</v>
      </c>
    </row>
    <row r="3338" spans="1:1">
      <c r="A3338" s="149" t="s">
        <v>5314</v>
      </c>
    </row>
    <row r="3339" spans="1:1">
      <c r="A3339" s="149" t="s">
        <v>5315</v>
      </c>
    </row>
    <row r="3340" spans="1:1">
      <c r="A3340" s="149" t="s">
        <v>5316</v>
      </c>
    </row>
    <row r="3341" spans="1:1">
      <c r="A3341" s="149" t="s">
        <v>5317</v>
      </c>
    </row>
    <row r="3342" spans="1:1">
      <c r="A3342" s="149" t="s">
        <v>5318</v>
      </c>
    </row>
    <row r="3343" spans="1:1">
      <c r="A3343" s="149" t="s">
        <v>5319</v>
      </c>
    </row>
    <row r="3344" spans="1:1">
      <c r="A3344" s="149" t="s">
        <v>5320</v>
      </c>
    </row>
    <row r="3345" spans="1:1">
      <c r="A3345" s="149" t="s">
        <v>5321</v>
      </c>
    </row>
    <row r="3346" spans="1:1">
      <c r="A3346" s="149" t="s">
        <v>5322</v>
      </c>
    </row>
    <row r="3347" spans="1:1">
      <c r="A3347" s="149" t="s">
        <v>5323</v>
      </c>
    </row>
    <row r="3348" spans="1:1">
      <c r="A3348" s="149" t="s">
        <v>5324</v>
      </c>
    </row>
    <row r="3349" spans="1:1">
      <c r="A3349" s="149" t="s">
        <v>5325</v>
      </c>
    </row>
    <row r="3350" spans="1:1">
      <c r="A3350" s="149" t="s">
        <v>5326</v>
      </c>
    </row>
    <row r="3351" spans="1:1">
      <c r="A3351" s="149" t="s">
        <v>5327</v>
      </c>
    </row>
    <row r="3352" spans="1:1">
      <c r="A3352" s="149" t="s">
        <v>5328</v>
      </c>
    </row>
    <row r="3353" spans="1:1">
      <c r="A3353" s="149" t="s">
        <v>5329</v>
      </c>
    </row>
    <row r="3354" spans="1:1">
      <c r="A3354" s="149" t="s">
        <v>5330</v>
      </c>
    </row>
    <row r="3355" spans="1:1">
      <c r="A3355" s="149" t="s">
        <v>5331</v>
      </c>
    </row>
    <row r="3356" spans="1:1">
      <c r="A3356" s="149" t="s">
        <v>5332</v>
      </c>
    </row>
    <row r="3357" spans="1:1">
      <c r="A3357" s="149" t="s">
        <v>5333</v>
      </c>
    </row>
    <row r="3358" spans="1:1">
      <c r="A3358" s="149" t="s">
        <v>5334</v>
      </c>
    </row>
    <row r="3359" spans="1:1">
      <c r="A3359" s="149" t="s">
        <v>5335</v>
      </c>
    </row>
    <row r="3360" spans="1:1">
      <c r="A3360" s="149" t="s">
        <v>5336</v>
      </c>
    </row>
    <row r="3361" spans="1:1">
      <c r="A3361" s="149" t="s">
        <v>5337</v>
      </c>
    </row>
    <row r="3362" spans="1:1">
      <c r="A3362" s="149" t="s">
        <v>5338</v>
      </c>
    </row>
    <row r="3363" spans="1:1">
      <c r="A3363" s="149" t="s">
        <v>5339</v>
      </c>
    </row>
    <row r="3364" spans="1:1">
      <c r="A3364" s="149" t="s">
        <v>5340</v>
      </c>
    </row>
    <row r="3365" spans="1:1">
      <c r="A3365" s="149" t="s">
        <v>5341</v>
      </c>
    </row>
    <row r="3366" spans="1:1">
      <c r="A3366" s="149" t="s">
        <v>5342</v>
      </c>
    </row>
    <row r="3367" spans="1:1">
      <c r="A3367" s="149" t="s">
        <v>5343</v>
      </c>
    </row>
    <row r="3368" spans="1:1">
      <c r="A3368" s="149" t="s">
        <v>5344</v>
      </c>
    </row>
    <row r="3369" spans="1:1">
      <c r="A3369" s="149" t="s">
        <v>5345</v>
      </c>
    </row>
    <row r="3370" spans="1:1">
      <c r="A3370" s="149" t="s">
        <v>5346</v>
      </c>
    </row>
    <row r="3371" spans="1:1">
      <c r="A3371" s="149" t="s">
        <v>5347</v>
      </c>
    </row>
    <row r="3372" spans="1:1">
      <c r="A3372" s="149" t="s">
        <v>5348</v>
      </c>
    </row>
    <row r="3373" spans="1:1">
      <c r="A3373" s="149" t="s">
        <v>5349</v>
      </c>
    </row>
    <row r="3374" spans="1:1">
      <c r="A3374" s="149" t="s">
        <v>5350</v>
      </c>
    </row>
    <row r="3375" spans="1:1">
      <c r="A3375" s="149" t="s">
        <v>5351</v>
      </c>
    </row>
    <row r="3376" spans="1:1">
      <c r="A3376" s="149" t="s">
        <v>5352</v>
      </c>
    </row>
    <row r="3377" spans="1:1">
      <c r="A3377" s="149" t="s">
        <v>5353</v>
      </c>
    </row>
    <row r="3378" spans="1:1">
      <c r="A3378" s="149" t="s">
        <v>5354</v>
      </c>
    </row>
    <row r="3379" spans="1:1">
      <c r="A3379" s="149" t="s">
        <v>5355</v>
      </c>
    </row>
    <row r="3380" spans="1:1">
      <c r="A3380" s="149" t="s">
        <v>5356</v>
      </c>
    </row>
    <row r="3381" spans="1:1">
      <c r="A3381" s="149" t="s">
        <v>5357</v>
      </c>
    </row>
    <row r="3382" spans="1:1">
      <c r="A3382" s="149" t="s">
        <v>5358</v>
      </c>
    </row>
    <row r="3383" spans="1:1">
      <c r="A3383" s="149" t="s">
        <v>5359</v>
      </c>
    </row>
    <row r="3384" spans="1:1">
      <c r="A3384" s="149" t="s">
        <v>5360</v>
      </c>
    </row>
    <row r="3385" spans="1:1">
      <c r="A3385" s="149" t="s">
        <v>5361</v>
      </c>
    </row>
    <row r="3386" spans="1:1">
      <c r="A3386" s="149" t="s">
        <v>5362</v>
      </c>
    </row>
    <row r="3387" spans="1:1">
      <c r="A3387" s="149" t="s">
        <v>5363</v>
      </c>
    </row>
    <row r="3388" spans="1:1">
      <c r="A3388" s="149" t="s">
        <v>5364</v>
      </c>
    </row>
    <row r="3389" spans="1:1">
      <c r="A3389" s="149" t="s">
        <v>5365</v>
      </c>
    </row>
    <row r="3390" spans="1:1">
      <c r="A3390" s="149" t="s">
        <v>5366</v>
      </c>
    </row>
    <row r="3391" spans="1:1">
      <c r="A3391" s="149" t="s">
        <v>5367</v>
      </c>
    </row>
    <row r="3392" spans="1:1">
      <c r="A3392" s="149" t="s">
        <v>5368</v>
      </c>
    </row>
    <row r="3393" spans="1:1">
      <c r="A3393" s="149" t="s">
        <v>5369</v>
      </c>
    </row>
    <row r="3394" spans="1:1">
      <c r="A3394" s="149" t="s">
        <v>5370</v>
      </c>
    </row>
    <row r="3395" spans="1:1">
      <c r="A3395" s="149" t="s">
        <v>5371</v>
      </c>
    </row>
    <row r="3396" spans="1:1">
      <c r="A3396" s="149" t="s">
        <v>5372</v>
      </c>
    </row>
    <row r="3397" spans="1:1">
      <c r="A3397" s="149" t="s">
        <v>5373</v>
      </c>
    </row>
    <row r="3398" spans="1:1">
      <c r="A3398" s="149" t="s">
        <v>5374</v>
      </c>
    </row>
    <row r="3399" spans="1:1">
      <c r="A3399" s="149" t="s">
        <v>5375</v>
      </c>
    </row>
    <row r="3400" spans="1:1">
      <c r="A3400" s="149" t="s">
        <v>5376</v>
      </c>
    </row>
    <row r="3401" spans="1:1">
      <c r="A3401" s="149" t="s">
        <v>5377</v>
      </c>
    </row>
    <row r="3402" spans="1:1">
      <c r="A3402" s="149" t="s">
        <v>5378</v>
      </c>
    </row>
    <row r="3403" spans="1:1">
      <c r="A3403" s="149" t="s">
        <v>5379</v>
      </c>
    </row>
    <row r="3404" spans="1:1">
      <c r="A3404" s="149" t="s">
        <v>5380</v>
      </c>
    </row>
    <row r="3405" spans="1:1">
      <c r="A3405" s="149" t="s">
        <v>5381</v>
      </c>
    </row>
    <row r="3406" spans="1:1">
      <c r="A3406" s="149" t="s">
        <v>5382</v>
      </c>
    </row>
    <row r="3407" spans="1:1">
      <c r="A3407" s="149" t="s">
        <v>5383</v>
      </c>
    </row>
    <row r="3408" spans="1:1">
      <c r="A3408" s="149" t="s">
        <v>5384</v>
      </c>
    </row>
    <row r="3409" spans="1:1">
      <c r="A3409" s="149" t="s">
        <v>5385</v>
      </c>
    </row>
    <row r="3410" spans="1:1">
      <c r="A3410" s="149" t="s">
        <v>5386</v>
      </c>
    </row>
    <row r="3411" spans="1:1">
      <c r="A3411" s="149" t="s">
        <v>5387</v>
      </c>
    </row>
    <row r="3412" spans="1:1">
      <c r="A3412" s="149" t="s">
        <v>5388</v>
      </c>
    </row>
    <row r="3413" spans="1:1">
      <c r="A3413" s="149" t="s">
        <v>5389</v>
      </c>
    </row>
    <row r="3414" spans="1:1">
      <c r="A3414" s="149" t="s">
        <v>5390</v>
      </c>
    </row>
    <row r="3415" spans="1:1">
      <c r="A3415" s="149" t="s">
        <v>5391</v>
      </c>
    </row>
    <row r="3416" spans="1:1">
      <c r="A3416" s="149" t="s">
        <v>5392</v>
      </c>
    </row>
    <row r="3417" spans="1:1">
      <c r="A3417" s="149" t="s">
        <v>5393</v>
      </c>
    </row>
    <row r="3418" spans="1:1">
      <c r="A3418" s="149" t="s">
        <v>5394</v>
      </c>
    </row>
    <row r="3419" spans="1:1">
      <c r="A3419" s="149" t="s">
        <v>5395</v>
      </c>
    </row>
    <row r="3420" spans="1:1">
      <c r="A3420" s="149" t="s">
        <v>5396</v>
      </c>
    </row>
    <row r="3421" spans="1:1">
      <c r="A3421" s="149" t="s">
        <v>5397</v>
      </c>
    </row>
    <row r="3422" spans="1:1">
      <c r="A3422" s="149" t="s">
        <v>5398</v>
      </c>
    </row>
    <row r="3423" spans="1:1">
      <c r="A3423" s="149" t="s">
        <v>5399</v>
      </c>
    </row>
    <row r="3424" spans="1:1">
      <c r="A3424" s="149" t="s">
        <v>5400</v>
      </c>
    </row>
    <row r="3425" spans="1:1">
      <c r="A3425" s="149" t="s">
        <v>5401</v>
      </c>
    </row>
    <row r="3426" spans="1:1">
      <c r="A3426" s="149" t="s">
        <v>5402</v>
      </c>
    </row>
    <row r="3427" spans="1:1">
      <c r="A3427" s="149" t="s">
        <v>5403</v>
      </c>
    </row>
    <row r="3428" spans="1:1">
      <c r="A3428" s="149" t="s">
        <v>5404</v>
      </c>
    </row>
    <row r="3429" spans="1:1">
      <c r="A3429" s="149" t="s">
        <v>5405</v>
      </c>
    </row>
    <row r="3430" spans="1:1">
      <c r="A3430" s="149" t="s">
        <v>5406</v>
      </c>
    </row>
    <row r="3431" spans="1:1">
      <c r="A3431" s="149" t="s">
        <v>5407</v>
      </c>
    </row>
    <row r="3432" spans="1:1">
      <c r="A3432" s="149" t="s">
        <v>5408</v>
      </c>
    </row>
    <row r="3433" spans="1:1">
      <c r="A3433" s="149" t="s">
        <v>5409</v>
      </c>
    </row>
    <row r="3434" spans="1:1">
      <c r="A3434" s="149" t="s">
        <v>5410</v>
      </c>
    </row>
    <row r="3435" spans="1:1">
      <c r="A3435" s="149" t="s">
        <v>5411</v>
      </c>
    </row>
    <row r="3436" spans="1:1">
      <c r="A3436" s="149" t="s">
        <v>5412</v>
      </c>
    </row>
    <row r="3437" spans="1:1">
      <c r="A3437" s="149" t="s">
        <v>5413</v>
      </c>
    </row>
    <row r="3438" spans="1:1">
      <c r="A3438" s="149" t="s">
        <v>5414</v>
      </c>
    </row>
    <row r="3439" spans="1:1">
      <c r="A3439" s="149" t="s">
        <v>5415</v>
      </c>
    </row>
    <row r="3440" spans="1:1">
      <c r="A3440" s="149" t="s">
        <v>5416</v>
      </c>
    </row>
    <row r="3441" spans="1:1">
      <c r="A3441" s="149" t="s">
        <v>5417</v>
      </c>
    </row>
    <row r="3442" spans="1:1">
      <c r="A3442" s="149" t="s">
        <v>5418</v>
      </c>
    </row>
    <row r="3443" spans="1:1">
      <c r="A3443" s="149" t="s">
        <v>5419</v>
      </c>
    </row>
    <row r="3444" spans="1:1">
      <c r="A3444" s="149" t="s">
        <v>5420</v>
      </c>
    </row>
    <row r="3445" spans="1:1">
      <c r="A3445" s="149" t="s">
        <v>5421</v>
      </c>
    </row>
    <row r="3446" spans="1:1">
      <c r="A3446" s="149" t="s">
        <v>5422</v>
      </c>
    </row>
    <row r="3447" spans="1:1">
      <c r="A3447" s="149" t="s">
        <v>5423</v>
      </c>
    </row>
    <row r="3448" spans="1:1">
      <c r="A3448" s="149" t="s">
        <v>5424</v>
      </c>
    </row>
    <row r="3449" spans="1:1">
      <c r="A3449" s="149" t="s">
        <v>5425</v>
      </c>
    </row>
    <row r="3450" spans="1:1">
      <c r="A3450" s="149" t="s">
        <v>5426</v>
      </c>
    </row>
    <row r="3451" spans="1:1">
      <c r="A3451" s="149" t="s">
        <v>5427</v>
      </c>
    </row>
    <row r="3452" spans="1:1">
      <c r="A3452" s="149" t="s">
        <v>5428</v>
      </c>
    </row>
    <row r="3453" spans="1:1">
      <c r="A3453" s="149" t="s">
        <v>5429</v>
      </c>
    </row>
    <row r="3454" spans="1:1">
      <c r="A3454" s="149" t="s">
        <v>5430</v>
      </c>
    </row>
    <row r="3455" spans="1:1">
      <c r="A3455" s="149" t="s">
        <v>5431</v>
      </c>
    </row>
    <row r="3456" spans="1:1">
      <c r="A3456" s="149" t="s">
        <v>5432</v>
      </c>
    </row>
    <row r="3457" spans="1:1">
      <c r="A3457" s="149" t="s">
        <v>5433</v>
      </c>
    </row>
    <row r="3458" spans="1:1">
      <c r="A3458" s="149" t="s">
        <v>5434</v>
      </c>
    </row>
    <row r="3459" spans="1:1">
      <c r="A3459" s="149" t="s">
        <v>5435</v>
      </c>
    </row>
    <row r="3460" spans="1:1">
      <c r="A3460" s="149" t="s">
        <v>5436</v>
      </c>
    </row>
    <row r="3461" spans="1:1">
      <c r="A3461" s="149" t="s">
        <v>5437</v>
      </c>
    </row>
    <row r="3462" spans="1:1">
      <c r="A3462" s="149" t="s">
        <v>5438</v>
      </c>
    </row>
    <row r="3463" spans="1:1">
      <c r="A3463" s="149" t="s">
        <v>5439</v>
      </c>
    </row>
    <row r="3464" spans="1:1">
      <c r="A3464" s="149" t="s">
        <v>5440</v>
      </c>
    </row>
    <row r="3465" spans="1:1">
      <c r="A3465" s="149" t="s">
        <v>5441</v>
      </c>
    </row>
    <row r="3466" spans="1:1">
      <c r="A3466" s="149" t="s">
        <v>5442</v>
      </c>
    </row>
    <row r="3467" spans="1:1">
      <c r="A3467" s="149" t="s">
        <v>5443</v>
      </c>
    </row>
    <row r="3468" spans="1:1">
      <c r="A3468" s="149" t="s">
        <v>5444</v>
      </c>
    </row>
    <row r="3469" spans="1:1">
      <c r="A3469" s="149" t="s">
        <v>5445</v>
      </c>
    </row>
    <row r="3470" spans="1:1">
      <c r="A3470" s="149" t="s">
        <v>5446</v>
      </c>
    </row>
    <row r="3471" spans="1:1">
      <c r="A3471" s="149" t="s">
        <v>5447</v>
      </c>
    </row>
    <row r="3472" spans="1:1">
      <c r="A3472" s="149" t="s">
        <v>5448</v>
      </c>
    </row>
    <row r="3473" spans="1:1">
      <c r="A3473" s="149" t="s">
        <v>5449</v>
      </c>
    </row>
    <row r="3474" spans="1:1">
      <c r="A3474" s="149" t="s">
        <v>5450</v>
      </c>
    </row>
    <row r="3475" spans="1:1">
      <c r="A3475" s="149" t="s">
        <v>5451</v>
      </c>
    </row>
    <row r="3476" spans="1:1">
      <c r="A3476" s="149" t="s">
        <v>5452</v>
      </c>
    </row>
    <row r="3477" spans="1:1">
      <c r="A3477" s="149" t="s">
        <v>5453</v>
      </c>
    </row>
    <row r="3478" spans="1:1">
      <c r="A3478" s="149" t="s">
        <v>5454</v>
      </c>
    </row>
    <row r="3479" spans="1:1">
      <c r="A3479" s="149" t="s">
        <v>5455</v>
      </c>
    </row>
    <row r="3480" spans="1:1">
      <c r="A3480" s="149" t="s">
        <v>5456</v>
      </c>
    </row>
    <row r="3481" spans="1:1">
      <c r="A3481" s="149" t="s">
        <v>5457</v>
      </c>
    </row>
    <row r="3482" spans="1:1">
      <c r="A3482" s="149" t="s">
        <v>5458</v>
      </c>
    </row>
    <row r="3483" spans="1:1">
      <c r="A3483" s="149" t="s">
        <v>5459</v>
      </c>
    </row>
    <row r="3484" spans="1:1">
      <c r="A3484" s="149" t="s">
        <v>5460</v>
      </c>
    </row>
    <row r="3485" spans="1:1">
      <c r="A3485" s="149" t="s">
        <v>5461</v>
      </c>
    </row>
    <row r="3486" spans="1:1">
      <c r="A3486" s="149" t="s">
        <v>5462</v>
      </c>
    </row>
    <row r="3487" spans="1:1">
      <c r="A3487" s="149" t="s">
        <v>5463</v>
      </c>
    </row>
    <row r="3488" spans="1:1">
      <c r="A3488" s="149" t="s">
        <v>5464</v>
      </c>
    </row>
    <row r="3489" spans="1:1">
      <c r="A3489" s="149" t="s">
        <v>5465</v>
      </c>
    </row>
    <row r="3490" spans="1:1">
      <c r="A3490" s="149" t="s">
        <v>5466</v>
      </c>
    </row>
    <row r="3491" spans="1:1">
      <c r="A3491" s="149" t="s">
        <v>5467</v>
      </c>
    </row>
    <row r="3492" spans="1:1">
      <c r="A3492" s="149" t="s">
        <v>5468</v>
      </c>
    </row>
    <row r="3493" spans="1:1">
      <c r="A3493" s="149" t="s">
        <v>5469</v>
      </c>
    </row>
    <row r="3494" spans="1:1">
      <c r="A3494" s="149" t="s">
        <v>5470</v>
      </c>
    </row>
    <row r="3495" spans="1:1">
      <c r="A3495" s="149" t="s">
        <v>5471</v>
      </c>
    </row>
    <row r="3496" spans="1:1">
      <c r="A3496" s="149" t="s">
        <v>5472</v>
      </c>
    </row>
    <row r="3497" spans="1:1">
      <c r="A3497" s="149" t="s">
        <v>5473</v>
      </c>
    </row>
    <row r="3498" spans="1:1">
      <c r="A3498" s="149" t="s">
        <v>5474</v>
      </c>
    </row>
    <row r="3499" spans="1:1">
      <c r="A3499" s="149" t="s">
        <v>5475</v>
      </c>
    </row>
    <row r="3500" spans="1:1">
      <c r="A3500" s="149" t="s">
        <v>5476</v>
      </c>
    </row>
    <row r="3501" spans="1:1">
      <c r="A3501" s="149" t="s">
        <v>5477</v>
      </c>
    </row>
    <row r="3502" spans="1:1">
      <c r="A3502" s="149" t="s">
        <v>5478</v>
      </c>
    </row>
    <row r="3503" spans="1:1">
      <c r="A3503" s="149" t="s">
        <v>5479</v>
      </c>
    </row>
    <row r="3504" spans="1:1">
      <c r="A3504" s="149" t="s">
        <v>5480</v>
      </c>
    </row>
    <row r="3505" spans="1:1">
      <c r="A3505" s="149" t="s">
        <v>5481</v>
      </c>
    </row>
    <row r="3506" spans="1:1">
      <c r="A3506" s="149" t="s">
        <v>5482</v>
      </c>
    </row>
    <row r="3507" spans="1:1">
      <c r="A3507" s="149" t="s">
        <v>5483</v>
      </c>
    </row>
    <row r="3508" spans="1:1">
      <c r="A3508" s="149" t="s">
        <v>5484</v>
      </c>
    </row>
    <row r="3509" spans="1:1">
      <c r="A3509" s="149" t="s">
        <v>5485</v>
      </c>
    </row>
    <row r="3510" spans="1:1">
      <c r="A3510" s="149" t="s">
        <v>5486</v>
      </c>
    </row>
    <row r="3511" spans="1:1">
      <c r="A3511" s="149" t="s">
        <v>5487</v>
      </c>
    </row>
    <row r="3512" spans="1:1">
      <c r="A3512" s="149" t="s">
        <v>5488</v>
      </c>
    </row>
    <row r="3513" spans="1:1">
      <c r="A3513" s="149" t="s">
        <v>5489</v>
      </c>
    </row>
    <row r="3514" spans="1:1">
      <c r="A3514" s="149" t="s">
        <v>5490</v>
      </c>
    </row>
    <row r="3515" spans="1:1">
      <c r="A3515" s="149" t="s">
        <v>5491</v>
      </c>
    </row>
    <row r="3516" spans="1:1">
      <c r="A3516" s="149" t="s">
        <v>5492</v>
      </c>
    </row>
    <row r="3517" spans="1:1">
      <c r="A3517" s="149" t="s">
        <v>5493</v>
      </c>
    </row>
    <row r="3518" spans="1:1">
      <c r="A3518" s="149" t="s">
        <v>5494</v>
      </c>
    </row>
    <row r="3519" spans="1:1">
      <c r="A3519" s="149" t="s">
        <v>5495</v>
      </c>
    </row>
    <row r="3520" spans="1:1">
      <c r="A3520" s="149" t="s">
        <v>5496</v>
      </c>
    </row>
    <row r="3521" spans="1:1">
      <c r="A3521" s="149" t="s">
        <v>5497</v>
      </c>
    </row>
    <row r="3522" spans="1:1">
      <c r="A3522" s="149" t="s">
        <v>5498</v>
      </c>
    </row>
    <row r="3523" spans="1:1">
      <c r="A3523" s="149" t="s">
        <v>5499</v>
      </c>
    </row>
    <row r="3524" spans="1:1">
      <c r="A3524" s="149" t="s">
        <v>5500</v>
      </c>
    </row>
    <row r="3525" spans="1:1">
      <c r="A3525" s="149" t="s">
        <v>5501</v>
      </c>
    </row>
    <row r="3526" spans="1:1">
      <c r="A3526" s="149" t="s">
        <v>5502</v>
      </c>
    </row>
    <row r="3527" spans="1:1">
      <c r="A3527" s="149" t="s">
        <v>5503</v>
      </c>
    </row>
    <row r="3528" spans="1:1">
      <c r="A3528" s="149" t="s">
        <v>5504</v>
      </c>
    </row>
    <row r="3529" spans="1:1">
      <c r="A3529" s="149" t="s">
        <v>5505</v>
      </c>
    </row>
    <row r="3530" spans="1:1">
      <c r="A3530" s="149" t="s">
        <v>5506</v>
      </c>
    </row>
    <row r="3531" spans="1:1">
      <c r="A3531" s="149" t="s">
        <v>5507</v>
      </c>
    </row>
    <row r="3532" spans="1:1">
      <c r="A3532" s="149" t="s">
        <v>5508</v>
      </c>
    </row>
    <row r="3533" spans="1:1">
      <c r="A3533" s="149" t="s">
        <v>5509</v>
      </c>
    </row>
    <row r="3534" spans="1:1">
      <c r="A3534" s="149" t="s">
        <v>5510</v>
      </c>
    </row>
    <row r="3535" spans="1:1">
      <c r="A3535" s="149" t="s">
        <v>5511</v>
      </c>
    </row>
    <row r="3536" spans="1:1">
      <c r="A3536" s="149" t="s">
        <v>5512</v>
      </c>
    </row>
    <row r="3537" spans="1:1">
      <c r="A3537" s="149" t="s">
        <v>5513</v>
      </c>
    </row>
    <row r="3538" spans="1:1">
      <c r="A3538" s="149" t="s">
        <v>5514</v>
      </c>
    </row>
    <row r="3539" spans="1:1">
      <c r="A3539" s="149" t="s">
        <v>5515</v>
      </c>
    </row>
    <row r="3540" spans="1:1">
      <c r="A3540" s="149" t="s">
        <v>5516</v>
      </c>
    </row>
    <row r="3541" spans="1:1">
      <c r="A3541" s="149" t="s">
        <v>5517</v>
      </c>
    </row>
    <row r="3542" spans="1:1">
      <c r="A3542" s="149" t="s">
        <v>5518</v>
      </c>
    </row>
    <row r="3543" spans="1:1">
      <c r="A3543" s="149" t="s">
        <v>5519</v>
      </c>
    </row>
    <row r="3544" spans="1:1">
      <c r="A3544" s="149" t="s">
        <v>5520</v>
      </c>
    </row>
    <row r="3545" spans="1:1">
      <c r="A3545" s="149" t="s">
        <v>5521</v>
      </c>
    </row>
    <row r="3546" spans="1:1">
      <c r="A3546" s="149" t="s">
        <v>5522</v>
      </c>
    </row>
    <row r="3547" spans="1:1">
      <c r="A3547" s="149" t="s">
        <v>5523</v>
      </c>
    </row>
    <row r="3548" spans="1:1">
      <c r="A3548" s="149" t="s">
        <v>5524</v>
      </c>
    </row>
    <row r="3549" spans="1:1">
      <c r="A3549" s="149" t="s">
        <v>5525</v>
      </c>
    </row>
    <row r="3550" spans="1:1">
      <c r="A3550" s="149" t="s">
        <v>5526</v>
      </c>
    </row>
    <row r="3551" spans="1:1">
      <c r="A3551" s="149" t="s">
        <v>5527</v>
      </c>
    </row>
    <row r="3552" spans="1:1">
      <c r="A3552" s="149" t="s">
        <v>5528</v>
      </c>
    </row>
    <row r="3553" spans="1:1">
      <c r="A3553" s="149" t="s">
        <v>5529</v>
      </c>
    </row>
    <row r="3554" spans="1:1">
      <c r="A3554" s="149" t="s">
        <v>5530</v>
      </c>
    </row>
    <row r="3555" spans="1:1">
      <c r="A3555" s="149" t="s">
        <v>5531</v>
      </c>
    </row>
    <row r="3556" spans="1:1">
      <c r="A3556" s="149" t="s">
        <v>5532</v>
      </c>
    </row>
    <row r="3557" spans="1:1">
      <c r="A3557" s="149" t="s">
        <v>5533</v>
      </c>
    </row>
    <row r="3558" spans="1:1">
      <c r="A3558" s="149" t="s">
        <v>5534</v>
      </c>
    </row>
    <row r="3559" spans="1:1">
      <c r="A3559" s="149" t="s">
        <v>5535</v>
      </c>
    </row>
    <row r="3560" spans="1:1">
      <c r="A3560" s="149" t="s">
        <v>5536</v>
      </c>
    </row>
    <row r="3561" spans="1:1">
      <c r="A3561" s="149" t="s">
        <v>5537</v>
      </c>
    </row>
    <row r="3562" spans="1:1">
      <c r="A3562" s="149" t="s">
        <v>5538</v>
      </c>
    </row>
    <row r="3563" spans="1:1">
      <c r="A3563" s="149" t="s">
        <v>5539</v>
      </c>
    </row>
    <row r="3564" spans="1:1">
      <c r="A3564" s="149" t="s">
        <v>5540</v>
      </c>
    </row>
    <row r="3565" spans="1:1">
      <c r="A3565" s="149" t="s">
        <v>5541</v>
      </c>
    </row>
    <row r="3566" spans="1:1">
      <c r="A3566" s="149" t="s">
        <v>5542</v>
      </c>
    </row>
    <row r="3567" spans="1:1">
      <c r="A3567" s="149" t="s">
        <v>5543</v>
      </c>
    </row>
    <row r="3568" spans="1:1">
      <c r="A3568" s="149" t="s">
        <v>5544</v>
      </c>
    </row>
    <row r="3569" spans="1:1">
      <c r="A3569" s="149" t="s">
        <v>5545</v>
      </c>
    </row>
    <row r="3570" spans="1:1">
      <c r="A3570" s="149" t="s">
        <v>5546</v>
      </c>
    </row>
    <row r="3571" spans="1:1">
      <c r="A3571" s="149" t="s">
        <v>5547</v>
      </c>
    </row>
    <row r="3572" spans="1:1">
      <c r="A3572" s="149" t="s">
        <v>5548</v>
      </c>
    </row>
    <row r="3573" spans="1:1">
      <c r="A3573" s="149" t="s">
        <v>5549</v>
      </c>
    </row>
    <row r="3574" spans="1:1">
      <c r="A3574" s="149" t="s">
        <v>5550</v>
      </c>
    </row>
    <row r="3575" spans="1:1">
      <c r="A3575" s="149" t="s">
        <v>5551</v>
      </c>
    </row>
    <row r="3576" spans="1:1">
      <c r="A3576" s="149" t="s">
        <v>5552</v>
      </c>
    </row>
    <row r="3577" spans="1:1">
      <c r="A3577" s="149" t="s">
        <v>5553</v>
      </c>
    </row>
    <row r="3578" spans="1:1">
      <c r="A3578" s="149" t="s">
        <v>5554</v>
      </c>
    </row>
    <row r="3579" spans="1:1">
      <c r="A3579" s="149" t="s">
        <v>5555</v>
      </c>
    </row>
    <row r="3580" spans="1:1">
      <c r="A3580" s="149" t="s">
        <v>5556</v>
      </c>
    </row>
    <row r="3581" spans="1:1">
      <c r="A3581" s="149" t="s">
        <v>5557</v>
      </c>
    </row>
    <row r="3582" spans="1:1">
      <c r="A3582" s="149" t="s">
        <v>5558</v>
      </c>
    </row>
    <row r="3583" spans="1:1">
      <c r="A3583" s="149" t="s">
        <v>5559</v>
      </c>
    </row>
    <row r="3584" spans="1:1">
      <c r="A3584" s="149" t="s">
        <v>5560</v>
      </c>
    </row>
    <row r="3585" spans="1:1">
      <c r="A3585" s="149" t="s">
        <v>5561</v>
      </c>
    </row>
    <row r="3586" spans="1:1">
      <c r="A3586" s="149" t="s">
        <v>5562</v>
      </c>
    </row>
    <row r="3587" spans="1:1">
      <c r="A3587" s="149" t="s">
        <v>5563</v>
      </c>
    </row>
    <row r="3588" spans="1:1">
      <c r="A3588" s="149" t="s">
        <v>5564</v>
      </c>
    </row>
    <row r="3589" spans="1:1">
      <c r="A3589" s="149" t="s">
        <v>5565</v>
      </c>
    </row>
    <row r="3590" spans="1:1">
      <c r="A3590" s="149" t="s">
        <v>5566</v>
      </c>
    </row>
    <row r="3591" spans="1:1">
      <c r="A3591" s="149" t="s">
        <v>5567</v>
      </c>
    </row>
    <row r="3592" spans="1:1">
      <c r="A3592" s="149" t="s">
        <v>5568</v>
      </c>
    </row>
    <row r="3593" spans="1:1">
      <c r="A3593" s="149" t="s">
        <v>5569</v>
      </c>
    </row>
    <row r="3594" spans="1:1">
      <c r="A3594" s="149" t="s">
        <v>5570</v>
      </c>
    </row>
    <row r="3595" spans="1:1">
      <c r="A3595" s="149" t="s">
        <v>5571</v>
      </c>
    </row>
    <row r="3596" spans="1:1">
      <c r="A3596" s="149" t="s">
        <v>5572</v>
      </c>
    </row>
    <row r="3597" spans="1:1">
      <c r="A3597" s="149" t="s">
        <v>5573</v>
      </c>
    </row>
    <row r="3598" spans="1:1">
      <c r="A3598" s="149" t="s">
        <v>5574</v>
      </c>
    </row>
    <row r="3599" spans="1:1">
      <c r="A3599" s="149" t="s">
        <v>5575</v>
      </c>
    </row>
    <row r="3600" spans="1:1">
      <c r="A3600" s="149" t="s">
        <v>5576</v>
      </c>
    </row>
    <row r="3601" spans="1:1">
      <c r="A3601" s="149" t="s">
        <v>5577</v>
      </c>
    </row>
    <row r="3602" spans="1:1">
      <c r="A3602" s="149" t="s">
        <v>5578</v>
      </c>
    </row>
    <row r="3603" spans="1:1">
      <c r="A3603" s="149" t="s">
        <v>5579</v>
      </c>
    </row>
    <row r="3604" spans="1:1">
      <c r="A3604" s="149" t="s">
        <v>5580</v>
      </c>
    </row>
    <row r="3605" spans="1:1">
      <c r="A3605" s="149" t="s">
        <v>5581</v>
      </c>
    </row>
    <row r="3606" spans="1:1">
      <c r="A3606" s="149" t="s">
        <v>5582</v>
      </c>
    </row>
    <row r="3607" spans="1:1">
      <c r="A3607" s="149" t="s">
        <v>5583</v>
      </c>
    </row>
    <row r="3608" spans="1:1">
      <c r="A3608" s="149" t="s">
        <v>5584</v>
      </c>
    </row>
    <row r="3609" spans="1:1">
      <c r="A3609" s="149" t="s">
        <v>5585</v>
      </c>
    </row>
    <row r="3610" spans="1:1">
      <c r="A3610" s="149" t="s">
        <v>5586</v>
      </c>
    </row>
    <row r="3611" spans="1:1">
      <c r="A3611" s="149" t="s">
        <v>5587</v>
      </c>
    </row>
    <row r="3612" spans="1:1">
      <c r="A3612" s="149" t="s">
        <v>5588</v>
      </c>
    </row>
    <row r="3613" spans="1:1">
      <c r="A3613" s="149" t="s">
        <v>5589</v>
      </c>
    </row>
    <row r="3614" spans="1:1">
      <c r="A3614" s="149" t="s">
        <v>5590</v>
      </c>
    </row>
    <row r="3615" spans="1:1">
      <c r="A3615" s="149" t="s">
        <v>5591</v>
      </c>
    </row>
    <row r="3616" spans="1:1">
      <c r="A3616" s="149" t="s">
        <v>5592</v>
      </c>
    </row>
    <row r="3617" spans="1:1">
      <c r="A3617" s="149" t="s">
        <v>5593</v>
      </c>
    </row>
    <row r="3618" spans="1:1">
      <c r="A3618" s="149" t="s">
        <v>5594</v>
      </c>
    </row>
    <row r="3619" spans="1:1">
      <c r="A3619" s="149" t="s">
        <v>5595</v>
      </c>
    </row>
    <row r="3620" spans="1:1">
      <c r="A3620" s="149" t="s">
        <v>5596</v>
      </c>
    </row>
    <row r="3621" spans="1:1">
      <c r="A3621" s="149" t="s">
        <v>5597</v>
      </c>
    </row>
    <row r="3622" spans="1:1">
      <c r="A3622" s="149" t="s">
        <v>5598</v>
      </c>
    </row>
    <row r="3623" spans="1:1">
      <c r="A3623" s="149" t="s">
        <v>5599</v>
      </c>
    </row>
    <row r="3624" spans="1:1">
      <c r="A3624" s="149" t="s">
        <v>5600</v>
      </c>
    </row>
    <row r="3625" spans="1:1">
      <c r="A3625" s="149" t="s">
        <v>5601</v>
      </c>
    </row>
    <row r="3626" spans="1:1">
      <c r="A3626" s="149" t="s">
        <v>5602</v>
      </c>
    </row>
    <row r="3627" spans="1:1">
      <c r="A3627" s="149" t="s">
        <v>5603</v>
      </c>
    </row>
    <row r="3628" spans="1:1">
      <c r="A3628" s="149" t="s">
        <v>5604</v>
      </c>
    </row>
    <row r="3629" spans="1:1">
      <c r="A3629" s="149" t="s">
        <v>5605</v>
      </c>
    </row>
    <row r="3630" spans="1:1">
      <c r="A3630" s="149" t="s">
        <v>5606</v>
      </c>
    </row>
    <row r="3631" spans="1:1">
      <c r="A3631" s="149" t="s">
        <v>5607</v>
      </c>
    </row>
    <row r="3632" spans="1:1">
      <c r="A3632" s="149" t="s">
        <v>5608</v>
      </c>
    </row>
    <row r="3633" spans="1:1">
      <c r="A3633" s="149" t="s">
        <v>5609</v>
      </c>
    </row>
    <row r="3634" spans="1:1">
      <c r="A3634" s="149" t="s">
        <v>5610</v>
      </c>
    </row>
    <row r="3635" spans="1:1">
      <c r="A3635" s="149" t="s">
        <v>5611</v>
      </c>
    </row>
    <row r="3636" spans="1:1">
      <c r="A3636" s="149" t="s">
        <v>5612</v>
      </c>
    </row>
    <row r="3637" spans="1:1">
      <c r="A3637" s="149" t="s">
        <v>5613</v>
      </c>
    </row>
    <row r="3638" spans="1:1">
      <c r="A3638" s="149" t="s">
        <v>5614</v>
      </c>
    </row>
    <row r="3639" spans="1:1">
      <c r="A3639" s="149" t="s">
        <v>5615</v>
      </c>
    </row>
    <row r="3640" spans="1:1">
      <c r="A3640" s="149" t="s">
        <v>5616</v>
      </c>
    </row>
    <row r="3641" spans="1:1">
      <c r="A3641" s="149" t="s">
        <v>5617</v>
      </c>
    </row>
    <row r="3642" spans="1:1">
      <c r="A3642" s="149" t="s">
        <v>5618</v>
      </c>
    </row>
    <row r="3643" spans="1:1">
      <c r="A3643" s="149" t="s">
        <v>5619</v>
      </c>
    </row>
    <row r="3644" spans="1:1">
      <c r="A3644" s="149" t="s">
        <v>5620</v>
      </c>
    </row>
    <row r="3645" spans="1:1">
      <c r="A3645" s="149" t="s">
        <v>5621</v>
      </c>
    </row>
    <row r="3646" spans="1:1">
      <c r="A3646" s="149" t="s">
        <v>5622</v>
      </c>
    </row>
    <row r="3647" spans="1:1">
      <c r="A3647" s="149" t="s">
        <v>5623</v>
      </c>
    </row>
    <row r="3648" spans="1:1">
      <c r="A3648" s="149" t="s">
        <v>5624</v>
      </c>
    </row>
    <row r="3649" spans="1:1">
      <c r="A3649" s="149" t="s">
        <v>5625</v>
      </c>
    </row>
    <row r="3650" spans="1:1">
      <c r="A3650" s="149" t="s">
        <v>5626</v>
      </c>
    </row>
    <row r="3651" spans="1:1">
      <c r="A3651" s="149" t="s">
        <v>5627</v>
      </c>
    </row>
    <row r="3652" spans="1:1">
      <c r="A3652" s="149" t="s">
        <v>5628</v>
      </c>
    </row>
    <row r="3653" spans="1:1">
      <c r="A3653" s="149" t="s">
        <v>5629</v>
      </c>
    </row>
    <row r="3654" spans="1:1">
      <c r="A3654" s="149" t="s">
        <v>5630</v>
      </c>
    </row>
    <row r="3655" spans="1:1">
      <c r="A3655" s="149" t="s">
        <v>5631</v>
      </c>
    </row>
    <row r="3656" spans="1:1">
      <c r="A3656" s="149" t="s">
        <v>5632</v>
      </c>
    </row>
    <row r="3657" spans="1:1">
      <c r="A3657" s="149" t="s">
        <v>5633</v>
      </c>
    </row>
    <row r="3658" spans="1:1">
      <c r="A3658" s="149" t="s">
        <v>5634</v>
      </c>
    </row>
    <row r="3659" spans="1:1">
      <c r="A3659" s="149" t="s">
        <v>5635</v>
      </c>
    </row>
    <row r="3660" spans="1:1">
      <c r="A3660" s="149" t="s">
        <v>5636</v>
      </c>
    </row>
    <row r="3661" spans="1:1">
      <c r="A3661" s="149" t="s">
        <v>5637</v>
      </c>
    </row>
    <row r="3662" spans="1:1">
      <c r="A3662" s="149" t="s">
        <v>5638</v>
      </c>
    </row>
    <row r="3663" spans="1:1">
      <c r="A3663" s="149" t="s">
        <v>5639</v>
      </c>
    </row>
    <row r="3664" spans="1:1">
      <c r="A3664" s="149" t="s">
        <v>5640</v>
      </c>
    </row>
    <row r="3665" spans="1:1">
      <c r="A3665" s="149" t="s">
        <v>5641</v>
      </c>
    </row>
    <row r="3666" spans="1:1">
      <c r="A3666" s="149" t="s">
        <v>5642</v>
      </c>
    </row>
    <row r="3667" spans="1:1">
      <c r="A3667" s="149" t="s">
        <v>5643</v>
      </c>
    </row>
    <row r="3668" spans="1:1">
      <c r="A3668" s="149" t="s">
        <v>5644</v>
      </c>
    </row>
    <row r="3669" spans="1:1">
      <c r="A3669" s="149" t="s">
        <v>5645</v>
      </c>
    </row>
    <row r="3670" spans="1:1">
      <c r="A3670" s="149" t="s">
        <v>5646</v>
      </c>
    </row>
    <row r="3671" spans="1:1">
      <c r="A3671" s="149" t="s">
        <v>5647</v>
      </c>
    </row>
    <row r="3672" spans="1:1">
      <c r="A3672" s="149" t="s">
        <v>5648</v>
      </c>
    </row>
    <row r="3673" spans="1:1">
      <c r="A3673" s="149" t="s">
        <v>5649</v>
      </c>
    </row>
    <row r="3674" spans="1:1">
      <c r="A3674" s="149" t="s">
        <v>5650</v>
      </c>
    </row>
    <row r="3675" spans="1:1">
      <c r="A3675" s="149" t="s">
        <v>5651</v>
      </c>
    </row>
    <row r="3676" spans="1:1">
      <c r="A3676" s="149" t="s">
        <v>5652</v>
      </c>
    </row>
    <row r="3677" spans="1:1">
      <c r="A3677" s="149" t="s">
        <v>5653</v>
      </c>
    </row>
    <row r="3678" spans="1:1">
      <c r="A3678" s="149" t="s">
        <v>5654</v>
      </c>
    </row>
    <row r="3679" spans="1:1">
      <c r="A3679" s="149" t="s">
        <v>5655</v>
      </c>
    </row>
    <row r="3680" spans="1:1">
      <c r="A3680" s="149" t="s">
        <v>5656</v>
      </c>
    </row>
    <row r="3681" spans="1:1">
      <c r="A3681" s="149" t="s">
        <v>5657</v>
      </c>
    </row>
    <row r="3682" spans="1:1">
      <c r="A3682" s="149" t="s">
        <v>5658</v>
      </c>
    </row>
    <row r="3683" spans="1:1">
      <c r="A3683" s="149" t="s">
        <v>5659</v>
      </c>
    </row>
    <row r="3684" spans="1:1">
      <c r="A3684" s="149" t="s">
        <v>5660</v>
      </c>
    </row>
    <row r="3685" spans="1:1">
      <c r="A3685" s="149" t="s">
        <v>5661</v>
      </c>
    </row>
    <row r="3686" spans="1:1">
      <c r="A3686" s="149" t="s">
        <v>5662</v>
      </c>
    </row>
    <row r="3687" spans="1:1">
      <c r="A3687" s="149" t="s">
        <v>5663</v>
      </c>
    </row>
    <row r="3688" spans="1:1">
      <c r="A3688" s="149" t="s">
        <v>5664</v>
      </c>
    </row>
    <row r="3689" spans="1:1">
      <c r="A3689" s="149" t="s">
        <v>5665</v>
      </c>
    </row>
    <row r="3690" spans="1:1">
      <c r="A3690" s="149" t="s">
        <v>5666</v>
      </c>
    </row>
    <row r="3691" spans="1:1">
      <c r="A3691" s="149" t="s">
        <v>5667</v>
      </c>
    </row>
    <row r="3692" spans="1:1">
      <c r="A3692" s="149" t="s">
        <v>5668</v>
      </c>
    </row>
    <row r="3693" spans="1:1">
      <c r="A3693" s="149" t="s">
        <v>5669</v>
      </c>
    </row>
    <row r="3694" spans="1:1">
      <c r="A3694" s="149" t="s">
        <v>5670</v>
      </c>
    </row>
    <row r="3695" spans="1:1">
      <c r="A3695" s="149" t="s">
        <v>5671</v>
      </c>
    </row>
    <row r="3696" spans="1:1">
      <c r="A3696" s="149" t="s">
        <v>5672</v>
      </c>
    </row>
    <row r="3697" spans="1:1">
      <c r="A3697" s="149" t="s">
        <v>5673</v>
      </c>
    </row>
    <row r="3698" spans="1:1">
      <c r="A3698" s="149" t="s">
        <v>5674</v>
      </c>
    </row>
    <row r="3699" spans="1:1">
      <c r="A3699" s="149" t="s">
        <v>5675</v>
      </c>
    </row>
    <row r="3700" spans="1:1">
      <c r="A3700" s="149" t="s">
        <v>5676</v>
      </c>
    </row>
    <row r="3701" spans="1:1">
      <c r="A3701" s="149" t="s">
        <v>5677</v>
      </c>
    </row>
    <row r="3702" spans="1:1">
      <c r="A3702" s="149" t="s">
        <v>5678</v>
      </c>
    </row>
    <row r="3703" spans="1:1">
      <c r="A3703" s="149" t="s">
        <v>5679</v>
      </c>
    </row>
    <row r="3704" spans="1:1">
      <c r="A3704" s="149" t="s">
        <v>5680</v>
      </c>
    </row>
    <row r="3705" spans="1:1">
      <c r="A3705" s="149" t="s">
        <v>5681</v>
      </c>
    </row>
    <row r="3706" spans="1:1">
      <c r="A3706" s="149" t="s">
        <v>5682</v>
      </c>
    </row>
    <row r="3707" spans="1:1">
      <c r="A3707" s="149" t="s">
        <v>5683</v>
      </c>
    </row>
    <row r="3708" spans="1:1">
      <c r="A3708" s="149" t="s">
        <v>5684</v>
      </c>
    </row>
    <row r="3709" spans="1:1">
      <c r="A3709" s="149" t="s">
        <v>5685</v>
      </c>
    </row>
    <row r="3710" spans="1:1">
      <c r="A3710" s="149" t="s">
        <v>5686</v>
      </c>
    </row>
    <row r="3711" spans="1:1">
      <c r="A3711" s="149" t="s">
        <v>5687</v>
      </c>
    </row>
    <row r="3712" spans="1:1">
      <c r="A3712" s="149" t="s">
        <v>5688</v>
      </c>
    </row>
    <row r="3713" spans="1:1">
      <c r="A3713" s="149" t="s">
        <v>5689</v>
      </c>
    </row>
    <row r="3714" spans="1:1">
      <c r="A3714" s="149" t="s">
        <v>5690</v>
      </c>
    </row>
    <row r="3715" spans="1:1">
      <c r="A3715" s="149" t="s">
        <v>5691</v>
      </c>
    </row>
    <row r="3716" spans="1:1">
      <c r="A3716" s="149" t="s">
        <v>5692</v>
      </c>
    </row>
    <row r="3717" spans="1:1">
      <c r="A3717" s="149" t="s">
        <v>5693</v>
      </c>
    </row>
    <row r="3718" spans="1:1">
      <c r="A3718" s="149" t="s">
        <v>5694</v>
      </c>
    </row>
    <row r="3719" spans="1:1">
      <c r="A3719" s="149" t="s">
        <v>5695</v>
      </c>
    </row>
    <row r="3720" spans="1:1">
      <c r="A3720" s="149" t="s">
        <v>5696</v>
      </c>
    </row>
    <row r="3721" spans="1:1">
      <c r="A3721" s="149" t="s">
        <v>5697</v>
      </c>
    </row>
    <row r="3722" spans="1:1">
      <c r="A3722" s="149" t="s">
        <v>5698</v>
      </c>
    </row>
    <row r="3723" spans="1:1">
      <c r="A3723" s="149" t="s">
        <v>5699</v>
      </c>
    </row>
    <row r="3724" spans="1:1">
      <c r="A3724" s="149" t="s">
        <v>5700</v>
      </c>
    </row>
    <row r="3725" spans="1:1">
      <c r="A3725" s="149" t="s">
        <v>5701</v>
      </c>
    </row>
    <row r="3726" spans="1:1">
      <c r="A3726" s="149" t="s">
        <v>5702</v>
      </c>
    </row>
    <row r="3727" spans="1:1">
      <c r="A3727" s="149" t="s">
        <v>5703</v>
      </c>
    </row>
    <row r="3728" spans="1:1">
      <c r="A3728" s="149" t="s">
        <v>5704</v>
      </c>
    </row>
    <row r="3729" spans="1:1">
      <c r="A3729" s="149" t="s">
        <v>5705</v>
      </c>
    </row>
    <row r="3730" spans="1:1">
      <c r="A3730" s="149" t="s">
        <v>5706</v>
      </c>
    </row>
    <row r="3731" spans="1:1">
      <c r="A3731" s="149" t="s">
        <v>5707</v>
      </c>
    </row>
    <row r="3732" spans="1:1">
      <c r="A3732" s="149" t="s">
        <v>5708</v>
      </c>
    </row>
    <row r="3733" spans="1:1">
      <c r="A3733" s="149" t="s">
        <v>5709</v>
      </c>
    </row>
    <row r="3734" spans="1:1">
      <c r="A3734" s="149" t="s">
        <v>5710</v>
      </c>
    </row>
    <row r="3735" spans="1:1">
      <c r="A3735" s="149" t="s">
        <v>5711</v>
      </c>
    </row>
    <row r="3736" spans="1:1">
      <c r="A3736" s="149" t="s">
        <v>5712</v>
      </c>
    </row>
    <row r="3737" spans="1:1">
      <c r="A3737" s="149" t="s">
        <v>5713</v>
      </c>
    </row>
    <row r="3738" spans="1:1">
      <c r="A3738" s="149" t="s">
        <v>5714</v>
      </c>
    </row>
    <row r="3739" spans="1:1">
      <c r="A3739" s="149" t="s">
        <v>5715</v>
      </c>
    </row>
    <row r="3740" spans="1:1">
      <c r="A3740" s="149" t="s">
        <v>5716</v>
      </c>
    </row>
    <row r="3741" spans="1:1">
      <c r="A3741" s="149" t="s">
        <v>5717</v>
      </c>
    </row>
    <row r="3742" spans="1:1">
      <c r="A3742" s="149" t="s">
        <v>5718</v>
      </c>
    </row>
    <row r="3743" spans="1:1">
      <c r="A3743" s="149" t="s">
        <v>5719</v>
      </c>
    </row>
    <row r="3744" spans="1:1">
      <c r="A3744" s="149" t="s">
        <v>5720</v>
      </c>
    </row>
    <row r="3745" spans="1:1">
      <c r="A3745" s="149" t="s">
        <v>5721</v>
      </c>
    </row>
    <row r="3746" spans="1:1">
      <c r="A3746" s="149" t="s">
        <v>5722</v>
      </c>
    </row>
    <row r="3747" spans="1:1">
      <c r="A3747" s="149" t="s">
        <v>5723</v>
      </c>
    </row>
    <row r="3748" spans="1:1">
      <c r="A3748" s="149" t="s">
        <v>5724</v>
      </c>
    </row>
    <row r="3749" spans="1:1">
      <c r="A3749" s="149" t="s">
        <v>5725</v>
      </c>
    </row>
    <row r="3750" spans="1:1">
      <c r="A3750" s="149" t="s">
        <v>5726</v>
      </c>
    </row>
    <row r="3751" spans="1:1">
      <c r="A3751" s="149" t="s">
        <v>5727</v>
      </c>
    </row>
    <row r="3752" spans="1:1">
      <c r="A3752" s="149" t="s">
        <v>5728</v>
      </c>
    </row>
    <row r="3753" spans="1:1">
      <c r="A3753" s="149" t="s">
        <v>5729</v>
      </c>
    </row>
    <row r="3754" spans="1:1">
      <c r="A3754" s="149" t="s">
        <v>5730</v>
      </c>
    </row>
    <row r="3755" spans="1:1">
      <c r="A3755" s="149" t="s">
        <v>5731</v>
      </c>
    </row>
    <row r="3756" spans="1:1">
      <c r="A3756" s="149" t="s">
        <v>5732</v>
      </c>
    </row>
    <row r="3757" spans="1:1">
      <c r="A3757" s="149" t="s">
        <v>5733</v>
      </c>
    </row>
    <row r="3758" spans="1:1">
      <c r="A3758" s="149" t="s">
        <v>5734</v>
      </c>
    </row>
    <row r="3759" spans="1:1">
      <c r="A3759" s="149" t="s">
        <v>5735</v>
      </c>
    </row>
    <row r="3760" spans="1:1">
      <c r="A3760" s="149" t="s">
        <v>5736</v>
      </c>
    </row>
    <row r="3761" spans="1:1">
      <c r="A3761" s="149" t="s">
        <v>5737</v>
      </c>
    </row>
    <row r="3762" spans="1:1">
      <c r="A3762" s="149" t="s">
        <v>5738</v>
      </c>
    </row>
    <row r="3763" spans="1:1">
      <c r="A3763" s="149" t="s">
        <v>5739</v>
      </c>
    </row>
    <row r="3764" spans="1:1">
      <c r="A3764" s="149" t="s">
        <v>5740</v>
      </c>
    </row>
    <row r="3765" spans="1:1">
      <c r="A3765" s="149" t="s">
        <v>5741</v>
      </c>
    </row>
    <row r="3766" spans="1:1">
      <c r="A3766" s="149" t="s">
        <v>5742</v>
      </c>
    </row>
    <row r="3767" spans="1:1">
      <c r="A3767" s="149" t="s">
        <v>5743</v>
      </c>
    </row>
    <row r="3768" spans="1:1">
      <c r="A3768" s="149" t="s">
        <v>5744</v>
      </c>
    </row>
    <row r="3769" spans="1:1">
      <c r="A3769" s="149" t="s">
        <v>5745</v>
      </c>
    </row>
    <row r="3770" spans="1:1">
      <c r="A3770" s="149" t="s">
        <v>5746</v>
      </c>
    </row>
    <row r="3771" spans="1:1">
      <c r="A3771" s="149" t="s">
        <v>5747</v>
      </c>
    </row>
    <row r="3772" spans="1:1">
      <c r="A3772" s="149" t="s">
        <v>5748</v>
      </c>
    </row>
    <row r="3773" spans="1:1">
      <c r="A3773" s="149" t="s">
        <v>5749</v>
      </c>
    </row>
    <row r="3774" spans="1:1">
      <c r="A3774" s="149" t="s">
        <v>5750</v>
      </c>
    </row>
    <row r="3775" spans="1:1">
      <c r="A3775" s="149" t="s">
        <v>5751</v>
      </c>
    </row>
    <row r="3776" spans="1:1">
      <c r="A3776" s="149" t="s">
        <v>5752</v>
      </c>
    </row>
    <row r="3777" spans="1:1">
      <c r="A3777" s="149" t="s">
        <v>5753</v>
      </c>
    </row>
    <row r="3778" spans="1:1">
      <c r="A3778" s="149" t="s">
        <v>5754</v>
      </c>
    </row>
    <row r="3779" spans="1:1">
      <c r="A3779" s="149" t="s">
        <v>5755</v>
      </c>
    </row>
    <row r="3780" spans="1:1">
      <c r="A3780" s="149" t="s">
        <v>5756</v>
      </c>
    </row>
    <row r="3781" spans="1:1">
      <c r="A3781" s="149" t="s">
        <v>5757</v>
      </c>
    </row>
    <row r="3782" spans="1:1">
      <c r="A3782" s="149" t="s">
        <v>5758</v>
      </c>
    </row>
    <row r="3783" spans="1:1">
      <c r="A3783" s="149" t="s">
        <v>5759</v>
      </c>
    </row>
    <row r="3784" spans="1:1">
      <c r="A3784" s="149" t="s">
        <v>5760</v>
      </c>
    </row>
    <row r="3785" spans="1:1">
      <c r="A3785" s="149" t="s">
        <v>5761</v>
      </c>
    </row>
    <row r="3786" spans="1:1">
      <c r="A3786" s="149" t="s">
        <v>5762</v>
      </c>
    </row>
    <row r="3787" spans="1:1">
      <c r="A3787" s="149" t="s">
        <v>5763</v>
      </c>
    </row>
    <row r="3788" spans="1:1">
      <c r="A3788" s="149" t="s">
        <v>5764</v>
      </c>
    </row>
    <row r="3789" spans="1:1">
      <c r="A3789" s="149" t="s">
        <v>5765</v>
      </c>
    </row>
    <row r="3790" spans="1:1">
      <c r="A3790" s="149" t="s">
        <v>5766</v>
      </c>
    </row>
    <row r="3791" spans="1:1">
      <c r="A3791" s="149" t="s">
        <v>5767</v>
      </c>
    </row>
    <row r="3792" spans="1:1">
      <c r="A3792" s="149" t="s">
        <v>5768</v>
      </c>
    </row>
    <row r="3793" spans="1:1">
      <c r="A3793" s="149" t="s">
        <v>5769</v>
      </c>
    </row>
    <row r="3794" spans="1:1">
      <c r="A3794" s="149" t="s">
        <v>5770</v>
      </c>
    </row>
    <row r="3795" spans="1:1">
      <c r="A3795" s="149" t="s">
        <v>5771</v>
      </c>
    </row>
    <row r="3796" spans="1:1">
      <c r="A3796" s="149" t="s">
        <v>5772</v>
      </c>
    </row>
    <row r="3797" spans="1:1">
      <c r="A3797" s="149" t="s">
        <v>5773</v>
      </c>
    </row>
    <row r="3798" spans="1:1">
      <c r="A3798" s="149" t="s">
        <v>5774</v>
      </c>
    </row>
    <row r="3799" spans="1:1">
      <c r="A3799" s="149" t="s">
        <v>5775</v>
      </c>
    </row>
    <row r="3800" spans="1:1">
      <c r="A3800" s="149" t="s">
        <v>5776</v>
      </c>
    </row>
    <row r="3801" spans="1:1">
      <c r="A3801" s="149" t="s">
        <v>5777</v>
      </c>
    </row>
    <row r="3802" spans="1:1">
      <c r="A3802" s="149" t="s">
        <v>5778</v>
      </c>
    </row>
    <row r="3803" spans="1:1">
      <c r="A3803" s="149" t="s">
        <v>5779</v>
      </c>
    </row>
    <row r="3804" spans="1:1">
      <c r="A3804" s="149" t="s">
        <v>5780</v>
      </c>
    </row>
    <row r="3805" spans="1:1">
      <c r="A3805" s="149" t="s">
        <v>5781</v>
      </c>
    </row>
    <row r="3806" spans="1:1">
      <c r="A3806" s="149" t="s">
        <v>5782</v>
      </c>
    </row>
    <row r="3807" spans="1:1">
      <c r="A3807" s="149" t="s">
        <v>5783</v>
      </c>
    </row>
    <row r="3808" spans="1:1">
      <c r="A3808" s="149" t="s">
        <v>5784</v>
      </c>
    </row>
    <row r="3809" spans="1:1">
      <c r="A3809" s="149" t="s">
        <v>5785</v>
      </c>
    </row>
    <row r="3810" spans="1:1">
      <c r="A3810" s="149" t="s">
        <v>5786</v>
      </c>
    </row>
    <row r="3811" spans="1:1">
      <c r="A3811" s="149" t="s">
        <v>5787</v>
      </c>
    </row>
    <row r="3812" spans="1:1">
      <c r="A3812" s="149" t="s">
        <v>5788</v>
      </c>
    </row>
    <row r="3813" spans="1:1">
      <c r="A3813" s="149" t="s">
        <v>5789</v>
      </c>
    </row>
    <row r="3814" spans="1:1">
      <c r="A3814" s="149" t="s">
        <v>5790</v>
      </c>
    </row>
    <row r="3815" spans="1:1">
      <c r="A3815" s="149" t="s">
        <v>5791</v>
      </c>
    </row>
    <row r="3816" spans="1:1">
      <c r="A3816" s="149" t="s">
        <v>5792</v>
      </c>
    </row>
    <row r="3817" spans="1:1">
      <c r="A3817" s="149" t="s">
        <v>5793</v>
      </c>
    </row>
    <row r="3818" spans="1:1">
      <c r="A3818" s="149" t="s">
        <v>5794</v>
      </c>
    </row>
    <row r="3819" spans="1:1">
      <c r="A3819" s="149" t="s">
        <v>5795</v>
      </c>
    </row>
    <row r="3820" spans="1:1">
      <c r="A3820" s="149" t="s">
        <v>5796</v>
      </c>
    </row>
    <row r="3821" spans="1:1">
      <c r="A3821" s="149" t="s">
        <v>5797</v>
      </c>
    </row>
    <row r="3822" spans="1:1">
      <c r="A3822" s="149" t="s">
        <v>5798</v>
      </c>
    </row>
    <row r="3823" spans="1:1">
      <c r="A3823" s="149" t="s">
        <v>5799</v>
      </c>
    </row>
    <row r="3824" spans="1:1">
      <c r="A3824" s="149" t="s">
        <v>5800</v>
      </c>
    </row>
    <row r="3825" spans="1:1">
      <c r="A3825" s="149" t="s">
        <v>5801</v>
      </c>
    </row>
    <row r="3826" spans="1:1">
      <c r="A3826" s="149" t="s">
        <v>5802</v>
      </c>
    </row>
    <row r="3827" spans="1:1">
      <c r="A3827" s="149" t="s">
        <v>5803</v>
      </c>
    </row>
    <row r="3828" spans="1:1">
      <c r="A3828" s="149" t="s">
        <v>5804</v>
      </c>
    </row>
    <row r="3829" spans="1:1">
      <c r="A3829" s="149" t="s">
        <v>5805</v>
      </c>
    </row>
    <row r="3830" spans="1:1">
      <c r="A3830" s="149" t="s">
        <v>5806</v>
      </c>
    </row>
    <row r="3831" spans="1:1">
      <c r="A3831" s="149" t="s">
        <v>5807</v>
      </c>
    </row>
    <row r="3832" spans="1:1">
      <c r="A3832" s="149" t="s">
        <v>5808</v>
      </c>
    </row>
    <row r="3833" spans="1:1">
      <c r="A3833" s="149" t="s">
        <v>5809</v>
      </c>
    </row>
    <row r="3834" spans="1:1">
      <c r="A3834" s="149" t="s">
        <v>5810</v>
      </c>
    </row>
    <row r="3835" spans="1:1">
      <c r="A3835" s="149" t="s">
        <v>5811</v>
      </c>
    </row>
    <row r="3836" spans="1:1">
      <c r="A3836" s="149" t="s">
        <v>5812</v>
      </c>
    </row>
    <row r="3837" spans="1:1">
      <c r="A3837" s="149" t="s">
        <v>5813</v>
      </c>
    </row>
    <row r="3838" spans="1:1">
      <c r="A3838" s="149" t="s">
        <v>5814</v>
      </c>
    </row>
    <row r="3839" spans="1:1">
      <c r="A3839" s="149" t="s">
        <v>5815</v>
      </c>
    </row>
    <row r="3840" spans="1:1">
      <c r="A3840" s="149" t="s">
        <v>5816</v>
      </c>
    </row>
    <row r="3841" spans="1:1">
      <c r="A3841" s="149" t="s">
        <v>5817</v>
      </c>
    </row>
    <row r="3842" spans="1:1">
      <c r="A3842" s="149" t="s">
        <v>5818</v>
      </c>
    </row>
    <row r="3843" spans="1:1">
      <c r="A3843" s="149" t="s">
        <v>5819</v>
      </c>
    </row>
    <row r="3844" spans="1:1">
      <c r="A3844" s="149" t="s">
        <v>5820</v>
      </c>
    </row>
    <row r="3845" spans="1:1">
      <c r="A3845" s="149" t="s">
        <v>5821</v>
      </c>
    </row>
    <row r="3846" spans="1:1">
      <c r="A3846" s="149" t="s">
        <v>5822</v>
      </c>
    </row>
    <row r="3847" spans="1:1">
      <c r="A3847" s="149" t="s">
        <v>5823</v>
      </c>
    </row>
    <row r="3848" spans="1:1">
      <c r="A3848" s="149" t="s">
        <v>5824</v>
      </c>
    </row>
    <row r="3849" spans="1:1">
      <c r="A3849" s="149" t="s">
        <v>5825</v>
      </c>
    </row>
    <row r="3850" spans="1:1">
      <c r="A3850" s="149" t="s">
        <v>5826</v>
      </c>
    </row>
    <row r="3851" spans="1:1">
      <c r="A3851" s="149" t="s">
        <v>5827</v>
      </c>
    </row>
    <row r="3852" spans="1:1">
      <c r="A3852" s="149" t="s">
        <v>5828</v>
      </c>
    </row>
    <row r="3853" spans="1:1">
      <c r="A3853" s="149" t="s">
        <v>5829</v>
      </c>
    </row>
    <row r="3854" spans="1:1">
      <c r="A3854" s="149" t="s">
        <v>5830</v>
      </c>
    </row>
    <row r="3855" spans="1:1">
      <c r="A3855" s="149" t="s">
        <v>5831</v>
      </c>
    </row>
    <row r="3856" spans="1:1">
      <c r="A3856" s="149" t="s">
        <v>5832</v>
      </c>
    </row>
    <row r="3857" spans="1:1">
      <c r="A3857" s="149" t="s">
        <v>5833</v>
      </c>
    </row>
    <row r="3858" spans="1:1">
      <c r="A3858" s="149" t="s">
        <v>5834</v>
      </c>
    </row>
    <row r="3859" spans="1:1">
      <c r="A3859" s="149" t="s">
        <v>5835</v>
      </c>
    </row>
    <row r="3860" spans="1:1">
      <c r="A3860" s="149" t="s">
        <v>5836</v>
      </c>
    </row>
    <row r="3861" spans="1:1">
      <c r="A3861" s="149" t="s">
        <v>5837</v>
      </c>
    </row>
    <row r="3862" spans="1:1">
      <c r="A3862" s="149" t="s">
        <v>5838</v>
      </c>
    </row>
    <row r="3863" spans="1:1">
      <c r="A3863" s="149" t="s">
        <v>5839</v>
      </c>
    </row>
    <row r="3864" spans="1:1">
      <c r="A3864" s="149" t="s">
        <v>5840</v>
      </c>
    </row>
    <row r="3865" spans="1:1">
      <c r="A3865" s="149" t="s">
        <v>5841</v>
      </c>
    </row>
    <row r="3866" spans="1:1">
      <c r="A3866" s="149" t="s">
        <v>5842</v>
      </c>
    </row>
    <row r="3867" spans="1:1">
      <c r="A3867" s="149" t="s">
        <v>5843</v>
      </c>
    </row>
    <row r="3868" spans="1:1">
      <c r="A3868" s="149" t="s">
        <v>5844</v>
      </c>
    </row>
    <row r="3869" spans="1:1">
      <c r="A3869" s="149" t="s">
        <v>5845</v>
      </c>
    </row>
    <row r="3870" spans="1:1">
      <c r="A3870" s="149" t="s">
        <v>5846</v>
      </c>
    </row>
    <row r="3871" spans="1:1">
      <c r="A3871" s="149" t="s">
        <v>5847</v>
      </c>
    </row>
    <row r="3872" spans="1:1">
      <c r="A3872" s="149" t="s">
        <v>5848</v>
      </c>
    </row>
    <row r="3873" spans="1:1">
      <c r="A3873" s="149" t="s">
        <v>5849</v>
      </c>
    </row>
    <row r="3874" spans="1:1">
      <c r="A3874" s="149" t="s">
        <v>5850</v>
      </c>
    </row>
    <row r="3875" spans="1:1">
      <c r="A3875" s="149" t="s">
        <v>5851</v>
      </c>
    </row>
    <row r="3876" spans="1:1">
      <c r="A3876" s="149" t="s">
        <v>5852</v>
      </c>
    </row>
    <row r="3877" spans="1:1">
      <c r="A3877" s="149" t="s">
        <v>5853</v>
      </c>
    </row>
    <row r="3878" spans="1:1">
      <c r="A3878" s="149" t="s">
        <v>5854</v>
      </c>
    </row>
    <row r="3879" spans="1:1">
      <c r="A3879" s="149" t="s">
        <v>5855</v>
      </c>
    </row>
    <row r="3880" spans="1:1">
      <c r="A3880" s="149" t="s">
        <v>5856</v>
      </c>
    </row>
    <row r="3881" spans="1:1">
      <c r="A3881" s="149" t="s">
        <v>5857</v>
      </c>
    </row>
    <row r="3882" spans="1:1">
      <c r="A3882" s="149" t="s">
        <v>5858</v>
      </c>
    </row>
    <row r="3883" spans="1:1">
      <c r="A3883" s="149" t="s">
        <v>5859</v>
      </c>
    </row>
    <row r="3884" spans="1:1">
      <c r="A3884" s="149" t="s">
        <v>5860</v>
      </c>
    </row>
    <row r="3885" spans="1:1">
      <c r="A3885" s="149" t="s">
        <v>5861</v>
      </c>
    </row>
    <row r="3886" spans="1:1">
      <c r="A3886" s="149" t="s">
        <v>5862</v>
      </c>
    </row>
    <row r="3887" spans="1:1">
      <c r="A3887" s="149" t="s">
        <v>5863</v>
      </c>
    </row>
    <row r="3888" spans="1:1">
      <c r="A3888" s="149" t="s">
        <v>5864</v>
      </c>
    </row>
    <row r="3889" spans="1:1">
      <c r="A3889" s="149" t="s">
        <v>5865</v>
      </c>
    </row>
    <row r="3890" spans="1:1">
      <c r="A3890" s="149" t="s">
        <v>5866</v>
      </c>
    </row>
    <row r="3891" spans="1:1">
      <c r="A3891" s="149" t="s">
        <v>5867</v>
      </c>
    </row>
    <row r="3892" spans="1:1">
      <c r="A3892" s="149" t="s">
        <v>5868</v>
      </c>
    </row>
    <row r="3893" spans="1:1">
      <c r="A3893" s="149" t="s">
        <v>5869</v>
      </c>
    </row>
    <row r="3894" spans="1:1">
      <c r="A3894" s="149" t="s">
        <v>5870</v>
      </c>
    </row>
    <row r="3895" spans="1:1">
      <c r="A3895" s="149" t="s">
        <v>5871</v>
      </c>
    </row>
    <row r="3896" spans="1:1">
      <c r="A3896" s="149" t="s">
        <v>5872</v>
      </c>
    </row>
    <row r="3897" spans="1:1">
      <c r="A3897" s="149" t="s">
        <v>5873</v>
      </c>
    </row>
    <row r="3898" spans="1:1">
      <c r="A3898" s="149" t="s">
        <v>5874</v>
      </c>
    </row>
    <row r="3899" spans="1:1">
      <c r="A3899" s="149" t="s">
        <v>5875</v>
      </c>
    </row>
    <row r="3900" spans="1:1">
      <c r="A3900" s="149" t="s">
        <v>5876</v>
      </c>
    </row>
    <row r="3901" spans="1:1">
      <c r="A3901" s="149" t="s">
        <v>5877</v>
      </c>
    </row>
    <row r="3902" spans="1:1">
      <c r="A3902" s="149" t="s">
        <v>5878</v>
      </c>
    </row>
    <row r="3903" spans="1:1">
      <c r="A3903" s="149" t="s">
        <v>5879</v>
      </c>
    </row>
    <row r="3904" spans="1:1">
      <c r="A3904" s="149" t="s">
        <v>5880</v>
      </c>
    </row>
    <row r="3905" spans="1:1">
      <c r="A3905" s="149" t="s">
        <v>5881</v>
      </c>
    </row>
    <row r="3906" spans="1:1">
      <c r="A3906" s="149" t="s">
        <v>5882</v>
      </c>
    </row>
    <row r="3907" spans="1:1">
      <c r="A3907" s="149" t="s">
        <v>5883</v>
      </c>
    </row>
    <row r="3908" spans="1:1">
      <c r="A3908" s="149" t="s">
        <v>5884</v>
      </c>
    </row>
    <row r="3909" spans="1:1">
      <c r="A3909" s="149" t="s">
        <v>5885</v>
      </c>
    </row>
    <row r="3910" spans="1:1">
      <c r="A3910" s="149" t="s">
        <v>5886</v>
      </c>
    </row>
    <row r="3911" spans="1:1">
      <c r="A3911" s="149" t="s">
        <v>5887</v>
      </c>
    </row>
    <row r="3912" spans="1:1">
      <c r="A3912" s="149" t="s">
        <v>5888</v>
      </c>
    </row>
    <row r="3913" spans="1:1">
      <c r="A3913" s="149" t="s">
        <v>5889</v>
      </c>
    </row>
    <row r="3914" spans="1:1">
      <c r="A3914" s="149" t="s">
        <v>5890</v>
      </c>
    </row>
    <row r="3915" spans="1:1">
      <c r="A3915" s="149" t="s">
        <v>5891</v>
      </c>
    </row>
    <row r="3916" spans="1:1">
      <c r="A3916" s="149" t="s">
        <v>5892</v>
      </c>
    </row>
    <row r="3917" spans="1:1">
      <c r="A3917" s="149" t="s">
        <v>5893</v>
      </c>
    </row>
    <row r="3918" spans="1:1">
      <c r="A3918" s="149" t="s">
        <v>5894</v>
      </c>
    </row>
    <row r="3919" spans="1:1">
      <c r="A3919" s="149" t="s">
        <v>5895</v>
      </c>
    </row>
    <row r="3920" spans="1:1">
      <c r="A3920" s="149" t="s">
        <v>5896</v>
      </c>
    </row>
    <row r="3921" spans="1:1">
      <c r="A3921" s="149" t="s">
        <v>5897</v>
      </c>
    </row>
    <row r="3922" spans="1:1">
      <c r="A3922" s="149" t="s">
        <v>5898</v>
      </c>
    </row>
    <row r="3923" spans="1:1">
      <c r="A3923" s="149" t="s">
        <v>5899</v>
      </c>
    </row>
    <row r="3924" spans="1:1">
      <c r="A3924" s="149" t="s">
        <v>5900</v>
      </c>
    </row>
    <row r="3925" spans="1:1">
      <c r="A3925" s="149" t="s">
        <v>5901</v>
      </c>
    </row>
    <row r="3926" spans="1:1">
      <c r="A3926" s="149" t="s">
        <v>5902</v>
      </c>
    </row>
    <row r="3927" spans="1:1">
      <c r="A3927" s="149" t="s">
        <v>5903</v>
      </c>
    </row>
    <row r="3928" spans="1:1">
      <c r="A3928" s="149" t="s">
        <v>5904</v>
      </c>
    </row>
    <row r="3929" spans="1:1">
      <c r="A3929" s="149" t="s">
        <v>5905</v>
      </c>
    </row>
    <row r="3930" spans="1:1">
      <c r="A3930" s="149" t="s">
        <v>5906</v>
      </c>
    </row>
    <row r="3931" spans="1:1">
      <c r="A3931" s="149" t="s">
        <v>5907</v>
      </c>
    </row>
    <row r="3932" spans="1:1">
      <c r="A3932" s="149" t="s">
        <v>5908</v>
      </c>
    </row>
    <row r="3933" spans="1:1">
      <c r="A3933" s="149" t="s">
        <v>5909</v>
      </c>
    </row>
    <row r="3934" spans="1:1">
      <c r="A3934" s="149" t="s">
        <v>5910</v>
      </c>
    </row>
    <row r="3935" spans="1:1">
      <c r="A3935" s="149" t="s">
        <v>5911</v>
      </c>
    </row>
    <row r="3936" spans="1:1">
      <c r="A3936" s="149" t="s">
        <v>5912</v>
      </c>
    </row>
    <row r="3937" spans="1:1">
      <c r="A3937" s="149" t="s">
        <v>5913</v>
      </c>
    </row>
    <row r="3938" spans="1:1">
      <c r="A3938" s="149" t="s">
        <v>5914</v>
      </c>
    </row>
    <row r="3939" spans="1:1">
      <c r="A3939" s="149" t="s">
        <v>5915</v>
      </c>
    </row>
    <row r="3940" spans="1:1">
      <c r="A3940" s="149" t="s">
        <v>5916</v>
      </c>
    </row>
    <row r="3941" spans="1:1">
      <c r="A3941" s="149" t="s">
        <v>5917</v>
      </c>
    </row>
    <row r="3942" spans="1:1">
      <c r="A3942" s="149" t="s">
        <v>5918</v>
      </c>
    </row>
    <row r="3943" spans="1:1">
      <c r="A3943" s="149" t="s">
        <v>5919</v>
      </c>
    </row>
    <row r="3944" spans="1:1">
      <c r="A3944" s="149" t="s">
        <v>5920</v>
      </c>
    </row>
    <row r="3945" spans="1:1">
      <c r="A3945" s="149" t="s">
        <v>5921</v>
      </c>
    </row>
    <row r="3946" spans="1:1">
      <c r="A3946" s="149" t="s">
        <v>5922</v>
      </c>
    </row>
    <row r="3947" spans="1:1">
      <c r="A3947" s="149" t="s">
        <v>5923</v>
      </c>
    </row>
    <row r="3948" spans="1:1">
      <c r="A3948" s="149" t="s">
        <v>5924</v>
      </c>
    </row>
    <row r="3949" spans="1:1">
      <c r="A3949" s="149" t="s">
        <v>5925</v>
      </c>
    </row>
    <row r="3950" spans="1:1">
      <c r="A3950" s="149" t="s">
        <v>5926</v>
      </c>
    </row>
    <row r="3951" spans="1:1">
      <c r="A3951" s="149" t="s">
        <v>5927</v>
      </c>
    </row>
    <row r="3952" spans="1:1">
      <c r="A3952" s="149" t="s">
        <v>5928</v>
      </c>
    </row>
    <row r="3953" spans="1:1">
      <c r="A3953" s="149" t="s">
        <v>5929</v>
      </c>
    </row>
    <row r="3954" spans="1:1">
      <c r="A3954" s="149" t="s">
        <v>5930</v>
      </c>
    </row>
    <row r="3955" spans="1:1">
      <c r="A3955" s="149" t="s">
        <v>5931</v>
      </c>
    </row>
    <row r="3956" spans="1:1">
      <c r="A3956" s="149" t="s">
        <v>5932</v>
      </c>
    </row>
    <row r="3957" spans="1:1">
      <c r="A3957" s="149" t="s">
        <v>5933</v>
      </c>
    </row>
    <row r="3958" spans="1:1">
      <c r="A3958" s="149" t="s">
        <v>5934</v>
      </c>
    </row>
    <row r="3959" spans="1:1">
      <c r="A3959" s="149" t="s">
        <v>5935</v>
      </c>
    </row>
    <row r="3960" spans="1:1">
      <c r="A3960" s="149" t="s">
        <v>5936</v>
      </c>
    </row>
    <row r="3961" spans="1:1">
      <c r="A3961" s="149" t="s">
        <v>5937</v>
      </c>
    </row>
    <row r="3962" spans="1:1">
      <c r="A3962" s="149" t="s">
        <v>5938</v>
      </c>
    </row>
    <row r="3963" spans="1:1">
      <c r="A3963" s="149" t="s">
        <v>5939</v>
      </c>
    </row>
    <row r="3964" spans="1:1">
      <c r="A3964" s="149" t="s">
        <v>5940</v>
      </c>
    </row>
    <row r="3965" spans="1:1">
      <c r="A3965" s="149" t="s">
        <v>5941</v>
      </c>
    </row>
    <row r="3966" spans="1:1">
      <c r="A3966" s="149" t="s">
        <v>5942</v>
      </c>
    </row>
    <row r="3967" spans="1:1">
      <c r="A3967" s="149" t="s">
        <v>5943</v>
      </c>
    </row>
    <row r="3968" spans="1:1">
      <c r="A3968" s="149" t="s">
        <v>5944</v>
      </c>
    </row>
    <row r="3969" spans="1:1">
      <c r="A3969" s="149" t="s">
        <v>5945</v>
      </c>
    </row>
    <row r="3970" spans="1:1">
      <c r="A3970" s="149" t="s">
        <v>5946</v>
      </c>
    </row>
    <row r="3971" spans="1:1">
      <c r="A3971" s="149" t="s">
        <v>5947</v>
      </c>
    </row>
    <row r="3972" spans="1:1">
      <c r="A3972" s="149" t="s">
        <v>5948</v>
      </c>
    </row>
    <row r="3973" spans="1:1">
      <c r="A3973" s="149" t="s">
        <v>5949</v>
      </c>
    </row>
    <row r="3974" spans="1:1">
      <c r="A3974" s="149" t="s">
        <v>5950</v>
      </c>
    </row>
    <row r="3975" spans="1:1">
      <c r="A3975" s="149" t="s">
        <v>5951</v>
      </c>
    </row>
    <row r="3976" spans="1:1">
      <c r="A3976" s="149" t="s">
        <v>5952</v>
      </c>
    </row>
    <row r="3977" spans="1:1">
      <c r="A3977" s="149" t="s">
        <v>5953</v>
      </c>
    </row>
    <row r="3978" spans="1:1">
      <c r="A3978" s="149" t="s">
        <v>5954</v>
      </c>
    </row>
    <row r="3979" spans="1:1">
      <c r="A3979" s="149" t="s">
        <v>5955</v>
      </c>
    </row>
    <row r="3980" spans="1:1">
      <c r="A3980" s="149" t="s">
        <v>5956</v>
      </c>
    </row>
    <row r="3981" spans="1:1">
      <c r="A3981" s="149" t="s">
        <v>5957</v>
      </c>
    </row>
    <row r="3982" spans="1:1">
      <c r="A3982" s="149" t="s">
        <v>5958</v>
      </c>
    </row>
    <row r="3983" spans="1:1">
      <c r="A3983" s="149" t="s">
        <v>5959</v>
      </c>
    </row>
    <row r="3984" spans="1:1">
      <c r="A3984" s="149" t="s">
        <v>5960</v>
      </c>
    </row>
    <row r="3985" spans="1:1">
      <c r="A3985" s="149" t="s">
        <v>5961</v>
      </c>
    </row>
    <row r="3986" spans="1:1">
      <c r="A3986" s="149" t="s">
        <v>5962</v>
      </c>
    </row>
    <row r="3987" spans="1:1">
      <c r="A3987" s="149" t="s">
        <v>5963</v>
      </c>
    </row>
    <row r="3988" spans="1:1">
      <c r="A3988" s="149" t="s">
        <v>5964</v>
      </c>
    </row>
    <row r="3989" spans="1:1">
      <c r="A3989" s="149" t="s">
        <v>5965</v>
      </c>
    </row>
    <row r="3990" spans="1:1">
      <c r="A3990" s="149" t="s">
        <v>5966</v>
      </c>
    </row>
    <row r="3991" spans="1:1">
      <c r="A3991" s="149" t="s">
        <v>5967</v>
      </c>
    </row>
    <row r="3992" spans="1:1">
      <c r="A3992" s="149" t="s">
        <v>5968</v>
      </c>
    </row>
    <row r="3993" spans="1:1">
      <c r="A3993" s="149" t="s">
        <v>5969</v>
      </c>
    </row>
    <row r="3994" spans="1:1">
      <c r="A3994" s="149" t="s">
        <v>5970</v>
      </c>
    </row>
    <row r="3995" spans="1:1">
      <c r="A3995" s="149" t="s">
        <v>5971</v>
      </c>
    </row>
    <row r="3996" spans="1:1">
      <c r="A3996" s="149" t="s">
        <v>5972</v>
      </c>
    </row>
    <row r="3997" spans="1:1">
      <c r="A3997" s="149" t="s">
        <v>5973</v>
      </c>
    </row>
    <row r="3998" spans="1:1">
      <c r="A3998" s="149" t="s">
        <v>5974</v>
      </c>
    </row>
    <row r="3999" spans="1:1">
      <c r="A3999" s="149" t="s">
        <v>5975</v>
      </c>
    </row>
    <row r="4000" spans="1:1">
      <c r="A4000" s="149" t="s">
        <v>5976</v>
      </c>
    </row>
    <row r="4001" spans="1:1">
      <c r="A4001" s="149" t="s">
        <v>5977</v>
      </c>
    </row>
    <row r="4002" spans="1:1">
      <c r="A4002" s="149" t="s">
        <v>5978</v>
      </c>
    </row>
    <row r="4003" spans="1:1">
      <c r="A4003" s="149" t="s">
        <v>5979</v>
      </c>
    </row>
    <row r="4004" spans="1:1">
      <c r="A4004" s="149" t="s">
        <v>5980</v>
      </c>
    </row>
    <row r="4005" spans="1:1">
      <c r="A4005" s="149" t="s">
        <v>5981</v>
      </c>
    </row>
    <row r="4006" spans="1:1">
      <c r="A4006" s="149" t="s">
        <v>5982</v>
      </c>
    </row>
    <row r="4007" spans="1:1">
      <c r="A4007" s="149" t="s">
        <v>5983</v>
      </c>
    </row>
    <row r="4008" spans="1:1">
      <c r="A4008" s="149" t="s">
        <v>5984</v>
      </c>
    </row>
    <row r="4009" spans="1:1">
      <c r="A4009" s="149" t="s">
        <v>5985</v>
      </c>
    </row>
    <row r="4010" spans="1:1">
      <c r="A4010" s="149" t="s">
        <v>5986</v>
      </c>
    </row>
    <row r="4011" spans="1:1">
      <c r="A4011" s="149" t="s">
        <v>5987</v>
      </c>
    </row>
    <row r="4012" spans="1:1">
      <c r="A4012" s="149" t="s">
        <v>5988</v>
      </c>
    </row>
    <row r="4013" spans="1:1">
      <c r="A4013" s="149" t="s">
        <v>5989</v>
      </c>
    </row>
    <row r="4014" spans="1:1">
      <c r="A4014" s="149" t="s">
        <v>5990</v>
      </c>
    </row>
    <row r="4015" spans="1:1">
      <c r="A4015" s="149" t="s">
        <v>5991</v>
      </c>
    </row>
    <row r="4016" spans="1:1">
      <c r="A4016" s="149" t="s">
        <v>5992</v>
      </c>
    </row>
    <row r="4017" spans="1:1">
      <c r="A4017" s="149" t="s">
        <v>5993</v>
      </c>
    </row>
    <row r="4018" spans="1:1">
      <c r="A4018" s="149" t="s">
        <v>5994</v>
      </c>
    </row>
    <row r="4019" spans="1:1">
      <c r="A4019" s="149" t="s">
        <v>5995</v>
      </c>
    </row>
    <row r="4020" spans="1:1">
      <c r="A4020" s="149" t="s">
        <v>5996</v>
      </c>
    </row>
    <row r="4021" spans="1:1">
      <c r="A4021" s="149" t="s">
        <v>5997</v>
      </c>
    </row>
    <row r="4022" spans="1:1">
      <c r="A4022" s="149" t="s">
        <v>5998</v>
      </c>
    </row>
    <row r="4023" spans="1:1">
      <c r="A4023" s="149" t="s">
        <v>5999</v>
      </c>
    </row>
    <row r="4024" spans="1:1">
      <c r="A4024" s="149" t="s">
        <v>6000</v>
      </c>
    </row>
    <row r="4025" spans="1:1">
      <c r="A4025" s="149" t="s">
        <v>6001</v>
      </c>
    </row>
    <row r="4026" spans="1:1">
      <c r="A4026" s="149" t="s">
        <v>6002</v>
      </c>
    </row>
    <row r="4027" spans="1:1">
      <c r="A4027" s="149" t="s">
        <v>6003</v>
      </c>
    </row>
    <row r="4028" spans="1:1">
      <c r="A4028" s="149" t="s">
        <v>6004</v>
      </c>
    </row>
    <row r="4029" spans="1:1">
      <c r="A4029" s="149" t="s">
        <v>6005</v>
      </c>
    </row>
    <row r="4030" spans="1:1">
      <c r="A4030" s="149" t="s">
        <v>6006</v>
      </c>
    </row>
    <row r="4031" spans="1:1">
      <c r="A4031" s="149" t="s">
        <v>6007</v>
      </c>
    </row>
    <row r="4032" spans="1:1">
      <c r="A4032" s="149" t="s">
        <v>6008</v>
      </c>
    </row>
    <row r="4033" spans="1:1">
      <c r="A4033" s="149" t="s">
        <v>6009</v>
      </c>
    </row>
    <row r="4034" spans="1:1">
      <c r="A4034" s="149" t="s">
        <v>6010</v>
      </c>
    </row>
    <row r="4035" spans="1:1">
      <c r="A4035" s="149" t="s">
        <v>6011</v>
      </c>
    </row>
    <row r="4036" spans="1:1">
      <c r="A4036" s="149" t="s">
        <v>6012</v>
      </c>
    </row>
    <row r="4037" spans="1:1">
      <c r="A4037" s="149" t="s">
        <v>6013</v>
      </c>
    </row>
    <row r="4038" spans="1:1">
      <c r="A4038" s="149" t="s">
        <v>6014</v>
      </c>
    </row>
    <row r="4039" spans="1:1">
      <c r="A4039" s="149" t="s">
        <v>6015</v>
      </c>
    </row>
    <row r="4040" spans="1:1">
      <c r="A4040" s="149" t="s">
        <v>6016</v>
      </c>
    </row>
    <row r="4041" spans="1:1">
      <c r="A4041" s="149" t="s">
        <v>6017</v>
      </c>
    </row>
    <row r="4042" spans="1:1">
      <c r="A4042" s="149" t="s">
        <v>6018</v>
      </c>
    </row>
    <row r="4043" spans="1:1">
      <c r="A4043" s="149" t="s">
        <v>6019</v>
      </c>
    </row>
    <row r="4044" spans="1:1">
      <c r="A4044" s="149" t="s">
        <v>6020</v>
      </c>
    </row>
    <row r="4045" spans="1:1">
      <c r="A4045" s="149" t="s">
        <v>6021</v>
      </c>
    </row>
    <row r="4046" spans="1:1">
      <c r="A4046" s="149" t="s">
        <v>6022</v>
      </c>
    </row>
    <row r="4047" spans="1:1">
      <c r="A4047" s="149" t="s">
        <v>6023</v>
      </c>
    </row>
    <row r="4048" spans="1:1">
      <c r="A4048" s="149" t="s">
        <v>6024</v>
      </c>
    </row>
    <row r="4049" spans="1:1">
      <c r="A4049" s="149" t="s">
        <v>6025</v>
      </c>
    </row>
    <row r="4050" spans="1:1">
      <c r="A4050" s="149" t="s">
        <v>6026</v>
      </c>
    </row>
    <row r="4051" spans="1:1">
      <c r="A4051" s="149" t="s">
        <v>6027</v>
      </c>
    </row>
    <row r="4052" spans="1:1">
      <c r="A4052" s="149" t="s">
        <v>6028</v>
      </c>
    </row>
    <row r="4053" spans="1:1">
      <c r="A4053" s="149" t="s">
        <v>6029</v>
      </c>
    </row>
    <row r="4054" spans="1:1">
      <c r="A4054" s="149" t="s">
        <v>6030</v>
      </c>
    </row>
    <row r="4055" spans="1:1">
      <c r="A4055" s="149" t="s">
        <v>6031</v>
      </c>
    </row>
    <row r="4056" spans="1:1">
      <c r="A4056" s="149" t="s">
        <v>6032</v>
      </c>
    </row>
    <row r="4057" spans="1:1">
      <c r="A4057" s="149" t="s">
        <v>6033</v>
      </c>
    </row>
    <row r="4058" spans="1:1">
      <c r="A4058" s="149" t="s">
        <v>6034</v>
      </c>
    </row>
    <row r="4059" spans="1:1">
      <c r="A4059" s="149" t="s">
        <v>6035</v>
      </c>
    </row>
    <row r="4060" spans="1:1">
      <c r="A4060" s="149" t="s">
        <v>6036</v>
      </c>
    </row>
    <row r="4061" spans="1:1">
      <c r="A4061" s="149" t="s">
        <v>6037</v>
      </c>
    </row>
    <row r="4062" spans="1:1">
      <c r="A4062" s="149" t="s">
        <v>6038</v>
      </c>
    </row>
    <row r="4063" spans="1:1">
      <c r="A4063" s="149" t="s">
        <v>6039</v>
      </c>
    </row>
    <row r="4064" spans="1:1">
      <c r="A4064" s="149" t="s">
        <v>6040</v>
      </c>
    </row>
    <row r="4065" spans="1:1">
      <c r="A4065" s="149" t="s">
        <v>6041</v>
      </c>
    </row>
    <row r="4066" spans="1:1">
      <c r="A4066" s="149" t="s">
        <v>6042</v>
      </c>
    </row>
    <row r="4067" spans="1:1">
      <c r="A4067" s="149" t="s">
        <v>6043</v>
      </c>
    </row>
    <row r="4068" spans="1:1">
      <c r="A4068" s="149" t="s">
        <v>6044</v>
      </c>
    </row>
    <row r="4069" spans="1:1">
      <c r="A4069" s="149" t="s">
        <v>6045</v>
      </c>
    </row>
    <row r="4070" spans="1:1">
      <c r="A4070" s="149" t="s">
        <v>6046</v>
      </c>
    </row>
    <row r="4071" spans="1:1">
      <c r="A4071" s="149" t="s">
        <v>6047</v>
      </c>
    </row>
    <row r="4072" spans="1:1">
      <c r="A4072" s="149" t="s">
        <v>6048</v>
      </c>
    </row>
    <row r="4073" spans="1:1">
      <c r="A4073" s="149" t="s">
        <v>6049</v>
      </c>
    </row>
    <row r="4074" spans="1:1">
      <c r="A4074" s="149" t="s">
        <v>6050</v>
      </c>
    </row>
    <row r="4075" spans="1:1">
      <c r="A4075" s="149" t="s">
        <v>6051</v>
      </c>
    </row>
    <row r="4076" spans="1:1">
      <c r="A4076" s="149" t="s">
        <v>6052</v>
      </c>
    </row>
    <row r="4077" spans="1:1">
      <c r="A4077" s="149" t="s">
        <v>6053</v>
      </c>
    </row>
    <row r="4078" spans="1:1">
      <c r="A4078" s="149" t="s">
        <v>6054</v>
      </c>
    </row>
    <row r="4079" spans="1:1">
      <c r="A4079" s="149" t="s">
        <v>6055</v>
      </c>
    </row>
    <row r="4080" spans="1:1">
      <c r="A4080" s="149" t="s">
        <v>6056</v>
      </c>
    </row>
    <row r="4081" spans="1:1">
      <c r="A4081" s="149" t="s">
        <v>6057</v>
      </c>
    </row>
    <row r="4082" spans="1:1">
      <c r="A4082" s="149" t="s">
        <v>6058</v>
      </c>
    </row>
    <row r="4083" spans="1:1">
      <c r="A4083" s="149" t="s">
        <v>6059</v>
      </c>
    </row>
    <row r="4084" spans="1:1">
      <c r="A4084" s="149" t="s">
        <v>6060</v>
      </c>
    </row>
    <row r="4085" spans="1:1">
      <c r="A4085" s="149" t="s">
        <v>6061</v>
      </c>
    </row>
    <row r="4086" spans="1:1">
      <c r="A4086" s="149" t="s">
        <v>6062</v>
      </c>
    </row>
    <row r="4087" spans="1:1">
      <c r="A4087" s="149" t="s">
        <v>6063</v>
      </c>
    </row>
    <row r="4088" spans="1:1">
      <c r="A4088" s="149" t="s">
        <v>6064</v>
      </c>
    </row>
    <row r="4089" spans="1:1">
      <c r="A4089" s="149" t="s">
        <v>6065</v>
      </c>
    </row>
    <row r="4090" spans="1:1">
      <c r="A4090" s="149" t="s">
        <v>6066</v>
      </c>
    </row>
    <row r="4091" spans="1:1">
      <c r="A4091" s="149" t="s">
        <v>6067</v>
      </c>
    </row>
    <row r="4092" spans="1:1">
      <c r="A4092" s="149" t="s">
        <v>6068</v>
      </c>
    </row>
    <row r="4093" spans="1:1">
      <c r="A4093" s="149" t="s">
        <v>6069</v>
      </c>
    </row>
    <row r="4094" spans="1:1">
      <c r="A4094" s="149" t="s">
        <v>6070</v>
      </c>
    </row>
    <row r="4095" spans="1:1">
      <c r="A4095" s="149" t="s">
        <v>6071</v>
      </c>
    </row>
    <row r="4096" spans="1:1">
      <c r="A4096" s="149" t="s">
        <v>6072</v>
      </c>
    </row>
    <row r="4097" spans="1:1">
      <c r="A4097" s="149" t="s">
        <v>6073</v>
      </c>
    </row>
    <row r="4098" spans="1:1">
      <c r="A4098" s="149" t="s">
        <v>6074</v>
      </c>
    </row>
    <row r="4099" spans="1:1">
      <c r="A4099" s="149" t="s">
        <v>6075</v>
      </c>
    </row>
    <row r="4100" spans="1:1">
      <c r="A4100" s="149" t="s">
        <v>6076</v>
      </c>
    </row>
    <row r="4101" spans="1:1">
      <c r="A4101" s="149" t="s">
        <v>6077</v>
      </c>
    </row>
    <row r="4102" spans="1:1">
      <c r="A4102" s="149" t="s">
        <v>6078</v>
      </c>
    </row>
    <row r="4103" spans="1:1">
      <c r="A4103" s="149" t="s">
        <v>6079</v>
      </c>
    </row>
    <row r="4104" spans="1:1">
      <c r="A4104" s="149" t="s">
        <v>6080</v>
      </c>
    </row>
    <row r="4105" spans="1:1">
      <c r="A4105" s="149" t="s">
        <v>6081</v>
      </c>
    </row>
    <row r="4106" spans="1:1">
      <c r="A4106" s="149" t="s">
        <v>6082</v>
      </c>
    </row>
    <row r="4107" spans="1:1">
      <c r="A4107" s="149" t="s">
        <v>6083</v>
      </c>
    </row>
    <row r="4108" spans="1:1">
      <c r="A4108" s="149" t="s">
        <v>6084</v>
      </c>
    </row>
    <row r="4109" spans="1:1">
      <c r="A4109" s="149" t="s">
        <v>6085</v>
      </c>
    </row>
    <row r="4110" spans="1:1">
      <c r="A4110" s="149" t="s">
        <v>6086</v>
      </c>
    </row>
    <row r="4111" spans="1:1">
      <c r="A4111" s="149" t="s">
        <v>6087</v>
      </c>
    </row>
    <row r="4112" spans="1:1">
      <c r="A4112" s="149" t="s">
        <v>6088</v>
      </c>
    </row>
    <row r="4113" spans="1:1">
      <c r="A4113" s="149" t="s">
        <v>6089</v>
      </c>
    </row>
    <row r="4114" spans="1:1">
      <c r="A4114" s="149" t="s">
        <v>6090</v>
      </c>
    </row>
    <row r="4115" spans="1:1">
      <c r="A4115" s="149" t="s">
        <v>6091</v>
      </c>
    </row>
    <row r="4116" spans="1:1">
      <c r="A4116" s="149" t="s">
        <v>6092</v>
      </c>
    </row>
    <row r="4117" spans="1:1">
      <c r="A4117" s="149" t="s">
        <v>6093</v>
      </c>
    </row>
    <row r="4118" spans="1:1">
      <c r="A4118" s="149" t="s">
        <v>6094</v>
      </c>
    </row>
    <row r="4119" spans="1:1">
      <c r="A4119" s="149" t="s">
        <v>6095</v>
      </c>
    </row>
    <row r="4120" spans="1:1">
      <c r="A4120" s="149" t="s">
        <v>6096</v>
      </c>
    </row>
    <row r="4121" spans="1:1">
      <c r="A4121" s="149" t="s">
        <v>6097</v>
      </c>
    </row>
    <row r="4122" spans="1:1">
      <c r="A4122" s="149" t="s">
        <v>6098</v>
      </c>
    </row>
    <row r="4123" spans="1:1">
      <c r="A4123" s="149" t="s">
        <v>6099</v>
      </c>
    </row>
    <row r="4124" spans="1:1">
      <c r="A4124" s="149" t="s">
        <v>6100</v>
      </c>
    </row>
    <row r="4125" spans="1:1">
      <c r="A4125" s="149" t="s">
        <v>6101</v>
      </c>
    </row>
    <row r="4126" spans="1:1">
      <c r="A4126" s="149" t="s">
        <v>6102</v>
      </c>
    </row>
    <row r="4127" spans="1:1">
      <c r="A4127" s="149" t="s">
        <v>6103</v>
      </c>
    </row>
    <row r="4128" spans="1:1">
      <c r="A4128" s="149" t="s">
        <v>6104</v>
      </c>
    </row>
    <row r="4129" spans="1:1">
      <c r="A4129" s="149" t="s">
        <v>6105</v>
      </c>
    </row>
    <row r="4130" spans="1:1">
      <c r="A4130" s="149" t="s">
        <v>6106</v>
      </c>
    </row>
    <row r="4131" spans="1:1">
      <c r="A4131" s="149" t="s">
        <v>6107</v>
      </c>
    </row>
    <row r="4132" spans="1:1">
      <c r="A4132" s="149" t="s">
        <v>6108</v>
      </c>
    </row>
    <row r="4133" spans="1:1">
      <c r="A4133" s="149" t="s">
        <v>6109</v>
      </c>
    </row>
    <row r="4134" spans="1:1">
      <c r="A4134" s="149" t="s">
        <v>6110</v>
      </c>
    </row>
    <row r="4135" spans="1:1">
      <c r="A4135" s="149" t="s">
        <v>6111</v>
      </c>
    </row>
    <row r="4136" spans="1:1">
      <c r="A4136" s="149" t="s">
        <v>6112</v>
      </c>
    </row>
    <row r="4137" spans="1:1">
      <c r="A4137" s="149" t="s">
        <v>6113</v>
      </c>
    </row>
    <row r="4138" spans="1:1">
      <c r="A4138" s="149" t="s">
        <v>6114</v>
      </c>
    </row>
    <row r="4139" spans="1:1">
      <c r="A4139" s="149" t="s">
        <v>6115</v>
      </c>
    </row>
    <row r="4140" spans="1:1">
      <c r="A4140" s="149" t="s">
        <v>6116</v>
      </c>
    </row>
    <row r="4141" spans="1:1">
      <c r="A4141" s="149" t="s">
        <v>6117</v>
      </c>
    </row>
    <row r="4142" spans="1:1">
      <c r="A4142" s="149" t="s">
        <v>6118</v>
      </c>
    </row>
    <row r="4143" spans="1:1">
      <c r="A4143" s="149" t="s">
        <v>6119</v>
      </c>
    </row>
    <row r="4144" spans="1:1">
      <c r="A4144" s="149" t="s">
        <v>6120</v>
      </c>
    </row>
    <row r="4145" spans="1:1">
      <c r="A4145" s="149" t="s">
        <v>6121</v>
      </c>
    </row>
    <row r="4146" spans="1:1">
      <c r="A4146" s="149" t="s">
        <v>6122</v>
      </c>
    </row>
    <row r="4147" spans="1:1">
      <c r="A4147" s="149" t="s">
        <v>6123</v>
      </c>
    </row>
    <row r="4148" spans="1:1">
      <c r="A4148" s="149" t="s">
        <v>6124</v>
      </c>
    </row>
    <row r="4149" spans="1:1">
      <c r="A4149" s="149" t="s">
        <v>6125</v>
      </c>
    </row>
    <row r="4150" spans="1:1">
      <c r="A4150" s="149" t="s">
        <v>6126</v>
      </c>
    </row>
    <row r="4151" spans="1:1">
      <c r="A4151" s="149" t="s">
        <v>6127</v>
      </c>
    </row>
    <row r="4152" spans="1:1">
      <c r="A4152" s="149" t="s">
        <v>6128</v>
      </c>
    </row>
    <row r="4153" spans="1:1">
      <c r="A4153" s="149" t="s">
        <v>6129</v>
      </c>
    </row>
    <row r="4154" spans="1:1">
      <c r="A4154" s="149" t="s">
        <v>6130</v>
      </c>
    </row>
    <row r="4155" spans="1:1">
      <c r="A4155" s="149" t="s">
        <v>6131</v>
      </c>
    </row>
    <row r="4156" spans="1:1">
      <c r="A4156" s="149" t="s">
        <v>6132</v>
      </c>
    </row>
    <row r="4157" spans="1:1">
      <c r="A4157" s="149" t="s">
        <v>6133</v>
      </c>
    </row>
    <row r="4158" spans="1:1">
      <c r="A4158" s="149" t="s">
        <v>6134</v>
      </c>
    </row>
    <row r="4159" spans="1:1">
      <c r="A4159" s="149" t="s">
        <v>6135</v>
      </c>
    </row>
    <row r="4160" spans="1:1">
      <c r="A4160" s="149" t="s">
        <v>6136</v>
      </c>
    </row>
    <row r="4161" spans="1:1">
      <c r="A4161" s="149" t="s">
        <v>6137</v>
      </c>
    </row>
    <row r="4162" spans="1:1">
      <c r="A4162" s="149" t="s">
        <v>6138</v>
      </c>
    </row>
    <row r="4163" spans="1:1">
      <c r="A4163" s="149" t="s">
        <v>6139</v>
      </c>
    </row>
    <row r="4164" spans="1:1">
      <c r="A4164" s="149" t="s">
        <v>6140</v>
      </c>
    </row>
    <row r="4165" spans="1:1">
      <c r="A4165" s="149" t="s">
        <v>6141</v>
      </c>
    </row>
    <row r="4166" spans="1:1">
      <c r="A4166" s="149" t="s">
        <v>6142</v>
      </c>
    </row>
    <row r="4167" spans="1:1">
      <c r="A4167" s="149" t="s">
        <v>6143</v>
      </c>
    </row>
    <row r="4168" spans="1:1">
      <c r="A4168" s="149" t="s">
        <v>6144</v>
      </c>
    </row>
    <row r="4169" spans="1:1">
      <c r="A4169" s="149" t="s">
        <v>6145</v>
      </c>
    </row>
    <row r="4170" spans="1:1">
      <c r="A4170" s="149" t="s">
        <v>6146</v>
      </c>
    </row>
    <row r="4171" spans="1:1">
      <c r="A4171" s="149" t="s">
        <v>6147</v>
      </c>
    </row>
    <row r="4172" spans="1:1">
      <c r="A4172" s="149" t="s">
        <v>6148</v>
      </c>
    </row>
    <row r="4173" spans="1:1">
      <c r="A4173" s="149" t="s">
        <v>6149</v>
      </c>
    </row>
    <row r="4174" spans="1:1">
      <c r="A4174" s="149" t="s">
        <v>6150</v>
      </c>
    </row>
    <row r="4175" spans="1:1">
      <c r="A4175" s="149" t="s">
        <v>6151</v>
      </c>
    </row>
    <row r="4176" spans="1:1">
      <c r="A4176" s="149" t="s">
        <v>6152</v>
      </c>
    </row>
    <row r="4177" spans="1:1">
      <c r="A4177" s="149" t="s">
        <v>6153</v>
      </c>
    </row>
    <row r="4178" spans="1:1">
      <c r="A4178" s="149" t="s">
        <v>6154</v>
      </c>
    </row>
    <row r="4179" spans="1:1">
      <c r="A4179" s="149" t="s">
        <v>6155</v>
      </c>
    </row>
    <row r="4180" spans="1:1">
      <c r="A4180" s="149" t="s">
        <v>6156</v>
      </c>
    </row>
    <row r="4181" spans="1:1">
      <c r="A4181" s="149" t="s">
        <v>6157</v>
      </c>
    </row>
    <row r="4182" spans="1:1">
      <c r="A4182" s="149" t="s">
        <v>6158</v>
      </c>
    </row>
    <row r="4183" spans="1:1">
      <c r="A4183" s="149" t="s">
        <v>6159</v>
      </c>
    </row>
    <row r="4184" spans="1:1">
      <c r="A4184" s="149" t="s">
        <v>6160</v>
      </c>
    </row>
    <row r="4185" spans="1:1">
      <c r="A4185" s="149" t="s">
        <v>6161</v>
      </c>
    </row>
    <row r="4186" spans="1:1">
      <c r="A4186" s="149" t="s">
        <v>6162</v>
      </c>
    </row>
    <row r="4187" spans="1:1">
      <c r="A4187" s="149" t="s">
        <v>6163</v>
      </c>
    </row>
    <row r="4188" spans="1:1">
      <c r="A4188" s="149" t="s">
        <v>6164</v>
      </c>
    </row>
    <row r="4189" spans="1:1">
      <c r="A4189" s="149" t="s">
        <v>6165</v>
      </c>
    </row>
    <row r="4190" spans="1:1">
      <c r="A4190" s="149" t="s">
        <v>6166</v>
      </c>
    </row>
    <row r="4191" spans="1:1">
      <c r="A4191" s="149" t="s">
        <v>6167</v>
      </c>
    </row>
    <row r="4192" spans="1:1">
      <c r="A4192" s="149" t="s">
        <v>6168</v>
      </c>
    </row>
    <row r="4193" spans="1:1">
      <c r="A4193" s="149" t="s">
        <v>6169</v>
      </c>
    </row>
    <row r="4194" spans="1:1">
      <c r="A4194" s="149" t="s">
        <v>6170</v>
      </c>
    </row>
    <row r="4195" spans="1:1">
      <c r="A4195" s="149" t="s">
        <v>6171</v>
      </c>
    </row>
    <row r="4196" spans="1:1">
      <c r="A4196" s="149" t="s">
        <v>6172</v>
      </c>
    </row>
    <row r="4197" spans="1:1">
      <c r="A4197" s="149" t="s">
        <v>6173</v>
      </c>
    </row>
    <row r="4198" spans="1:1">
      <c r="A4198" s="149" t="s">
        <v>6174</v>
      </c>
    </row>
    <row r="4199" spans="1:1">
      <c r="A4199" s="149" t="s">
        <v>6175</v>
      </c>
    </row>
    <row r="4200" spans="1:1">
      <c r="A4200" s="149" t="s">
        <v>6176</v>
      </c>
    </row>
    <row r="4201" spans="1:1">
      <c r="A4201" s="149" t="s">
        <v>6177</v>
      </c>
    </row>
    <row r="4202" spans="1:1">
      <c r="A4202" s="149" t="s">
        <v>6178</v>
      </c>
    </row>
    <row r="4203" spans="1:1">
      <c r="A4203" s="149" t="s">
        <v>6179</v>
      </c>
    </row>
    <row r="4204" spans="1:1">
      <c r="A4204" s="149" t="s">
        <v>6180</v>
      </c>
    </row>
    <row r="4205" spans="1:1">
      <c r="A4205" s="149" t="s">
        <v>6181</v>
      </c>
    </row>
    <row r="4206" spans="1:1">
      <c r="A4206" s="149" t="s">
        <v>6182</v>
      </c>
    </row>
    <row r="4207" spans="1:1">
      <c r="A4207" s="149" t="s">
        <v>6183</v>
      </c>
    </row>
    <row r="4208" spans="1:1">
      <c r="A4208" s="149" t="s">
        <v>6184</v>
      </c>
    </row>
    <row r="4209" spans="1:1">
      <c r="A4209" s="149" t="s">
        <v>6185</v>
      </c>
    </row>
    <row r="4210" spans="1:1">
      <c r="A4210" s="149" t="s">
        <v>6186</v>
      </c>
    </row>
    <row r="4211" spans="1:1">
      <c r="A4211" s="149" t="s">
        <v>6187</v>
      </c>
    </row>
    <row r="4212" spans="1:1">
      <c r="A4212" s="149" t="s">
        <v>6188</v>
      </c>
    </row>
    <row r="4213" spans="1:1">
      <c r="A4213" s="149" t="s">
        <v>6189</v>
      </c>
    </row>
    <row r="4214" spans="1:1">
      <c r="A4214" s="149" t="s">
        <v>6190</v>
      </c>
    </row>
    <row r="4215" spans="1:1">
      <c r="A4215" s="149" t="s">
        <v>6191</v>
      </c>
    </row>
    <row r="4216" spans="1:1">
      <c r="A4216" s="149" t="s">
        <v>6192</v>
      </c>
    </row>
    <row r="4217" spans="1:1">
      <c r="A4217" s="149" t="s">
        <v>6193</v>
      </c>
    </row>
    <row r="4218" spans="1:1">
      <c r="A4218" s="149" t="s">
        <v>6194</v>
      </c>
    </row>
    <row r="4219" spans="1:1">
      <c r="A4219" s="149" t="s">
        <v>6195</v>
      </c>
    </row>
    <row r="4220" spans="1:1">
      <c r="A4220" s="149" t="s">
        <v>6196</v>
      </c>
    </row>
    <row r="4221" spans="1:1">
      <c r="A4221" s="149" t="s">
        <v>6197</v>
      </c>
    </row>
    <row r="4222" spans="1:1">
      <c r="A4222" s="149" t="s">
        <v>6198</v>
      </c>
    </row>
    <row r="4223" spans="1:1">
      <c r="A4223" s="149" t="s">
        <v>6199</v>
      </c>
    </row>
    <row r="4224" spans="1:1">
      <c r="A4224" s="149" t="s">
        <v>6200</v>
      </c>
    </row>
    <row r="4225" spans="1:1">
      <c r="A4225" s="149" t="s">
        <v>6201</v>
      </c>
    </row>
    <row r="4226" spans="1:1">
      <c r="A4226" s="149" t="s">
        <v>6202</v>
      </c>
    </row>
    <row r="4227" spans="1:1">
      <c r="A4227" s="149" t="s">
        <v>6203</v>
      </c>
    </row>
    <row r="4228" spans="1:1">
      <c r="A4228" s="149" t="s">
        <v>6204</v>
      </c>
    </row>
    <row r="4229" spans="1:1">
      <c r="A4229" s="149" t="s">
        <v>6205</v>
      </c>
    </row>
    <row r="4230" spans="1:1">
      <c r="A4230" s="149" t="s">
        <v>6206</v>
      </c>
    </row>
    <row r="4231" spans="1:1">
      <c r="A4231" s="149" t="s">
        <v>6207</v>
      </c>
    </row>
    <row r="4232" spans="1:1">
      <c r="A4232" s="149" t="s">
        <v>6208</v>
      </c>
    </row>
    <row r="4233" spans="1:1">
      <c r="A4233" s="149" t="s">
        <v>6209</v>
      </c>
    </row>
    <row r="4234" spans="1:1">
      <c r="A4234" s="149" t="s">
        <v>6210</v>
      </c>
    </row>
    <row r="4235" spans="1:1">
      <c r="A4235" s="149" t="s">
        <v>6211</v>
      </c>
    </row>
    <row r="4236" spans="1:1">
      <c r="A4236" s="149" t="s">
        <v>6212</v>
      </c>
    </row>
    <row r="4237" spans="1:1">
      <c r="A4237" s="149" t="s">
        <v>6213</v>
      </c>
    </row>
    <row r="4238" spans="1:1">
      <c r="A4238" s="149" t="s">
        <v>6214</v>
      </c>
    </row>
    <row r="4239" spans="1:1">
      <c r="A4239" s="149" t="s">
        <v>6215</v>
      </c>
    </row>
    <row r="4240" spans="1:1">
      <c r="A4240" s="149" t="s">
        <v>6216</v>
      </c>
    </row>
    <row r="4241" spans="1:1">
      <c r="A4241" s="149" t="s">
        <v>6217</v>
      </c>
    </row>
    <row r="4242" spans="1:1">
      <c r="A4242" s="149" t="s">
        <v>6218</v>
      </c>
    </row>
    <row r="4243" spans="1:1">
      <c r="A4243" s="149" t="s">
        <v>6219</v>
      </c>
    </row>
    <row r="4244" spans="1:1">
      <c r="A4244" s="149" t="s">
        <v>6220</v>
      </c>
    </row>
    <row r="4245" spans="1:1">
      <c r="A4245" s="149" t="s">
        <v>6221</v>
      </c>
    </row>
    <row r="4246" spans="1:1">
      <c r="A4246" s="149" t="s">
        <v>6222</v>
      </c>
    </row>
    <row r="4247" spans="1:1">
      <c r="A4247" s="149" t="s">
        <v>6223</v>
      </c>
    </row>
    <row r="4248" spans="1:1">
      <c r="A4248" s="149" t="s">
        <v>6224</v>
      </c>
    </row>
    <row r="4249" spans="1:1">
      <c r="A4249" s="149" t="s">
        <v>6225</v>
      </c>
    </row>
    <row r="4250" spans="1:1">
      <c r="A4250" s="149" t="s">
        <v>6226</v>
      </c>
    </row>
    <row r="4251" spans="1:1">
      <c r="A4251" s="149" t="s">
        <v>6227</v>
      </c>
    </row>
    <row r="4252" spans="1:1">
      <c r="A4252" s="149" t="s">
        <v>6228</v>
      </c>
    </row>
    <row r="4253" spans="1:1">
      <c r="A4253" s="149" t="s">
        <v>6229</v>
      </c>
    </row>
    <row r="4254" spans="1:1">
      <c r="A4254" s="149" t="s">
        <v>6230</v>
      </c>
    </row>
    <row r="4255" spans="1:1">
      <c r="A4255" s="149" t="s">
        <v>6231</v>
      </c>
    </row>
    <row r="4256" spans="1:1">
      <c r="A4256" s="149" t="s">
        <v>6232</v>
      </c>
    </row>
    <row r="4257" spans="1:1">
      <c r="A4257" s="149" t="s">
        <v>6233</v>
      </c>
    </row>
    <row r="4258" spans="1:1">
      <c r="A4258" s="149" t="s">
        <v>6234</v>
      </c>
    </row>
    <row r="4259" spans="1:1">
      <c r="A4259" s="149" t="s">
        <v>6235</v>
      </c>
    </row>
    <row r="4260" spans="1:1">
      <c r="A4260" s="149" t="s">
        <v>6236</v>
      </c>
    </row>
    <row r="4261" spans="1:1">
      <c r="A4261" s="149" t="s">
        <v>6237</v>
      </c>
    </row>
    <row r="4262" spans="1:1">
      <c r="A4262" s="149" t="s">
        <v>6238</v>
      </c>
    </row>
    <row r="4263" spans="1:1">
      <c r="A4263" s="149" t="s">
        <v>6239</v>
      </c>
    </row>
    <row r="4264" spans="1:1">
      <c r="A4264" s="149" t="s">
        <v>6240</v>
      </c>
    </row>
    <row r="4265" spans="1:1">
      <c r="A4265" s="149" t="s">
        <v>6241</v>
      </c>
    </row>
    <row r="4266" spans="1:1">
      <c r="A4266" s="149" t="s">
        <v>6242</v>
      </c>
    </row>
    <row r="4267" spans="1:1">
      <c r="A4267" s="149" t="s">
        <v>6243</v>
      </c>
    </row>
    <row r="4268" spans="1:1">
      <c r="A4268" s="149" t="s">
        <v>6244</v>
      </c>
    </row>
    <row r="4269" spans="1:1">
      <c r="A4269" s="149" t="s">
        <v>6245</v>
      </c>
    </row>
    <row r="4270" spans="1:1">
      <c r="A4270" s="149" t="s">
        <v>6246</v>
      </c>
    </row>
    <row r="4271" spans="1:1">
      <c r="A4271" s="149" t="s">
        <v>6247</v>
      </c>
    </row>
    <row r="4272" spans="1:1">
      <c r="A4272" s="149" t="s">
        <v>6248</v>
      </c>
    </row>
    <row r="4273" spans="1:1">
      <c r="A4273" s="149" t="s">
        <v>6249</v>
      </c>
    </row>
    <row r="4274" spans="1:1">
      <c r="A4274" s="149" t="s">
        <v>6250</v>
      </c>
    </row>
    <row r="4275" spans="1:1">
      <c r="A4275" s="149" t="s">
        <v>6251</v>
      </c>
    </row>
    <row r="4276" spans="1:1">
      <c r="A4276" s="149" t="s">
        <v>6252</v>
      </c>
    </row>
    <row r="4277" spans="1:1">
      <c r="A4277" s="149" t="s">
        <v>6253</v>
      </c>
    </row>
    <row r="4278" spans="1:1">
      <c r="A4278" s="149" t="s">
        <v>6254</v>
      </c>
    </row>
    <row r="4279" spans="1:1">
      <c r="A4279" s="149" t="s">
        <v>6255</v>
      </c>
    </row>
    <row r="4280" spans="1:1">
      <c r="A4280" s="149" t="s">
        <v>6256</v>
      </c>
    </row>
    <row r="4281" spans="1:1">
      <c r="A4281" s="149" t="s">
        <v>6257</v>
      </c>
    </row>
    <row r="4282" spans="1:1">
      <c r="A4282" s="149" t="s">
        <v>6258</v>
      </c>
    </row>
    <row r="4283" spans="1:1">
      <c r="A4283" s="149" t="s">
        <v>6259</v>
      </c>
    </row>
    <row r="4284" spans="1:1">
      <c r="A4284" s="149" t="s">
        <v>6260</v>
      </c>
    </row>
    <row r="4285" spans="1:1">
      <c r="A4285" s="149" t="s">
        <v>6261</v>
      </c>
    </row>
    <row r="4286" spans="1:1">
      <c r="A4286" s="149" t="s">
        <v>6262</v>
      </c>
    </row>
    <row r="4287" spans="1:1">
      <c r="A4287" s="149" t="s">
        <v>6263</v>
      </c>
    </row>
    <row r="4288" spans="1:1">
      <c r="A4288" s="149" t="s">
        <v>6264</v>
      </c>
    </row>
    <row r="4289" spans="1:1">
      <c r="A4289" s="149" t="s">
        <v>6265</v>
      </c>
    </row>
    <row r="4290" spans="1:1">
      <c r="A4290" s="149" t="s">
        <v>6266</v>
      </c>
    </row>
    <row r="4291" spans="1:1">
      <c r="A4291" s="149" t="s">
        <v>6267</v>
      </c>
    </row>
    <row r="4292" spans="1:1">
      <c r="A4292" s="149" t="s">
        <v>6268</v>
      </c>
    </row>
    <row r="4293" spans="1:1">
      <c r="A4293" s="149" t="s">
        <v>6269</v>
      </c>
    </row>
    <row r="4294" spans="1:1">
      <c r="A4294" s="149" t="s">
        <v>6270</v>
      </c>
    </row>
    <row r="4295" spans="1:1">
      <c r="A4295" s="149" t="s">
        <v>6271</v>
      </c>
    </row>
    <row r="4296" spans="1:1">
      <c r="A4296" s="149" t="s">
        <v>6272</v>
      </c>
    </row>
    <row r="4297" spans="1:1">
      <c r="A4297" s="149" t="s">
        <v>6273</v>
      </c>
    </row>
    <row r="4298" spans="1:1">
      <c r="A4298" s="149" t="s">
        <v>6274</v>
      </c>
    </row>
    <row r="4299" spans="1:1">
      <c r="A4299" s="149" t="s">
        <v>6275</v>
      </c>
    </row>
    <row r="4300" spans="1:1">
      <c r="A4300" s="149" t="s">
        <v>6276</v>
      </c>
    </row>
    <row r="4301" spans="1:1">
      <c r="A4301" s="149" t="s">
        <v>6277</v>
      </c>
    </row>
    <row r="4302" spans="1:1">
      <c r="A4302" s="149" t="s">
        <v>6278</v>
      </c>
    </row>
    <row r="4303" spans="1:1">
      <c r="A4303" s="149" t="s">
        <v>6279</v>
      </c>
    </row>
    <row r="4304" spans="1:1">
      <c r="A4304" s="149" t="s">
        <v>6280</v>
      </c>
    </row>
    <row r="4305" spans="1:1">
      <c r="A4305" s="149" t="s">
        <v>6281</v>
      </c>
    </row>
    <row r="4306" spans="1:1">
      <c r="A4306" s="149" t="s">
        <v>6282</v>
      </c>
    </row>
    <row r="4307" spans="1:1">
      <c r="A4307" s="149" t="s">
        <v>6283</v>
      </c>
    </row>
    <row r="4308" spans="1:1">
      <c r="A4308" s="149" t="s">
        <v>6284</v>
      </c>
    </row>
    <row r="4309" spans="1:1">
      <c r="A4309" s="149" t="s">
        <v>6285</v>
      </c>
    </row>
    <row r="4310" spans="1:1">
      <c r="A4310" s="149" t="s">
        <v>6286</v>
      </c>
    </row>
    <row r="4311" spans="1:1">
      <c r="A4311" s="149" t="s">
        <v>6287</v>
      </c>
    </row>
    <row r="4312" spans="1:1">
      <c r="A4312" s="149" t="s">
        <v>6288</v>
      </c>
    </row>
    <row r="4313" spans="1:1">
      <c r="A4313" s="149" t="s">
        <v>6289</v>
      </c>
    </row>
    <row r="4314" spans="1:1">
      <c r="A4314" s="149" t="s">
        <v>6290</v>
      </c>
    </row>
    <row r="4315" spans="1:1">
      <c r="A4315" s="149" t="s">
        <v>6291</v>
      </c>
    </row>
    <row r="4316" spans="1:1">
      <c r="A4316" s="149" t="s">
        <v>6292</v>
      </c>
    </row>
    <row r="4317" spans="1:1">
      <c r="A4317" s="149" t="s">
        <v>6293</v>
      </c>
    </row>
    <row r="4318" spans="1:1">
      <c r="A4318" s="149" t="s">
        <v>6294</v>
      </c>
    </row>
    <row r="4319" spans="1:1">
      <c r="A4319" s="149" t="s">
        <v>6295</v>
      </c>
    </row>
    <row r="4320" spans="1:1">
      <c r="A4320" s="149" t="s">
        <v>6296</v>
      </c>
    </row>
    <row r="4321" spans="1:1">
      <c r="A4321" s="149" t="s">
        <v>6297</v>
      </c>
    </row>
    <row r="4322" spans="1:1">
      <c r="A4322" s="149" t="s">
        <v>6298</v>
      </c>
    </row>
    <row r="4323" spans="1:1">
      <c r="A4323" s="149" t="s">
        <v>6299</v>
      </c>
    </row>
    <row r="4324" spans="1:1">
      <c r="A4324" s="149" t="s">
        <v>6300</v>
      </c>
    </row>
    <row r="4325" spans="1:1">
      <c r="A4325" s="149" t="s">
        <v>6301</v>
      </c>
    </row>
    <row r="4326" spans="1:1">
      <c r="A4326" s="149" t="s">
        <v>6302</v>
      </c>
    </row>
    <row r="4327" spans="1:1">
      <c r="A4327" s="149" t="s">
        <v>6303</v>
      </c>
    </row>
    <row r="4328" spans="1:1">
      <c r="A4328" s="149" t="s">
        <v>6304</v>
      </c>
    </row>
    <row r="4329" spans="1:1">
      <c r="A4329" s="149" t="s">
        <v>6305</v>
      </c>
    </row>
    <row r="4330" spans="1:1">
      <c r="A4330" s="149" t="s">
        <v>6306</v>
      </c>
    </row>
    <row r="4331" spans="1:1">
      <c r="A4331" s="149" t="s">
        <v>6307</v>
      </c>
    </row>
    <row r="4332" spans="1:1">
      <c r="A4332" s="149" t="s">
        <v>6308</v>
      </c>
    </row>
    <row r="4333" spans="1:1">
      <c r="A4333" s="149" t="s">
        <v>6309</v>
      </c>
    </row>
    <row r="4334" spans="1:1">
      <c r="A4334" s="149" t="s">
        <v>6310</v>
      </c>
    </row>
    <row r="4335" spans="1:1">
      <c r="A4335" s="149" t="s">
        <v>6311</v>
      </c>
    </row>
    <row r="4336" spans="1:1">
      <c r="A4336" s="149" t="s">
        <v>6312</v>
      </c>
    </row>
    <row r="4337" spans="1:1">
      <c r="A4337" s="149" t="s">
        <v>6313</v>
      </c>
    </row>
    <row r="4338" spans="1:1">
      <c r="A4338" s="149" t="s">
        <v>6314</v>
      </c>
    </row>
    <row r="4339" spans="1:1">
      <c r="A4339" s="149" t="s">
        <v>6315</v>
      </c>
    </row>
    <row r="4340" spans="1:1">
      <c r="A4340" s="149" t="s">
        <v>6316</v>
      </c>
    </row>
    <row r="4341" spans="1:1">
      <c r="A4341" s="149" t="s">
        <v>6317</v>
      </c>
    </row>
    <row r="4342" spans="1:1">
      <c r="A4342" s="149" t="s">
        <v>6318</v>
      </c>
    </row>
    <row r="4343" spans="1:1">
      <c r="A4343" s="149" t="s">
        <v>6319</v>
      </c>
    </row>
    <row r="4344" spans="1:1">
      <c r="A4344" s="149" t="s">
        <v>6320</v>
      </c>
    </row>
    <row r="4345" spans="1:1">
      <c r="A4345" s="149" t="s">
        <v>6321</v>
      </c>
    </row>
    <row r="4346" spans="1:1">
      <c r="A4346" s="149" t="s">
        <v>6322</v>
      </c>
    </row>
    <row r="4347" spans="1:1">
      <c r="A4347" s="149" t="s">
        <v>6323</v>
      </c>
    </row>
    <row r="4348" spans="1:1">
      <c r="A4348" s="149" t="s">
        <v>6324</v>
      </c>
    </row>
    <row r="4349" spans="1:1">
      <c r="A4349" s="149" t="s">
        <v>6325</v>
      </c>
    </row>
    <row r="4350" spans="1:1">
      <c r="A4350" s="149" t="s">
        <v>6326</v>
      </c>
    </row>
    <row r="4351" spans="1:1">
      <c r="A4351" s="149" t="s">
        <v>6327</v>
      </c>
    </row>
    <row r="4352" spans="1:1">
      <c r="A4352" s="149" t="s">
        <v>6328</v>
      </c>
    </row>
    <row r="4353" spans="1:1">
      <c r="A4353" s="149" t="s">
        <v>6329</v>
      </c>
    </row>
    <row r="4354" spans="1:1">
      <c r="A4354" s="149" t="s">
        <v>6330</v>
      </c>
    </row>
    <row r="4355" spans="1:1">
      <c r="A4355" s="149" t="s">
        <v>6331</v>
      </c>
    </row>
    <row r="4356" spans="1:1">
      <c r="A4356" s="149" t="s">
        <v>6332</v>
      </c>
    </row>
    <row r="4357" spans="1:1">
      <c r="A4357" s="149" t="s">
        <v>6333</v>
      </c>
    </row>
    <row r="4358" spans="1:1">
      <c r="A4358" s="149" t="s">
        <v>6334</v>
      </c>
    </row>
    <row r="4359" spans="1:1">
      <c r="A4359" s="149" t="s">
        <v>6335</v>
      </c>
    </row>
    <row r="4360" spans="1:1">
      <c r="A4360" s="149" t="s">
        <v>6336</v>
      </c>
    </row>
    <row r="4361" spans="1:1">
      <c r="A4361" s="149" t="s">
        <v>6337</v>
      </c>
    </row>
    <row r="4362" spans="1:1">
      <c r="A4362" s="149" t="s">
        <v>6338</v>
      </c>
    </row>
    <row r="4363" spans="1:1">
      <c r="A4363" s="149" t="s">
        <v>6339</v>
      </c>
    </row>
    <row r="4364" spans="1:1">
      <c r="A4364" s="149" t="s">
        <v>6340</v>
      </c>
    </row>
    <row r="4365" spans="1:1">
      <c r="A4365" s="149" t="s">
        <v>6341</v>
      </c>
    </row>
    <row r="4366" spans="1:1">
      <c r="A4366" s="149" t="s">
        <v>6342</v>
      </c>
    </row>
    <row r="4367" spans="1:1">
      <c r="A4367" s="149" t="s">
        <v>6343</v>
      </c>
    </row>
    <row r="4368" spans="1:1">
      <c r="A4368" s="149" t="s">
        <v>6344</v>
      </c>
    </row>
    <row r="4369" spans="1:1">
      <c r="A4369" s="149" t="s">
        <v>6345</v>
      </c>
    </row>
    <row r="4370" spans="1:1">
      <c r="A4370" s="149" t="s">
        <v>6346</v>
      </c>
    </row>
    <row r="4371" spans="1:1">
      <c r="A4371" s="149" t="s">
        <v>6347</v>
      </c>
    </row>
    <row r="4372" spans="1:1">
      <c r="A4372" s="149" t="s">
        <v>6348</v>
      </c>
    </row>
    <row r="4373" spans="1:1">
      <c r="A4373" s="149" t="s">
        <v>6349</v>
      </c>
    </row>
    <row r="4374" spans="1:1">
      <c r="A4374" s="149" t="s">
        <v>6350</v>
      </c>
    </row>
    <row r="4375" spans="1:1">
      <c r="A4375" s="149" t="s">
        <v>6351</v>
      </c>
    </row>
    <row r="4376" spans="1:1">
      <c r="A4376" s="149" t="s">
        <v>6352</v>
      </c>
    </row>
    <row r="4377" spans="1:1">
      <c r="A4377" s="149" t="s">
        <v>6353</v>
      </c>
    </row>
    <row r="4378" spans="1:1">
      <c r="A4378" s="149" t="s">
        <v>6354</v>
      </c>
    </row>
    <row r="4379" spans="1:1">
      <c r="A4379" s="149" t="s">
        <v>6355</v>
      </c>
    </row>
    <row r="4380" spans="1:1">
      <c r="A4380" s="149" t="s">
        <v>6356</v>
      </c>
    </row>
    <row r="4381" spans="1:1">
      <c r="A4381" s="149" t="s">
        <v>6357</v>
      </c>
    </row>
    <row r="4382" spans="1:1">
      <c r="A4382" s="149" t="s">
        <v>6358</v>
      </c>
    </row>
    <row r="4383" spans="1:1">
      <c r="A4383" s="149" t="s">
        <v>6359</v>
      </c>
    </row>
    <row r="4384" spans="1:1">
      <c r="A4384" s="149" t="s">
        <v>6360</v>
      </c>
    </row>
    <row r="4385" spans="1:1">
      <c r="A4385" s="149" t="s">
        <v>6361</v>
      </c>
    </row>
    <row r="4386" spans="1:1">
      <c r="A4386" s="149" t="s">
        <v>6362</v>
      </c>
    </row>
    <row r="4387" spans="1:1">
      <c r="A4387" s="149" t="s">
        <v>6363</v>
      </c>
    </row>
    <row r="4388" spans="1:1">
      <c r="A4388" s="149" t="s">
        <v>6364</v>
      </c>
    </row>
    <row r="4389" spans="1:1">
      <c r="A4389" s="149" t="s">
        <v>6365</v>
      </c>
    </row>
    <row r="4390" spans="1:1">
      <c r="A4390" s="149" t="s">
        <v>6366</v>
      </c>
    </row>
    <row r="4391" spans="1:1">
      <c r="A4391" s="149" t="s">
        <v>6367</v>
      </c>
    </row>
    <row r="4392" spans="1:1">
      <c r="A4392" s="149" t="s">
        <v>6368</v>
      </c>
    </row>
    <row r="4393" spans="1:1">
      <c r="A4393" s="149" t="s">
        <v>6369</v>
      </c>
    </row>
    <row r="4394" spans="1:1">
      <c r="A4394" s="149" t="s">
        <v>6370</v>
      </c>
    </row>
    <row r="4395" spans="1:1">
      <c r="A4395" s="149" t="s">
        <v>6371</v>
      </c>
    </row>
    <row r="4396" spans="1:1">
      <c r="A4396" s="149" t="s">
        <v>6372</v>
      </c>
    </row>
    <row r="4397" spans="1:1">
      <c r="A4397" s="149" t="s">
        <v>6373</v>
      </c>
    </row>
    <row r="4398" spans="1:1">
      <c r="A4398" s="149" t="s">
        <v>6374</v>
      </c>
    </row>
    <row r="4399" spans="1:1">
      <c r="A4399" s="149" t="s">
        <v>6375</v>
      </c>
    </row>
    <row r="4400" spans="1:1">
      <c r="A4400" s="149" t="s">
        <v>6376</v>
      </c>
    </row>
    <row r="4401" spans="1:1">
      <c r="A4401" s="149" t="s">
        <v>6377</v>
      </c>
    </row>
    <row r="4402" spans="1:1">
      <c r="A4402" s="149" t="s">
        <v>6378</v>
      </c>
    </row>
    <row r="4403" spans="1:1">
      <c r="A4403" s="149" t="s">
        <v>6379</v>
      </c>
    </row>
    <row r="4404" spans="1:1">
      <c r="A4404" s="149" t="s">
        <v>6380</v>
      </c>
    </row>
    <row r="4405" spans="1:1">
      <c r="A4405" s="149" t="s">
        <v>6381</v>
      </c>
    </row>
    <row r="4406" spans="1:1">
      <c r="A4406" s="149" t="s">
        <v>6382</v>
      </c>
    </row>
    <row r="4407" spans="1:1">
      <c r="A4407" s="149" t="s">
        <v>6383</v>
      </c>
    </row>
    <row r="4408" spans="1:1">
      <c r="A4408" s="149" t="s">
        <v>6384</v>
      </c>
    </row>
    <row r="4409" spans="1:1">
      <c r="A4409" s="149" t="s">
        <v>6385</v>
      </c>
    </row>
    <row r="4410" spans="1:1">
      <c r="A4410" s="149" t="s">
        <v>6386</v>
      </c>
    </row>
    <row r="4411" spans="1:1">
      <c r="A4411" s="149" t="s">
        <v>6387</v>
      </c>
    </row>
    <row r="4412" spans="1:1">
      <c r="A4412" s="149" t="s">
        <v>6388</v>
      </c>
    </row>
    <row r="4413" spans="1:1">
      <c r="A4413" s="149" t="s">
        <v>6389</v>
      </c>
    </row>
    <row r="4414" spans="1:1">
      <c r="A4414" s="149" t="s">
        <v>6390</v>
      </c>
    </row>
    <row r="4415" spans="1:1">
      <c r="A4415" s="149" t="s">
        <v>6391</v>
      </c>
    </row>
    <row r="4416" spans="1:1">
      <c r="A4416" s="149" t="s">
        <v>6392</v>
      </c>
    </row>
    <row r="4417" spans="1:1">
      <c r="A4417" s="149" t="s">
        <v>6393</v>
      </c>
    </row>
    <row r="4418" spans="1:1">
      <c r="A4418" s="149" t="s">
        <v>6394</v>
      </c>
    </row>
    <row r="4419" spans="1:1">
      <c r="A4419" s="149" t="s">
        <v>6395</v>
      </c>
    </row>
    <row r="4420" spans="1:1">
      <c r="A4420" s="149" t="s">
        <v>6396</v>
      </c>
    </row>
    <row r="4421" spans="1:1">
      <c r="A4421" s="149" t="s">
        <v>6397</v>
      </c>
    </row>
    <row r="4422" spans="1:1">
      <c r="A4422" s="149" t="s">
        <v>6398</v>
      </c>
    </row>
    <row r="4423" spans="1:1">
      <c r="A4423" s="149" t="s">
        <v>6399</v>
      </c>
    </row>
    <row r="4424" spans="1:1">
      <c r="A4424" s="149" t="s">
        <v>6400</v>
      </c>
    </row>
    <row r="4425" spans="1:1">
      <c r="A4425" s="149" t="s">
        <v>6401</v>
      </c>
    </row>
    <row r="4426" spans="1:1">
      <c r="A4426" s="149" t="s">
        <v>6402</v>
      </c>
    </row>
    <row r="4427" spans="1:1">
      <c r="A4427" s="149" t="s">
        <v>6403</v>
      </c>
    </row>
    <row r="4428" spans="1:1">
      <c r="A4428" s="149" t="s">
        <v>6404</v>
      </c>
    </row>
    <row r="4429" spans="1:1">
      <c r="A4429" s="149" t="s">
        <v>6405</v>
      </c>
    </row>
    <row r="4430" spans="1:1">
      <c r="A4430" s="149" t="s">
        <v>6406</v>
      </c>
    </row>
    <row r="4431" spans="1:1">
      <c r="A4431" s="149" t="s">
        <v>6407</v>
      </c>
    </row>
    <row r="4432" spans="1:1">
      <c r="A4432" s="149" t="s">
        <v>6408</v>
      </c>
    </row>
    <row r="4433" spans="1:1">
      <c r="A4433" s="149" t="s">
        <v>6409</v>
      </c>
    </row>
    <row r="4434" spans="1:1">
      <c r="A4434" s="149" t="s">
        <v>6410</v>
      </c>
    </row>
    <row r="4435" spans="1:1">
      <c r="A4435" s="149" t="s">
        <v>6411</v>
      </c>
    </row>
    <row r="4436" spans="1:1">
      <c r="A4436" s="149" t="s">
        <v>6412</v>
      </c>
    </row>
    <row r="4437" spans="1:1">
      <c r="A4437" s="149" t="s">
        <v>6413</v>
      </c>
    </row>
    <row r="4438" spans="1:1">
      <c r="A4438" s="149" t="s">
        <v>6414</v>
      </c>
    </row>
    <row r="4439" spans="1:1">
      <c r="A4439" s="149" t="s">
        <v>6415</v>
      </c>
    </row>
    <row r="4440" spans="1:1">
      <c r="A4440" s="149" t="s">
        <v>6416</v>
      </c>
    </row>
    <row r="4441" spans="1:1">
      <c r="A4441" s="149" t="s">
        <v>6417</v>
      </c>
    </row>
    <row r="4442" spans="1:1">
      <c r="A4442" s="149" t="s">
        <v>6418</v>
      </c>
    </row>
    <row r="4443" spans="1:1">
      <c r="A4443" s="149" t="s">
        <v>6419</v>
      </c>
    </row>
    <row r="4444" spans="1:1">
      <c r="A4444" s="149" t="s">
        <v>6420</v>
      </c>
    </row>
    <row r="4445" spans="1:1">
      <c r="A4445" s="149" t="s">
        <v>6421</v>
      </c>
    </row>
    <row r="4446" spans="1:1">
      <c r="A4446" s="149" t="s">
        <v>6422</v>
      </c>
    </row>
    <row r="4447" spans="1:1">
      <c r="A4447" s="149" t="s">
        <v>6423</v>
      </c>
    </row>
    <row r="4448" spans="1:1">
      <c r="A4448" s="149" t="s">
        <v>6424</v>
      </c>
    </row>
    <row r="4449" spans="1:1">
      <c r="A4449" s="149" t="s">
        <v>6425</v>
      </c>
    </row>
    <row r="4450" spans="1:1">
      <c r="A4450" s="149" t="s">
        <v>6426</v>
      </c>
    </row>
    <row r="4451" spans="1:1">
      <c r="A4451" s="149" t="s">
        <v>6427</v>
      </c>
    </row>
    <row r="4452" spans="1:1">
      <c r="A4452" s="149" t="s">
        <v>6428</v>
      </c>
    </row>
    <row r="4453" spans="1:1">
      <c r="A4453" s="149" t="s">
        <v>6429</v>
      </c>
    </row>
    <row r="4454" spans="1:1">
      <c r="A4454" s="149" t="s">
        <v>6430</v>
      </c>
    </row>
    <row r="4455" spans="1:1">
      <c r="A4455" s="149" t="s">
        <v>6431</v>
      </c>
    </row>
    <row r="4456" spans="1:1">
      <c r="A4456" s="149" t="s">
        <v>6432</v>
      </c>
    </row>
    <row r="4457" spans="1:1">
      <c r="A4457" s="149" t="s">
        <v>6433</v>
      </c>
    </row>
    <row r="4458" spans="1:1">
      <c r="A4458" s="149" t="s">
        <v>6434</v>
      </c>
    </row>
    <row r="4459" spans="1:1">
      <c r="A4459" s="149" t="s">
        <v>6435</v>
      </c>
    </row>
    <row r="4460" spans="1:1">
      <c r="A4460" s="149" t="s">
        <v>6436</v>
      </c>
    </row>
    <row r="4461" spans="1:1">
      <c r="A4461" s="149" t="s">
        <v>6437</v>
      </c>
    </row>
    <row r="4462" spans="1:1">
      <c r="A4462" s="149" t="s">
        <v>6438</v>
      </c>
    </row>
    <row r="4463" spans="1:1">
      <c r="A4463" s="149" t="s">
        <v>6439</v>
      </c>
    </row>
    <row r="4464" spans="1:1">
      <c r="A4464" s="149" t="s">
        <v>6440</v>
      </c>
    </row>
    <row r="4465" spans="1:1">
      <c r="A4465" s="149" t="s">
        <v>6441</v>
      </c>
    </row>
    <row r="4466" spans="1:1">
      <c r="A4466" s="149" t="s">
        <v>6442</v>
      </c>
    </row>
    <row r="4467" spans="1:1">
      <c r="A4467" s="149" t="s">
        <v>6443</v>
      </c>
    </row>
    <row r="4468" spans="1:1">
      <c r="A4468" s="149" t="s">
        <v>6444</v>
      </c>
    </row>
    <row r="4469" spans="1:1">
      <c r="A4469" s="149" t="s">
        <v>6445</v>
      </c>
    </row>
    <row r="4470" spans="1:1">
      <c r="A4470" s="149" t="s">
        <v>6446</v>
      </c>
    </row>
    <row r="4471" spans="1:1">
      <c r="A4471" s="149" t="s">
        <v>6447</v>
      </c>
    </row>
    <row r="4472" spans="1:1">
      <c r="A4472" s="149" t="s">
        <v>6448</v>
      </c>
    </row>
    <row r="4473" spans="1:1">
      <c r="A4473" s="149" t="s">
        <v>6449</v>
      </c>
    </row>
    <row r="4474" spans="1:1">
      <c r="A4474" s="149" t="s">
        <v>6450</v>
      </c>
    </row>
    <row r="4475" spans="1:1">
      <c r="A4475" s="149" t="s">
        <v>6451</v>
      </c>
    </row>
    <row r="4476" spans="1:1">
      <c r="A4476" s="149" t="s">
        <v>6452</v>
      </c>
    </row>
    <row r="4477" spans="1:1">
      <c r="A4477" s="149" t="s">
        <v>6453</v>
      </c>
    </row>
    <row r="4478" spans="1:1">
      <c r="A4478" s="149" t="s">
        <v>6454</v>
      </c>
    </row>
    <row r="4479" spans="1:1">
      <c r="A4479" s="149" t="s">
        <v>6455</v>
      </c>
    </row>
    <row r="4480" spans="1:1">
      <c r="A4480" s="149" t="s">
        <v>6456</v>
      </c>
    </row>
    <row r="4481" spans="1:1">
      <c r="A4481" s="149" t="s">
        <v>6457</v>
      </c>
    </row>
    <row r="4482" spans="1:1">
      <c r="A4482" s="149" t="s">
        <v>6458</v>
      </c>
    </row>
    <row r="4483" spans="1:1">
      <c r="A4483" s="149" t="s">
        <v>6459</v>
      </c>
    </row>
    <row r="4484" spans="1:1">
      <c r="A4484" s="149" t="s">
        <v>6460</v>
      </c>
    </row>
    <row r="4485" spans="1:1">
      <c r="A4485" s="149" t="s">
        <v>6461</v>
      </c>
    </row>
    <row r="4486" spans="1:1">
      <c r="A4486" s="149" t="s">
        <v>6462</v>
      </c>
    </row>
    <row r="4487" spans="1:1">
      <c r="A4487" s="149" t="s">
        <v>6463</v>
      </c>
    </row>
    <row r="4488" spans="1:1">
      <c r="A4488" s="149" t="s">
        <v>6464</v>
      </c>
    </row>
    <row r="4489" spans="1:1">
      <c r="A4489" s="149" t="s">
        <v>6465</v>
      </c>
    </row>
    <row r="4490" spans="1:1">
      <c r="A4490" s="149" t="s">
        <v>6466</v>
      </c>
    </row>
    <row r="4491" spans="1:1">
      <c r="A4491" s="149" t="s">
        <v>6467</v>
      </c>
    </row>
    <row r="4492" spans="1:1">
      <c r="A4492" s="149" t="s">
        <v>6468</v>
      </c>
    </row>
    <row r="4493" spans="1:1">
      <c r="A4493" s="149" t="s">
        <v>6469</v>
      </c>
    </row>
    <row r="4494" spans="1:1">
      <c r="A4494" s="149" t="s">
        <v>6470</v>
      </c>
    </row>
    <row r="4495" spans="1:1">
      <c r="A4495" s="149" t="s">
        <v>6471</v>
      </c>
    </row>
    <row r="4496" spans="1:1">
      <c r="A4496" s="149" t="s">
        <v>6472</v>
      </c>
    </row>
    <row r="4497" spans="1:1">
      <c r="A4497" s="149" t="s">
        <v>6473</v>
      </c>
    </row>
    <row r="4498" spans="1:1">
      <c r="A4498" s="149" t="s">
        <v>6474</v>
      </c>
    </row>
    <row r="4499" spans="1:1">
      <c r="A4499" s="149" t="s">
        <v>6475</v>
      </c>
    </row>
    <row r="4500" spans="1:1">
      <c r="A4500" s="149" t="s">
        <v>6476</v>
      </c>
    </row>
    <row r="4501" spans="1:1">
      <c r="A4501" s="149" t="s">
        <v>6477</v>
      </c>
    </row>
    <row r="4502" spans="1:1">
      <c r="A4502" s="149" t="s">
        <v>6478</v>
      </c>
    </row>
    <row r="4503" spans="1:1">
      <c r="A4503" s="149" t="s">
        <v>6479</v>
      </c>
    </row>
    <row r="4504" spans="1:1">
      <c r="A4504" s="149" t="s">
        <v>6480</v>
      </c>
    </row>
    <row r="4505" spans="1:1">
      <c r="A4505" s="149" t="s">
        <v>6481</v>
      </c>
    </row>
    <row r="4506" spans="1:1">
      <c r="A4506" s="149" t="s">
        <v>6482</v>
      </c>
    </row>
    <row r="4507" spans="1:1">
      <c r="A4507" s="149" t="s">
        <v>6483</v>
      </c>
    </row>
    <row r="4508" spans="1:1">
      <c r="A4508" s="149" t="s">
        <v>6484</v>
      </c>
    </row>
    <row r="4509" spans="1:1">
      <c r="A4509" s="149" t="s">
        <v>6485</v>
      </c>
    </row>
    <row r="4510" spans="1:1">
      <c r="A4510" s="149" t="s">
        <v>6486</v>
      </c>
    </row>
    <row r="4511" spans="1:1">
      <c r="A4511" s="149" t="s">
        <v>6487</v>
      </c>
    </row>
    <row r="4512" spans="1:1">
      <c r="A4512" s="149" t="s">
        <v>6488</v>
      </c>
    </row>
    <row r="4513" spans="1:1">
      <c r="A4513" s="149" t="s">
        <v>6489</v>
      </c>
    </row>
    <row r="4514" spans="1:1">
      <c r="A4514" s="149" t="s">
        <v>6490</v>
      </c>
    </row>
    <row r="4515" spans="1:1">
      <c r="A4515" s="149" t="s">
        <v>6491</v>
      </c>
    </row>
    <row r="4516" spans="1:1">
      <c r="A4516" s="149" t="s">
        <v>6492</v>
      </c>
    </row>
    <row r="4517" spans="1:1">
      <c r="A4517" s="149" t="s">
        <v>6493</v>
      </c>
    </row>
    <row r="4518" spans="1:1">
      <c r="A4518" s="149" t="s">
        <v>6494</v>
      </c>
    </row>
    <row r="4519" spans="1:1">
      <c r="A4519" s="149" t="s">
        <v>6495</v>
      </c>
    </row>
    <row r="4520" spans="1:1">
      <c r="A4520" s="149" t="s">
        <v>6496</v>
      </c>
    </row>
    <row r="4521" spans="1:1">
      <c r="A4521" s="149" t="s">
        <v>6497</v>
      </c>
    </row>
    <row r="4522" spans="1:1">
      <c r="A4522" s="149" t="s">
        <v>6498</v>
      </c>
    </row>
    <row r="4523" spans="1:1">
      <c r="A4523" s="149" t="s">
        <v>6499</v>
      </c>
    </row>
    <row r="4524" spans="1:1">
      <c r="A4524" s="149" t="s">
        <v>6500</v>
      </c>
    </row>
    <row r="4525" spans="1:1">
      <c r="A4525" s="149" t="s">
        <v>6501</v>
      </c>
    </row>
    <row r="4526" spans="1:1">
      <c r="A4526" s="149" t="s">
        <v>6502</v>
      </c>
    </row>
    <row r="4527" spans="1:1">
      <c r="A4527" s="149" t="s">
        <v>6503</v>
      </c>
    </row>
    <row r="4528" spans="1:1">
      <c r="A4528" s="149" t="s">
        <v>6504</v>
      </c>
    </row>
    <row r="4529" spans="1:1">
      <c r="A4529" s="149" t="s">
        <v>6505</v>
      </c>
    </row>
    <row r="4530" spans="1:1">
      <c r="A4530" s="149" t="s">
        <v>6506</v>
      </c>
    </row>
    <row r="4531" spans="1:1">
      <c r="A4531" s="149" t="s">
        <v>6507</v>
      </c>
    </row>
    <row r="4532" spans="1:1">
      <c r="A4532" s="149" t="s">
        <v>6508</v>
      </c>
    </row>
    <row r="4533" spans="1:1">
      <c r="A4533" s="149" t="s">
        <v>6509</v>
      </c>
    </row>
    <row r="4534" spans="1:1">
      <c r="A4534" s="149" t="s">
        <v>6510</v>
      </c>
    </row>
    <row r="4535" spans="1:1">
      <c r="A4535" s="149" t="s">
        <v>6511</v>
      </c>
    </row>
    <row r="4536" spans="1:1">
      <c r="A4536" s="149" t="s">
        <v>6512</v>
      </c>
    </row>
    <row r="4537" spans="1:1">
      <c r="A4537" s="149" t="s">
        <v>6513</v>
      </c>
    </row>
    <row r="4538" spans="1:1">
      <c r="A4538" s="149" t="s">
        <v>6514</v>
      </c>
    </row>
    <row r="4539" spans="1:1">
      <c r="A4539" s="149" t="s">
        <v>6515</v>
      </c>
    </row>
    <row r="4540" spans="1:1">
      <c r="A4540" s="149" t="s">
        <v>6516</v>
      </c>
    </row>
    <row r="4541" spans="1:1">
      <c r="A4541" s="149" t="s">
        <v>6517</v>
      </c>
    </row>
    <row r="4542" spans="1:1">
      <c r="A4542" s="149" t="s">
        <v>6518</v>
      </c>
    </row>
    <row r="4543" spans="1:1">
      <c r="A4543" s="149" t="s">
        <v>6519</v>
      </c>
    </row>
    <row r="4544" spans="1:1">
      <c r="A4544" s="149" t="s">
        <v>6520</v>
      </c>
    </row>
    <row r="4545" spans="1:1">
      <c r="A4545" s="149" t="s">
        <v>6521</v>
      </c>
    </row>
    <row r="4546" spans="1:1">
      <c r="A4546" s="149" t="s">
        <v>6522</v>
      </c>
    </row>
    <row r="4547" spans="1:1">
      <c r="A4547" s="149" t="s">
        <v>6523</v>
      </c>
    </row>
    <row r="4548" spans="1:1">
      <c r="A4548" s="149" t="s">
        <v>6524</v>
      </c>
    </row>
    <row r="4549" spans="1:1">
      <c r="A4549" s="149" t="s">
        <v>6525</v>
      </c>
    </row>
    <row r="4550" spans="1:1">
      <c r="A4550" s="149" t="s">
        <v>6526</v>
      </c>
    </row>
    <row r="4551" spans="1:1">
      <c r="A4551" s="149" t="s">
        <v>6527</v>
      </c>
    </row>
    <row r="4552" spans="1:1">
      <c r="A4552" s="149" t="s">
        <v>6528</v>
      </c>
    </row>
    <row r="4553" spans="1:1">
      <c r="A4553" s="149" t="s">
        <v>6529</v>
      </c>
    </row>
    <row r="4554" spans="1:1">
      <c r="A4554" s="149" t="s">
        <v>6530</v>
      </c>
    </row>
    <row r="4555" spans="1:1">
      <c r="A4555" s="149" t="s">
        <v>6531</v>
      </c>
    </row>
    <row r="4556" spans="1:1">
      <c r="A4556" s="149" t="s">
        <v>6532</v>
      </c>
    </row>
    <row r="4557" spans="1:1">
      <c r="A4557" s="149" t="s">
        <v>6533</v>
      </c>
    </row>
    <row r="4558" spans="1:1">
      <c r="A4558" s="149" t="s">
        <v>6534</v>
      </c>
    </row>
    <row r="4559" spans="1:1">
      <c r="A4559" s="149" t="s">
        <v>6535</v>
      </c>
    </row>
    <row r="4560" spans="1:1">
      <c r="A4560" s="149" t="s">
        <v>6536</v>
      </c>
    </row>
    <row r="4561" spans="1:1">
      <c r="A4561" s="149" t="s">
        <v>6537</v>
      </c>
    </row>
    <row r="4562" spans="1:1">
      <c r="A4562" s="149" t="s">
        <v>6538</v>
      </c>
    </row>
    <row r="4563" spans="1:1">
      <c r="A4563" s="149" t="s">
        <v>6539</v>
      </c>
    </row>
    <row r="4564" spans="1:1">
      <c r="A4564" s="149" t="s">
        <v>6540</v>
      </c>
    </row>
    <row r="4565" spans="1:1">
      <c r="A4565" s="149" t="s">
        <v>6541</v>
      </c>
    </row>
    <row r="4566" spans="1:1">
      <c r="A4566" s="149" t="s">
        <v>6542</v>
      </c>
    </row>
    <row r="4567" spans="1:1">
      <c r="A4567" s="149" t="s">
        <v>6543</v>
      </c>
    </row>
    <row r="4568" spans="1:1">
      <c r="A4568" s="149" t="s">
        <v>6544</v>
      </c>
    </row>
    <row r="4569" spans="1:1">
      <c r="A4569" s="149" t="s">
        <v>6545</v>
      </c>
    </row>
    <row r="4570" spans="1:1">
      <c r="A4570" s="149" t="s">
        <v>6546</v>
      </c>
    </row>
    <row r="4571" spans="1:1">
      <c r="A4571" s="149" t="s">
        <v>6547</v>
      </c>
    </row>
    <row r="4572" spans="1:1">
      <c r="A4572" s="149" t="s">
        <v>6548</v>
      </c>
    </row>
    <row r="4573" spans="1:1">
      <c r="A4573" s="149" t="s">
        <v>6549</v>
      </c>
    </row>
    <row r="4574" spans="1:1">
      <c r="A4574" s="149" t="s">
        <v>6550</v>
      </c>
    </row>
    <row r="4575" spans="1:1">
      <c r="A4575" s="149" t="s">
        <v>6551</v>
      </c>
    </row>
    <row r="4576" spans="1:1">
      <c r="A4576" s="149" t="s">
        <v>6552</v>
      </c>
    </row>
    <row r="4577" spans="1:1">
      <c r="A4577" s="149" t="s">
        <v>6553</v>
      </c>
    </row>
    <row r="4578" spans="1:1">
      <c r="A4578" s="149" t="s">
        <v>6554</v>
      </c>
    </row>
    <row r="4579" spans="1:1">
      <c r="A4579" s="149" t="s">
        <v>6555</v>
      </c>
    </row>
    <row r="4580" spans="1:1">
      <c r="A4580" s="149" t="s">
        <v>6556</v>
      </c>
    </row>
    <row r="4581" spans="1:1">
      <c r="A4581" s="149" t="s">
        <v>6557</v>
      </c>
    </row>
    <row r="4582" spans="1:1">
      <c r="A4582" s="149" t="s">
        <v>6558</v>
      </c>
    </row>
    <row r="4583" spans="1:1">
      <c r="A4583" s="149" t="s">
        <v>6559</v>
      </c>
    </row>
    <row r="4584" spans="1:1">
      <c r="A4584" s="149" t="s">
        <v>6560</v>
      </c>
    </row>
    <row r="4585" spans="1:1">
      <c r="A4585" s="149" t="s">
        <v>6561</v>
      </c>
    </row>
    <row r="4586" spans="1:1">
      <c r="A4586" s="149" t="s">
        <v>6562</v>
      </c>
    </row>
    <row r="4587" spans="1:1">
      <c r="A4587" s="149" t="s">
        <v>6563</v>
      </c>
    </row>
    <row r="4588" spans="1:1">
      <c r="A4588" s="149" t="s">
        <v>6564</v>
      </c>
    </row>
    <row r="4589" spans="1:1">
      <c r="A4589" s="149" t="s">
        <v>6565</v>
      </c>
    </row>
    <row r="4590" spans="1:1">
      <c r="A4590" s="149" t="s">
        <v>6566</v>
      </c>
    </row>
    <row r="4591" spans="1:1">
      <c r="A4591" s="149" t="s">
        <v>6567</v>
      </c>
    </row>
    <row r="4592" spans="1:1">
      <c r="A4592" s="149" t="s">
        <v>6568</v>
      </c>
    </row>
    <row r="4593" spans="1:1">
      <c r="A4593" s="149" t="s">
        <v>6569</v>
      </c>
    </row>
    <row r="4594" spans="1:1">
      <c r="A4594" s="149" t="s">
        <v>6570</v>
      </c>
    </row>
    <row r="4595" spans="1:1">
      <c r="A4595" s="149" t="s">
        <v>6571</v>
      </c>
    </row>
    <row r="4596" spans="1:1">
      <c r="A4596" s="149" t="s">
        <v>6572</v>
      </c>
    </row>
    <row r="4597" spans="1:1">
      <c r="A4597" s="149" t="s">
        <v>6573</v>
      </c>
    </row>
    <row r="4598" spans="1:1">
      <c r="A4598" s="149" t="s">
        <v>6574</v>
      </c>
    </row>
    <row r="4599" spans="1:1">
      <c r="A4599" s="149" t="s">
        <v>6575</v>
      </c>
    </row>
    <row r="4600" spans="1:1">
      <c r="A4600" s="149" t="s">
        <v>6576</v>
      </c>
    </row>
    <row r="4601" spans="1:1">
      <c r="A4601" s="149" t="s">
        <v>6577</v>
      </c>
    </row>
    <row r="4602" spans="1:1">
      <c r="A4602" s="149" t="s">
        <v>6578</v>
      </c>
    </row>
    <row r="4603" spans="1:1">
      <c r="A4603" s="149" t="s">
        <v>6579</v>
      </c>
    </row>
    <row r="4604" spans="1:1">
      <c r="A4604" s="149" t="s">
        <v>6580</v>
      </c>
    </row>
    <row r="4605" spans="1:1">
      <c r="A4605" s="149" t="s">
        <v>6581</v>
      </c>
    </row>
    <row r="4606" spans="1:1">
      <c r="A4606" s="149" t="s">
        <v>6582</v>
      </c>
    </row>
    <row r="4607" spans="1:1">
      <c r="A4607" s="149" t="s">
        <v>6583</v>
      </c>
    </row>
    <row r="4608" spans="1:1">
      <c r="A4608" s="149" t="s">
        <v>6584</v>
      </c>
    </row>
    <row r="4609" spans="1:1">
      <c r="A4609" s="149" t="s">
        <v>6585</v>
      </c>
    </row>
    <row r="4610" spans="1:1">
      <c r="A4610" s="149" t="s">
        <v>6586</v>
      </c>
    </row>
    <row r="4611" spans="1:1">
      <c r="A4611" s="149" t="s">
        <v>6587</v>
      </c>
    </row>
    <row r="4612" spans="1:1">
      <c r="A4612" s="149" t="s">
        <v>6588</v>
      </c>
    </row>
    <row r="4613" spans="1:1">
      <c r="A4613" s="149" t="s">
        <v>6589</v>
      </c>
    </row>
    <row r="4614" spans="1:1">
      <c r="A4614" s="149" t="s">
        <v>6590</v>
      </c>
    </row>
    <row r="4615" spans="1:1">
      <c r="A4615" s="149" t="s">
        <v>6591</v>
      </c>
    </row>
    <row r="4616" spans="1:1">
      <c r="A4616" s="149" t="s">
        <v>6592</v>
      </c>
    </row>
    <row r="4617" spans="1:1">
      <c r="A4617" s="149" t="s">
        <v>6593</v>
      </c>
    </row>
    <row r="4618" spans="1:1">
      <c r="A4618" s="149" t="s">
        <v>6594</v>
      </c>
    </row>
    <row r="4619" spans="1:1">
      <c r="A4619" s="149" t="s">
        <v>6595</v>
      </c>
    </row>
    <row r="4620" spans="1:1">
      <c r="A4620" s="149" t="s">
        <v>6596</v>
      </c>
    </row>
    <row r="4621" spans="1:1">
      <c r="A4621" s="149" t="s">
        <v>6597</v>
      </c>
    </row>
    <row r="4622" spans="1:1">
      <c r="A4622" s="149" t="s">
        <v>6598</v>
      </c>
    </row>
    <row r="4623" spans="1:1">
      <c r="A4623" s="149" t="s">
        <v>6599</v>
      </c>
    </row>
    <row r="4624" spans="1:1">
      <c r="A4624" s="149" t="s">
        <v>6600</v>
      </c>
    </row>
    <row r="4625" spans="1:1">
      <c r="A4625" s="149" t="s">
        <v>6601</v>
      </c>
    </row>
    <row r="4626" spans="1:1">
      <c r="A4626" s="149" t="s">
        <v>6602</v>
      </c>
    </row>
    <row r="4627" spans="1:1">
      <c r="A4627" s="149" t="s">
        <v>6603</v>
      </c>
    </row>
    <row r="4628" spans="1:1">
      <c r="A4628" s="149" t="s">
        <v>6604</v>
      </c>
    </row>
    <row r="4629" spans="1:1">
      <c r="A4629" s="149" t="s">
        <v>6605</v>
      </c>
    </row>
    <row r="4630" spans="1:1">
      <c r="A4630" s="149" t="s">
        <v>6606</v>
      </c>
    </row>
    <row r="4631" spans="1:1">
      <c r="A4631" s="149" t="s">
        <v>6607</v>
      </c>
    </row>
    <row r="4632" spans="1:1">
      <c r="A4632" s="149" t="s">
        <v>6608</v>
      </c>
    </row>
    <row r="4633" spans="1:1">
      <c r="A4633" s="149" t="s">
        <v>6609</v>
      </c>
    </row>
    <row r="4634" spans="1:1">
      <c r="A4634" s="149" t="s">
        <v>6610</v>
      </c>
    </row>
    <row r="4635" spans="1:1">
      <c r="A4635" s="149" t="s">
        <v>6611</v>
      </c>
    </row>
    <row r="4636" spans="1:1">
      <c r="A4636" s="149" t="s">
        <v>6612</v>
      </c>
    </row>
    <row r="4637" spans="1:1">
      <c r="A4637" s="149" t="s">
        <v>6613</v>
      </c>
    </row>
    <row r="4638" spans="1:1">
      <c r="A4638" s="149" t="s">
        <v>6614</v>
      </c>
    </row>
    <row r="4639" spans="1:1">
      <c r="A4639" s="149" t="s">
        <v>6615</v>
      </c>
    </row>
    <row r="4640" spans="1:1">
      <c r="A4640" s="149" t="s">
        <v>6616</v>
      </c>
    </row>
    <row r="4641" spans="1:1">
      <c r="A4641" s="149" t="s">
        <v>6617</v>
      </c>
    </row>
    <row r="4642" spans="1:1">
      <c r="A4642" s="149" t="s">
        <v>6618</v>
      </c>
    </row>
    <row r="4643" spans="1:1">
      <c r="A4643" s="149" t="s">
        <v>6619</v>
      </c>
    </row>
    <row r="4644" spans="1:1">
      <c r="A4644" s="149" t="s">
        <v>6620</v>
      </c>
    </row>
    <row r="4645" spans="1:1">
      <c r="A4645" s="149" t="s">
        <v>6621</v>
      </c>
    </row>
    <row r="4646" spans="1:1">
      <c r="A4646" s="149" t="s">
        <v>6622</v>
      </c>
    </row>
    <row r="4647" spans="1:1">
      <c r="A4647" s="149" t="s">
        <v>6623</v>
      </c>
    </row>
    <row r="4648" spans="1:1">
      <c r="A4648" s="149" t="s">
        <v>6624</v>
      </c>
    </row>
    <row r="4649" spans="1:1">
      <c r="A4649" s="149" t="s">
        <v>6625</v>
      </c>
    </row>
    <row r="4650" spans="1:1">
      <c r="A4650" s="149" t="s">
        <v>6626</v>
      </c>
    </row>
    <row r="4651" spans="1:1">
      <c r="A4651" s="149" t="s">
        <v>6627</v>
      </c>
    </row>
    <row r="4652" spans="1:1">
      <c r="A4652" s="149" t="s">
        <v>6628</v>
      </c>
    </row>
    <row r="4653" spans="1:1">
      <c r="A4653" s="149" t="s">
        <v>6629</v>
      </c>
    </row>
    <row r="4654" spans="1:1">
      <c r="A4654" s="149" t="s">
        <v>6630</v>
      </c>
    </row>
    <row r="4655" spans="1:1">
      <c r="A4655" s="149" t="s">
        <v>6631</v>
      </c>
    </row>
    <row r="4656" spans="1:1">
      <c r="A4656" s="149" t="s">
        <v>6632</v>
      </c>
    </row>
    <row r="4657" spans="1:1">
      <c r="A4657" s="149" t="s">
        <v>6633</v>
      </c>
    </row>
    <row r="4658" spans="1:1">
      <c r="A4658" s="149" t="s">
        <v>6634</v>
      </c>
    </row>
    <row r="4659" spans="1:1">
      <c r="A4659" s="149" t="s">
        <v>6635</v>
      </c>
    </row>
    <row r="4660" spans="1:1">
      <c r="A4660" s="149" t="s">
        <v>6636</v>
      </c>
    </row>
    <row r="4661" spans="1:1">
      <c r="A4661" s="149" t="s">
        <v>6637</v>
      </c>
    </row>
    <row r="4662" spans="1:1">
      <c r="A4662" s="149" t="s">
        <v>6638</v>
      </c>
    </row>
    <row r="4663" spans="1:1">
      <c r="A4663" s="149" t="s">
        <v>6639</v>
      </c>
    </row>
    <row r="4664" spans="1:1">
      <c r="A4664" s="149" t="s">
        <v>6640</v>
      </c>
    </row>
    <row r="4665" spans="1:1">
      <c r="A4665" s="149" t="s">
        <v>6641</v>
      </c>
    </row>
    <row r="4666" spans="1:1">
      <c r="A4666" s="149" t="s">
        <v>6642</v>
      </c>
    </row>
    <row r="4667" spans="1:1">
      <c r="A4667" s="149" t="s">
        <v>6643</v>
      </c>
    </row>
    <row r="4668" spans="1:1">
      <c r="A4668" s="149" t="s">
        <v>6644</v>
      </c>
    </row>
    <row r="4669" spans="1:1">
      <c r="A4669" s="149" t="s">
        <v>6645</v>
      </c>
    </row>
    <row r="4670" spans="1:1">
      <c r="A4670" s="149" t="s">
        <v>6646</v>
      </c>
    </row>
    <row r="4671" spans="1:1">
      <c r="A4671" s="149" t="s">
        <v>6647</v>
      </c>
    </row>
    <row r="4672" spans="1:1">
      <c r="A4672" s="149" t="s">
        <v>6648</v>
      </c>
    </row>
    <row r="4673" spans="1:1">
      <c r="A4673" s="149" t="s">
        <v>6649</v>
      </c>
    </row>
    <row r="4674" spans="1:1">
      <c r="A4674" s="149" t="s">
        <v>6650</v>
      </c>
    </row>
    <row r="4675" spans="1:1">
      <c r="A4675" s="149" t="s">
        <v>6651</v>
      </c>
    </row>
    <row r="4676" spans="1:1">
      <c r="A4676" s="149" t="s">
        <v>6652</v>
      </c>
    </row>
    <row r="4677" spans="1:1">
      <c r="A4677" s="149" t="s">
        <v>6653</v>
      </c>
    </row>
    <row r="4678" spans="1:1">
      <c r="A4678" s="149" t="s">
        <v>6654</v>
      </c>
    </row>
    <row r="4679" spans="1:1">
      <c r="A4679" s="149" t="s">
        <v>6655</v>
      </c>
    </row>
    <row r="4680" spans="1:1">
      <c r="A4680" s="149" t="s">
        <v>6656</v>
      </c>
    </row>
    <row r="4681" spans="1:1">
      <c r="A4681" s="149" t="s">
        <v>6657</v>
      </c>
    </row>
    <row r="4682" spans="1:1">
      <c r="A4682" s="149" t="s">
        <v>6658</v>
      </c>
    </row>
    <row r="4683" spans="1:1">
      <c r="A4683" s="149" t="s">
        <v>6659</v>
      </c>
    </row>
    <row r="4684" spans="1:1">
      <c r="A4684" s="149" t="s">
        <v>6660</v>
      </c>
    </row>
    <row r="4685" spans="1:1">
      <c r="A4685" s="149" t="s">
        <v>6661</v>
      </c>
    </row>
    <row r="4686" spans="1:1">
      <c r="A4686" s="149" t="s">
        <v>6662</v>
      </c>
    </row>
    <row r="4687" spans="1:1">
      <c r="A4687" s="149" t="s">
        <v>6663</v>
      </c>
    </row>
    <row r="4688" spans="1:1">
      <c r="A4688" s="149" t="s">
        <v>6664</v>
      </c>
    </row>
    <row r="4689" spans="1:1">
      <c r="A4689" s="149" t="s">
        <v>6665</v>
      </c>
    </row>
    <row r="4690" spans="1:1">
      <c r="A4690" s="149" t="s">
        <v>6666</v>
      </c>
    </row>
    <row r="4691" spans="1:1">
      <c r="A4691" s="149" t="s">
        <v>6667</v>
      </c>
    </row>
    <row r="4692" spans="1:1">
      <c r="A4692" s="149" t="s">
        <v>6668</v>
      </c>
    </row>
    <row r="4693" spans="1:1">
      <c r="A4693" s="149" t="s">
        <v>6669</v>
      </c>
    </row>
    <row r="4694" spans="1:1">
      <c r="A4694" s="149" t="s">
        <v>6670</v>
      </c>
    </row>
    <row r="4695" spans="1:1">
      <c r="A4695" s="149" t="s">
        <v>6671</v>
      </c>
    </row>
    <row r="4696" spans="1:1">
      <c r="A4696" s="149" t="s">
        <v>6672</v>
      </c>
    </row>
    <row r="4697" spans="1:1">
      <c r="A4697" s="149" t="s">
        <v>6673</v>
      </c>
    </row>
    <row r="4698" spans="1:1">
      <c r="A4698" s="149" t="s">
        <v>6674</v>
      </c>
    </row>
    <row r="4699" spans="1:1">
      <c r="A4699" s="149" t="s">
        <v>6675</v>
      </c>
    </row>
    <row r="4700" spans="1:1">
      <c r="A4700" s="149" t="s">
        <v>6676</v>
      </c>
    </row>
    <row r="4701" spans="1:1">
      <c r="A4701" s="149" t="s">
        <v>6677</v>
      </c>
    </row>
    <row r="4702" spans="1:1">
      <c r="A4702" s="149" t="s">
        <v>6678</v>
      </c>
    </row>
    <row r="4703" spans="1:1">
      <c r="A4703" s="149" t="s">
        <v>6679</v>
      </c>
    </row>
    <row r="4704" spans="1:1">
      <c r="A4704" s="149" t="s">
        <v>6680</v>
      </c>
    </row>
    <row r="4705" spans="1:1">
      <c r="A4705" s="149" t="s">
        <v>6681</v>
      </c>
    </row>
    <row r="4706" spans="1:1">
      <c r="A4706" s="149" t="s">
        <v>6682</v>
      </c>
    </row>
    <row r="4707" spans="1:1">
      <c r="A4707" s="149" t="s">
        <v>6683</v>
      </c>
    </row>
    <row r="4708" spans="1:1">
      <c r="A4708" s="149" t="s">
        <v>6684</v>
      </c>
    </row>
    <row r="4709" spans="1:1">
      <c r="A4709" s="149" t="s">
        <v>6685</v>
      </c>
    </row>
    <row r="4710" spans="1:1">
      <c r="A4710" s="149" t="s">
        <v>6686</v>
      </c>
    </row>
    <row r="4711" spans="1:1">
      <c r="A4711" s="149" t="s">
        <v>6687</v>
      </c>
    </row>
    <row r="4712" spans="1:1">
      <c r="A4712" s="149" t="s">
        <v>6688</v>
      </c>
    </row>
    <row r="4713" spans="1:1">
      <c r="A4713" s="149" t="s">
        <v>6689</v>
      </c>
    </row>
    <row r="4714" spans="1:1">
      <c r="A4714" s="149" t="s">
        <v>6690</v>
      </c>
    </row>
    <row r="4715" spans="1:1">
      <c r="A4715" s="149" t="s">
        <v>6691</v>
      </c>
    </row>
    <row r="4716" spans="1:1">
      <c r="A4716" s="149" t="s">
        <v>6692</v>
      </c>
    </row>
    <row r="4717" spans="1:1">
      <c r="A4717" s="149" t="s">
        <v>6693</v>
      </c>
    </row>
    <row r="4718" spans="1:1">
      <c r="A4718" s="149" t="s">
        <v>6694</v>
      </c>
    </row>
    <row r="4719" spans="1:1">
      <c r="A4719" s="149" t="s">
        <v>6695</v>
      </c>
    </row>
    <row r="4720" spans="1:1">
      <c r="A4720" s="149" t="s">
        <v>6696</v>
      </c>
    </row>
    <row r="4721" spans="1:1">
      <c r="A4721" s="149" t="s">
        <v>6697</v>
      </c>
    </row>
    <row r="4722" spans="1:1">
      <c r="A4722" s="149" t="s">
        <v>6698</v>
      </c>
    </row>
    <row r="4723" spans="1:1">
      <c r="A4723" s="149" t="s">
        <v>6699</v>
      </c>
    </row>
    <row r="4724" spans="1:1">
      <c r="A4724" s="149" t="s">
        <v>6700</v>
      </c>
    </row>
    <row r="4725" spans="1:1">
      <c r="A4725" s="149" t="s">
        <v>6701</v>
      </c>
    </row>
    <row r="4726" spans="1:1">
      <c r="A4726" s="149" t="s">
        <v>6702</v>
      </c>
    </row>
    <row r="4727" spans="1:1">
      <c r="A4727" s="149" t="s">
        <v>6703</v>
      </c>
    </row>
    <row r="4728" spans="1:1">
      <c r="A4728" s="149" t="s">
        <v>6704</v>
      </c>
    </row>
    <row r="4729" spans="1:1">
      <c r="A4729" s="149" t="s">
        <v>6705</v>
      </c>
    </row>
    <row r="4730" spans="1:1">
      <c r="A4730" s="149" t="s">
        <v>6706</v>
      </c>
    </row>
    <row r="4731" spans="1:1">
      <c r="A4731" s="149" t="s">
        <v>6707</v>
      </c>
    </row>
    <row r="4732" spans="1:1">
      <c r="A4732" s="149" t="s">
        <v>6708</v>
      </c>
    </row>
    <row r="4733" spans="1:1">
      <c r="A4733" s="149" t="s">
        <v>6709</v>
      </c>
    </row>
    <row r="4734" spans="1:1">
      <c r="A4734" s="149" t="s">
        <v>6710</v>
      </c>
    </row>
    <row r="4735" spans="1:1">
      <c r="A4735" s="149" t="s">
        <v>6711</v>
      </c>
    </row>
    <row r="4736" spans="1:1">
      <c r="A4736" s="149" t="s">
        <v>6712</v>
      </c>
    </row>
    <row r="4737" spans="1:1">
      <c r="A4737" s="149" t="s">
        <v>6713</v>
      </c>
    </row>
    <row r="4738" spans="1:1">
      <c r="A4738" s="149" t="s">
        <v>6714</v>
      </c>
    </row>
    <row r="4739" spans="1:1">
      <c r="A4739" s="149" t="s">
        <v>6715</v>
      </c>
    </row>
    <row r="4740" spans="1:1">
      <c r="A4740" s="149" t="s">
        <v>6716</v>
      </c>
    </row>
    <row r="4741" spans="1:1">
      <c r="A4741" s="149" t="s">
        <v>6717</v>
      </c>
    </row>
    <row r="4742" spans="1:1">
      <c r="A4742" s="149" t="s">
        <v>6718</v>
      </c>
    </row>
    <row r="4743" spans="1:1">
      <c r="A4743" s="149" t="s">
        <v>6719</v>
      </c>
    </row>
    <row r="4744" spans="1:1">
      <c r="A4744" s="149" t="s">
        <v>6720</v>
      </c>
    </row>
    <row r="4745" spans="1:1">
      <c r="A4745" s="149" t="s">
        <v>6721</v>
      </c>
    </row>
    <row r="4746" spans="1:1">
      <c r="A4746" s="149" t="s">
        <v>6722</v>
      </c>
    </row>
    <row r="4747" spans="1:1">
      <c r="A4747" s="149" t="s">
        <v>6723</v>
      </c>
    </row>
    <row r="4748" spans="1:1">
      <c r="A4748" s="149" t="s">
        <v>6724</v>
      </c>
    </row>
    <row r="4749" spans="1:1">
      <c r="A4749" s="149" t="s">
        <v>6725</v>
      </c>
    </row>
    <row r="4750" spans="1:1">
      <c r="A4750" s="149" t="s">
        <v>6726</v>
      </c>
    </row>
    <row r="4751" spans="1:1">
      <c r="A4751" s="149" t="s">
        <v>6727</v>
      </c>
    </row>
    <row r="4752" spans="1:1">
      <c r="A4752" s="149" t="s">
        <v>6728</v>
      </c>
    </row>
    <row r="4753" spans="1:1">
      <c r="A4753" s="149" t="s">
        <v>6729</v>
      </c>
    </row>
    <row r="4754" spans="1:1">
      <c r="A4754" s="149" t="s">
        <v>6730</v>
      </c>
    </row>
    <row r="4755" spans="1:1">
      <c r="A4755" s="149" t="s">
        <v>6731</v>
      </c>
    </row>
    <row r="4756" spans="1:1">
      <c r="A4756" s="149" t="s">
        <v>6732</v>
      </c>
    </row>
    <row r="4757" spans="1:1">
      <c r="A4757" s="149" t="s">
        <v>6733</v>
      </c>
    </row>
    <row r="4758" spans="1:1">
      <c r="A4758" s="149" t="s">
        <v>6734</v>
      </c>
    </row>
    <row r="4759" spans="1:1">
      <c r="A4759" s="149" t="s">
        <v>6735</v>
      </c>
    </row>
    <row r="4760" spans="1:1">
      <c r="A4760" s="149" t="s">
        <v>6736</v>
      </c>
    </row>
    <row r="4761" spans="1:1">
      <c r="A4761" s="149" t="s">
        <v>6737</v>
      </c>
    </row>
    <row r="4762" spans="1:1">
      <c r="A4762" s="149" t="s">
        <v>6738</v>
      </c>
    </row>
    <row r="4763" spans="1:1">
      <c r="A4763" s="149" t="s">
        <v>6739</v>
      </c>
    </row>
    <row r="4764" spans="1:1">
      <c r="A4764" s="149" t="s">
        <v>6740</v>
      </c>
    </row>
    <row r="4765" spans="1:1">
      <c r="A4765" s="149" t="s">
        <v>6741</v>
      </c>
    </row>
    <row r="4766" spans="1:1">
      <c r="A4766" s="149" t="s">
        <v>6742</v>
      </c>
    </row>
    <row r="4767" spans="1:1">
      <c r="A4767" s="149" t="s">
        <v>6743</v>
      </c>
    </row>
    <row r="4768" spans="1:1">
      <c r="A4768" s="149" t="s">
        <v>6744</v>
      </c>
    </row>
    <row r="4769" spans="1:1">
      <c r="A4769" s="149" t="s">
        <v>6745</v>
      </c>
    </row>
    <row r="4770" spans="1:1">
      <c r="A4770" s="149" t="s">
        <v>6746</v>
      </c>
    </row>
    <row r="4771" spans="1:1">
      <c r="A4771" s="149" t="s">
        <v>6747</v>
      </c>
    </row>
    <row r="4772" spans="1:1">
      <c r="A4772" s="149" t="s">
        <v>6748</v>
      </c>
    </row>
    <row r="4773" spans="1:1">
      <c r="A4773" s="149" t="s">
        <v>6749</v>
      </c>
    </row>
    <row r="4774" spans="1:1">
      <c r="A4774" s="149" t="s">
        <v>6750</v>
      </c>
    </row>
    <row r="4775" spans="1:1">
      <c r="A4775" s="149" t="s">
        <v>6751</v>
      </c>
    </row>
    <row r="4776" spans="1:1">
      <c r="A4776" s="149" t="s">
        <v>6752</v>
      </c>
    </row>
    <row r="4777" spans="1:1">
      <c r="A4777" s="149" t="s">
        <v>6753</v>
      </c>
    </row>
    <row r="4778" spans="1:1">
      <c r="A4778" s="149" t="s">
        <v>6754</v>
      </c>
    </row>
    <row r="4779" spans="1:1">
      <c r="A4779" s="149" t="s">
        <v>6755</v>
      </c>
    </row>
    <row r="4780" spans="1:1">
      <c r="A4780" s="149" t="s">
        <v>6756</v>
      </c>
    </row>
    <row r="4781" spans="1:1">
      <c r="A4781" s="149" t="s">
        <v>6757</v>
      </c>
    </row>
    <row r="4782" spans="1:1">
      <c r="A4782" s="149" t="s">
        <v>6758</v>
      </c>
    </row>
    <row r="4783" spans="1:1">
      <c r="A4783" s="149" t="s">
        <v>6759</v>
      </c>
    </row>
    <row r="4784" spans="1:1">
      <c r="A4784" s="149" t="s">
        <v>6760</v>
      </c>
    </row>
    <row r="4785" spans="1:1">
      <c r="A4785" s="149" t="s">
        <v>6761</v>
      </c>
    </row>
    <row r="4786" spans="1:1">
      <c r="A4786" s="149" t="s">
        <v>6762</v>
      </c>
    </row>
    <row r="4787" spans="1:1">
      <c r="A4787" s="149" t="s">
        <v>6763</v>
      </c>
    </row>
    <row r="4788" spans="1:1">
      <c r="A4788" s="149" t="s">
        <v>6764</v>
      </c>
    </row>
    <row r="4789" spans="1:1">
      <c r="A4789" s="149" t="s">
        <v>6765</v>
      </c>
    </row>
    <row r="4790" spans="1:1">
      <c r="A4790" s="149" t="s">
        <v>6766</v>
      </c>
    </row>
    <row r="4791" spans="1:1">
      <c r="A4791" s="149" t="s">
        <v>6767</v>
      </c>
    </row>
    <row r="4792" spans="1:1">
      <c r="A4792" s="149" t="s">
        <v>6768</v>
      </c>
    </row>
    <row r="4793" spans="1:1">
      <c r="A4793" s="149" t="s">
        <v>6769</v>
      </c>
    </row>
    <row r="4794" spans="1:1">
      <c r="A4794" s="149" t="s">
        <v>6770</v>
      </c>
    </row>
    <row r="4795" spans="1:1">
      <c r="A4795" s="149" t="s">
        <v>6771</v>
      </c>
    </row>
    <row r="4796" spans="1:1">
      <c r="A4796" s="149" t="s">
        <v>6772</v>
      </c>
    </row>
    <row r="4797" spans="1:1">
      <c r="A4797" s="149" t="s">
        <v>6773</v>
      </c>
    </row>
    <row r="4798" spans="1:1">
      <c r="A4798" s="149" t="s">
        <v>6774</v>
      </c>
    </row>
    <row r="4799" spans="1:1">
      <c r="A4799" s="149" t="s">
        <v>6775</v>
      </c>
    </row>
    <row r="4800" spans="1:1">
      <c r="A4800" s="149" t="s">
        <v>6776</v>
      </c>
    </row>
    <row r="4801" spans="1:1">
      <c r="A4801" s="149" t="s">
        <v>6777</v>
      </c>
    </row>
    <row r="4802" spans="1:1">
      <c r="A4802" s="149" t="s">
        <v>6778</v>
      </c>
    </row>
    <row r="4803" spans="1:1">
      <c r="A4803" s="149" t="s">
        <v>6779</v>
      </c>
    </row>
    <row r="4804" spans="1:1">
      <c r="A4804" s="149" t="s">
        <v>6780</v>
      </c>
    </row>
    <row r="4805" spans="1:1">
      <c r="A4805" s="149" t="s">
        <v>6781</v>
      </c>
    </row>
    <row r="4806" spans="1:1">
      <c r="A4806" s="149" t="s">
        <v>6782</v>
      </c>
    </row>
    <row r="4807" spans="1:1">
      <c r="A4807" s="149" t="s">
        <v>6783</v>
      </c>
    </row>
    <row r="4808" spans="1:1">
      <c r="A4808" s="149" t="s">
        <v>6784</v>
      </c>
    </row>
    <row r="4809" spans="1:1">
      <c r="A4809" s="149" t="s">
        <v>6785</v>
      </c>
    </row>
    <row r="4810" spans="1:1">
      <c r="A4810" s="149" t="s">
        <v>6786</v>
      </c>
    </row>
    <row r="4811" spans="1:1">
      <c r="A4811" s="149" t="s">
        <v>6787</v>
      </c>
    </row>
    <row r="4812" spans="1:1">
      <c r="A4812" s="149" t="s">
        <v>6788</v>
      </c>
    </row>
    <row r="4813" spans="1:1">
      <c r="A4813" s="149" t="s">
        <v>6789</v>
      </c>
    </row>
    <row r="4814" spans="1:1">
      <c r="A4814" s="149" t="s">
        <v>6790</v>
      </c>
    </row>
    <row r="4815" spans="1:1">
      <c r="A4815" s="149" t="s">
        <v>6791</v>
      </c>
    </row>
    <row r="4816" spans="1:1">
      <c r="A4816" s="149" t="s">
        <v>6792</v>
      </c>
    </row>
    <row r="4817" spans="1:1">
      <c r="A4817" s="149" t="s">
        <v>6793</v>
      </c>
    </row>
    <row r="4818" spans="1:1">
      <c r="A4818" s="149" t="s">
        <v>6794</v>
      </c>
    </row>
    <row r="4819" spans="1:1">
      <c r="A4819" s="149" t="s">
        <v>6795</v>
      </c>
    </row>
    <row r="4820" spans="1:1">
      <c r="A4820" s="149" t="s">
        <v>6796</v>
      </c>
    </row>
    <row r="4821" spans="1:1">
      <c r="A4821" s="149" t="s">
        <v>6797</v>
      </c>
    </row>
    <row r="4822" spans="1:1">
      <c r="A4822" s="149" t="s">
        <v>6798</v>
      </c>
    </row>
    <row r="4823" spans="1:1">
      <c r="A4823" s="149" t="s">
        <v>6799</v>
      </c>
    </row>
    <row r="4824" spans="1:1">
      <c r="A4824" s="149" t="s">
        <v>6800</v>
      </c>
    </row>
    <row r="4825" spans="1:1">
      <c r="A4825" s="149" t="s">
        <v>6801</v>
      </c>
    </row>
    <row r="4826" spans="1:1">
      <c r="A4826" s="149" t="s">
        <v>6802</v>
      </c>
    </row>
    <row r="4827" spans="1:1">
      <c r="A4827" s="149" t="s">
        <v>6803</v>
      </c>
    </row>
    <row r="4828" spans="1:1">
      <c r="A4828" s="149" t="s">
        <v>6804</v>
      </c>
    </row>
    <row r="4829" spans="1:1">
      <c r="A4829" s="149" t="s">
        <v>6805</v>
      </c>
    </row>
    <row r="4830" spans="1:1">
      <c r="A4830" s="149" t="s">
        <v>6806</v>
      </c>
    </row>
    <row r="4831" spans="1:1">
      <c r="A4831" s="149" t="s">
        <v>6807</v>
      </c>
    </row>
    <row r="4832" spans="1:1">
      <c r="A4832" s="149" t="s">
        <v>6808</v>
      </c>
    </row>
    <row r="4833" spans="1:1">
      <c r="A4833" s="149" t="s">
        <v>6809</v>
      </c>
    </row>
    <row r="4834" spans="1:1">
      <c r="A4834" s="149" t="s">
        <v>6810</v>
      </c>
    </row>
    <row r="4835" spans="1:1">
      <c r="A4835" s="149" t="s">
        <v>6811</v>
      </c>
    </row>
    <row r="4836" spans="1:1">
      <c r="A4836" s="149" t="s">
        <v>6812</v>
      </c>
    </row>
    <row r="4837" spans="1:1">
      <c r="A4837" s="149" t="s">
        <v>6813</v>
      </c>
    </row>
    <row r="4838" spans="1:1">
      <c r="A4838" s="149" t="s">
        <v>6814</v>
      </c>
    </row>
    <row r="4839" spans="1:1">
      <c r="A4839" s="149" t="s">
        <v>6815</v>
      </c>
    </row>
    <row r="4840" spans="1:1">
      <c r="A4840" s="149" t="s">
        <v>6816</v>
      </c>
    </row>
    <row r="4841" spans="1:1">
      <c r="A4841" s="149" t="s">
        <v>6817</v>
      </c>
    </row>
    <row r="4842" spans="1:1">
      <c r="A4842" s="149" t="s">
        <v>6818</v>
      </c>
    </row>
    <row r="4843" spans="1:1">
      <c r="A4843" s="149" t="s">
        <v>6819</v>
      </c>
    </row>
    <row r="4844" spans="1:1">
      <c r="A4844" s="149" t="s">
        <v>6820</v>
      </c>
    </row>
    <row r="4845" spans="1:1">
      <c r="A4845" s="149" t="s">
        <v>6821</v>
      </c>
    </row>
    <row r="4846" spans="1:1">
      <c r="A4846" s="149" t="s">
        <v>6822</v>
      </c>
    </row>
    <row r="4847" spans="1:1">
      <c r="A4847" s="149" t="s">
        <v>6823</v>
      </c>
    </row>
    <row r="4848" spans="1:1">
      <c r="A4848" s="149" t="s">
        <v>6824</v>
      </c>
    </row>
    <row r="4849" spans="1:1">
      <c r="A4849" s="149" t="s">
        <v>6825</v>
      </c>
    </row>
    <row r="4850" spans="1:1">
      <c r="A4850" s="149" t="s">
        <v>6826</v>
      </c>
    </row>
    <row r="4851" spans="1:1">
      <c r="A4851" s="149" t="s">
        <v>6827</v>
      </c>
    </row>
    <row r="4852" spans="1:1">
      <c r="A4852" s="149" t="s">
        <v>6828</v>
      </c>
    </row>
    <row r="4853" spans="1:1">
      <c r="A4853" s="149" t="s">
        <v>6829</v>
      </c>
    </row>
    <row r="4854" spans="1:1">
      <c r="A4854" s="149" t="s">
        <v>6830</v>
      </c>
    </row>
    <row r="4855" spans="1:1">
      <c r="A4855" s="149" t="s">
        <v>6831</v>
      </c>
    </row>
    <row r="4856" spans="1:1">
      <c r="A4856" s="149" t="s">
        <v>6832</v>
      </c>
    </row>
    <row r="4857" spans="1:1">
      <c r="A4857" s="149" t="s">
        <v>6833</v>
      </c>
    </row>
    <row r="4858" spans="1:1">
      <c r="A4858" s="149" t="s">
        <v>6834</v>
      </c>
    </row>
    <row r="4859" spans="1:1">
      <c r="A4859" s="149" t="s">
        <v>6835</v>
      </c>
    </row>
    <row r="4860" spans="1:1">
      <c r="A4860" s="149" t="s">
        <v>6836</v>
      </c>
    </row>
    <row r="4861" spans="1:1">
      <c r="A4861" s="149" t="s">
        <v>6837</v>
      </c>
    </row>
    <row r="4862" spans="1:1">
      <c r="A4862" s="149" t="s">
        <v>6838</v>
      </c>
    </row>
    <row r="4863" spans="1:1">
      <c r="A4863" s="149" t="s">
        <v>6839</v>
      </c>
    </row>
    <row r="4864" spans="1:1">
      <c r="A4864" s="149" t="s">
        <v>6840</v>
      </c>
    </row>
    <row r="4865" spans="1:1">
      <c r="A4865" s="149" t="s">
        <v>6841</v>
      </c>
    </row>
    <row r="4866" spans="1:1">
      <c r="A4866" s="149" t="s">
        <v>6842</v>
      </c>
    </row>
    <row r="4867" spans="1:1">
      <c r="A4867" s="149" t="s">
        <v>6843</v>
      </c>
    </row>
    <row r="4868" spans="1:1">
      <c r="A4868" s="149" t="s">
        <v>6844</v>
      </c>
    </row>
    <row r="4869" spans="1:1">
      <c r="A4869" s="149" t="s">
        <v>6845</v>
      </c>
    </row>
    <row r="4870" spans="1:1">
      <c r="A4870" s="149" t="s">
        <v>6846</v>
      </c>
    </row>
    <row r="4871" spans="1:1">
      <c r="A4871" s="149" t="s">
        <v>6847</v>
      </c>
    </row>
    <row r="4872" spans="1:1">
      <c r="A4872" s="149" t="s">
        <v>6848</v>
      </c>
    </row>
    <row r="4873" spans="1:1">
      <c r="A4873" s="149" t="s">
        <v>6849</v>
      </c>
    </row>
    <row r="4874" spans="1:1">
      <c r="A4874" s="149" t="s">
        <v>6850</v>
      </c>
    </row>
    <row r="4875" spans="1:1">
      <c r="A4875" s="149" t="s">
        <v>6851</v>
      </c>
    </row>
    <row r="4876" spans="1:1">
      <c r="A4876" s="149" t="s">
        <v>6852</v>
      </c>
    </row>
    <row r="4877" spans="1:1">
      <c r="A4877" s="149" t="s">
        <v>6853</v>
      </c>
    </row>
    <row r="4878" spans="1:1">
      <c r="A4878" s="149" t="s">
        <v>6854</v>
      </c>
    </row>
    <row r="4879" spans="1:1">
      <c r="A4879" s="149" t="s">
        <v>6855</v>
      </c>
    </row>
    <row r="4880" spans="1:1">
      <c r="A4880" s="149" t="s">
        <v>6856</v>
      </c>
    </row>
    <row r="4881" spans="1:1">
      <c r="A4881" s="149" t="s">
        <v>6857</v>
      </c>
    </row>
    <row r="4882" spans="1:1">
      <c r="A4882" s="149" t="s">
        <v>6858</v>
      </c>
    </row>
    <row r="4883" spans="1:1">
      <c r="A4883" s="149" t="s">
        <v>6859</v>
      </c>
    </row>
    <row r="4884" spans="1:1">
      <c r="A4884" s="149" t="s">
        <v>6860</v>
      </c>
    </row>
    <row r="4885" spans="1:1">
      <c r="A4885" s="149" t="s">
        <v>6861</v>
      </c>
    </row>
    <row r="4886" spans="1:1">
      <c r="A4886" s="149" t="s">
        <v>6862</v>
      </c>
    </row>
    <row r="4887" spans="1:1">
      <c r="A4887" s="149" t="s">
        <v>6863</v>
      </c>
    </row>
    <row r="4888" spans="1:1">
      <c r="A4888" s="149" t="s">
        <v>6864</v>
      </c>
    </row>
    <row r="4889" spans="1:1">
      <c r="A4889" s="149" t="s">
        <v>6865</v>
      </c>
    </row>
    <row r="4890" spans="1:1">
      <c r="A4890" s="149" t="s">
        <v>6866</v>
      </c>
    </row>
    <row r="4891" spans="1:1">
      <c r="A4891" s="149" t="s">
        <v>6867</v>
      </c>
    </row>
    <row r="4892" spans="1:1">
      <c r="A4892" s="149" t="s">
        <v>6868</v>
      </c>
    </row>
    <row r="4893" spans="1:1">
      <c r="A4893" s="149" t="s">
        <v>6869</v>
      </c>
    </row>
    <row r="4894" spans="1:1">
      <c r="A4894" s="149" t="s">
        <v>6870</v>
      </c>
    </row>
    <row r="4895" spans="1:1">
      <c r="A4895" s="149" t="s">
        <v>6871</v>
      </c>
    </row>
    <row r="4896" spans="1:1">
      <c r="A4896" s="149" t="s">
        <v>6872</v>
      </c>
    </row>
    <row r="4897" spans="1:1">
      <c r="A4897" s="149" t="s">
        <v>6873</v>
      </c>
    </row>
    <row r="4898" spans="1:1">
      <c r="A4898" s="149" t="s">
        <v>6874</v>
      </c>
    </row>
    <row r="4899" spans="1:1">
      <c r="A4899" s="149" t="s">
        <v>6875</v>
      </c>
    </row>
    <row r="4900" spans="1:1">
      <c r="A4900" s="149" t="s">
        <v>6876</v>
      </c>
    </row>
    <row r="4901" spans="1:1">
      <c r="A4901" s="149" t="s">
        <v>6877</v>
      </c>
    </row>
    <row r="4902" spans="1:1">
      <c r="A4902" s="149" t="s">
        <v>6878</v>
      </c>
    </row>
    <row r="4903" spans="1:1">
      <c r="A4903" s="149" t="s">
        <v>6879</v>
      </c>
    </row>
    <row r="4904" spans="1:1">
      <c r="A4904" s="149" t="s">
        <v>6880</v>
      </c>
    </row>
    <row r="4905" spans="1:1">
      <c r="A4905" s="149" t="s">
        <v>6881</v>
      </c>
    </row>
    <row r="4906" spans="1:1">
      <c r="A4906" s="149" t="s">
        <v>6882</v>
      </c>
    </row>
    <row r="4907" spans="1:1">
      <c r="A4907" s="149" t="s">
        <v>6883</v>
      </c>
    </row>
    <row r="4908" spans="1:1">
      <c r="A4908" s="149" t="s">
        <v>6884</v>
      </c>
    </row>
    <row r="4909" spans="1:1">
      <c r="A4909" s="149" t="s">
        <v>6885</v>
      </c>
    </row>
    <row r="4910" spans="1:1">
      <c r="A4910" s="149" t="s">
        <v>6886</v>
      </c>
    </row>
    <row r="4911" spans="1:1">
      <c r="A4911" s="149" t="s">
        <v>6887</v>
      </c>
    </row>
    <row r="4912" spans="1:1">
      <c r="A4912" s="149" t="s">
        <v>6888</v>
      </c>
    </row>
    <row r="4913" spans="1:1">
      <c r="A4913" s="149" t="s">
        <v>6889</v>
      </c>
    </row>
    <row r="4914" spans="1:1">
      <c r="A4914" s="149" t="s">
        <v>6890</v>
      </c>
    </row>
    <row r="4915" spans="1:1">
      <c r="A4915" s="149" t="s">
        <v>6891</v>
      </c>
    </row>
    <row r="4916" spans="1:1">
      <c r="A4916" s="149" t="s">
        <v>6892</v>
      </c>
    </row>
    <row r="4917" spans="1:1">
      <c r="A4917" s="149" t="s">
        <v>6893</v>
      </c>
    </row>
    <row r="4918" spans="1:1">
      <c r="A4918" s="149" t="s">
        <v>6894</v>
      </c>
    </row>
    <row r="4919" spans="1:1">
      <c r="A4919" s="149" t="s">
        <v>6895</v>
      </c>
    </row>
    <row r="4920" spans="1:1">
      <c r="A4920" s="149" t="s">
        <v>6896</v>
      </c>
    </row>
    <row r="4921" spans="1:1">
      <c r="A4921" s="149" t="s">
        <v>6897</v>
      </c>
    </row>
    <row r="4922" spans="1:1">
      <c r="A4922" s="149" t="s">
        <v>6898</v>
      </c>
    </row>
    <row r="4923" spans="1:1">
      <c r="A4923" s="149" t="s">
        <v>6899</v>
      </c>
    </row>
    <row r="4924" spans="1:1">
      <c r="A4924" s="149" t="s">
        <v>6900</v>
      </c>
    </row>
    <row r="4925" spans="1:1">
      <c r="A4925" s="149" t="s">
        <v>6901</v>
      </c>
    </row>
    <row r="4926" spans="1:1">
      <c r="A4926" s="149" t="s">
        <v>6902</v>
      </c>
    </row>
    <row r="4927" spans="1:1">
      <c r="A4927" s="149" t="s">
        <v>6903</v>
      </c>
    </row>
    <row r="4928" spans="1:1">
      <c r="A4928" s="149" t="s">
        <v>6904</v>
      </c>
    </row>
    <row r="4929" spans="1:1">
      <c r="A4929" s="149" t="s">
        <v>6905</v>
      </c>
    </row>
    <row r="4930" spans="1:1">
      <c r="A4930" s="149" t="s">
        <v>6906</v>
      </c>
    </row>
    <row r="4931" spans="1:1">
      <c r="A4931" s="149" t="s">
        <v>6907</v>
      </c>
    </row>
    <row r="4932" spans="1:1">
      <c r="A4932" s="149" t="s">
        <v>6908</v>
      </c>
    </row>
    <row r="4933" spans="1:1">
      <c r="A4933" s="149" t="s">
        <v>6909</v>
      </c>
    </row>
    <row r="4934" spans="1:1">
      <c r="A4934" s="149" t="s">
        <v>6910</v>
      </c>
    </row>
    <row r="4935" spans="1:1">
      <c r="A4935" s="149" t="s">
        <v>6911</v>
      </c>
    </row>
    <row r="4936" spans="1:1">
      <c r="A4936" s="149" t="s">
        <v>6912</v>
      </c>
    </row>
    <row r="4937" spans="1:1">
      <c r="A4937" s="149" t="s">
        <v>6913</v>
      </c>
    </row>
    <row r="4938" spans="1:1">
      <c r="A4938" s="149" t="s">
        <v>6914</v>
      </c>
    </row>
    <row r="4939" spans="1:1">
      <c r="A4939" s="149" t="s">
        <v>6915</v>
      </c>
    </row>
    <row r="4940" spans="1:1">
      <c r="A4940" s="149" t="s">
        <v>6916</v>
      </c>
    </row>
    <row r="4941" spans="1:1">
      <c r="A4941" s="149" t="s">
        <v>6917</v>
      </c>
    </row>
    <row r="4942" spans="1:1">
      <c r="A4942" s="149" t="s">
        <v>6918</v>
      </c>
    </row>
    <row r="4943" spans="1:1">
      <c r="A4943" s="149" t="s">
        <v>6919</v>
      </c>
    </row>
    <row r="4944" spans="1:1">
      <c r="A4944" s="149" t="s">
        <v>6920</v>
      </c>
    </row>
    <row r="4945" spans="1:1">
      <c r="A4945" s="149" t="s">
        <v>6921</v>
      </c>
    </row>
    <row r="4946" spans="1:1">
      <c r="A4946" s="149" t="s">
        <v>6922</v>
      </c>
    </row>
    <row r="4947" spans="1:1">
      <c r="A4947" s="149" t="s">
        <v>6923</v>
      </c>
    </row>
    <row r="4948" spans="1:1">
      <c r="A4948" s="149" t="s">
        <v>6924</v>
      </c>
    </row>
    <row r="4949" spans="1:1">
      <c r="A4949" s="149" t="s">
        <v>6925</v>
      </c>
    </row>
    <row r="4950" spans="1:1">
      <c r="A4950" s="149" t="s">
        <v>6926</v>
      </c>
    </row>
    <row r="4951" spans="1:1">
      <c r="A4951" s="149" t="s">
        <v>6927</v>
      </c>
    </row>
    <row r="4952" spans="1:1">
      <c r="A4952" s="149" t="s">
        <v>6928</v>
      </c>
    </row>
    <row r="4953" spans="1:1">
      <c r="A4953" s="149" t="s">
        <v>6929</v>
      </c>
    </row>
    <row r="4954" spans="1:1">
      <c r="A4954" s="149" t="s">
        <v>6930</v>
      </c>
    </row>
    <row r="4955" spans="1:1">
      <c r="A4955" s="149" t="s">
        <v>6931</v>
      </c>
    </row>
    <row r="4956" spans="1:1">
      <c r="A4956" s="149" t="s">
        <v>6932</v>
      </c>
    </row>
    <row r="4957" spans="1:1">
      <c r="A4957" s="149" t="s">
        <v>6933</v>
      </c>
    </row>
    <row r="4958" spans="1:1">
      <c r="A4958" s="149" t="s">
        <v>6934</v>
      </c>
    </row>
    <row r="4959" spans="1:1">
      <c r="A4959" s="149" t="s">
        <v>6935</v>
      </c>
    </row>
    <row r="4960" spans="1:1">
      <c r="A4960" s="149" t="s">
        <v>6936</v>
      </c>
    </row>
    <row r="4961" spans="1:1">
      <c r="A4961" s="149" t="s">
        <v>6937</v>
      </c>
    </row>
    <row r="4962" spans="1:1">
      <c r="A4962" s="149" t="s">
        <v>6938</v>
      </c>
    </row>
    <row r="4963" spans="1:1">
      <c r="A4963" s="149" t="s">
        <v>6939</v>
      </c>
    </row>
    <row r="4964" spans="1:1">
      <c r="A4964" s="149" t="s">
        <v>6940</v>
      </c>
    </row>
    <row r="4965" spans="1:1">
      <c r="A4965" s="149" t="s">
        <v>6941</v>
      </c>
    </row>
    <row r="4966" spans="1:1">
      <c r="A4966" s="149" t="s">
        <v>6942</v>
      </c>
    </row>
    <row r="4967" spans="1:1">
      <c r="A4967" s="149" t="s">
        <v>6943</v>
      </c>
    </row>
    <row r="4968" spans="1:1">
      <c r="A4968" s="149" t="s">
        <v>6944</v>
      </c>
    </row>
    <row r="4969" spans="1:1">
      <c r="A4969" s="149" t="s">
        <v>6945</v>
      </c>
    </row>
    <row r="4970" spans="1:1">
      <c r="A4970" s="149" t="s">
        <v>6946</v>
      </c>
    </row>
    <row r="4971" spans="1:1">
      <c r="A4971" s="149" t="s">
        <v>6947</v>
      </c>
    </row>
    <row r="4972" spans="1:1">
      <c r="A4972" s="149" t="s">
        <v>6948</v>
      </c>
    </row>
    <row r="4973" spans="1:1">
      <c r="A4973" s="149" t="s">
        <v>6949</v>
      </c>
    </row>
    <row r="4974" spans="1:1">
      <c r="A4974" s="149" t="s">
        <v>6950</v>
      </c>
    </row>
    <row r="4975" spans="1:1">
      <c r="A4975" s="149" t="s">
        <v>6951</v>
      </c>
    </row>
    <row r="4976" spans="1:1">
      <c r="A4976" s="149" t="s">
        <v>6952</v>
      </c>
    </row>
    <row r="4977" spans="1:1">
      <c r="A4977" s="149" t="s">
        <v>6953</v>
      </c>
    </row>
    <row r="4978" spans="1:1">
      <c r="A4978" s="149" t="s">
        <v>6954</v>
      </c>
    </row>
    <row r="4979" spans="1:1">
      <c r="A4979" s="149" t="s">
        <v>6955</v>
      </c>
    </row>
    <row r="4980" spans="1:1">
      <c r="A4980" s="149" t="s">
        <v>6956</v>
      </c>
    </row>
    <row r="4981" spans="1:1">
      <c r="A4981" s="149" t="s">
        <v>6957</v>
      </c>
    </row>
    <row r="4982" spans="1:1">
      <c r="A4982" s="149" t="s">
        <v>6958</v>
      </c>
    </row>
    <row r="4983" spans="1:1">
      <c r="A4983" s="149" t="s">
        <v>6959</v>
      </c>
    </row>
    <row r="4984" spans="1:1">
      <c r="A4984" s="149" t="s">
        <v>6960</v>
      </c>
    </row>
    <row r="4985" spans="1:1">
      <c r="A4985" s="149" t="s">
        <v>6961</v>
      </c>
    </row>
    <row r="4986" spans="1:1">
      <c r="A4986" s="149" t="s">
        <v>6962</v>
      </c>
    </row>
    <row r="4987" spans="1:1">
      <c r="A4987" s="149" t="s">
        <v>6963</v>
      </c>
    </row>
    <row r="4988" spans="1:1">
      <c r="A4988" s="149" t="s">
        <v>6964</v>
      </c>
    </row>
    <row r="4989" spans="1:1">
      <c r="A4989" s="149" t="s">
        <v>6965</v>
      </c>
    </row>
    <row r="4990" spans="1:1">
      <c r="A4990" s="149" t="s">
        <v>6966</v>
      </c>
    </row>
    <row r="4991" spans="1:1">
      <c r="A4991" s="149" t="s">
        <v>6967</v>
      </c>
    </row>
    <row r="4992" spans="1:1">
      <c r="A4992" s="149" t="s">
        <v>6968</v>
      </c>
    </row>
    <row r="4993" spans="1:1">
      <c r="A4993" s="149" t="s">
        <v>6969</v>
      </c>
    </row>
    <row r="4994" spans="1:1">
      <c r="A4994" s="149" t="s">
        <v>6970</v>
      </c>
    </row>
    <row r="4995" spans="1:1">
      <c r="A4995" s="149" t="s">
        <v>6971</v>
      </c>
    </row>
    <row r="4996" spans="1:1">
      <c r="A4996" s="149" t="s">
        <v>6972</v>
      </c>
    </row>
    <row r="4997" spans="1:1">
      <c r="A4997" s="149" t="s">
        <v>6973</v>
      </c>
    </row>
    <row r="4998" spans="1:1">
      <c r="A4998" s="149" t="s">
        <v>6974</v>
      </c>
    </row>
    <row r="4999" spans="1:1">
      <c r="A4999" s="149" t="s">
        <v>6975</v>
      </c>
    </row>
    <row r="5000" spans="1:1">
      <c r="A5000" s="149" t="s">
        <v>6976</v>
      </c>
    </row>
    <row r="5001" spans="1:1">
      <c r="A5001" s="149" t="s">
        <v>6977</v>
      </c>
    </row>
    <row r="5002" spans="1:1">
      <c r="A5002" s="149" t="s">
        <v>6978</v>
      </c>
    </row>
    <row r="5003" spans="1:1">
      <c r="A5003" s="149" t="s">
        <v>6979</v>
      </c>
    </row>
    <row r="5004" spans="1:1">
      <c r="A5004" s="149" t="s">
        <v>6980</v>
      </c>
    </row>
    <row r="5005" spans="1:1">
      <c r="A5005" s="149" t="s">
        <v>6981</v>
      </c>
    </row>
    <row r="5006" spans="1:1">
      <c r="A5006" s="149" t="s">
        <v>6982</v>
      </c>
    </row>
    <row r="5007" spans="1:1">
      <c r="A5007" s="149" t="s">
        <v>6983</v>
      </c>
    </row>
    <row r="5008" spans="1:1">
      <c r="A5008" s="149" t="s">
        <v>6984</v>
      </c>
    </row>
    <row r="5009" spans="1:1">
      <c r="A5009" s="149" t="s">
        <v>6985</v>
      </c>
    </row>
    <row r="5010" spans="1:1">
      <c r="A5010" s="149" t="s">
        <v>6986</v>
      </c>
    </row>
    <row r="5011" spans="1:1">
      <c r="A5011" s="149" t="s">
        <v>6987</v>
      </c>
    </row>
    <row r="5012" spans="1:1">
      <c r="A5012" s="149" t="s">
        <v>6988</v>
      </c>
    </row>
    <row r="5013" spans="1:1">
      <c r="A5013" s="149" t="s">
        <v>6989</v>
      </c>
    </row>
    <row r="5014" spans="1:1">
      <c r="A5014" s="149" t="s">
        <v>6990</v>
      </c>
    </row>
    <row r="5015" spans="1:1">
      <c r="A5015" s="149" t="s">
        <v>6991</v>
      </c>
    </row>
    <row r="5016" spans="1:1">
      <c r="A5016" s="149" t="s">
        <v>6992</v>
      </c>
    </row>
    <row r="5017" spans="1:1">
      <c r="A5017" s="149" t="s">
        <v>6993</v>
      </c>
    </row>
    <row r="5018" spans="1:1">
      <c r="A5018" s="149" t="s">
        <v>6994</v>
      </c>
    </row>
    <row r="5019" spans="1:1">
      <c r="A5019" s="149" t="s">
        <v>6995</v>
      </c>
    </row>
    <row r="5020" spans="1:1">
      <c r="A5020" s="149" t="s">
        <v>6996</v>
      </c>
    </row>
    <row r="5021" spans="1:1">
      <c r="A5021" s="149" t="s">
        <v>6997</v>
      </c>
    </row>
    <row r="5022" spans="1:1">
      <c r="A5022" s="149" t="s">
        <v>6998</v>
      </c>
    </row>
    <row r="5023" spans="1:1">
      <c r="A5023" s="149" t="s">
        <v>6999</v>
      </c>
    </row>
    <row r="5024" spans="1:1">
      <c r="A5024" s="149" t="s">
        <v>7000</v>
      </c>
    </row>
    <row r="5025" spans="1:1">
      <c r="A5025" s="149" t="s">
        <v>7001</v>
      </c>
    </row>
    <row r="5026" spans="1:1">
      <c r="A5026" s="149" t="s">
        <v>7002</v>
      </c>
    </row>
    <row r="5027" spans="1:1">
      <c r="A5027" s="149" t="s">
        <v>7003</v>
      </c>
    </row>
    <row r="5028" spans="1:1">
      <c r="A5028" s="149" t="s">
        <v>7004</v>
      </c>
    </row>
    <row r="5029" spans="1:1">
      <c r="A5029" s="149" t="s">
        <v>7005</v>
      </c>
    </row>
    <row r="5030" spans="1:1">
      <c r="A5030" s="149" t="s">
        <v>7006</v>
      </c>
    </row>
    <row r="5031" spans="1:1">
      <c r="A5031" s="149" t="s">
        <v>7007</v>
      </c>
    </row>
    <row r="5032" spans="1:1">
      <c r="A5032" s="149" t="s">
        <v>7008</v>
      </c>
    </row>
    <row r="5033" spans="1:1">
      <c r="A5033" s="149" t="s">
        <v>7009</v>
      </c>
    </row>
    <row r="5034" spans="1:1">
      <c r="A5034" s="149" t="s">
        <v>7010</v>
      </c>
    </row>
    <row r="5035" spans="1:1">
      <c r="A5035" s="149" t="s">
        <v>7011</v>
      </c>
    </row>
    <row r="5036" spans="1:1">
      <c r="A5036" s="149" t="s">
        <v>7012</v>
      </c>
    </row>
    <row r="5037" spans="1:1">
      <c r="A5037" s="149" t="s">
        <v>7013</v>
      </c>
    </row>
    <row r="5038" spans="1:1">
      <c r="A5038" s="149" t="s">
        <v>7014</v>
      </c>
    </row>
    <row r="5039" spans="1:1">
      <c r="A5039" s="149" t="s">
        <v>7015</v>
      </c>
    </row>
    <row r="5040" spans="1:1">
      <c r="A5040" s="149" t="s">
        <v>7016</v>
      </c>
    </row>
    <row r="5041" spans="1:1">
      <c r="A5041" s="149" t="s">
        <v>7017</v>
      </c>
    </row>
    <row r="5042" spans="1:1">
      <c r="A5042" s="149" t="s">
        <v>7018</v>
      </c>
    </row>
    <row r="5043" spans="1:1">
      <c r="A5043" s="149" t="s">
        <v>7019</v>
      </c>
    </row>
    <row r="5044" spans="1:1">
      <c r="A5044" s="149" t="s">
        <v>7020</v>
      </c>
    </row>
    <row r="5045" spans="1:1">
      <c r="A5045" s="149" t="s">
        <v>7021</v>
      </c>
    </row>
    <row r="5046" spans="1:1">
      <c r="A5046" s="149" t="s">
        <v>7022</v>
      </c>
    </row>
    <row r="5047" spans="1:1">
      <c r="A5047" s="149" t="s">
        <v>7023</v>
      </c>
    </row>
    <row r="5048" spans="1:1">
      <c r="A5048" s="149" t="s">
        <v>7024</v>
      </c>
    </row>
    <row r="5049" spans="1:1">
      <c r="A5049" s="149" t="s">
        <v>7025</v>
      </c>
    </row>
    <row r="5050" spans="1:1">
      <c r="A5050" s="149" t="s">
        <v>7026</v>
      </c>
    </row>
    <row r="5051" spans="1:1">
      <c r="A5051" s="149" t="s">
        <v>7027</v>
      </c>
    </row>
    <row r="5052" spans="1:1">
      <c r="A5052" s="149" t="s">
        <v>7028</v>
      </c>
    </row>
    <row r="5053" spans="1:1">
      <c r="A5053" s="149" t="s">
        <v>7029</v>
      </c>
    </row>
    <row r="5054" spans="1:1">
      <c r="A5054" s="149" t="s">
        <v>7030</v>
      </c>
    </row>
    <row r="5055" spans="1:1">
      <c r="A5055" s="149" t="s">
        <v>7031</v>
      </c>
    </row>
    <row r="5056" spans="1:1">
      <c r="A5056" s="149" t="s">
        <v>7032</v>
      </c>
    </row>
    <row r="5057" spans="1:1">
      <c r="A5057" s="149" t="s">
        <v>7033</v>
      </c>
    </row>
    <row r="5058" spans="1:1">
      <c r="A5058" s="149" t="s">
        <v>7034</v>
      </c>
    </row>
    <row r="5059" spans="1:1">
      <c r="A5059" s="149" t="s">
        <v>7035</v>
      </c>
    </row>
    <row r="5060" spans="1:1">
      <c r="A5060" s="149" t="s">
        <v>7036</v>
      </c>
    </row>
    <row r="5061" spans="1:1">
      <c r="A5061" s="149" t="s">
        <v>7037</v>
      </c>
    </row>
    <row r="5062" spans="1:1">
      <c r="A5062" s="149" t="s">
        <v>7038</v>
      </c>
    </row>
    <row r="5063" spans="1:1">
      <c r="A5063" s="149" t="s">
        <v>7039</v>
      </c>
    </row>
    <row r="5064" spans="1:1">
      <c r="A5064" s="149" t="s">
        <v>7040</v>
      </c>
    </row>
    <row r="5065" spans="1:1">
      <c r="A5065" s="149" t="s">
        <v>7041</v>
      </c>
    </row>
    <row r="5066" spans="1:1">
      <c r="A5066" s="149" t="s">
        <v>7042</v>
      </c>
    </row>
    <row r="5067" spans="1:1">
      <c r="A5067" s="149" t="s">
        <v>7043</v>
      </c>
    </row>
    <row r="5068" spans="1:1">
      <c r="A5068" s="149" t="s">
        <v>7044</v>
      </c>
    </row>
    <row r="5069" spans="1:1">
      <c r="A5069" s="149" t="s">
        <v>7045</v>
      </c>
    </row>
    <row r="5070" spans="1:1">
      <c r="A5070" s="149" t="s">
        <v>7046</v>
      </c>
    </row>
    <row r="5071" spans="1:1">
      <c r="A5071" s="149" t="s">
        <v>7047</v>
      </c>
    </row>
    <row r="5072" spans="1:1">
      <c r="A5072" s="149" t="s">
        <v>7048</v>
      </c>
    </row>
    <row r="5073" spans="1:1">
      <c r="A5073" s="149" t="s">
        <v>7049</v>
      </c>
    </row>
    <row r="5074" spans="1:1">
      <c r="A5074" s="149" t="s">
        <v>7050</v>
      </c>
    </row>
    <row r="5075" spans="1:1">
      <c r="A5075" s="149" t="s">
        <v>7051</v>
      </c>
    </row>
    <row r="5076" spans="1:1">
      <c r="A5076" s="149" t="s">
        <v>7052</v>
      </c>
    </row>
    <row r="5077" spans="1:1">
      <c r="A5077" s="149" t="s">
        <v>7053</v>
      </c>
    </row>
    <row r="5078" spans="1:1">
      <c r="A5078" s="149" t="s">
        <v>7054</v>
      </c>
    </row>
    <row r="5079" spans="1:1">
      <c r="A5079" s="149" t="s">
        <v>7055</v>
      </c>
    </row>
    <row r="5080" spans="1:1">
      <c r="A5080" s="149" t="s">
        <v>7056</v>
      </c>
    </row>
    <row r="5081" spans="1:1">
      <c r="A5081" s="149" t="s">
        <v>7057</v>
      </c>
    </row>
    <row r="5082" spans="1:1">
      <c r="A5082" s="149" t="s">
        <v>7058</v>
      </c>
    </row>
    <row r="5083" spans="1:1">
      <c r="A5083" s="149" t="s">
        <v>7059</v>
      </c>
    </row>
    <row r="5084" spans="1:1">
      <c r="A5084" s="149" t="s">
        <v>7060</v>
      </c>
    </row>
    <row r="5085" spans="1:1">
      <c r="A5085" s="149" t="s">
        <v>7061</v>
      </c>
    </row>
    <row r="5086" spans="1:1">
      <c r="A5086" s="149" t="s">
        <v>7062</v>
      </c>
    </row>
    <row r="5087" spans="1:1">
      <c r="A5087" s="149" t="s">
        <v>7063</v>
      </c>
    </row>
    <row r="5088" spans="1:1">
      <c r="A5088" s="149" t="s">
        <v>7064</v>
      </c>
    </row>
    <row r="5089" spans="1:1">
      <c r="A5089" s="149" t="s">
        <v>7065</v>
      </c>
    </row>
    <row r="5090" spans="1:1">
      <c r="A5090" s="149" t="s">
        <v>7066</v>
      </c>
    </row>
    <row r="5091" spans="1:1">
      <c r="A5091" s="149" t="s">
        <v>7067</v>
      </c>
    </row>
    <row r="5092" spans="1:1">
      <c r="A5092" s="149" t="s">
        <v>7068</v>
      </c>
    </row>
    <row r="5093" spans="1:1">
      <c r="A5093" s="149" t="s">
        <v>7069</v>
      </c>
    </row>
    <row r="5094" spans="1:1">
      <c r="A5094" s="149" t="s">
        <v>7070</v>
      </c>
    </row>
    <row r="5095" spans="1:1">
      <c r="A5095" s="149" t="s">
        <v>7071</v>
      </c>
    </row>
    <row r="5096" spans="1:1">
      <c r="A5096" s="149" t="s">
        <v>7072</v>
      </c>
    </row>
    <row r="5097" spans="1:1">
      <c r="A5097" s="149" t="s">
        <v>7073</v>
      </c>
    </row>
    <row r="5098" spans="1:1">
      <c r="A5098" s="149" t="s">
        <v>7074</v>
      </c>
    </row>
    <row r="5099" spans="1:1">
      <c r="A5099" s="149" t="s">
        <v>7075</v>
      </c>
    </row>
    <row r="5100" spans="1:1">
      <c r="A5100" s="149" t="s">
        <v>7076</v>
      </c>
    </row>
    <row r="5101" spans="1:1">
      <c r="A5101" s="149" t="s">
        <v>7077</v>
      </c>
    </row>
    <row r="5102" spans="1:1">
      <c r="A5102" s="149" t="s">
        <v>7078</v>
      </c>
    </row>
    <row r="5103" spans="1:1">
      <c r="A5103" s="149" t="s">
        <v>7079</v>
      </c>
    </row>
    <row r="5104" spans="1:1">
      <c r="A5104" s="149" t="s">
        <v>7080</v>
      </c>
    </row>
    <row r="5105" spans="1:1">
      <c r="A5105" s="149" t="s">
        <v>7081</v>
      </c>
    </row>
    <row r="5106" spans="1:1">
      <c r="A5106" s="149" t="s">
        <v>7082</v>
      </c>
    </row>
    <row r="5107" spans="1:1">
      <c r="A5107" s="149" t="s">
        <v>7083</v>
      </c>
    </row>
    <row r="5108" spans="1:1">
      <c r="A5108" s="149" t="s">
        <v>7084</v>
      </c>
    </row>
    <row r="5109" spans="1:1">
      <c r="A5109" s="149" t="s">
        <v>7085</v>
      </c>
    </row>
    <row r="5110" spans="1:1">
      <c r="A5110" s="149" t="s">
        <v>7086</v>
      </c>
    </row>
    <row r="5111" spans="1:1">
      <c r="A5111" s="149" t="s">
        <v>7087</v>
      </c>
    </row>
    <row r="5112" spans="1:1">
      <c r="A5112" s="149" t="s">
        <v>7088</v>
      </c>
    </row>
    <row r="5113" spans="1:1">
      <c r="A5113" s="149" t="s">
        <v>7089</v>
      </c>
    </row>
    <row r="5114" spans="1:1">
      <c r="A5114" s="149" t="s">
        <v>7090</v>
      </c>
    </row>
    <row r="5115" spans="1:1">
      <c r="A5115" s="149" t="s">
        <v>7091</v>
      </c>
    </row>
    <row r="5116" spans="1:1">
      <c r="A5116" s="149" t="s">
        <v>7092</v>
      </c>
    </row>
    <row r="5117" spans="1:1">
      <c r="A5117" s="149" t="s">
        <v>7093</v>
      </c>
    </row>
    <row r="5118" spans="1:1">
      <c r="A5118" s="149" t="s">
        <v>7094</v>
      </c>
    </row>
    <row r="5119" spans="1:1">
      <c r="A5119" s="149" t="s">
        <v>7095</v>
      </c>
    </row>
    <row r="5120" spans="1:1">
      <c r="A5120" s="149" t="s">
        <v>7096</v>
      </c>
    </row>
    <row r="5121" spans="1:1">
      <c r="A5121" s="149" t="s">
        <v>7097</v>
      </c>
    </row>
    <row r="5122" spans="1:1">
      <c r="A5122" s="149" t="s">
        <v>7098</v>
      </c>
    </row>
    <row r="5123" spans="1:1">
      <c r="A5123" s="149" t="s">
        <v>7099</v>
      </c>
    </row>
    <row r="5124" spans="1:1">
      <c r="A5124" s="149" t="s">
        <v>7100</v>
      </c>
    </row>
    <row r="5125" spans="1:1">
      <c r="A5125" s="149" t="s">
        <v>7101</v>
      </c>
    </row>
    <row r="5126" spans="1:1">
      <c r="A5126" s="149" t="s">
        <v>7102</v>
      </c>
    </row>
    <row r="5127" spans="1:1">
      <c r="A5127" s="149" t="s">
        <v>7103</v>
      </c>
    </row>
    <row r="5128" spans="1:1">
      <c r="A5128" s="149" t="s">
        <v>7104</v>
      </c>
    </row>
    <row r="5129" spans="1:1">
      <c r="A5129" s="149" t="s">
        <v>7105</v>
      </c>
    </row>
    <row r="5130" spans="1:1">
      <c r="A5130" s="149" t="s">
        <v>7106</v>
      </c>
    </row>
    <row r="5131" spans="1:1">
      <c r="A5131" s="149" t="s">
        <v>7107</v>
      </c>
    </row>
    <row r="5132" spans="1:1">
      <c r="A5132" s="149" t="s">
        <v>7108</v>
      </c>
    </row>
    <row r="5133" spans="1:1">
      <c r="A5133" s="149" t="s">
        <v>7109</v>
      </c>
    </row>
    <row r="5134" spans="1:1">
      <c r="A5134" s="149" t="s">
        <v>7110</v>
      </c>
    </row>
    <row r="5135" spans="1:1">
      <c r="A5135" s="149" t="s">
        <v>7111</v>
      </c>
    </row>
    <row r="5136" spans="1:1">
      <c r="A5136" s="149" t="s">
        <v>7112</v>
      </c>
    </row>
    <row r="5137" spans="1:1">
      <c r="A5137" s="149" t="s">
        <v>7113</v>
      </c>
    </row>
    <row r="5138" spans="1:1">
      <c r="A5138" s="149" t="s">
        <v>7114</v>
      </c>
    </row>
    <row r="5139" spans="1:1">
      <c r="A5139" s="149" t="s">
        <v>7115</v>
      </c>
    </row>
    <row r="5140" spans="1:1">
      <c r="A5140" s="149" t="s">
        <v>7116</v>
      </c>
    </row>
    <row r="5141" spans="1:1">
      <c r="A5141" s="149" t="s">
        <v>7117</v>
      </c>
    </row>
    <row r="5142" spans="1:1">
      <c r="A5142" s="149" t="s">
        <v>7118</v>
      </c>
    </row>
    <row r="5143" spans="1:1">
      <c r="A5143" s="149" t="s">
        <v>7119</v>
      </c>
    </row>
    <row r="5144" spans="1:1">
      <c r="A5144" s="149" t="s">
        <v>7120</v>
      </c>
    </row>
    <row r="5145" spans="1:1">
      <c r="A5145" s="149" t="s">
        <v>7121</v>
      </c>
    </row>
    <row r="5146" spans="1:1">
      <c r="A5146" s="149" t="s">
        <v>7122</v>
      </c>
    </row>
    <row r="5147" spans="1:1">
      <c r="A5147" s="149" t="s">
        <v>7123</v>
      </c>
    </row>
    <row r="5148" spans="1:1">
      <c r="A5148" s="149" t="s">
        <v>7124</v>
      </c>
    </row>
    <row r="5149" spans="1:1">
      <c r="A5149" s="149" t="s">
        <v>7125</v>
      </c>
    </row>
    <row r="5150" spans="1:1">
      <c r="A5150" s="149" t="s">
        <v>7126</v>
      </c>
    </row>
    <row r="5151" spans="1:1">
      <c r="A5151" s="149" t="s">
        <v>7127</v>
      </c>
    </row>
    <row r="5152" spans="1:1">
      <c r="A5152" s="149" t="s">
        <v>7128</v>
      </c>
    </row>
    <row r="5153" spans="1:1">
      <c r="A5153" s="149" t="s">
        <v>7129</v>
      </c>
    </row>
    <row r="5154" spans="1:1">
      <c r="A5154" s="149" t="s">
        <v>7130</v>
      </c>
    </row>
    <row r="5155" spans="1:1">
      <c r="A5155" s="149" t="s">
        <v>7131</v>
      </c>
    </row>
    <row r="5156" spans="1:1">
      <c r="A5156" s="149" t="s">
        <v>7132</v>
      </c>
    </row>
    <row r="5157" spans="1:1">
      <c r="A5157" s="149" t="s">
        <v>7133</v>
      </c>
    </row>
    <row r="5158" spans="1:1">
      <c r="A5158" s="149" t="s">
        <v>7134</v>
      </c>
    </row>
    <row r="5159" spans="1:1">
      <c r="A5159" s="149" t="s">
        <v>7135</v>
      </c>
    </row>
    <row r="5160" spans="1:1">
      <c r="A5160" s="149" t="s">
        <v>7136</v>
      </c>
    </row>
    <row r="5161" spans="1:1">
      <c r="A5161" s="149" t="s">
        <v>7137</v>
      </c>
    </row>
    <row r="5162" spans="1:1">
      <c r="A5162" s="149" t="s">
        <v>7138</v>
      </c>
    </row>
    <row r="5163" spans="1:1">
      <c r="A5163" s="149" t="s">
        <v>7139</v>
      </c>
    </row>
    <row r="5164" spans="1:1">
      <c r="A5164" s="149" t="s">
        <v>7140</v>
      </c>
    </row>
    <row r="5165" spans="1:1">
      <c r="A5165" s="149" t="s">
        <v>7141</v>
      </c>
    </row>
    <row r="5166" spans="1:1">
      <c r="A5166" s="149" t="s">
        <v>7142</v>
      </c>
    </row>
    <row r="5167" spans="1:1">
      <c r="A5167" s="149" t="s">
        <v>7143</v>
      </c>
    </row>
    <row r="5168" spans="1:1">
      <c r="A5168" s="149" t="s">
        <v>7144</v>
      </c>
    </row>
    <row r="5169" spans="1:1">
      <c r="A5169" s="149" t="s">
        <v>7145</v>
      </c>
    </row>
    <row r="5170" spans="1:1">
      <c r="A5170" s="149" t="s">
        <v>7146</v>
      </c>
    </row>
    <row r="5171" spans="1:1">
      <c r="A5171" s="149" t="s">
        <v>7147</v>
      </c>
    </row>
    <row r="5172" spans="1:1">
      <c r="A5172" s="149" t="s">
        <v>7148</v>
      </c>
    </row>
    <row r="5173" spans="1:1">
      <c r="A5173" s="149" t="s">
        <v>7149</v>
      </c>
    </row>
    <row r="5174" spans="1:1">
      <c r="A5174" s="149" t="s">
        <v>7150</v>
      </c>
    </row>
    <row r="5175" spans="1:1">
      <c r="A5175" s="149" t="s">
        <v>7151</v>
      </c>
    </row>
    <row r="5176" spans="1:1">
      <c r="A5176" s="149" t="s">
        <v>7152</v>
      </c>
    </row>
    <row r="5177" spans="1:1">
      <c r="A5177" s="149" t="s">
        <v>7153</v>
      </c>
    </row>
    <row r="5178" spans="1:1">
      <c r="A5178" s="149" t="s">
        <v>7154</v>
      </c>
    </row>
    <row r="5179" spans="1:1">
      <c r="A5179" s="149" t="s">
        <v>7155</v>
      </c>
    </row>
    <row r="5180" spans="1:1">
      <c r="A5180" s="149" t="s">
        <v>7156</v>
      </c>
    </row>
    <row r="5181" spans="1:1">
      <c r="A5181" s="149" t="s">
        <v>7157</v>
      </c>
    </row>
    <row r="5182" spans="1:1">
      <c r="A5182" s="149" t="s">
        <v>7158</v>
      </c>
    </row>
    <row r="5183" spans="1:1">
      <c r="A5183" s="149" t="s">
        <v>7159</v>
      </c>
    </row>
    <row r="5184" spans="1:1">
      <c r="A5184" s="149" t="s">
        <v>7160</v>
      </c>
    </row>
    <row r="5185" spans="1:1">
      <c r="A5185" s="149" t="s">
        <v>7161</v>
      </c>
    </row>
    <row r="5186" spans="1:1">
      <c r="A5186" s="149" t="s">
        <v>7162</v>
      </c>
    </row>
    <row r="5187" spans="1:1">
      <c r="A5187" s="149" t="s">
        <v>7163</v>
      </c>
    </row>
    <row r="5188" spans="1:1">
      <c r="A5188" s="149" t="s">
        <v>7164</v>
      </c>
    </row>
    <row r="5189" spans="1:1">
      <c r="A5189" s="149" t="s">
        <v>7165</v>
      </c>
    </row>
    <row r="5190" spans="1:1">
      <c r="A5190" s="149" t="s">
        <v>7166</v>
      </c>
    </row>
    <row r="5191" spans="1:1">
      <c r="A5191" s="149" t="s">
        <v>7167</v>
      </c>
    </row>
    <row r="5192" spans="1:1">
      <c r="A5192" s="149" t="s">
        <v>7168</v>
      </c>
    </row>
    <row r="5193" spans="1:1">
      <c r="A5193" s="149" t="s">
        <v>7169</v>
      </c>
    </row>
    <row r="5194" spans="1:1">
      <c r="A5194" s="149" t="s">
        <v>7170</v>
      </c>
    </row>
    <row r="5195" spans="1:1">
      <c r="A5195" s="149" t="s">
        <v>7171</v>
      </c>
    </row>
    <row r="5196" spans="1:1">
      <c r="A5196" s="149" t="s">
        <v>7172</v>
      </c>
    </row>
    <row r="5197" spans="1:1">
      <c r="A5197" s="149" t="s">
        <v>7173</v>
      </c>
    </row>
    <row r="5198" spans="1:1">
      <c r="A5198" s="149" t="s">
        <v>7174</v>
      </c>
    </row>
    <row r="5199" spans="1:1">
      <c r="A5199" s="149" t="s">
        <v>7175</v>
      </c>
    </row>
    <row r="5200" spans="1:1">
      <c r="A5200" s="149" t="s">
        <v>7176</v>
      </c>
    </row>
    <row r="5201" spans="1:1">
      <c r="A5201" s="149" t="s">
        <v>7177</v>
      </c>
    </row>
    <row r="5202" spans="1:1">
      <c r="A5202" s="149" t="s">
        <v>7178</v>
      </c>
    </row>
    <row r="5203" spans="1:1">
      <c r="A5203" s="149" t="s">
        <v>7179</v>
      </c>
    </row>
    <row r="5204" spans="1:1">
      <c r="A5204" s="149" t="s">
        <v>7180</v>
      </c>
    </row>
    <row r="5205" spans="1:1">
      <c r="A5205" s="149" t="s">
        <v>7181</v>
      </c>
    </row>
    <row r="5206" spans="1:1">
      <c r="A5206" s="149" t="s">
        <v>7182</v>
      </c>
    </row>
    <row r="5207" spans="1:1">
      <c r="A5207" s="149" t="s">
        <v>7183</v>
      </c>
    </row>
    <row r="5208" spans="1:1">
      <c r="A5208" s="149" t="s">
        <v>7184</v>
      </c>
    </row>
    <row r="5209" spans="1:1">
      <c r="A5209" s="149" t="s">
        <v>7185</v>
      </c>
    </row>
    <row r="5210" spans="1:1">
      <c r="A5210" s="149" t="s">
        <v>7186</v>
      </c>
    </row>
    <row r="5211" spans="1:1">
      <c r="A5211" s="149" t="s">
        <v>7187</v>
      </c>
    </row>
    <row r="5212" spans="1:1">
      <c r="A5212" s="149" t="s">
        <v>7188</v>
      </c>
    </row>
    <row r="5213" spans="1:1">
      <c r="A5213" s="149" t="s">
        <v>7189</v>
      </c>
    </row>
    <row r="5214" spans="1:1">
      <c r="A5214" s="149" t="s">
        <v>7190</v>
      </c>
    </row>
    <row r="5215" spans="1:1">
      <c r="A5215" s="149" t="s">
        <v>7191</v>
      </c>
    </row>
    <row r="5216" spans="1:1">
      <c r="A5216" s="149" t="s">
        <v>7192</v>
      </c>
    </row>
    <row r="5217" spans="1:1">
      <c r="A5217" s="149" t="s">
        <v>7193</v>
      </c>
    </row>
    <row r="5218" spans="1:1">
      <c r="A5218" s="149" t="s">
        <v>7194</v>
      </c>
    </row>
    <row r="5219" spans="1:1">
      <c r="A5219" s="149" t="s">
        <v>7195</v>
      </c>
    </row>
    <row r="5220" spans="1:1">
      <c r="A5220" s="149" t="s">
        <v>7196</v>
      </c>
    </row>
    <row r="5221" spans="1:1">
      <c r="A5221" s="149" t="s">
        <v>7197</v>
      </c>
    </row>
    <row r="5222" spans="1:1">
      <c r="A5222" s="149" t="s">
        <v>7198</v>
      </c>
    </row>
    <row r="5223" spans="1:1">
      <c r="A5223" s="149" t="s">
        <v>7199</v>
      </c>
    </row>
    <row r="5224" spans="1:1">
      <c r="A5224" s="149" t="s">
        <v>7200</v>
      </c>
    </row>
    <row r="5225" spans="1:1">
      <c r="A5225" s="149" t="s">
        <v>7201</v>
      </c>
    </row>
    <row r="5226" spans="1:1">
      <c r="A5226" s="149" t="s">
        <v>7202</v>
      </c>
    </row>
    <row r="5227" spans="1:1">
      <c r="A5227" s="149" t="s">
        <v>7203</v>
      </c>
    </row>
    <row r="5228" spans="1:1">
      <c r="A5228" s="149" t="s">
        <v>7204</v>
      </c>
    </row>
    <row r="5229" spans="1:1">
      <c r="A5229" s="149" t="s">
        <v>7205</v>
      </c>
    </row>
    <row r="5230" spans="1:1">
      <c r="A5230" s="149" t="s">
        <v>7206</v>
      </c>
    </row>
    <row r="5231" spans="1:1">
      <c r="A5231" s="149" t="s">
        <v>7207</v>
      </c>
    </row>
    <row r="5232" spans="1:1">
      <c r="A5232" s="149" t="s">
        <v>7208</v>
      </c>
    </row>
    <row r="5233" spans="1:1">
      <c r="A5233" s="149" t="s">
        <v>7209</v>
      </c>
    </row>
    <row r="5234" spans="1:1">
      <c r="A5234" s="149" t="s">
        <v>7210</v>
      </c>
    </row>
    <row r="5235" spans="1:1">
      <c r="A5235" s="149" t="s">
        <v>7211</v>
      </c>
    </row>
    <row r="5236" spans="1:1">
      <c r="A5236" s="149" t="s">
        <v>7212</v>
      </c>
    </row>
    <row r="5237" spans="1:1">
      <c r="A5237" s="149" t="s">
        <v>7213</v>
      </c>
    </row>
    <row r="5238" spans="1:1">
      <c r="A5238" s="149" t="s">
        <v>7214</v>
      </c>
    </row>
    <row r="5239" spans="1:1">
      <c r="A5239" s="149" t="s">
        <v>7215</v>
      </c>
    </row>
    <row r="5240" spans="1:1">
      <c r="A5240" s="149" t="s">
        <v>7216</v>
      </c>
    </row>
    <row r="5241" spans="1:1">
      <c r="A5241" s="149" t="s">
        <v>7217</v>
      </c>
    </row>
    <row r="5242" spans="1:1">
      <c r="A5242" s="149" t="s">
        <v>7218</v>
      </c>
    </row>
    <row r="5243" spans="1:1">
      <c r="A5243" s="149" t="s">
        <v>7219</v>
      </c>
    </row>
    <row r="5244" spans="1:1">
      <c r="A5244" s="149" t="s">
        <v>7220</v>
      </c>
    </row>
    <row r="5245" spans="1:1">
      <c r="A5245" s="149" t="s">
        <v>7221</v>
      </c>
    </row>
    <row r="5246" spans="1:1">
      <c r="A5246" s="149" t="s">
        <v>7222</v>
      </c>
    </row>
    <row r="5247" spans="1:1">
      <c r="A5247" s="149" t="s">
        <v>7223</v>
      </c>
    </row>
    <row r="5248" spans="1:1">
      <c r="A5248" s="149" t="s">
        <v>7224</v>
      </c>
    </row>
    <row r="5249" spans="1:1">
      <c r="A5249" s="149" t="s">
        <v>7225</v>
      </c>
    </row>
    <row r="5250" spans="1:1">
      <c r="A5250" s="149" t="s">
        <v>7226</v>
      </c>
    </row>
    <row r="5251" spans="1:1">
      <c r="A5251" s="149" t="s">
        <v>7227</v>
      </c>
    </row>
    <row r="5252" spans="1:1">
      <c r="A5252" s="149" t="s">
        <v>7228</v>
      </c>
    </row>
    <row r="5253" spans="1:1">
      <c r="A5253" s="149" t="s">
        <v>7229</v>
      </c>
    </row>
    <row r="5254" spans="1:1">
      <c r="A5254" s="149" t="s">
        <v>7230</v>
      </c>
    </row>
    <row r="5255" spans="1:1">
      <c r="A5255" s="149" t="s">
        <v>7231</v>
      </c>
    </row>
    <row r="5256" spans="1:1">
      <c r="A5256" s="149" t="s">
        <v>7232</v>
      </c>
    </row>
    <row r="5257" spans="1:1">
      <c r="A5257" s="149" t="s">
        <v>7233</v>
      </c>
    </row>
    <row r="5258" spans="1:1">
      <c r="A5258" s="149" t="s">
        <v>7234</v>
      </c>
    </row>
    <row r="5259" spans="1:1">
      <c r="A5259" s="149" t="s">
        <v>7235</v>
      </c>
    </row>
    <row r="5260" spans="1:1">
      <c r="A5260" s="149" t="s">
        <v>7236</v>
      </c>
    </row>
    <row r="5261" spans="1:1">
      <c r="A5261" s="149" t="s">
        <v>7237</v>
      </c>
    </row>
    <row r="5262" spans="1:1">
      <c r="A5262" s="149" t="s">
        <v>7238</v>
      </c>
    </row>
    <row r="5263" spans="1:1">
      <c r="A5263" s="149" t="s">
        <v>7239</v>
      </c>
    </row>
    <row r="5264" spans="1:1">
      <c r="A5264" s="149" t="s">
        <v>7240</v>
      </c>
    </row>
    <row r="5265" spans="1:1">
      <c r="A5265" s="149" t="s">
        <v>7241</v>
      </c>
    </row>
    <row r="5266" spans="1:1">
      <c r="A5266" s="149" t="s">
        <v>7242</v>
      </c>
    </row>
    <row r="5267" spans="1:1">
      <c r="A5267" s="149" t="s">
        <v>7243</v>
      </c>
    </row>
    <row r="5268" spans="1:1">
      <c r="A5268" s="149" t="s">
        <v>7244</v>
      </c>
    </row>
    <row r="5269" spans="1:1">
      <c r="A5269" s="149" t="s">
        <v>7245</v>
      </c>
    </row>
    <row r="5270" spans="1:1">
      <c r="A5270" s="149" t="s">
        <v>7246</v>
      </c>
    </row>
    <row r="5271" spans="1:1">
      <c r="A5271" s="149" t="s">
        <v>7247</v>
      </c>
    </row>
    <row r="5272" spans="1:1">
      <c r="A5272" s="149" t="s">
        <v>7248</v>
      </c>
    </row>
    <row r="5273" spans="1:1">
      <c r="A5273" s="149" t="s">
        <v>7249</v>
      </c>
    </row>
    <row r="5274" spans="1:1">
      <c r="A5274" s="149" t="s">
        <v>7250</v>
      </c>
    </row>
    <row r="5275" spans="1:1">
      <c r="A5275" s="149" t="s">
        <v>7251</v>
      </c>
    </row>
    <row r="5276" spans="1:1">
      <c r="A5276" s="149" t="s">
        <v>7252</v>
      </c>
    </row>
    <row r="5277" spans="1:1">
      <c r="A5277" s="149" t="s">
        <v>7253</v>
      </c>
    </row>
    <row r="5278" spans="1:1">
      <c r="A5278" s="149" t="s">
        <v>7254</v>
      </c>
    </row>
    <row r="5279" spans="1:1">
      <c r="A5279" s="149" t="s">
        <v>7255</v>
      </c>
    </row>
    <row r="5280" spans="1:1">
      <c r="A5280" s="149" t="s">
        <v>7256</v>
      </c>
    </row>
    <row r="5281" spans="1:1">
      <c r="A5281" s="149" t="s">
        <v>7257</v>
      </c>
    </row>
    <row r="5282" spans="1:1">
      <c r="A5282" s="149" t="s">
        <v>7258</v>
      </c>
    </row>
    <row r="5283" spans="1:1">
      <c r="A5283" s="149" t="s">
        <v>7259</v>
      </c>
    </row>
    <row r="5284" spans="1:1">
      <c r="A5284" s="149" t="s">
        <v>7260</v>
      </c>
    </row>
    <row r="5285" spans="1:1">
      <c r="A5285" s="149" t="s">
        <v>7261</v>
      </c>
    </row>
    <row r="5286" spans="1:1">
      <c r="A5286" s="149" t="s">
        <v>7262</v>
      </c>
    </row>
    <row r="5287" spans="1:1">
      <c r="A5287" s="149" t="s">
        <v>7263</v>
      </c>
    </row>
    <row r="5288" spans="1:1">
      <c r="A5288" s="149" t="s">
        <v>7264</v>
      </c>
    </row>
    <row r="5289" spans="1:1">
      <c r="A5289" s="149" t="s">
        <v>7265</v>
      </c>
    </row>
    <row r="5290" spans="1:1">
      <c r="A5290" s="149" t="s">
        <v>7266</v>
      </c>
    </row>
    <row r="5291" spans="1:1">
      <c r="A5291" s="149" t="s">
        <v>7267</v>
      </c>
    </row>
    <row r="5292" spans="1:1">
      <c r="A5292" s="149" t="s">
        <v>7268</v>
      </c>
    </row>
    <row r="5293" spans="1:1">
      <c r="A5293" s="149" t="s">
        <v>7269</v>
      </c>
    </row>
    <row r="5294" spans="1:1">
      <c r="A5294" s="149" t="s">
        <v>7270</v>
      </c>
    </row>
    <row r="5295" spans="1:1">
      <c r="A5295" s="149" t="s">
        <v>7271</v>
      </c>
    </row>
    <row r="5296" spans="1:1">
      <c r="A5296" s="149" t="s">
        <v>7272</v>
      </c>
    </row>
    <row r="5297" spans="1:1">
      <c r="A5297" s="149" t="s">
        <v>7273</v>
      </c>
    </row>
    <row r="5298" spans="1:1">
      <c r="A5298" s="149" t="s">
        <v>7274</v>
      </c>
    </row>
    <row r="5299" spans="1:1">
      <c r="A5299" s="149" t="s">
        <v>7275</v>
      </c>
    </row>
    <row r="5300" spans="1:1">
      <c r="A5300" s="149" t="s">
        <v>7276</v>
      </c>
    </row>
    <row r="5301" spans="1:1">
      <c r="A5301" s="149" t="s">
        <v>7277</v>
      </c>
    </row>
    <row r="5302" spans="1:1">
      <c r="A5302" s="149" t="s">
        <v>7278</v>
      </c>
    </row>
    <row r="5303" spans="1:1">
      <c r="A5303" s="149" t="s">
        <v>7279</v>
      </c>
    </row>
    <row r="5304" spans="1:1">
      <c r="A5304" s="149" t="s">
        <v>7280</v>
      </c>
    </row>
    <row r="5305" spans="1:1">
      <c r="A5305" s="149" t="s">
        <v>7281</v>
      </c>
    </row>
    <row r="5306" spans="1:1">
      <c r="A5306" s="149" t="s">
        <v>7282</v>
      </c>
    </row>
    <row r="5307" spans="1:1">
      <c r="A5307" s="149" t="s">
        <v>7283</v>
      </c>
    </row>
    <row r="5308" spans="1:1">
      <c r="A5308" s="149" t="s">
        <v>7284</v>
      </c>
    </row>
    <row r="5309" spans="1:1">
      <c r="A5309" s="149" t="s">
        <v>7285</v>
      </c>
    </row>
    <row r="5310" spans="1:1">
      <c r="A5310" s="149" t="s">
        <v>7286</v>
      </c>
    </row>
    <row r="5311" spans="1:1">
      <c r="A5311" s="149" t="s">
        <v>7287</v>
      </c>
    </row>
    <row r="5312" spans="1:1">
      <c r="A5312" s="149" t="s">
        <v>7288</v>
      </c>
    </row>
    <row r="5313" spans="1:1">
      <c r="A5313" s="149" t="s">
        <v>7289</v>
      </c>
    </row>
    <row r="5314" spans="1:1">
      <c r="A5314" s="149" t="s">
        <v>7290</v>
      </c>
    </row>
    <row r="5315" spans="1:1">
      <c r="A5315" s="149" t="s">
        <v>7291</v>
      </c>
    </row>
    <row r="5316" spans="1:1">
      <c r="A5316" s="149" t="s">
        <v>7292</v>
      </c>
    </row>
    <row r="5317" spans="1:1">
      <c r="A5317" s="149" t="s">
        <v>7293</v>
      </c>
    </row>
    <row r="5318" spans="1:1">
      <c r="A5318" s="149" t="s">
        <v>7294</v>
      </c>
    </row>
    <row r="5319" spans="1:1">
      <c r="A5319" s="149" t="s">
        <v>7295</v>
      </c>
    </row>
    <row r="5320" spans="1:1">
      <c r="A5320" s="149" t="s">
        <v>7296</v>
      </c>
    </row>
    <row r="5321" spans="1:1">
      <c r="A5321" s="149" t="s">
        <v>7297</v>
      </c>
    </row>
    <row r="5322" spans="1:1">
      <c r="A5322" s="149" t="s">
        <v>7298</v>
      </c>
    </row>
    <row r="5323" spans="1:1">
      <c r="A5323" s="149" t="s">
        <v>7299</v>
      </c>
    </row>
    <row r="5324" spans="1:1">
      <c r="A5324" s="149" t="s">
        <v>7300</v>
      </c>
    </row>
    <row r="5325" spans="1:1">
      <c r="A5325" s="149" t="s">
        <v>7301</v>
      </c>
    </row>
    <row r="5326" spans="1:1">
      <c r="A5326" s="149" t="s">
        <v>7302</v>
      </c>
    </row>
    <row r="5327" spans="1:1">
      <c r="A5327" s="149" t="s">
        <v>7303</v>
      </c>
    </row>
    <row r="5328" spans="1:1">
      <c r="A5328" s="149" t="s">
        <v>7304</v>
      </c>
    </row>
    <row r="5329" spans="1:1">
      <c r="A5329" s="149" t="s">
        <v>7305</v>
      </c>
    </row>
    <row r="5330" spans="1:1">
      <c r="A5330" s="149" t="s">
        <v>7306</v>
      </c>
    </row>
    <row r="5331" spans="1:1">
      <c r="A5331" s="149" t="s">
        <v>7307</v>
      </c>
    </row>
    <row r="5332" spans="1:1">
      <c r="A5332" s="149" t="s">
        <v>7308</v>
      </c>
    </row>
    <row r="5333" spans="1:1">
      <c r="A5333" s="149" t="s">
        <v>7309</v>
      </c>
    </row>
    <row r="5334" spans="1:1">
      <c r="A5334" s="149" t="s">
        <v>7310</v>
      </c>
    </row>
    <row r="5335" spans="1:1">
      <c r="A5335" s="149" t="s">
        <v>7311</v>
      </c>
    </row>
    <row r="5336" spans="1:1">
      <c r="A5336" s="149" t="s">
        <v>7312</v>
      </c>
    </row>
    <row r="5337" spans="1:1">
      <c r="A5337" s="149" t="s">
        <v>7313</v>
      </c>
    </row>
    <row r="5338" spans="1:1">
      <c r="A5338" s="149" t="s">
        <v>7314</v>
      </c>
    </row>
    <row r="5339" spans="1:1">
      <c r="A5339" s="149" t="s">
        <v>7315</v>
      </c>
    </row>
    <row r="5340" spans="1:1">
      <c r="A5340" s="149" t="s">
        <v>7316</v>
      </c>
    </row>
    <row r="5341" spans="1:1">
      <c r="A5341" s="149" t="s">
        <v>7317</v>
      </c>
    </row>
    <row r="5342" spans="1:1">
      <c r="A5342" s="149" t="s">
        <v>7318</v>
      </c>
    </row>
    <row r="5343" spans="1:1">
      <c r="A5343" s="149" t="s">
        <v>7319</v>
      </c>
    </row>
    <row r="5344" spans="1:1">
      <c r="A5344" s="149" t="s">
        <v>7320</v>
      </c>
    </row>
    <row r="5345" spans="1:1">
      <c r="A5345" s="149" t="s">
        <v>7321</v>
      </c>
    </row>
    <row r="5346" spans="1:1">
      <c r="A5346" s="149" t="s">
        <v>7322</v>
      </c>
    </row>
    <row r="5347" spans="1:1">
      <c r="A5347" s="149" t="s">
        <v>7323</v>
      </c>
    </row>
    <row r="5348" spans="1:1">
      <c r="A5348" s="149" t="s">
        <v>7324</v>
      </c>
    </row>
    <row r="5349" spans="1:1">
      <c r="A5349" s="149" t="s">
        <v>7325</v>
      </c>
    </row>
    <row r="5350" spans="1:1">
      <c r="A5350" s="149" t="s">
        <v>7326</v>
      </c>
    </row>
    <row r="5351" spans="1:1">
      <c r="A5351" s="149" t="s">
        <v>7327</v>
      </c>
    </row>
    <row r="5352" spans="1:1">
      <c r="A5352" s="149" t="s">
        <v>7328</v>
      </c>
    </row>
    <row r="5353" spans="1:1">
      <c r="A5353" s="149" t="s">
        <v>7329</v>
      </c>
    </row>
    <row r="5354" spans="1:1">
      <c r="A5354" s="149" t="s">
        <v>7330</v>
      </c>
    </row>
    <row r="5355" spans="1:1">
      <c r="A5355" s="149" t="s">
        <v>7331</v>
      </c>
    </row>
    <row r="5356" spans="1:1">
      <c r="A5356" s="149" t="s">
        <v>7332</v>
      </c>
    </row>
    <row r="5357" spans="1:1">
      <c r="A5357" s="149" t="s">
        <v>7333</v>
      </c>
    </row>
    <row r="5358" spans="1:1">
      <c r="A5358" s="149" t="s">
        <v>7334</v>
      </c>
    </row>
    <row r="5359" spans="1:1">
      <c r="A5359" s="149" t="s">
        <v>7335</v>
      </c>
    </row>
    <row r="5360" spans="1:1">
      <c r="A5360" s="149" t="s">
        <v>7336</v>
      </c>
    </row>
    <row r="5361" spans="1:1">
      <c r="A5361" s="149" t="s">
        <v>7337</v>
      </c>
    </row>
    <row r="5362" spans="1:1">
      <c r="A5362" s="149" t="s">
        <v>7338</v>
      </c>
    </row>
    <row r="5363" spans="1:1">
      <c r="A5363" s="149" t="s">
        <v>7339</v>
      </c>
    </row>
    <row r="5364" spans="1:1">
      <c r="A5364" s="149" t="s">
        <v>7340</v>
      </c>
    </row>
    <row r="5365" spans="1:1">
      <c r="A5365" s="149" t="s">
        <v>7341</v>
      </c>
    </row>
    <row r="5366" spans="1:1">
      <c r="A5366" s="149" t="s">
        <v>7342</v>
      </c>
    </row>
    <row r="5367" spans="1:1">
      <c r="A5367" s="149" t="s">
        <v>7343</v>
      </c>
    </row>
    <row r="5368" spans="1:1">
      <c r="A5368" s="149" t="s">
        <v>7344</v>
      </c>
    </row>
    <row r="5369" spans="1:1">
      <c r="A5369" s="149" t="s">
        <v>7345</v>
      </c>
    </row>
    <row r="5370" spans="1:1">
      <c r="A5370" s="149" t="s">
        <v>7346</v>
      </c>
    </row>
    <row r="5371" spans="1:1">
      <c r="A5371" s="149" t="s">
        <v>7347</v>
      </c>
    </row>
    <row r="5372" spans="1:1">
      <c r="A5372" s="149" t="s">
        <v>7348</v>
      </c>
    </row>
    <row r="5373" spans="1:1">
      <c r="A5373" s="149" t="s">
        <v>7349</v>
      </c>
    </row>
    <row r="5374" spans="1:1">
      <c r="A5374" s="149" t="s">
        <v>7350</v>
      </c>
    </row>
    <row r="5375" spans="1:1">
      <c r="A5375" s="149" t="s">
        <v>7351</v>
      </c>
    </row>
    <row r="5376" spans="1:1">
      <c r="A5376" s="149" t="s">
        <v>7352</v>
      </c>
    </row>
    <row r="5377" spans="1:1">
      <c r="A5377" s="149" t="s">
        <v>7353</v>
      </c>
    </row>
    <row r="5378" spans="1:1">
      <c r="A5378" s="149" t="s">
        <v>7354</v>
      </c>
    </row>
    <row r="5379" spans="1:1">
      <c r="A5379" s="149" t="s">
        <v>7355</v>
      </c>
    </row>
    <row r="5380" spans="1:1">
      <c r="A5380" s="149" t="s">
        <v>7356</v>
      </c>
    </row>
    <row r="5381" spans="1:1">
      <c r="A5381" s="149" t="s">
        <v>7357</v>
      </c>
    </row>
    <row r="5382" spans="1:1">
      <c r="A5382" s="149" t="s">
        <v>7358</v>
      </c>
    </row>
    <row r="5383" spans="1:1">
      <c r="A5383" s="149" t="s">
        <v>7359</v>
      </c>
    </row>
    <row r="5384" spans="1:1">
      <c r="A5384" s="149" t="s">
        <v>7360</v>
      </c>
    </row>
    <row r="5385" spans="1:1">
      <c r="A5385" s="149" t="s">
        <v>7361</v>
      </c>
    </row>
    <row r="5386" spans="1:1">
      <c r="A5386" s="149" t="s">
        <v>7362</v>
      </c>
    </row>
    <row r="5387" spans="1:1">
      <c r="A5387" s="149" t="s">
        <v>7363</v>
      </c>
    </row>
    <row r="5388" spans="1:1">
      <c r="A5388" s="149" t="s">
        <v>7364</v>
      </c>
    </row>
    <row r="5389" spans="1:1">
      <c r="A5389" s="149" t="s">
        <v>7365</v>
      </c>
    </row>
    <row r="5390" spans="1:1">
      <c r="A5390" s="149" t="s">
        <v>7366</v>
      </c>
    </row>
    <row r="5391" spans="1:1">
      <c r="A5391" s="149" t="s">
        <v>7367</v>
      </c>
    </row>
    <row r="5392" spans="1:1">
      <c r="A5392" s="149" t="s">
        <v>7368</v>
      </c>
    </row>
    <row r="5393" spans="1:1">
      <c r="A5393" s="149" t="s">
        <v>7369</v>
      </c>
    </row>
    <row r="5394" spans="1:1">
      <c r="A5394" s="149" t="s">
        <v>7370</v>
      </c>
    </row>
    <row r="5395" spans="1:1">
      <c r="A5395" s="149" t="s">
        <v>7371</v>
      </c>
    </row>
    <row r="5396" spans="1:1">
      <c r="A5396" s="149" t="s">
        <v>7372</v>
      </c>
    </row>
    <row r="5397" spans="1:1">
      <c r="A5397" s="149" t="s">
        <v>7373</v>
      </c>
    </row>
    <row r="5398" spans="1:1">
      <c r="A5398" s="149" t="s">
        <v>7374</v>
      </c>
    </row>
    <row r="5399" spans="1:1">
      <c r="A5399" s="149" t="s">
        <v>7375</v>
      </c>
    </row>
    <row r="5400" spans="1:1">
      <c r="A5400" s="149" t="s">
        <v>7376</v>
      </c>
    </row>
    <row r="5401" spans="1:1">
      <c r="A5401" s="149" t="s">
        <v>7377</v>
      </c>
    </row>
    <row r="5402" spans="1:1">
      <c r="A5402" s="149" t="s">
        <v>7378</v>
      </c>
    </row>
    <row r="5403" spans="1:1">
      <c r="A5403" s="149" t="s">
        <v>7379</v>
      </c>
    </row>
    <row r="5404" spans="1:1">
      <c r="A5404" s="149" t="s">
        <v>7380</v>
      </c>
    </row>
    <row r="5405" spans="1:1">
      <c r="A5405" s="149" t="s">
        <v>7381</v>
      </c>
    </row>
    <row r="5406" spans="1:1">
      <c r="A5406" s="149" t="s">
        <v>7382</v>
      </c>
    </row>
    <row r="5407" spans="1:1">
      <c r="A5407" s="149" t="s">
        <v>7383</v>
      </c>
    </row>
    <row r="5408" spans="1:1">
      <c r="A5408" s="149" t="s">
        <v>7384</v>
      </c>
    </row>
    <row r="5409" spans="1:1">
      <c r="A5409" s="149" t="s">
        <v>7385</v>
      </c>
    </row>
    <row r="5410" spans="1:1">
      <c r="A5410" s="149" t="s">
        <v>7386</v>
      </c>
    </row>
    <row r="5411" spans="1:1">
      <c r="A5411" s="149" t="s">
        <v>7387</v>
      </c>
    </row>
    <row r="5412" spans="1:1">
      <c r="A5412" s="149" t="s">
        <v>7388</v>
      </c>
    </row>
    <row r="5413" spans="1:1">
      <c r="A5413" s="149" t="s">
        <v>7389</v>
      </c>
    </row>
    <row r="5414" spans="1:1">
      <c r="A5414" s="149" t="s">
        <v>7390</v>
      </c>
    </row>
    <row r="5415" spans="1:1">
      <c r="A5415" s="149" t="s">
        <v>7391</v>
      </c>
    </row>
    <row r="5416" spans="1:1">
      <c r="A5416" s="149" t="s">
        <v>7392</v>
      </c>
    </row>
    <row r="5417" spans="1:1">
      <c r="A5417" s="149" t="s">
        <v>7393</v>
      </c>
    </row>
    <row r="5418" spans="1:1">
      <c r="A5418" s="149" t="s">
        <v>7394</v>
      </c>
    </row>
    <row r="5419" spans="1:1">
      <c r="A5419" s="149" t="s">
        <v>7395</v>
      </c>
    </row>
    <row r="5420" spans="1:1">
      <c r="A5420" s="149" t="s">
        <v>7396</v>
      </c>
    </row>
    <row r="5421" spans="1:1">
      <c r="A5421" s="149" t="s">
        <v>7397</v>
      </c>
    </row>
    <row r="5422" spans="1:1">
      <c r="A5422" s="149" t="s">
        <v>7398</v>
      </c>
    </row>
    <row r="5423" spans="1:1">
      <c r="A5423" s="149" t="s">
        <v>7399</v>
      </c>
    </row>
    <row r="5424" spans="1:1">
      <c r="A5424" s="149" t="s">
        <v>7400</v>
      </c>
    </row>
    <row r="5425" spans="1:1">
      <c r="A5425" s="149" t="s">
        <v>7401</v>
      </c>
    </row>
    <row r="5426" spans="1:1">
      <c r="A5426" s="149" t="s">
        <v>7402</v>
      </c>
    </row>
    <row r="5427" spans="1:1">
      <c r="A5427" s="149" t="s">
        <v>7403</v>
      </c>
    </row>
    <row r="5428" spans="1:1">
      <c r="A5428" s="149" t="s">
        <v>7404</v>
      </c>
    </row>
    <row r="5429" spans="1:1">
      <c r="A5429" s="149" t="s">
        <v>7405</v>
      </c>
    </row>
    <row r="5430" spans="1:1">
      <c r="A5430" s="149" t="s">
        <v>7406</v>
      </c>
    </row>
    <row r="5431" spans="1:1">
      <c r="A5431" s="149" t="s">
        <v>7407</v>
      </c>
    </row>
    <row r="5432" spans="1:1">
      <c r="A5432" s="149" t="s">
        <v>7408</v>
      </c>
    </row>
    <row r="5433" spans="1:1">
      <c r="A5433" s="149" t="s">
        <v>7409</v>
      </c>
    </row>
    <row r="5434" spans="1:1">
      <c r="A5434" s="149" t="s">
        <v>7410</v>
      </c>
    </row>
    <row r="5435" spans="1:1">
      <c r="A5435" s="149" t="s">
        <v>7411</v>
      </c>
    </row>
    <row r="5436" spans="1:1">
      <c r="A5436" s="149" t="s">
        <v>7412</v>
      </c>
    </row>
    <row r="5437" spans="1:1">
      <c r="A5437" s="149" t="s">
        <v>7413</v>
      </c>
    </row>
    <row r="5438" spans="1:1">
      <c r="A5438" s="149" t="s">
        <v>7414</v>
      </c>
    </row>
    <row r="5439" spans="1:1">
      <c r="A5439" s="149" t="s">
        <v>7415</v>
      </c>
    </row>
    <row r="5440" spans="1:1">
      <c r="A5440" s="149" t="s">
        <v>7416</v>
      </c>
    </row>
    <row r="5441" spans="1:1">
      <c r="A5441" s="149" t="s">
        <v>7417</v>
      </c>
    </row>
    <row r="5442" spans="1:1">
      <c r="A5442" s="149" t="s">
        <v>7418</v>
      </c>
    </row>
    <row r="5443" spans="1:1">
      <c r="A5443" s="149" t="s">
        <v>7419</v>
      </c>
    </row>
    <row r="5444" spans="1:1">
      <c r="A5444" s="149" t="s">
        <v>7420</v>
      </c>
    </row>
    <row r="5445" spans="1:1">
      <c r="A5445" s="149" t="s">
        <v>7421</v>
      </c>
    </row>
    <row r="5446" spans="1:1">
      <c r="A5446" s="149" t="s">
        <v>7422</v>
      </c>
    </row>
    <row r="5447" spans="1:1">
      <c r="A5447" s="149" t="s">
        <v>7423</v>
      </c>
    </row>
    <row r="5448" spans="1:1">
      <c r="A5448" s="149" t="s">
        <v>7424</v>
      </c>
    </row>
    <row r="5449" spans="1:1">
      <c r="A5449" s="149" t="s">
        <v>7425</v>
      </c>
    </row>
    <row r="5450" spans="1:1">
      <c r="A5450" s="149" t="s">
        <v>7426</v>
      </c>
    </row>
    <row r="5451" spans="1:1">
      <c r="A5451" s="149" t="s">
        <v>7427</v>
      </c>
    </row>
    <row r="5452" spans="1:1">
      <c r="A5452" s="149" t="s">
        <v>7428</v>
      </c>
    </row>
    <row r="5453" spans="1:1">
      <c r="A5453" s="149" t="s">
        <v>7429</v>
      </c>
    </row>
    <row r="5454" spans="1:1">
      <c r="A5454" s="149" t="s">
        <v>7430</v>
      </c>
    </row>
    <row r="5455" spans="1:1">
      <c r="A5455" s="149" t="s">
        <v>7431</v>
      </c>
    </row>
    <row r="5456" spans="1:1">
      <c r="A5456" s="149" t="s">
        <v>7432</v>
      </c>
    </row>
    <row r="5457" spans="1:1">
      <c r="A5457" s="149" t="s">
        <v>7433</v>
      </c>
    </row>
    <row r="5458" spans="1:1">
      <c r="A5458" s="149" t="s">
        <v>7434</v>
      </c>
    </row>
    <row r="5459" spans="1:1">
      <c r="A5459" s="149" t="s">
        <v>7435</v>
      </c>
    </row>
    <row r="5460" spans="1:1">
      <c r="A5460" s="149" t="s">
        <v>7436</v>
      </c>
    </row>
    <row r="5461" spans="1:1">
      <c r="A5461" s="149" t="s">
        <v>7437</v>
      </c>
    </row>
    <row r="5462" spans="1:1">
      <c r="A5462" s="149" t="s">
        <v>7438</v>
      </c>
    </row>
    <row r="5463" spans="1:1">
      <c r="A5463" s="149" t="s">
        <v>7439</v>
      </c>
    </row>
    <row r="5464" spans="1:1">
      <c r="A5464" s="149" t="s">
        <v>7440</v>
      </c>
    </row>
    <row r="5465" spans="1:1">
      <c r="A5465" s="149" t="s">
        <v>7441</v>
      </c>
    </row>
    <row r="5466" spans="1:1">
      <c r="A5466" s="149" t="s">
        <v>7442</v>
      </c>
    </row>
    <row r="5467" spans="1:1">
      <c r="A5467" s="149" t="s">
        <v>7443</v>
      </c>
    </row>
    <row r="5468" spans="1:1">
      <c r="A5468" s="149" t="s">
        <v>7444</v>
      </c>
    </row>
    <row r="5469" spans="1:1">
      <c r="A5469" s="149" t="s">
        <v>7445</v>
      </c>
    </row>
    <row r="5470" spans="1:1">
      <c r="A5470" s="149" t="s">
        <v>7446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M327"/>
  <sheetViews>
    <sheetView zoomScale="80" zoomScaleNormal="80" workbookViewId="0">
      <selection activeCell="K30" sqref="K30"/>
    </sheetView>
  </sheetViews>
  <sheetFormatPr baseColWidth="10" defaultRowHeight="12"/>
  <cols>
    <col min="1" max="1" width="17.7109375" bestFit="1" customWidth="1"/>
    <col min="2" max="2" width="16.5703125" bestFit="1" customWidth="1"/>
    <col min="3" max="3" width="5" bestFit="1" customWidth="1"/>
    <col min="4" max="4" width="4.5703125" customWidth="1"/>
    <col min="5" max="5" width="5.85546875" bestFit="1" customWidth="1"/>
    <col min="7" max="7" width="24.85546875" customWidth="1"/>
  </cols>
  <sheetData>
    <row r="1" spans="1:13" s="181" customFormat="1" ht="12.75">
      <c r="A1" s="179" t="s">
        <v>8176</v>
      </c>
      <c r="B1" s="179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</row>
    <row r="2" spans="1:13" s="181" customFormat="1" ht="12.75">
      <c r="A2" s="179" t="s">
        <v>8094</v>
      </c>
      <c r="B2" s="179" t="s">
        <v>8095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</row>
    <row r="3" spans="1:13" s="181" customFormat="1" ht="12.75">
      <c r="A3" s="179" t="s">
        <v>8096</v>
      </c>
      <c r="B3" s="179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</row>
    <row r="4" spans="1:13" s="181" customFormat="1" ht="12.75">
      <c r="A4" s="179" t="s">
        <v>8097</v>
      </c>
      <c r="B4" s="182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</row>
    <row r="5" spans="1:13" s="181" customFormat="1">
      <c r="A5" s="180"/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</row>
    <row r="6" spans="1:13" s="181" customFormat="1" ht="12.75">
      <c r="A6" s="479" t="s">
        <v>8098</v>
      </c>
      <c r="B6" s="183" t="s">
        <v>8099</v>
      </c>
      <c r="C6" s="478" t="s">
        <v>8100</v>
      </c>
      <c r="D6" s="478"/>
      <c r="E6" s="478"/>
      <c r="F6" s="478"/>
      <c r="G6" s="478"/>
      <c r="H6" s="184" t="s">
        <v>8101</v>
      </c>
      <c r="I6" s="180"/>
      <c r="J6" s="180"/>
      <c r="K6" s="180"/>
      <c r="L6" s="180"/>
      <c r="M6" s="180"/>
    </row>
    <row r="7" spans="1:13" s="181" customFormat="1" ht="12.75">
      <c r="A7" s="479"/>
      <c r="B7" s="183" t="s">
        <v>8102</v>
      </c>
      <c r="C7" s="478" t="s">
        <v>8103</v>
      </c>
      <c r="D7" s="478"/>
      <c r="E7" s="478"/>
      <c r="F7" s="478"/>
      <c r="G7" s="478"/>
      <c r="H7" s="184" t="s">
        <v>8101</v>
      </c>
      <c r="I7" s="180"/>
      <c r="J7" s="180"/>
      <c r="K7" s="180"/>
      <c r="L7" s="180"/>
      <c r="M7" s="180"/>
    </row>
    <row r="8" spans="1:13" s="181" customFormat="1" ht="12.75">
      <c r="A8" s="479"/>
      <c r="B8" s="183" t="s">
        <v>8104</v>
      </c>
      <c r="C8" s="478" t="s">
        <v>8105</v>
      </c>
      <c r="D8" s="478"/>
      <c r="E8" s="478"/>
      <c r="F8" s="478"/>
      <c r="G8" s="478"/>
      <c r="H8" s="184" t="s">
        <v>8101</v>
      </c>
      <c r="I8" s="180"/>
      <c r="J8" s="180"/>
      <c r="K8" s="180"/>
      <c r="L8" s="180"/>
      <c r="M8" s="180"/>
    </row>
    <row r="9" spans="1:13" s="181" customFormat="1" ht="12.75">
      <c r="A9" s="183" t="s">
        <v>8106</v>
      </c>
      <c r="B9" s="183" t="s">
        <v>8099</v>
      </c>
      <c r="C9" s="478" t="s">
        <v>8107</v>
      </c>
      <c r="D9" s="478"/>
      <c r="E9" s="478"/>
      <c r="F9" s="478"/>
      <c r="G9" s="478"/>
      <c r="H9" s="185" t="s">
        <v>247</v>
      </c>
      <c r="I9" s="180"/>
      <c r="J9" s="180"/>
      <c r="K9" s="180"/>
      <c r="L9" s="180"/>
      <c r="M9" s="180"/>
    </row>
    <row r="10" spans="1:13" s="181" customFormat="1" ht="12.75">
      <c r="A10" s="183" t="s">
        <v>8108</v>
      </c>
      <c r="B10" s="183" t="s">
        <v>8109</v>
      </c>
      <c r="C10" s="478" t="s">
        <v>8110</v>
      </c>
      <c r="D10" s="478"/>
      <c r="E10" s="478"/>
      <c r="F10" s="478"/>
      <c r="G10" s="478"/>
      <c r="H10" s="185" t="s">
        <v>8111</v>
      </c>
      <c r="I10" s="180"/>
      <c r="J10" s="180"/>
      <c r="K10" s="180"/>
      <c r="L10" s="180"/>
      <c r="M10" s="180"/>
    </row>
    <row r="11" spans="1:13" s="181" customFormat="1" ht="12.75">
      <c r="A11" s="183" t="s">
        <v>8112</v>
      </c>
      <c r="B11" s="183" t="s">
        <v>8113</v>
      </c>
      <c r="C11" s="478" t="s">
        <v>8114</v>
      </c>
      <c r="D11" s="478"/>
      <c r="E11" s="478"/>
      <c r="F11" s="478"/>
      <c r="G11" s="478"/>
      <c r="H11" s="185" t="s">
        <v>8115</v>
      </c>
      <c r="I11" s="180"/>
      <c r="J11" s="180"/>
      <c r="K11" s="180"/>
      <c r="L11" s="180"/>
      <c r="M11" s="180"/>
    </row>
    <row r="12" spans="1:13" s="181" customFormat="1" ht="12.75">
      <c r="A12" s="183" t="s">
        <v>8116</v>
      </c>
      <c r="B12" s="183" t="s">
        <v>8117</v>
      </c>
      <c r="C12" s="478" t="s">
        <v>8118</v>
      </c>
      <c r="D12" s="478"/>
      <c r="E12" s="478"/>
      <c r="F12" s="478"/>
      <c r="G12" s="478"/>
      <c r="H12" s="185" t="s">
        <v>8119</v>
      </c>
      <c r="I12" s="180"/>
      <c r="J12" s="180"/>
      <c r="K12" s="180"/>
      <c r="L12" s="180"/>
      <c r="M12" s="180"/>
    </row>
    <row r="13" spans="1:13" s="181" customFormat="1" ht="12.75">
      <c r="A13" s="183" t="s">
        <v>8120</v>
      </c>
      <c r="B13" s="183" t="s">
        <v>8121</v>
      </c>
      <c r="C13" s="478" t="s">
        <v>8122</v>
      </c>
      <c r="D13" s="478"/>
      <c r="E13" s="478"/>
      <c r="F13" s="478"/>
      <c r="G13" s="478"/>
      <c r="H13" s="185" t="s">
        <v>8119</v>
      </c>
      <c r="I13" s="180"/>
      <c r="J13" s="180"/>
      <c r="K13" s="180"/>
      <c r="L13" s="180"/>
      <c r="M13" s="180"/>
    </row>
    <row r="14" spans="1:13" s="181" customFormat="1" ht="12.75">
      <c r="A14" s="183" t="s">
        <v>8120</v>
      </c>
      <c r="B14" s="183" t="s">
        <v>7849</v>
      </c>
      <c r="C14" s="478" t="s">
        <v>8123</v>
      </c>
      <c r="D14" s="478"/>
      <c r="E14" s="478"/>
      <c r="F14" s="478"/>
      <c r="G14" s="478"/>
      <c r="H14" s="185" t="s">
        <v>8119</v>
      </c>
      <c r="I14" s="180"/>
      <c r="J14" s="180"/>
      <c r="K14" s="180"/>
      <c r="L14" s="180"/>
      <c r="M14" s="180"/>
    </row>
    <row r="15" spans="1:13" s="181" customFormat="1" ht="12.75">
      <c r="A15" s="183" t="s">
        <v>8124</v>
      </c>
      <c r="B15" s="183" t="s">
        <v>8125</v>
      </c>
      <c r="C15" s="478" t="s">
        <v>8126</v>
      </c>
      <c r="D15" s="478"/>
      <c r="E15" s="478"/>
      <c r="F15" s="478"/>
      <c r="G15" s="478"/>
      <c r="H15" s="185" t="s">
        <v>8119</v>
      </c>
      <c r="I15" s="180"/>
      <c r="J15" s="180"/>
      <c r="K15" s="180"/>
      <c r="L15" s="180"/>
      <c r="M15" s="180"/>
    </row>
    <row r="16" spans="1:13" s="181" customFormat="1" ht="12.75">
      <c r="A16" s="183" t="s">
        <v>8127</v>
      </c>
      <c r="B16" s="183" t="s">
        <v>8128</v>
      </c>
      <c r="C16" s="478" t="s">
        <v>8129</v>
      </c>
      <c r="D16" s="478"/>
      <c r="E16" s="478"/>
      <c r="F16" s="478"/>
      <c r="G16" s="478"/>
      <c r="H16" s="185" t="s">
        <v>8119</v>
      </c>
      <c r="I16" s="179"/>
      <c r="J16" s="179"/>
      <c r="K16" s="179"/>
      <c r="L16" s="179"/>
      <c r="M16" s="179"/>
    </row>
    <row r="17" spans="1:13" s="181" customFormat="1" ht="12.75">
      <c r="A17" s="180" t="s">
        <v>8130</v>
      </c>
      <c r="B17" s="180" t="s">
        <v>8127</v>
      </c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</row>
    <row r="18" spans="1:13" s="181" customFormat="1">
      <c r="A18" s="180"/>
      <c r="B18" s="180"/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1:13" s="181" customFormat="1">
      <c r="A19" s="180"/>
      <c r="B19" s="477" t="s">
        <v>8098</v>
      </c>
      <c r="C19" s="477"/>
      <c r="D19" s="477"/>
      <c r="E19" s="180" t="s">
        <v>8106</v>
      </c>
      <c r="F19" s="180" t="s">
        <v>8108</v>
      </c>
      <c r="G19" s="180" t="s">
        <v>8112</v>
      </c>
      <c r="H19" s="180" t="s">
        <v>8116</v>
      </c>
      <c r="I19" s="180" t="s">
        <v>8120</v>
      </c>
      <c r="J19" s="180" t="s">
        <v>8120</v>
      </c>
      <c r="K19" s="180" t="s">
        <v>8124</v>
      </c>
      <c r="L19" s="180" t="s">
        <v>8127</v>
      </c>
      <c r="M19" s="180" t="s">
        <v>8130</v>
      </c>
    </row>
    <row r="20" spans="1:13" s="181" customFormat="1">
      <c r="A20" s="180" t="s">
        <v>213</v>
      </c>
      <c r="B20" s="180" t="s">
        <v>8099</v>
      </c>
      <c r="C20" s="180" t="s">
        <v>8102</v>
      </c>
      <c r="D20" s="180" t="s">
        <v>8104</v>
      </c>
      <c r="E20" s="180" t="s">
        <v>8099</v>
      </c>
      <c r="F20" s="180" t="s">
        <v>8109</v>
      </c>
      <c r="G20" s="180" t="s">
        <v>8113</v>
      </c>
      <c r="H20" s="180" t="s">
        <v>8117</v>
      </c>
      <c r="I20" s="180" t="s">
        <v>8121</v>
      </c>
      <c r="J20" s="180" t="s">
        <v>7849</v>
      </c>
      <c r="K20" s="180" t="s">
        <v>8125</v>
      </c>
      <c r="L20" s="180" t="s">
        <v>8128</v>
      </c>
      <c r="M20" s="180" t="s">
        <v>8127</v>
      </c>
    </row>
    <row r="21" spans="1:13">
      <c r="A21" s="270">
        <v>41893</v>
      </c>
      <c r="B21" s="271">
        <v>17.998352941176471</v>
      </c>
      <c r="C21" s="271">
        <v>13.461</v>
      </c>
      <c r="D21" s="271">
        <v>21.472999999999999</v>
      </c>
      <c r="G21" s="311"/>
      <c r="H21">
        <v>0</v>
      </c>
    </row>
    <row r="22" spans="1:13">
      <c r="A22" s="270">
        <v>41894</v>
      </c>
      <c r="B22" s="271">
        <v>15.883562500000002</v>
      </c>
      <c r="C22" s="271">
        <v>7.782</v>
      </c>
      <c r="D22" s="271">
        <v>23.869</v>
      </c>
      <c r="G22" s="311"/>
      <c r="H22">
        <v>0</v>
      </c>
    </row>
    <row r="23" spans="1:13">
      <c r="A23" s="270">
        <v>41895</v>
      </c>
      <c r="B23" s="271">
        <v>15.844875</v>
      </c>
      <c r="C23" s="271">
        <v>9.4719999999999995</v>
      </c>
      <c r="D23" s="271">
        <v>23.677</v>
      </c>
      <c r="G23" s="311"/>
      <c r="H23">
        <v>0</v>
      </c>
    </row>
    <row r="24" spans="1:13">
      <c r="A24" s="270">
        <v>41896</v>
      </c>
      <c r="B24" s="271">
        <v>16.165145833333337</v>
      </c>
      <c r="C24" s="271">
        <v>11.916</v>
      </c>
      <c r="D24" s="271">
        <v>21.76</v>
      </c>
      <c r="G24" s="311"/>
      <c r="H24">
        <v>0</v>
      </c>
    </row>
    <row r="25" spans="1:13">
      <c r="A25" s="270">
        <v>41897</v>
      </c>
      <c r="B25" s="271">
        <v>17.873125000000009</v>
      </c>
      <c r="C25" s="271">
        <v>12.013</v>
      </c>
      <c r="D25" s="271">
        <v>25.222000000000001</v>
      </c>
      <c r="G25" s="311"/>
      <c r="H25">
        <v>0</v>
      </c>
    </row>
    <row r="26" spans="1:13">
      <c r="A26" s="270">
        <v>41898</v>
      </c>
      <c r="B26" s="271">
        <v>18.229145833333337</v>
      </c>
      <c r="C26" s="271">
        <v>9.3729999999999993</v>
      </c>
      <c r="D26" s="271">
        <v>27.37</v>
      </c>
      <c r="G26" s="311"/>
      <c r="H26">
        <v>0</v>
      </c>
    </row>
    <row r="27" spans="1:13">
      <c r="A27" s="270">
        <v>41899</v>
      </c>
      <c r="B27" s="271">
        <v>20.625854166666667</v>
      </c>
      <c r="C27" s="271">
        <v>12.497</v>
      </c>
      <c r="D27" s="271">
        <v>28.655000000000001</v>
      </c>
      <c r="G27" s="311"/>
      <c r="H27">
        <v>0.3</v>
      </c>
    </row>
    <row r="28" spans="1:13">
      <c r="A28" s="270">
        <v>41900</v>
      </c>
      <c r="B28" s="271">
        <v>21.4025</v>
      </c>
      <c r="C28" s="271">
        <v>15.855</v>
      </c>
      <c r="D28" s="271">
        <v>28.655000000000001</v>
      </c>
      <c r="G28" s="311"/>
      <c r="H28">
        <v>0.3</v>
      </c>
    </row>
    <row r="29" spans="1:13">
      <c r="A29" s="270">
        <v>41901</v>
      </c>
      <c r="B29" s="271">
        <v>19.286812499999996</v>
      </c>
      <c r="C29" s="271">
        <v>15.186999999999999</v>
      </c>
      <c r="D29" s="271">
        <v>28.356999999999999</v>
      </c>
      <c r="G29" s="311"/>
      <c r="H29">
        <v>2.0999999999999996</v>
      </c>
    </row>
    <row r="30" spans="1:13">
      <c r="A30" s="270">
        <v>41902</v>
      </c>
      <c r="B30" s="271">
        <v>19.719937500000004</v>
      </c>
      <c r="C30" s="271">
        <v>15.664</v>
      </c>
      <c r="D30" s="271">
        <v>28.356999999999999</v>
      </c>
      <c r="G30" s="311"/>
      <c r="H30">
        <v>0</v>
      </c>
    </row>
    <row r="31" spans="1:13">
      <c r="A31" s="270">
        <v>41903</v>
      </c>
      <c r="B31" s="271">
        <v>16.348083333333332</v>
      </c>
      <c r="C31" s="271">
        <v>12.98</v>
      </c>
      <c r="D31" s="271">
        <v>20.614999999999998</v>
      </c>
      <c r="G31" s="311"/>
      <c r="H31">
        <v>0</v>
      </c>
    </row>
    <row r="32" spans="1:13">
      <c r="A32" s="270">
        <v>41904</v>
      </c>
      <c r="B32" s="271">
        <v>13.324958333333337</v>
      </c>
      <c r="C32" s="271">
        <v>10.455</v>
      </c>
      <c r="D32" s="271">
        <v>17.189</v>
      </c>
      <c r="G32" s="311"/>
      <c r="H32">
        <v>1.1999999999999993</v>
      </c>
    </row>
    <row r="33" spans="1:8">
      <c r="A33" s="270">
        <v>41905</v>
      </c>
      <c r="B33" s="271">
        <v>14.030395833333337</v>
      </c>
      <c r="C33" s="271">
        <v>7.8819999999999997</v>
      </c>
      <c r="D33" s="271">
        <v>20.614999999999998</v>
      </c>
      <c r="G33" s="311"/>
      <c r="H33">
        <v>0</v>
      </c>
    </row>
    <row r="34" spans="1:8">
      <c r="A34" s="270">
        <v>41906</v>
      </c>
      <c r="B34" s="271">
        <v>13.594770833333335</v>
      </c>
      <c r="C34" s="271">
        <v>9.077</v>
      </c>
      <c r="D34" s="271">
        <v>17.95</v>
      </c>
      <c r="G34" s="311"/>
      <c r="H34">
        <v>6.9000000000000057</v>
      </c>
    </row>
    <row r="35" spans="1:8">
      <c r="A35" s="270">
        <v>41907</v>
      </c>
      <c r="B35" s="271">
        <v>13.476354166666669</v>
      </c>
      <c r="C35" s="271">
        <v>7.9829999999999997</v>
      </c>
      <c r="D35" s="271">
        <v>18.425999999999998</v>
      </c>
      <c r="G35" s="311"/>
      <c r="H35">
        <v>0</v>
      </c>
    </row>
    <row r="36" spans="1:8">
      <c r="A36" s="270">
        <v>41908</v>
      </c>
      <c r="B36" s="271">
        <v>16.097645833333335</v>
      </c>
      <c r="C36" s="271">
        <v>11.722</v>
      </c>
      <c r="D36" s="271">
        <v>20.805</v>
      </c>
      <c r="G36" s="311"/>
      <c r="H36">
        <v>0</v>
      </c>
    </row>
    <row r="37" spans="1:8">
      <c r="A37" s="270">
        <v>41909</v>
      </c>
      <c r="B37" s="271">
        <v>17.785562500000001</v>
      </c>
      <c r="C37" s="271">
        <v>13.75</v>
      </c>
      <c r="D37" s="271">
        <v>23.869</v>
      </c>
      <c r="G37" s="311"/>
      <c r="H37">
        <v>0</v>
      </c>
    </row>
    <row r="38" spans="1:8">
      <c r="A38" s="270">
        <v>41910</v>
      </c>
      <c r="B38" s="271">
        <v>17.249875000000003</v>
      </c>
      <c r="C38" s="271">
        <v>11.625</v>
      </c>
      <c r="D38" s="271">
        <v>22.716999999999999</v>
      </c>
      <c r="G38" s="311"/>
      <c r="H38">
        <v>0</v>
      </c>
    </row>
    <row r="39" spans="1:8">
      <c r="A39" s="270">
        <v>41911</v>
      </c>
      <c r="B39" s="271">
        <v>16.948333333333331</v>
      </c>
      <c r="C39" s="271">
        <v>13.269</v>
      </c>
      <c r="D39" s="271">
        <v>20.329000000000001</v>
      </c>
      <c r="G39" s="311"/>
      <c r="H39">
        <v>21.600000000000044</v>
      </c>
    </row>
    <row r="40" spans="1:8">
      <c r="A40" s="270">
        <v>41912</v>
      </c>
      <c r="B40" s="271">
        <v>17.024229166666668</v>
      </c>
      <c r="C40" s="271">
        <v>13.173</v>
      </c>
      <c r="D40" s="271">
        <v>22.812000000000001</v>
      </c>
      <c r="G40" s="311"/>
      <c r="H40">
        <v>0</v>
      </c>
    </row>
    <row r="41" spans="1:8">
      <c r="A41" s="270">
        <v>41913</v>
      </c>
      <c r="B41" s="271">
        <v>16.849708333333336</v>
      </c>
      <c r="C41" s="271">
        <v>11.236000000000001</v>
      </c>
      <c r="D41" s="271">
        <v>22.716999999999999</v>
      </c>
      <c r="G41" s="311"/>
      <c r="H41">
        <v>0.29999999999999716</v>
      </c>
    </row>
    <row r="42" spans="1:8">
      <c r="A42" s="270">
        <v>41914</v>
      </c>
      <c r="B42" s="271">
        <v>17.255604166666668</v>
      </c>
      <c r="C42" s="271">
        <v>12.11</v>
      </c>
      <c r="D42" s="271">
        <v>23.196000000000002</v>
      </c>
      <c r="G42" s="311"/>
      <c r="H42">
        <v>0</v>
      </c>
    </row>
    <row r="43" spans="1:8">
      <c r="A43" s="270">
        <v>41915</v>
      </c>
      <c r="B43" s="271">
        <v>17.822354166666674</v>
      </c>
      <c r="C43" s="271">
        <v>13.076000000000001</v>
      </c>
      <c r="D43" s="271">
        <v>24.931000000000001</v>
      </c>
      <c r="G43" s="311"/>
      <c r="H43">
        <v>0</v>
      </c>
    </row>
    <row r="44" spans="1:8">
      <c r="A44" s="270">
        <v>41916</v>
      </c>
      <c r="B44" s="271">
        <v>15.62502083333333</v>
      </c>
      <c r="C44" s="271">
        <v>10.944000000000001</v>
      </c>
      <c r="D44" s="271">
        <v>22.332999999999998</v>
      </c>
      <c r="G44" s="311"/>
      <c r="H44">
        <v>1.4999999999999858</v>
      </c>
    </row>
    <row r="45" spans="1:8">
      <c r="A45" s="270">
        <v>41917</v>
      </c>
      <c r="B45" s="271">
        <v>13.445312500000012</v>
      </c>
      <c r="C45" s="271">
        <v>9.7680000000000007</v>
      </c>
      <c r="D45" s="271">
        <v>18.710999999999999</v>
      </c>
      <c r="G45" s="311"/>
      <c r="H45">
        <v>0</v>
      </c>
    </row>
    <row r="46" spans="1:8">
      <c r="A46" s="270">
        <v>41918</v>
      </c>
      <c r="B46" s="271">
        <v>12.744583333333336</v>
      </c>
      <c r="C46" s="271">
        <v>11.430999999999999</v>
      </c>
      <c r="D46" s="271">
        <v>14.516999999999999</v>
      </c>
      <c r="G46" s="311"/>
      <c r="H46">
        <v>2.9999999999999716</v>
      </c>
    </row>
    <row r="47" spans="1:8">
      <c r="A47" s="270">
        <v>41919</v>
      </c>
      <c r="B47" s="271">
        <v>12.236416666666665</v>
      </c>
      <c r="C47" s="271">
        <v>9.5709999999999997</v>
      </c>
      <c r="D47" s="271">
        <v>15.090999999999999</v>
      </c>
      <c r="G47" s="311"/>
      <c r="H47">
        <v>1.4999999999999858</v>
      </c>
    </row>
    <row r="48" spans="1:8">
      <c r="A48" s="270">
        <v>41920</v>
      </c>
      <c r="B48" s="271">
        <v>14.315875</v>
      </c>
      <c r="C48" s="271">
        <v>9.7680000000000007</v>
      </c>
      <c r="D48" s="271">
        <v>17.57</v>
      </c>
      <c r="G48" s="311"/>
      <c r="H48">
        <v>7.1999999999999318</v>
      </c>
    </row>
    <row r="49" spans="1:8">
      <c r="A49" s="270">
        <v>41921</v>
      </c>
      <c r="B49" s="271">
        <v>15.180333333333335</v>
      </c>
      <c r="C49" s="271">
        <v>13.076000000000001</v>
      </c>
      <c r="D49" s="271">
        <v>18.710999999999999</v>
      </c>
      <c r="G49" s="311"/>
      <c r="H49">
        <v>0</v>
      </c>
    </row>
    <row r="50" spans="1:8">
      <c r="A50" s="270">
        <v>41922</v>
      </c>
      <c r="B50" s="271">
        <v>14.059765957446809</v>
      </c>
      <c r="C50" s="271">
        <v>10.944000000000001</v>
      </c>
      <c r="D50" s="271">
        <v>18.710999999999999</v>
      </c>
      <c r="G50" s="311"/>
      <c r="H50">
        <v>0</v>
      </c>
    </row>
    <row r="51" spans="1:8">
      <c r="A51" s="270">
        <v>41923</v>
      </c>
      <c r="B51" s="271">
        <v>13.387708333333334</v>
      </c>
      <c r="C51" s="271">
        <v>9.3729999999999993</v>
      </c>
      <c r="D51" s="271">
        <v>19.187000000000001</v>
      </c>
      <c r="G51" s="311"/>
      <c r="H51">
        <v>13.199999999999875</v>
      </c>
    </row>
    <row r="52" spans="1:8">
      <c r="A52" s="270">
        <v>41924</v>
      </c>
      <c r="B52" s="271">
        <v>12.923916666666669</v>
      </c>
      <c r="C52" s="271">
        <v>8.4809999999999999</v>
      </c>
      <c r="D52" s="271">
        <v>17.189</v>
      </c>
      <c r="G52" s="311"/>
      <c r="H52">
        <v>3.5999999999999659</v>
      </c>
    </row>
    <row r="53" spans="1:8">
      <c r="A53" s="270">
        <v>41925</v>
      </c>
      <c r="B53" s="271">
        <v>14.51290625</v>
      </c>
      <c r="C53" s="271">
        <v>12.69</v>
      </c>
      <c r="D53" s="271">
        <v>15.664</v>
      </c>
      <c r="G53" s="311"/>
      <c r="H53">
        <v>0.29999999999999716</v>
      </c>
    </row>
    <row r="54" spans="1:8">
      <c r="A54" s="270">
        <v>41926</v>
      </c>
      <c r="B54" s="271">
        <v>12.953104166666668</v>
      </c>
      <c r="C54" s="271">
        <v>11.528</v>
      </c>
      <c r="D54" s="271">
        <v>14.804</v>
      </c>
      <c r="G54" s="311"/>
      <c r="H54">
        <v>0</v>
      </c>
    </row>
    <row r="55" spans="1:8">
      <c r="A55" s="270">
        <v>41927</v>
      </c>
      <c r="B55" s="271">
        <v>12.790729166666667</v>
      </c>
      <c r="C55" s="271">
        <v>9.8659999999999997</v>
      </c>
      <c r="D55" s="271">
        <v>16.140999999999998</v>
      </c>
      <c r="G55" s="311"/>
      <c r="H55">
        <v>1.1999999999999886</v>
      </c>
    </row>
    <row r="56" spans="1:8">
      <c r="A56" s="270">
        <v>41928</v>
      </c>
      <c r="B56" s="271">
        <v>15.269687500000003</v>
      </c>
      <c r="C56" s="271">
        <v>13.558</v>
      </c>
      <c r="D56" s="271">
        <v>18.995999999999999</v>
      </c>
      <c r="G56" s="311"/>
      <c r="H56">
        <v>8.9999999999999147</v>
      </c>
    </row>
    <row r="57" spans="1:8">
      <c r="A57" s="270">
        <v>41929</v>
      </c>
      <c r="B57" s="271">
        <v>15.706666666666663</v>
      </c>
      <c r="C57" s="271">
        <v>13.076000000000001</v>
      </c>
      <c r="D57" s="271">
        <v>19.187000000000001</v>
      </c>
      <c r="G57" s="311"/>
      <c r="H57">
        <v>1.1999999999999886</v>
      </c>
    </row>
    <row r="58" spans="1:8">
      <c r="A58" s="270">
        <v>41930</v>
      </c>
      <c r="B58" s="271">
        <v>18.112187500000001</v>
      </c>
      <c r="C58" s="271">
        <v>14.420999999999999</v>
      </c>
      <c r="D58" s="271">
        <v>22.908000000000001</v>
      </c>
      <c r="G58" s="311"/>
      <c r="H58">
        <v>0</v>
      </c>
    </row>
    <row r="59" spans="1:8">
      <c r="A59" s="270">
        <v>41931</v>
      </c>
      <c r="B59" s="271">
        <v>17.646708333333329</v>
      </c>
      <c r="C59" s="271">
        <v>15.473000000000001</v>
      </c>
      <c r="D59" s="271">
        <v>22.428999999999998</v>
      </c>
      <c r="G59" s="311"/>
      <c r="H59">
        <v>0</v>
      </c>
    </row>
    <row r="60" spans="1:8">
      <c r="A60" s="270">
        <v>41932</v>
      </c>
      <c r="B60" s="271">
        <v>14.660000000000002</v>
      </c>
      <c r="C60" s="271">
        <v>12.304</v>
      </c>
      <c r="D60" s="271">
        <v>18.14</v>
      </c>
      <c r="G60" s="311"/>
      <c r="H60">
        <v>0</v>
      </c>
    </row>
    <row r="61" spans="1:8">
      <c r="A61" s="270">
        <v>41933</v>
      </c>
      <c r="B61" s="271">
        <v>12.43316666666667</v>
      </c>
      <c r="C61" s="271">
        <v>9.3729999999999993</v>
      </c>
      <c r="D61" s="271">
        <v>14.804</v>
      </c>
      <c r="G61" s="311"/>
      <c r="H61">
        <v>3.8999999999999631</v>
      </c>
    </row>
    <row r="62" spans="1:8">
      <c r="A62" s="270">
        <v>41934</v>
      </c>
      <c r="B62" s="271">
        <v>10.018893617021273</v>
      </c>
      <c r="C62" s="271">
        <v>7.6820000000000004</v>
      </c>
      <c r="D62" s="271">
        <v>12.69</v>
      </c>
      <c r="G62" s="311"/>
      <c r="H62">
        <v>0</v>
      </c>
    </row>
    <row r="63" spans="1:8">
      <c r="A63" s="270">
        <v>41935</v>
      </c>
      <c r="B63" s="271">
        <v>11.804145833333335</v>
      </c>
      <c r="C63" s="271">
        <v>9.5709999999999997</v>
      </c>
      <c r="D63" s="271">
        <v>14.324999999999999</v>
      </c>
      <c r="G63" s="311"/>
      <c r="H63">
        <v>0</v>
      </c>
    </row>
    <row r="64" spans="1:8">
      <c r="A64" s="270">
        <v>41936</v>
      </c>
      <c r="B64" s="271">
        <v>11.974249999999996</v>
      </c>
      <c r="C64" s="271">
        <v>11.236000000000001</v>
      </c>
      <c r="D64" s="271">
        <v>12.69</v>
      </c>
      <c r="G64" s="311"/>
      <c r="H64">
        <v>1.7999999999999829</v>
      </c>
    </row>
    <row r="65" spans="1:8">
      <c r="A65" s="270">
        <v>41937</v>
      </c>
      <c r="B65" s="271">
        <v>13.574270833333342</v>
      </c>
      <c r="C65" s="271">
        <v>12.497</v>
      </c>
      <c r="D65" s="271">
        <v>16.808</v>
      </c>
      <c r="G65" s="311"/>
      <c r="H65">
        <v>0.29999999999999716</v>
      </c>
    </row>
    <row r="66" spans="1:8">
      <c r="A66" s="270">
        <v>41938</v>
      </c>
      <c r="B66" s="271">
        <v>13.776145833333338</v>
      </c>
      <c r="C66" s="271">
        <v>10.651</v>
      </c>
      <c r="D66" s="271">
        <v>17.57</v>
      </c>
      <c r="G66" s="311"/>
      <c r="H66">
        <v>0</v>
      </c>
    </row>
    <row r="67" spans="1:8">
      <c r="A67" s="270">
        <v>41939</v>
      </c>
      <c r="B67" s="271">
        <v>12.922395833333335</v>
      </c>
      <c r="C67" s="271">
        <v>7.9829999999999997</v>
      </c>
      <c r="D67" s="271">
        <v>17.283999999999999</v>
      </c>
      <c r="G67" s="311"/>
      <c r="H67">
        <v>0</v>
      </c>
    </row>
    <row r="68" spans="1:8">
      <c r="A68" s="270">
        <v>41940</v>
      </c>
      <c r="B68" s="271">
        <v>10.255583333333329</v>
      </c>
      <c r="C68" s="271">
        <v>9.077</v>
      </c>
      <c r="D68" s="271">
        <v>11.334</v>
      </c>
      <c r="G68" s="311"/>
      <c r="H68">
        <v>0</v>
      </c>
    </row>
    <row r="69" spans="1:8">
      <c r="A69" s="270">
        <v>41941</v>
      </c>
      <c r="B69" s="271">
        <v>11.640958333333332</v>
      </c>
      <c r="C69" s="271">
        <v>9.7680000000000007</v>
      </c>
      <c r="D69" s="271">
        <v>13.558</v>
      </c>
      <c r="G69" s="311"/>
      <c r="H69">
        <v>8.6999999999999176</v>
      </c>
    </row>
    <row r="70" spans="1:8">
      <c r="A70" s="270">
        <v>41942</v>
      </c>
      <c r="B70" s="271">
        <v>13.800333333333336</v>
      </c>
      <c r="C70" s="271">
        <v>11.236000000000001</v>
      </c>
      <c r="D70" s="271">
        <v>19.091999999999999</v>
      </c>
      <c r="G70" s="311"/>
      <c r="H70">
        <v>0.29999999999999716</v>
      </c>
    </row>
    <row r="71" spans="1:8">
      <c r="A71" s="270">
        <v>41943</v>
      </c>
      <c r="B71" s="271">
        <v>14.956687499999999</v>
      </c>
      <c r="C71" s="271">
        <v>11.334</v>
      </c>
      <c r="D71" s="271">
        <v>20.138000000000002</v>
      </c>
      <c r="G71" s="311"/>
      <c r="H71">
        <v>0</v>
      </c>
    </row>
    <row r="72" spans="1:8">
      <c r="A72" s="270">
        <v>41944</v>
      </c>
      <c r="B72" s="271">
        <v>15.499625</v>
      </c>
      <c r="C72" s="271">
        <v>11.916</v>
      </c>
      <c r="D72" s="271">
        <v>20.234000000000002</v>
      </c>
      <c r="G72" s="311"/>
      <c r="H72">
        <v>0</v>
      </c>
    </row>
    <row r="73" spans="1:8">
      <c r="A73" s="270">
        <v>41945</v>
      </c>
      <c r="B73" s="271">
        <v>14.20479166666667</v>
      </c>
      <c r="C73" s="271">
        <v>11.528</v>
      </c>
      <c r="D73" s="271">
        <v>17.379000000000001</v>
      </c>
      <c r="G73" s="311"/>
      <c r="H73">
        <v>0.89999999999999147</v>
      </c>
    </row>
    <row r="74" spans="1:8">
      <c r="A74" s="270">
        <v>41946</v>
      </c>
      <c r="B74" s="271">
        <v>12.323416666666668</v>
      </c>
      <c r="C74" s="271">
        <v>10.161</v>
      </c>
      <c r="D74" s="271">
        <v>14.23</v>
      </c>
      <c r="G74" s="311"/>
      <c r="H74">
        <v>9.5999999999999091</v>
      </c>
    </row>
    <row r="75" spans="1:8">
      <c r="A75" s="270">
        <v>41947</v>
      </c>
      <c r="B75" s="271">
        <v>9.208499999999999</v>
      </c>
      <c r="C75" s="271">
        <v>7.28</v>
      </c>
      <c r="D75" s="271">
        <v>11.138999999999999</v>
      </c>
      <c r="G75" s="311"/>
      <c r="H75">
        <v>0.29999999999999716</v>
      </c>
    </row>
    <row r="76" spans="1:8">
      <c r="A76" s="270">
        <v>41948</v>
      </c>
      <c r="B76" s="271">
        <v>7.6096666666666648</v>
      </c>
      <c r="C76" s="271">
        <v>5.0369999999999999</v>
      </c>
      <c r="D76" s="271">
        <v>10.356999999999999</v>
      </c>
      <c r="G76" s="311"/>
      <c r="H76">
        <v>0</v>
      </c>
    </row>
    <row r="77" spans="1:8">
      <c r="A77" s="270">
        <v>41949</v>
      </c>
      <c r="B77" s="271">
        <v>8.3861666666666661</v>
      </c>
      <c r="C77" s="271">
        <v>4.415</v>
      </c>
      <c r="D77" s="271">
        <v>13.076000000000001</v>
      </c>
      <c r="G77" s="311"/>
      <c r="H77">
        <v>0.89999999999999147</v>
      </c>
    </row>
    <row r="78" spans="1:8">
      <c r="A78" s="270">
        <v>41950</v>
      </c>
      <c r="B78" s="271">
        <v>9.2662499999999994</v>
      </c>
      <c r="C78" s="271">
        <v>7.1790000000000003</v>
      </c>
      <c r="D78" s="271">
        <v>13.942</v>
      </c>
      <c r="G78" s="311"/>
      <c r="H78">
        <v>3.2999999999999687</v>
      </c>
    </row>
    <row r="79" spans="1:8">
      <c r="A79" s="270">
        <v>41951</v>
      </c>
      <c r="B79" s="271">
        <v>10.131041666666667</v>
      </c>
      <c r="C79" s="271">
        <v>6.9779999999999998</v>
      </c>
      <c r="D79" s="271">
        <v>13.173</v>
      </c>
      <c r="G79" s="311"/>
      <c r="H79">
        <v>3.2999999999999687</v>
      </c>
    </row>
    <row r="80" spans="1:8">
      <c r="A80" s="270">
        <v>41952</v>
      </c>
      <c r="B80" s="271">
        <v>10.537999999999998</v>
      </c>
      <c r="C80" s="271">
        <v>8.7789999999999999</v>
      </c>
      <c r="D80" s="271">
        <v>13.173</v>
      </c>
      <c r="G80" s="311"/>
      <c r="H80">
        <v>0</v>
      </c>
    </row>
    <row r="81" spans="1:8">
      <c r="A81" s="270">
        <v>41953</v>
      </c>
      <c r="B81" s="271">
        <v>9.0597291666666671</v>
      </c>
      <c r="C81" s="271">
        <v>5.86</v>
      </c>
      <c r="D81" s="271">
        <v>13.173</v>
      </c>
      <c r="G81" s="311"/>
      <c r="H81">
        <v>0</v>
      </c>
    </row>
    <row r="82" spans="1:8">
      <c r="A82" s="270">
        <v>41954</v>
      </c>
      <c r="B82" s="271">
        <v>10.125708333333334</v>
      </c>
      <c r="C82" s="271">
        <v>6.37</v>
      </c>
      <c r="D82" s="271">
        <v>14.804</v>
      </c>
      <c r="G82" s="311"/>
      <c r="H82">
        <v>0</v>
      </c>
    </row>
    <row r="83" spans="1:8">
      <c r="A83" s="270">
        <v>41955</v>
      </c>
      <c r="B83" s="271">
        <v>11.393062500000001</v>
      </c>
      <c r="C83" s="271">
        <v>8.4809999999999999</v>
      </c>
      <c r="D83" s="271">
        <v>14.804</v>
      </c>
      <c r="G83" s="311"/>
      <c r="H83">
        <v>0</v>
      </c>
    </row>
    <row r="84" spans="1:8">
      <c r="A84" s="270">
        <v>41956</v>
      </c>
      <c r="B84" s="271">
        <v>8.8885833333333348</v>
      </c>
      <c r="C84" s="271">
        <v>6.6740000000000004</v>
      </c>
      <c r="D84" s="271">
        <v>11.722</v>
      </c>
      <c r="G84" s="311"/>
      <c r="H84">
        <v>0</v>
      </c>
    </row>
    <row r="85" spans="1:8">
      <c r="A85" s="270">
        <v>41957</v>
      </c>
      <c r="B85" s="271">
        <v>9.8486874999999952</v>
      </c>
      <c r="C85" s="271">
        <v>8.9779999999999998</v>
      </c>
      <c r="D85" s="271">
        <v>10.846</v>
      </c>
      <c r="G85" s="311"/>
      <c r="H85">
        <v>7.4999999999999289</v>
      </c>
    </row>
    <row r="86" spans="1:8">
      <c r="A86" s="270">
        <v>41958</v>
      </c>
      <c r="B86" s="271">
        <v>10.2485625</v>
      </c>
      <c r="C86" s="271">
        <v>8.7789999999999999</v>
      </c>
      <c r="D86" s="271">
        <v>12.013</v>
      </c>
      <c r="G86" s="311"/>
      <c r="H86">
        <v>11.399999999999892</v>
      </c>
    </row>
    <row r="87" spans="1:8">
      <c r="A87" s="270">
        <v>41959</v>
      </c>
      <c r="B87" s="271">
        <v>8.7900833333333335</v>
      </c>
      <c r="C87" s="271">
        <v>7.28</v>
      </c>
      <c r="D87" s="271">
        <v>10.944000000000001</v>
      </c>
      <c r="G87" s="311"/>
      <c r="H87">
        <v>0</v>
      </c>
    </row>
    <row r="88" spans="1:8">
      <c r="A88" s="270">
        <v>41960</v>
      </c>
      <c r="B88" s="271">
        <v>8.3261874999999979</v>
      </c>
      <c r="C88" s="271">
        <v>6.37</v>
      </c>
      <c r="D88" s="271">
        <v>10.553000000000001</v>
      </c>
      <c r="G88" s="311"/>
      <c r="H88">
        <v>0.29999999999999716</v>
      </c>
    </row>
    <row r="89" spans="1:8">
      <c r="A89" s="270">
        <v>41961</v>
      </c>
      <c r="B89" s="271">
        <v>8.0568541666666658</v>
      </c>
      <c r="C89" s="271">
        <v>5.7569999999999997</v>
      </c>
      <c r="D89" s="271">
        <v>11.722</v>
      </c>
      <c r="G89" s="311"/>
      <c r="H89">
        <v>1.1999999999999886</v>
      </c>
    </row>
    <row r="90" spans="1:8">
      <c r="A90" s="270">
        <v>41962</v>
      </c>
      <c r="B90" s="271">
        <v>8.3490625000000005</v>
      </c>
      <c r="C90" s="271">
        <v>6.1660000000000004</v>
      </c>
      <c r="D90" s="271">
        <v>13.269</v>
      </c>
      <c r="G90" s="311"/>
      <c r="H90">
        <v>0</v>
      </c>
    </row>
    <row r="91" spans="1:8">
      <c r="A91" s="270">
        <v>41963</v>
      </c>
      <c r="B91" s="271">
        <v>6.2958541666666656</v>
      </c>
      <c r="C91" s="271">
        <v>4.5190000000000001</v>
      </c>
      <c r="D91" s="271">
        <v>9.077</v>
      </c>
      <c r="G91" s="311"/>
      <c r="H91">
        <v>0</v>
      </c>
    </row>
    <row r="92" spans="1:8">
      <c r="A92" s="270">
        <v>41964</v>
      </c>
      <c r="B92" s="271">
        <v>6.6546666666666683</v>
      </c>
      <c r="C92" s="271">
        <v>3.0489999999999999</v>
      </c>
      <c r="D92" s="271">
        <v>10.259</v>
      </c>
      <c r="G92" s="311"/>
      <c r="H92">
        <v>0</v>
      </c>
    </row>
    <row r="93" spans="1:8">
      <c r="A93" s="270">
        <v>41965</v>
      </c>
      <c r="B93" s="271">
        <v>9.6607916666666664</v>
      </c>
      <c r="C93" s="271">
        <v>6.7750000000000004</v>
      </c>
      <c r="D93" s="271">
        <v>14.23</v>
      </c>
      <c r="G93" s="311"/>
      <c r="H93">
        <v>0</v>
      </c>
    </row>
    <row r="94" spans="1:8">
      <c r="A94" s="270">
        <v>41966</v>
      </c>
      <c r="B94" s="271">
        <v>11.35333333333333</v>
      </c>
      <c r="C94" s="271">
        <v>9.4719999999999995</v>
      </c>
      <c r="D94" s="271">
        <v>14.420999999999999</v>
      </c>
      <c r="G94" s="311"/>
      <c r="H94">
        <v>0.90000000000003411</v>
      </c>
    </row>
    <row r="95" spans="1:8">
      <c r="A95" s="270">
        <v>41967</v>
      </c>
      <c r="B95" s="271">
        <v>8.3067916666666637</v>
      </c>
      <c r="C95" s="271">
        <v>2.5169999999999999</v>
      </c>
      <c r="D95" s="271">
        <v>13.461</v>
      </c>
      <c r="G95" s="311"/>
      <c r="H95">
        <v>0.60000000000002274</v>
      </c>
    </row>
    <row r="96" spans="1:8">
      <c r="A96" s="270">
        <v>41968</v>
      </c>
      <c r="B96" s="271">
        <v>5.3699583333333329</v>
      </c>
      <c r="C96" s="271">
        <v>1.33</v>
      </c>
      <c r="D96" s="271">
        <v>9.7680000000000007</v>
      </c>
      <c r="G96" s="311"/>
      <c r="H96">
        <v>0.30000000000001137</v>
      </c>
    </row>
    <row r="97" spans="1:8">
      <c r="A97" s="270">
        <v>41969</v>
      </c>
      <c r="B97" s="271">
        <v>7.8457291666666675</v>
      </c>
      <c r="C97" s="271">
        <v>6.4710000000000001</v>
      </c>
      <c r="D97" s="271">
        <v>9.8659999999999997</v>
      </c>
      <c r="G97" s="311"/>
      <c r="H97">
        <v>2.1000000000000796</v>
      </c>
    </row>
    <row r="98" spans="1:8">
      <c r="A98" s="270">
        <v>41970</v>
      </c>
      <c r="B98" s="271">
        <v>10.346395833333334</v>
      </c>
      <c r="C98" s="271">
        <v>9.6690000000000005</v>
      </c>
      <c r="D98" s="271">
        <v>11.236000000000001</v>
      </c>
      <c r="G98" s="311"/>
      <c r="H98">
        <v>0.30000000000001137</v>
      </c>
    </row>
    <row r="99" spans="1:8">
      <c r="A99" s="270">
        <v>41971</v>
      </c>
      <c r="B99" s="271">
        <v>10.945854166666669</v>
      </c>
      <c r="C99" s="271">
        <v>8.0820000000000007</v>
      </c>
      <c r="D99" s="271">
        <v>16.523</v>
      </c>
      <c r="G99" s="311"/>
      <c r="H99">
        <v>0</v>
      </c>
    </row>
    <row r="100" spans="1:8">
      <c r="A100" s="270">
        <v>41972</v>
      </c>
      <c r="B100" s="271">
        <v>7.137958333333331</v>
      </c>
      <c r="C100" s="271">
        <v>2.5169999999999999</v>
      </c>
      <c r="D100" s="271">
        <v>11.138999999999999</v>
      </c>
      <c r="G100" s="311"/>
      <c r="H100">
        <v>0</v>
      </c>
    </row>
    <row r="101" spans="1:8">
      <c r="A101" s="270">
        <v>41973</v>
      </c>
      <c r="B101" s="271">
        <v>4.3255833333333333</v>
      </c>
      <c r="C101" s="271">
        <v>2.41</v>
      </c>
      <c r="D101" s="271">
        <v>7.9829999999999997</v>
      </c>
      <c r="G101" s="311"/>
      <c r="H101">
        <v>5.1000000000001933</v>
      </c>
    </row>
    <row r="102" spans="1:8">
      <c r="A102" s="270">
        <v>41974</v>
      </c>
      <c r="B102" s="271">
        <v>3.2064583333333334</v>
      </c>
      <c r="C102" s="271">
        <v>2.3029999999999999</v>
      </c>
      <c r="D102" s="271">
        <v>7.8819999999999997</v>
      </c>
      <c r="G102" s="311"/>
      <c r="H102">
        <v>0</v>
      </c>
    </row>
    <row r="103" spans="1:8">
      <c r="A103" s="270">
        <v>41975</v>
      </c>
      <c r="B103" s="271">
        <v>2.4946666666666677</v>
      </c>
      <c r="C103" s="271">
        <v>2.0880000000000001</v>
      </c>
      <c r="D103" s="271">
        <v>3.367</v>
      </c>
      <c r="G103" s="311"/>
      <c r="H103">
        <v>0.60000000000002274</v>
      </c>
    </row>
    <row r="104" spans="1:8">
      <c r="A104" s="270">
        <v>41977</v>
      </c>
      <c r="B104" s="271">
        <v>1.6238823529411763</v>
      </c>
      <c r="C104" s="271">
        <v>1.33</v>
      </c>
      <c r="D104" s="271">
        <v>1.98</v>
      </c>
      <c r="G104" s="311"/>
      <c r="H104">
        <v>0</v>
      </c>
    </row>
    <row r="105" spans="1:8">
      <c r="A105" s="270">
        <v>41978</v>
      </c>
      <c r="B105" s="271">
        <v>3.4912291666666682</v>
      </c>
      <c r="C105" s="271">
        <v>2.0880000000000001</v>
      </c>
      <c r="D105" s="271">
        <v>5.0369999999999999</v>
      </c>
      <c r="G105" s="311"/>
      <c r="H105">
        <v>1.2000000000000455</v>
      </c>
    </row>
    <row r="106" spans="1:8">
      <c r="A106" s="270">
        <v>41979</v>
      </c>
      <c r="B106" s="271">
        <v>4.0962291666666655</v>
      </c>
      <c r="C106" s="271">
        <v>0.121</v>
      </c>
      <c r="D106" s="271">
        <v>9.8659999999999997</v>
      </c>
      <c r="G106" s="311"/>
      <c r="H106">
        <v>0</v>
      </c>
    </row>
    <row r="107" spans="1:8">
      <c r="A107" s="270">
        <v>41980</v>
      </c>
      <c r="B107" s="271">
        <v>3.2807500000000012</v>
      </c>
      <c r="C107" s="271">
        <v>-0.437</v>
      </c>
      <c r="D107" s="271">
        <v>7.0789999999999997</v>
      </c>
      <c r="G107" s="311"/>
      <c r="H107">
        <v>2.4000000000000909</v>
      </c>
    </row>
    <row r="108" spans="1:8">
      <c r="A108" s="270">
        <v>41981</v>
      </c>
      <c r="B108" s="271">
        <v>2.5346875000000004</v>
      </c>
      <c r="C108" s="271">
        <v>0.01</v>
      </c>
      <c r="D108" s="271">
        <v>5.45</v>
      </c>
      <c r="G108" s="311"/>
      <c r="H108">
        <v>3.9000000000001478</v>
      </c>
    </row>
    <row r="109" spans="1:8">
      <c r="A109" s="270">
        <v>41982</v>
      </c>
      <c r="B109" s="271">
        <v>4.1576041666666663</v>
      </c>
      <c r="C109" s="271">
        <v>1.764</v>
      </c>
      <c r="D109" s="271">
        <v>6.2679999999999998</v>
      </c>
      <c r="G109" s="311"/>
      <c r="H109">
        <v>0</v>
      </c>
    </row>
    <row r="110" spans="1:8">
      <c r="A110" s="270">
        <v>41983</v>
      </c>
      <c r="B110" s="271">
        <v>6.7685208333333335</v>
      </c>
      <c r="C110" s="271">
        <v>4.3109999999999999</v>
      </c>
      <c r="D110" s="271">
        <v>10.651</v>
      </c>
      <c r="G110" s="311"/>
      <c r="H110">
        <v>2.7000000000001023</v>
      </c>
    </row>
    <row r="111" spans="1:8">
      <c r="A111" s="270">
        <v>41984</v>
      </c>
      <c r="B111" s="271">
        <v>7.5765625000000005</v>
      </c>
      <c r="C111" s="271">
        <v>5.3470000000000004</v>
      </c>
      <c r="D111" s="271">
        <v>9.6690000000000005</v>
      </c>
      <c r="G111" s="311"/>
      <c r="H111">
        <v>2.1000000000000796</v>
      </c>
    </row>
    <row r="112" spans="1:8">
      <c r="A112" s="270">
        <v>41985</v>
      </c>
      <c r="B112" s="271">
        <v>8.1859374999999961</v>
      </c>
      <c r="C112" s="271">
        <v>4.6230000000000002</v>
      </c>
      <c r="D112" s="271">
        <v>10.259</v>
      </c>
      <c r="G112" s="311"/>
      <c r="H112">
        <v>5.1000000000001933</v>
      </c>
    </row>
    <row r="113" spans="1:8">
      <c r="A113" s="270">
        <v>41986</v>
      </c>
      <c r="B113" s="271">
        <v>3.7850625</v>
      </c>
      <c r="C113" s="271">
        <v>-0.437</v>
      </c>
      <c r="D113" s="271">
        <v>5.7569999999999997</v>
      </c>
      <c r="G113" s="311"/>
      <c r="H113">
        <v>0</v>
      </c>
    </row>
    <row r="114" spans="1:8">
      <c r="A114" s="270">
        <v>41987</v>
      </c>
      <c r="B114" s="271">
        <v>1.6395833333333334</v>
      </c>
      <c r="C114" s="271">
        <v>-0.66200000000000003</v>
      </c>
      <c r="D114" s="271">
        <v>5.9619999999999997</v>
      </c>
      <c r="G114" s="311"/>
      <c r="H114">
        <v>0.30000000000001137</v>
      </c>
    </row>
    <row r="115" spans="1:8">
      <c r="A115" s="270">
        <v>41988</v>
      </c>
      <c r="B115" s="271">
        <v>6.5849999999999982</v>
      </c>
      <c r="C115" s="271">
        <v>3.472</v>
      </c>
      <c r="D115" s="271">
        <v>9.5709999999999997</v>
      </c>
      <c r="G115" s="311"/>
      <c r="H115">
        <v>3.0000000000001137</v>
      </c>
    </row>
    <row r="116" spans="1:8">
      <c r="A116" s="270">
        <v>41989</v>
      </c>
      <c r="B116" s="271">
        <v>4.9878541666666667</v>
      </c>
      <c r="C116" s="271">
        <v>2.1949999999999998</v>
      </c>
      <c r="D116" s="271">
        <v>9.1760000000000002</v>
      </c>
      <c r="G116" s="311"/>
      <c r="H116">
        <v>3.0000000000001137</v>
      </c>
    </row>
    <row r="117" spans="1:8">
      <c r="A117" s="270">
        <v>41990</v>
      </c>
      <c r="B117" s="271">
        <v>9.5145416666666645</v>
      </c>
      <c r="C117" s="271">
        <v>5.45</v>
      </c>
      <c r="D117" s="271">
        <v>11.819000000000001</v>
      </c>
      <c r="G117" s="311"/>
      <c r="H117">
        <v>7.2000000000002728</v>
      </c>
    </row>
    <row r="118" spans="1:8">
      <c r="A118" s="270">
        <v>41991</v>
      </c>
      <c r="B118" s="271">
        <v>12.206562500000002</v>
      </c>
      <c r="C118" s="271">
        <v>11.430999999999999</v>
      </c>
      <c r="D118" s="271">
        <v>13.076000000000001</v>
      </c>
      <c r="G118" s="311"/>
      <c r="H118">
        <v>0.30000000000001137</v>
      </c>
    </row>
    <row r="119" spans="1:8">
      <c r="A119" s="270">
        <v>41992</v>
      </c>
      <c r="B119" s="271">
        <v>8.3836666666666648</v>
      </c>
      <c r="C119" s="271">
        <v>3.8929999999999998</v>
      </c>
      <c r="D119" s="271">
        <v>12.013</v>
      </c>
      <c r="G119" s="311"/>
      <c r="H119">
        <v>7.2000000000002728</v>
      </c>
    </row>
    <row r="120" spans="1:8">
      <c r="A120" s="270">
        <v>41993</v>
      </c>
      <c r="B120" s="271">
        <v>6.3642499999999984</v>
      </c>
      <c r="C120" s="271">
        <v>3.0489999999999999</v>
      </c>
      <c r="D120" s="271">
        <v>9.7680000000000007</v>
      </c>
      <c r="G120" s="311"/>
      <c r="H120">
        <v>0</v>
      </c>
    </row>
    <row r="121" spans="1:8">
      <c r="A121" s="270">
        <v>41994</v>
      </c>
      <c r="B121" s="271">
        <v>7.4912083333333328</v>
      </c>
      <c r="C121" s="271">
        <v>3.1549999999999998</v>
      </c>
      <c r="D121" s="271">
        <v>9.9649999999999999</v>
      </c>
      <c r="G121" s="311"/>
      <c r="H121">
        <v>0.60000000000002274</v>
      </c>
    </row>
    <row r="122" spans="1:8">
      <c r="A122" s="270">
        <v>41995</v>
      </c>
      <c r="B122" s="271">
        <v>11.375729166666668</v>
      </c>
      <c r="C122" s="271">
        <v>9.8659999999999997</v>
      </c>
      <c r="D122" s="271">
        <v>12.401</v>
      </c>
      <c r="G122" s="311"/>
      <c r="H122">
        <v>0</v>
      </c>
    </row>
    <row r="123" spans="1:8">
      <c r="A123" s="270">
        <v>41996</v>
      </c>
      <c r="B123" s="271">
        <v>10.509874999999996</v>
      </c>
      <c r="C123" s="271">
        <v>9.077</v>
      </c>
      <c r="D123" s="271">
        <v>11.528</v>
      </c>
      <c r="G123" s="311"/>
      <c r="H123">
        <v>0</v>
      </c>
    </row>
    <row r="124" spans="1:8">
      <c r="A124" s="270">
        <v>41997</v>
      </c>
      <c r="B124" s="271">
        <v>7.4914583333333304</v>
      </c>
      <c r="C124" s="271">
        <v>3.1549999999999998</v>
      </c>
      <c r="D124" s="271">
        <v>10.356999999999999</v>
      </c>
      <c r="G124" s="311"/>
      <c r="H124">
        <v>3.0000000000001137</v>
      </c>
    </row>
    <row r="125" spans="1:8">
      <c r="A125" s="270">
        <v>41998</v>
      </c>
      <c r="B125" s="271">
        <v>4.8607916666666657</v>
      </c>
      <c r="C125" s="271">
        <v>1.98</v>
      </c>
      <c r="D125" s="271">
        <v>8.68</v>
      </c>
      <c r="G125" s="311"/>
      <c r="H125">
        <v>1.5000000000000568</v>
      </c>
    </row>
    <row r="126" spans="1:8">
      <c r="A126" s="270">
        <v>41999</v>
      </c>
      <c r="B126" s="271">
        <v>3.7249166666666667</v>
      </c>
      <c r="C126" s="271">
        <v>0.89300000000000002</v>
      </c>
      <c r="D126" s="271">
        <v>7.5819999999999999</v>
      </c>
      <c r="G126" s="311"/>
      <c r="H126">
        <v>17.100000000000648</v>
      </c>
    </row>
    <row r="127" spans="1:8">
      <c r="A127" s="270">
        <v>42000</v>
      </c>
      <c r="B127" s="271">
        <v>2.3237708333333336</v>
      </c>
      <c r="C127" s="271">
        <v>-1.228</v>
      </c>
      <c r="D127" s="271">
        <v>5.2439999999999998</v>
      </c>
      <c r="G127" s="311"/>
      <c r="H127">
        <v>1.5000000000000568</v>
      </c>
    </row>
    <row r="128" spans="1:8">
      <c r="A128" s="270">
        <v>42001</v>
      </c>
      <c r="B128" s="271">
        <v>-0.79462500000000025</v>
      </c>
      <c r="C128" s="271">
        <v>-2.9620000000000002</v>
      </c>
      <c r="D128" s="271">
        <v>5.3470000000000004</v>
      </c>
      <c r="G128" s="311"/>
      <c r="H128">
        <v>0.30000000000001137</v>
      </c>
    </row>
    <row r="129" spans="1:8">
      <c r="A129" s="270">
        <v>42002</v>
      </c>
      <c r="B129" s="271">
        <v>2.5852291666666671</v>
      </c>
      <c r="C129" s="271">
        <v>-0.32500000000000001</v>
      </c>
      <c r="D129" s="271">
        <v>4.7270000000000003</v>
      </c>
      <c r="G129" s="311"/>
      <c r="H129">
        <v>3.3000000000001251</v>
      </c>
    </row>
    <row r="130" spans="1:8">
      <c r="A130" s="270">
        <v>42003</v>
      </c>
      <c r="B130" s="271">
        <v>3.2454166666666655</v>
      </c>
      <c r="C130" s="271">
        <v>0.01</v>
      </c>
      <c r="D130" s="271">
        <v>7.0789999999999997</v>
      </c>
      <c r="G130" s="311"/>
      <c r="H130">
        <v>0</v>
      </c>
    </row>
    <row r="131" spans="1:8">
      <c r="A131" s="270">
        <v>42004</v>
      </c>
      <c r="B131" s="271">
        <v>2.2463333333333346</v>
      </c>
      <c r="C131" s="271">
        <v>0.121</v>
      </c>
      <c r="D131" s="271">
        <v>8.4809999999999999</v>
      </c>
      <c r="G131" s="311"/>
      <c r="H131">
        <v>0</v>
      </c>
    </row>
    <row r="132" spans="1:8">
      <c r="A132" s="270">
        <v>42005</v>
      </c>
      <c r="B132" s="271">
        <v>4.5320625000000003</v>
      </c>
      <c r="C132" s="271">
        <v>0.34300000000000003</v>
      </c>
      <c r="D132" s="271">
        <v>10.651</v>
      </c>
      <c r="G132" s="311"/>
      <c r="H132">
        <v>0.30000000000001137</v>
      </c>
    </row>
    <row r="133" spans="1:8">
      <c r="A133" s="270">
        <v>42006</v>
      </c>
      <c r="B133" s="271">
        <v>5.2333958333333319</v>
      </c>
      <c r="C133" s="271">
        <v>0.56299999999999994</v>
      </c>
      <c r="D133" s="271">
        <v>10.651</v>
      </c>
      <c r="G133" s="311"/>
      <c r="H133">
        <v>3.0000000000001137</v>
      </c>
    </row>
    <row r="134" spans="1:8">
      <c r="A134" s="270">
        <v>42007</v>
      </c>
      <c r="B134" s="271">
        <v>2.826541666666667</v>
      </c>
      <c r="C134" s="271">
        <v>0.67400000000000004</v>
      </c>
      <c r="D134" s="271">
        <v>5.6550000000000002</v>
      </c>
      <c r="G134" s="311"/>
      <c r="H134">
        <v>8.4000000000003183</v>
      </c>
    </row>
    <row r="135" spans="1:8">
      <c r="A135" s="270">
        <v>42008</v>
      </c>
      <c r="B135" s="271">
        <v>2.102812500000002</v>
      </c>
      <c r="C135" s="271">
        <v>-0.21299999999999999</v>
      </c>
      <c r="D135" s="271">
        <v>8.68</v>
      </c>
      <c r="G135" s="311"/>
      <c r="H135">
        <v>0.30000000000001137</v>
      </c>
    </row>
    <row r="136" spans="1:8">
      <c r="A136" s="270">
        <v>42009</v>
      </c>
      <c r="B136" s="271">
        <v>1.1895217391304347</v>
      </c>
      <c r="C136" s="271">
        <v>-0.66200000000000003</v>
      </c>
      <c r="D136" s="271">
        <v>3.8929999999999998</v>
      </c>
      <c r="G136" s="311"/>
      <c r="H136">
        <v>0</v>
      </c>
    </row>
    <row r="137" spans="1:8">
      <c r="A137" s="270">
        <v>42010</v>
      </c>
      <c r="B137" s="271">
        <v>0.71387499999999993</v>
      </c>
      <c r="C137" s="271">
        <v>-1.456</v>
      </c>
      <c r="D137" s="271">
        <v>4.2069999999999999</v>
      </c>
      <c r="G137" s="311"/>
      <c r="H137">
        <v>0</v>
      </c>
    </row>
    <row r="138" spans="1:8">
      <c r="A138" s="270">
        <v>42011</v>
      </c>
      <c r="B138" s="271">
        <v>2.6902499999999994</v>
      </c>
      <c r="C138" s="271">
        <v>-0.10199999999999999</v>
      </c>
      <c r="D138" s="271">
        <v>9.4719999999999995</v>
      </c>
      <c r="G138" s="311"/>
      <c r="H138">
        <v>0</v>
      </c>
    </row>
    <row r="139" spans="1:8">
      <c r="A139" s="270">
        <v>42012</v>
      </c>
      <c r="B139" s="271">
        <v>7.0436666666666659</v>
      </c>
      <c r="C139" s="271">
        <v>4.8310000000000004</v>
      </c>
      <c r="D139" s="271">
        <v>9.5709999999999997</v>
      </c>
      <c r="G139" s="311"/>
      <c r="H139">
        <v>15.900000000000603</v>
      </c>
    </row>
    <row r="140" spans="1:8">
      <c r="A140" s="270">
        <v>42013</v>
      </c>
      <c r="B140" s="271">
        <v>10.251895833333334</v>
      </c>
      <c r="C140" s="271">
        <v>6.0640000000000001</v>
      </c>
      <c r="D140" s="271">
        <v>13.942</v>
      </c>
      <c r="G140" s="311"/>
      <c r="H140">
        <v>0.60000000000002274</v>
      </c>
    </row>
    <row r="141" spans="1:8">
      <c r="A141" s="270">
        <v>42014</v>
      </c>
      <c r="B141" s="271">
        <v>10.896374999999999</v>
      </c>
      <c r="C141" s="271">
        <v>4.415</v>
      </c>
      <c r="D141" s="271">
        <v>13.269</v>
      </c>
      <c r="G141" s="311"/>
      <c r="H141">
        <v>0.30000000000001137</v>
      </c>
    </row>
    <row r="142" spans="1:8">
      <c r="A142" s="270">
        <v>42015</v>
      </c>
      <c r="B142" s="271">
        <v>5.6971666666666687</v>
      </c>
      <c r="C142" s="271">
        <v>2.9430000000000001</v>
      </c>
      <c r="D142" s="271">
        <v>9.4719999999999995</v>
      </c>
      <c r="G142" s="311"/>
      <c r="H142">
        <v>2.4</v>
      </c>
    </row>
    <row r="143" spans="1:8">
      <c r="A143" s="270">
        <v>42016</v>
      </c>
      <c r="B143" s="271">
        <v>8.5617708333333322</v>
      </c>
      <c r="C143" s="271">
        <v>6.8769999999999998</v>
      </c>
      <c r="D143" s="271">
        <v>10.553000000000001</v>
      </c>
      <c r="G143" s="311"/>
    </row>
    <row r="144" spans="1:8">
      <c r="A144" s="270">
        <v>42017</v>
      </c>
      <c r="B144" s="271">
        <v>9.2517500000000013</v>
      </c>
      <c r="C144" s="271">
        <v>5.7569999999999997</v>
      </c>
      <c r="D144" s="271">
        <v>11.334</v>
      </c>
      <c r="G144" s="311"/>
      <c r="H144">
        <v>6.8</v>
      </c>
    </row>
    <row r="145" spans="1:8">
      <c r="A145" s="270">
        <v>42018</v>
      </c>
      <c r="B145" s="271">
        <v>5.2126666666666672</v>
      </c>
      <c r="C145" s="271">
        <v>3.2610000000000001</v>
      </c>
      <c r="D145" s="271">
        <v>8.7789999999999999</v>
      </c>
      <c r="G145" s="311"/>
      <c r="H145">
        <v>7.4</v>
      </c>
    </row>
    <row r="146" spans="1:8">
      <c r="A146" s="270">
        <v>42019</v>
      </c>
      <c r="B146" s="271">
        <v>8.4848333333333308</v>
      </c>
      <c r="C146" s="271">
        <v>6.2679999999999998</v>
      </c>
      <c r="D146" s="271">
        <v>10.356999999999999</v>
      </c>
      <c r="G146" s="311"/>
      <c r="H146">
        <v>2.6</v>
      </c>
    </row>
    <row r="147" spans="1:8">
      <c r="A147" s="270">
        <v>42020</v>
      </c>
      <c r="B147" s="271">
        <v>5.0843124999999993</v>
      </c>
      <c r="C147" s="271">
        <v>1.548</v>
      </c>
      <c r="D147" s="271">
        <v>9.3729999999999993</v>
      </c>
      <c r="G147" s="311"/>
    </row>
    <row r="148" spans="1:8">
      <c r="A148" s="270">
        <v>42021</v>
      </c>
      <c r="B148" s="271">
        <v>2.5610624999999998</v>
      </c>
      <c r="C148" s="271">
        <v>-0.54900000000000004</v>
      </c>
      <c r="D148" s="271">
        <v>6.6740000000000004</v>
      </c>
      <c r="G148" s="311"/>
      <c r="H148">
        <v>0.4</v>
      </c>
    </row>
    <row r="149" spans="1:8">
      <c r="A149" s="270">
        <v>42022</v>
      </c>
      <c r="B149" s="271">
        <v>3.0279583333333324</v>
      </c>
      <c r="C149" s="271">
        <v>0.78400000000000003</v>
      </c>
      <c r="D149" s="271">
        <v>4.2069999999999999</v>
      </c>
      <c r="G149" s="311"/>
      <c r="H149">
        <v>14.1</v>
      </c>
    </row>
    <row r="150" spans="1:8">
      <c r="A150" s="270">
        <v>42023</v>
      </c>
      <c r="B150" s="271">
        <v>2.4536458333333329</v>
      </c>
      <c r="C150" s="271">
        <v>0.23200000000000001</v>
      </c>
      <c r="D150" s="271">
        <v>8.5809999999999995</v>
      </c>
      <c r="G150" s="311"/>
      <c r="H150">
        <v>0.2</v>
      </c>
    </row>
    <row r="151" spans="1:8">
      <c r="A151" s="270">
        <v>42024</v>
      </c>
      <c r="B151" s="271">
        <v>1.1325416666666666</v>
      </c>
      <c r="C151" s="271">
        <v>-1.341</v>
      </c>
      <c r="D151" s="271">
        <v>6.0640000000000001</v>
      </c>
      <c r="G151" s="311"/>
      <c r="H151">
        <v>0</v>
      </c>
    </row>
    <row r="152" spans="1:8">
      <c r="A152" s="270">
        <v>42025</v>
      </c>
      <c r="B152" s="271">
        <v>0.41620833333333329</v>
      </c>
      <c r="C152" s="271">
        <v>-1.7989999999999999</v>
      </c>
      <c r="D152" s="271">
        <v>4.1020000000000003</v>
      </c>
      <c r="G152" s="311"/>
      <c r="H152">
        <v>0</v>
      </c>
    </row>
    <row r="153" spans="1:8">
      <c r="A153" s="270">
        <v>42026</v>
      </c>
      <c r="B153" s="271">
        <v>-1.3923333333333334</v>
      </c>
      <c r="C153" s="271">
        <v>-2.7269999999999999</v>
      </c>
      <c r="D153" s="271">
        <v>-0.54900000000000004</v>
      </c>
      <c r="G153" s="311"/>
      <c r="H153">
        <v>0</v>
      </c>
    </row>
    <row r="154" spans="1:8">
      <c r="A154" s="270">
        <v>42027</v>
      </c>
      <c r="B154" s="271">
        <v>0.63520833333333349</v>
      </c>
      <c r="C154" s="271">
        <v>-1.1140000000000001</v>
      </c>
      <c r="D154" s="271">
        <v>6.6740000000000004</v>
      </c>
      <c r="G154" s="311"/>
      <c r="H154">
        <v>7.1</v>
      </c>
    </row>
    <row r="155" spans="1:8">
      <c r="A155" s="270">
        <v>42028</v>
      </c>
      <c r="B155" s="271">
        <v>2.6333125000000002</v>
      </c>
      <c r="C155" s="271">
        <v>-1.0009999999999999</v>
      </c>
      <c r="D155" s="271">
        <v>6.7750000000000004</v>
      </c>
      <c r="G155" s="311"/>
      <c r="H155">
        <v>0.6</v>
      </c>
    </row>
    <row r="156" spans="1:8">
      <c r="A156" s="270">
        <v>42029</v>
      </c>
      <c r="B156" s="271">
        <v>3.4541249999999999</v>
      </c>
      <c r="C156" s="271">
        <v>0.56299999999999994</v>
      </c>
      <c r="D156" s="271">
        <v>7.3810000000000002</v>
      </c>
      <c r="G156" s="311"/>
      <c r="H156">
        <v>0.4</v>
      </c>
    </row>
    <row r="157" spans="1:8">
      <c r="A157" s="270">
        <v>42030</v>
      </c>
      <c r="B157" s="271">
        <v>7.1090624999999994</v>
      </c>
      <c r="C157" s="271">
        <v>4.9340000000000002</v>
      </c>
      <c r="D157" s="271">
        <v>9.6690000000000005</v>
      </c>
      <c r="G157" s="311"/>
      <c r="H157">
        <v>1</v>
      </c>
    </row>
    <row r="158" spans="1:8">
      <c r="A158" s="270">
        <v>42031</v>
      </c>
      <c r="B158" s="271">
        <v>4.6329375000000006</v>
      </c>
      <c r="C158" s="271">
        <v>0.78400000000000003</v>
      </c>
      <c r="D158" s="271">
        <v>6.6740000000000004</v>
      </c>
      <c r="G158" s="311"/>
      <c r="H158">
        <v>0.2</v>
      </c>
    </row>
    <row r="159" spans="1:8">
      <c r="A159" s="270">
        <v>42032</v>
      </c>
      <c r="B159" s="271">
        <v>5.7651666666666666</v>
      </c>
      <c r="C159" s="271">
        <v>2.73</v>
      </c>
      <c r="D159" s="271">
        <v>8.7789999999999999</v>
      </c>
      <c r="G159" s="311"/>
      <c r="H159">
        <v>2.6</v>
      </c>
    </row>
    <row r="160" spans="1:8">
      <c r="A160" s="270">
        <v>42033</v>
      </c>
      <c r="B160" s="271">
        <v>2.851312500000001</v>
      </c>
      <c r="C160" s="271">
        <v>1.33</v>
      </c>
      <c r="D160" s="271">
        <v>6.2679999999999998</v>
      </c>
      <c r="G160" s="311"/>
      <c r="H160">
        <v>2.4</v>
      </c>
    </row>
    <row r="161" spans="1:8">
      <c r="A161" s="270">
        <v>42034</v>
      </c>
      <c r="B161" s="271">
        <v>2.3554166666666667</v>
      </c>
      <c r="C161" s="271">
        <v>0.45300000000000001</v>
      </c>
      <c r="D161" s="271">
        <v>5.141</v>
      </c>
      <c r="G161" s="311"/>
      <c r="H161">
        <v>2.8</v>
      </c>
    </row>
    <row r="162" spans="1:8">
      <c r="A162" s="270">
        <v>42035</v>
      </c>
      <c r="B162" s="271">
        <v>1.7221874999999998</v>
      </c>
      <c r="C162" s="271">
        <v>-0.54900000000000004</v>
      </c>
      <c r="D162" s="271">
        <v>4.1020000000000003</v>
      </c>
      <c r="G162" s="311"/>
      <c r="H162">
        <v>3.4</v>
      </c>
    </row>
    <row r="163" spans="1:8">
      <c r="A163" s="270">
        <v>42036</v>
      </c>
      <c r="B163" s="271">
        <v>3.4620208333333333</v>
      </c>
      <c r="C163" s="271">
        <v>1.764</v>
      </c>
      <c r="D163" s="271">
        <v>5.3470000000000004</v>
      </c>
      <c r="G163" s="311"/>
      <c r="H163">
        <v>15.2</v>
      </c>
    </row>
    <row r="164" spans="1:8">
      <c r="A164" s="270">
        <v>42037</v>
      </c>
      <c r="B164" s="271">
        <v>1.9804583333333337</v>
      </c>
      <c r="C164" s="271">
        <v>-0.21299999999999999</v>
      </c>
      <c r="D164" s="271">
        <v>5.3470000000000004</v>
      </c>
      <c r="G164" s="311"/>
      <c r="H164">
        <v>0</v>
      </c>
    </row>
    <row r="165" spans="1:8">
      <c r="A165" s="270">
        <v>42038</v>
      </c>
      <c r="B165" s="271">
        <v>0.35783333333333317</v>
      </c>
      <c r="C165" s="271">
        <v>-3.0790000000000002</v>
      </c>
      <c r="D165" s="271">
        <v>7.5819999999999999</v>
      </c>
      <c r="G165" s="311"/>
      <c r="H165">
        <v>0.2</v>
      </c>
    </row>
    <row r="166" spans="1:8">
      <c r="A166" s="270">
        <v>42039</v>
      </c>
      <c r="B166" s="271">
        <v>1.4715625000000001</v>
      </c>
      <c r="C166" s="271">
        <v>-1.6839999999999999</v>
      </c>
      <c r="D166" s="271">
        <v>8.68</v>
      </c>
      <c r="G166" s="311"/>
      <c r="H166">
        <v>0.4</v>
      </c>
    </row>
    <row r="167" spans="1:8">
      <c r="A167" s="270">
        <v>42040</v>
      </c>
      <c r="B167" s="271">
        <v>0.39316666666666661</v>
      </c>
      <c r="C167" s="271">
        <v>-2.3769999999999998</v>
      </c>
      <c r="D167" s="271">
        <v>6.5730000000000004</v>
      </c>
      <c r="G167" s="311"/>
      <c r="H167">
        <v>0</v>
      </c>
    </row>
    <row r="168" spans="1:8">
      <c r="A168" s="270">
        <v>42041</v>
      </c>
      <c r="B168" s="271">
        <v>0.56293749999999998</v>
      </c>
      <c r="C168" s="271">
        <v>-1.7989999999999999</v>
      </c>
      <c r="D168" s="271">
        <v>7.782</v>
      </c>
      <c r="G168" s="311"/>
      <c r="H168">
        <v>2.1000000000000796</v>
      </c>
    </row>
    <row r="169" spans="1:8">
      <c r="A169" s="270">
        <v>42042</v>
      </c>
      <c r="B169" s="271">
        <v>2.8040625000000006</v>
      </c>
      <c r="C169" s="271">
        <v>-2.4940000000000002</v>
      </c>
      <c r="D169" s="271">
        <v>15.186999999999999</v>
      </c>
      <c r="G169" s="311"/>
      <c r="H169">
        <v>0</v>
      </c>
    </row>
    <row r="170" spans="1:8">
      <c r="A170" s="270">
        <v>42043</v>
      </c>
      <c r="B170" s="271">
        <v>5.4568125000000007</v>
      </c>
      <c r="C170" s="271">
        <v>0.56299999999999994</v>
      </c>
      <c r="D170" s="271">
        <v>13.269</v>
      </c>
      <c r="G170" s="311"/>
      <c r="H170">
        <v>0.30000000000001137</v>
      </c>
    </row>
    <row r="171" spans="1:8">
      <c r="A171" s="270">
        <v>42044</v>
      </c>
      <c r="B171" s="271">
        <v>2.7118125000000006</v>
      </c>
      <c r="C171" s="271">
        <v>-0.21299999999999999</v>
      </c>
      <c r="D171" s="271">
        <v>5.3470000000000004</v>
      </c>
      <c r="G171" s="311"/>
      <c r="H171">
        <v>0</v>
      </c>
    </row>
    <row r="172" spans="1:8">
      <c r="A172" s="270">
        <v>42045</v>
      </c>
      <c r="B172" s="271">
        <v>4.656958333333332</v>
      </c>
      <c r="C172" s="271">
        <v>2.9430000000000001</v>
      </c>
      <c r="D172" s="271">
        <v>6.5730000000000004</v>
      </c>
      <c r="G172" s="311"/>
      <c r="H172">
        <v>0.30000000000001137</v>
      </c>
    </row>
    <row r="173" spans="1:8">
      <c r="A173" s="270">
        <v>42046</v>
      </c>
      <c r="B173" s="271">
        <v>4.078875</v>
      </c>
      <c r="C173" s="271">
        <v>3.367</v>
      </c>
      <c r="D173" s="271">
        <v>5.2439999999999998</v>
      </c>
      <c r="G173" s="311"/>
      <c r="H173">
        <v>0</v>
      </c>
    </row>
    <row r="174" spans="1:8">
      <c r="A174" s="270">
        <v>42047</v>
      </c>
      <c r="B174" s="271">
        <v>3.5393750000000002</v>
      </c>
      <c r="C174" s="271">
        <v>1.1120000000000001</v>
      </c>
      <c r="D174" s="271">
        <v>7.3810000000000002</v>
      </c>
      <c r="G174" s="311"/>
      <c r="H174">
        <v>0</v>
      </c>
    </row>
    <row r="175" spans="1:8">
      <c r="A175" s="270">
        <v>42048</v>
      </c>
      <c r="B175" s="271">
        <v>5.93825</v>
      </c>
      <c r="C175" s="271">
        <v>0.67400000000000004</v>
      </c>
      <c r="D175" s="271">
        <v>12.69</v>
      </c>
      <c r="G175" s="311"/>
      <c r="H175">
        <v>0.60000000000002274</v>
      </c>
    </row>
    <row r="176" spans="1:8">
      <c r="A176" s="270">
        <v>42049</v>
      </c>
      <c r="B176" s="271">
        <v>7.4431666666666656</v>
      </c>
      <c r="C176" s="271">
        <v>5.45</v>
      </c>
      <c r="D176" s="271">
        <v>10.161</v>
      </c>
      <c r="G176" s="311"/>
      <c r="H176">
        <v>3.6000000000001364</v>
      </c>
    </row>
    <row r="177" spans="1:8">
      <c r="A177" s="270">
        <v>42050</v>
      </c>
      <c r="B177" s="271">
        <v>7.6116874999999977</v>
      </c>
      <c r="C177" s="271">
        <v>1.4390000000000001</v>
      </c>
      <c r="D177" s="271">
        <v>18.14</v>
      </c>
      <c r="G177" s="311"/>
      <c r="H177">
        <v>0</v>
      </c>
    </row>
    <row r="178" spans="1:8">
      <c r="A178" s="270">
        <v>42051</v>
      </c>
      <c r="B178" s="271">
        <v>2.4042708333333334</v>
      </c>
      <c r="C178" s="271">
        <v>-0.54900000000000004</v>
      </c>
      <c r="D178" s="271">
        <v>5.7569999999999997</v>
      </c>
      <c r="G178" s="311"/>
      <c r="H178">
        <v>0</v>
      </c>
    </row>
    <row r="179" spans="1:8">
      <c r="A179" s="270">
        <v>42052</v>
      </c>
      <c r="B179" s="271">
        <v>4.8459148936170209</v>
      </c>
      <c r="C179" s="271">
        <v>0.45300000000000001</v>
      </c>
      <c r="D179" s="271">
        <v>8.8789999999999996</v>
      </c>
      <c r="G179" s="311"/>
      <c r="H179">
        <v>3.0000000000001137</v>
      </c>
    </row>
    <row r="180" spans="1:8">
      <c r="A180" s="270">
        <v>42053</v>
      </c>
      <c r="B180" s="271">
        <v>1.357895833333334</v>
      </c>
      <c r="C180" s="271">
        <v>-1.7989999999999999</v>
      </c>
      <c r="D180" s="271">
        <v>6.8769999999999998</v>
      </c>
      <c r="G180" s="311"/>
      <c r="H180">
        <v>0</v>
      </c>
    </row>
    <row r="181" spans="1:8">
      <c r="A181" s="270">
        <v>42054</v>
      </c>
      <c r="B181" s="271">
        <v>3.1780416666666667</v>
      </c>
      <c r="C181" s="271">
        <v>0.23200000000000001</v>
      </c>
      <c r="D181" s="271">
        <v>6.37</v>
      </c>
      <c r="G181" s="311"/>
      <c r="H181">
        <v>0</v>
      </c>
    </row>
    <row r="182" spans="1:8">
      <c r="A182" s="270">
        <v>42055</v>
      </c>
      <c r="B182" s="271">
        <v>6.1049166666666679</v>
      </c>
      <c r="C182" s="271">
        <v>4.2069999999999999</v>
      </c>
      <c r="D182" s="271">
        <v>7.4809999999999999</v>
      </c>
      <c r="G182" s="311"/>
      <c r="H182">
        <v>15.600000000000563</v>
      </c>
    </row>
    <row r="183" spans="1:8">
      <c r="A183" s="270">
        <v>42056</v>
      </c>
      <c r="B183" s="271">
        <v>3.816854166666666</v>
      </c>
      <c r="C183" s="271">
        <v>0.56299999999999994</v>
      </c>
      <c r="D183" s="271">
        <v>7.5819999999999999</v>
      </c>
      <c r="G183" s="311"/>
      <c r="H183">
        <v>4.2000000000001592</v>
      </c>
    </row>
    <row r="184" spans="1:8">
      <c r="A184" s="270">
        <v>42057</v>
      </c>
      <c r="B184" s="271">
        <v>3.7976041666666664</v>
      </c>
      <c r="C184" s="271">
        <v>-0.66200000000000003</v>
      </c>
      <c r="D184" s="271">
        <v>8.68</v>
      </c>
      <c r="G184" s="311"/>
      <c r="H184">
        <v>2.1000000000000796</v>
      </c>
    </row>
    <row r="185" spans="1:8">
      <c r="A185" s="270">
        <v>42058</v>
      </c>
      <c r="B185" s="271">
        <v>6.414187499999997</v>
      </c>
      <c r="C185" s="271">
        <v>3.5779999999999998</v>
      </c>
      <c r="D185" s="271">
        <v>11.722</v>
      </c>
      <c r="G185" s="311"/>
      <c r="H185">
        <v>4.5000000000001705</v>
      </c>
    </row>
    <row r="186" spans="1:8">
      <c r="A186" s="270">
        <v>42059</v>
      </c>
      <c r="B186" s="271">
        <v>6.0316041666666651</v>
      </c>
      <c r="C186" s="271">
        <v>3.2610000000000001</v>
      </c>
      <c r="D186" s="271">
        <v>10.651</v>
      </c>
      <c r="G186" s="311"/>
      <c r="H186">
        <v>3.9000000000001478</v>
      </c>
    </row>
    <row r="187" spans="1:8">
      <c r="A187" s="270">
        <v>42060</v>
      </c>
      <c r="B187" s="271">
        <v>4.8908541666666663</v>
      </c>
      <c r="C187" s="271">
        <v>2.3029999999999999</v>
      </c>
      <c r="D187" s="271">
        <v>8.7789999999999999</v>
      </c>
      <c r="G187" s="311"/>
      <c r="H187">
        <v>3.9000000000001478</v>
      </c>
    </row>
    <row r="188" spans="1:8">
      <c r="A188" s="270">
        <v>42061</v>
      </c>
      <c r="B188" s="271">
        <v>7.0550208333333302</v>
      </c>
      <c r="C188" s="271">
        <v>3.2610000000000001</v>
      </c>
      <c r="D188" s="271">
        <v>10.063000000000001</v>
      </c>
      <c r="G188" s="311"/>
      <c r="H188">
        <v>8.100000000000307</v>
      </c>
    </row>
    <row r="189" spans="1:8">
      <c r="A189" s="270">
        <v>42062</v>
      </c>
      <c r="B189" s="271">
        <v>5.2340208333333313</v>
      </c>
      <c r="C189" s="271">
        <v>1.4390000000000001</v>
      </c>
      <c r="D189" s="271">
        <v>8.1820000000000004</v>
      </c>
      <c r="G189" s="311"/>
      <c r="H189">
        <v>0.30000000000001137</v>
      </c>
    </row>
    <row r="190" spans="1:8">
      <c r="A190" s="270">
        <v>42063</v>
      </c>
      <c r="B190" s="271">
        <v>4.9684374999999994</v>
      </c>
      <c r="C190" s="271">
        <v>0.78400000000000003</v>
      </c>
      <c r="D190" s="271">
        <v>9.077</v>
      </c>
      <c r="G190" s="311"/>
      <c r="H190">
        <v>0</v>
      </c>
    </row>
    <row r="191" spans="1:8">
      <c r="A191" s="270">
        <v>42064</v>
      </c>
      <c r="B191" s="271">
        <v>9.2805208333333358</v>
      </c>
      <c r="C191" s="271">
        <v>6.9779999999999998</v>
      </c>
      <c r="D191" s="271">
        <v>12.207000000000001</v>
      </c>
      <c r="G191" s="311"/>
      <c r="H191">
        <v>3.9000000000001478</v>
      </c>
    </row>
    <row r="192" spans="1:8">
      <c r="A192" s="270">
        <v>42065</v>
      </c>
      <c r="B192" s="271">
        <v>6.4021250000000016</v>
      </c>
      <c r="C192" s="271">
        <v>2.6240000000000001</v>
      </c>
      <c r="D192" s="271">
        <v>10.455</v>
      </c>
      <c r="G192" s="311"/>
      <c r="H192">
        <v>1.8000000000000682</v>
      </c>
    </row>
    <row r="193" spans="1:8">
      <c r="A193" s="270">
        <v>42066</v>
      </c>
      <c r="B193" s="271">
        <v>5.2093749999999996</v>
      </c>
      <c r="C193" s="271">
        <v>2.41</v>
      </c>
      <c r="D193" s="271">
        <v>9.7680000000000007</v>
      </c>
      <c r="G193" s="311"/>
      <c r="H193">
        <v>1.5000000000000568</v>
      </c>
    </row>
    <row r="194" spans="1:8">
      <c r="A194" s="270">
        <v>42067</v>
      </c>
      <c r="B194" s="271">
        <v>4.6611874999999996</v>
      </c>
      <c r="C194" s="271">
        <v>0.56299999999999994</v>
      </c>
      <c r="D194" s="271">
        <v>8.8789999999999996</v>
      </c>
      <c r="G194" s="311"/>
      <c r="H194">
        <v>0.30000000000001137</v>
      </c>
    </row>
    <row r="195" spans="1:8">
      <c r="A195" s="270">
        <v>42068</v>
      </c>
      <c r="B195" s="271">
        <v>4.9940208333333338</v>
      </c>
      <c r="C195" s="271">
        <v>-0.32500000000000001</v>
      </c>
      <c r="D195" s="271">
        <v>11.138999999999999</v>
      </c>
      <c r="G195" s="311"/>
      <c r="H195">
        <v>0.30000000000001137</v>
      </c>
    </row>
    <row r="196" spans="1:8">
      <c r="A196" s="270">
        <v>42069</v>
      </c>
      <c r="B196" s="271">
        <v>6.2592499999999989</v>
      </c>
      <c r="C196" s="271">
        <v>0.89300000000000002</v>
      </c>
      <c r="D196" s="271">
        <v>12.013</v>
      </c>
      <c r="G196" s="311"/>
      <c r="H196">
        <v>0</v>
      </c>
    </row>
    <row r="197" spans="1:8">
      <c r="A197" s="270">
        <v>42070</v>
      </c>
      <c r="B197" s="271">
        <v>7.6778750000000011</v>
      </c>
      <c r="C197" s="271">
        <v>3.2610000000000001</v>
      </c>
      <c r="D197" s="271">
        <v>12.497</v>
      </c>
      <c r="G197" s="311"/>
      <c r="H197">
        <v>0</v>
      </c>
    </row>
    <row r="198" spans="1:8">
      <c r="A198" s="270">
        <v>42071</v>
      </c>
      <c r="B198" s="271">
        <v>9.2372500000000013</v>
      </c>
      <c r="C198" s="271">
        <v>3.367</v>
      </c>
      <c r="D198" s="271">
        <v>16.808</v>
      </c>
      <c r="G198" s="311"/>
      <c r="H198">
        <v>0</v>
      </c>
    </row>
    <row r="199" spans="1:8">
      <c r="A199" s="270">
        <v>42072</v>
      </c>
      <c r="B199" s="271">
        <v>8.4950833333333353</v>
      </c>
      <c r="C199" s="271">
        <v>3.5779999999999998</v>
      </c>
      <c r="D199" s="271">
        <v>11.138999999999999</v>
      </c>
      <c r="G199" s="311"/>
      <c r="H199">
        <v>0</v>
      </c>
    </row>
    <row r="200" spans="1:8">
      <c r="A200" s="270">
        <v>42073</v>
      </c>
      <c r="B200" s="271">
        <v>9.6163541666666639</v>
      </c>
      <c r="C200" s="271">
        <v>3.1549999999999998</v>
      </c>
      <c r="D200" s="271">
        <v>14.516999999999999</v>
      </c>
      <c r="G200" s="311"/>
      <c r="H200">
        <v>0</v>
      </c>
    </row>
    <row r="201" spans="1:8">
      <c r="A201" s="270">
        <v>42074</v>
      </c>
      <c r="B201" s="271">
        <v>5.8051666666666657</v>
      </c>
      <c r="C201" s="271">
        <v>0.67400000000000004</v>
      </c>
      <c r="D201" s="271">
        <v>12.401</v>
      </c>
      <c r="G201" s="311"/>
      <c r="H201">
        <v>0</v>
      </c>
    </row>
    <row r="202" spans="1:8">
      <c r="A202" s="270">
        <v>42075</v>
      </c>
      <c r="B202" s="271">
        <v>7.2976874999999994</v>
      </c>
      <c r="C202" s="271">
        <v>-0.54900000000000004</v>
      </c>
      <c r="D202" s="271">
        <v>14.613</v>
      </c>
      <c r="G202" s="311"/>
      <c r="H202">
        <v>0.30000000000001137</v>
      </c>
    </row>
    <row r="203" spans="1:8">
      <c r="A203" s="270">
        <v>42076</v>
      </c>
      <c r="B203" s="271">
        <v>7.4052291666666656</v>
      </c>
      <c r="C203" s="271">
        <v>1.764</v>
      </c>
      <c r="D203" s="271">
        <v>13.75</v>
      </c>
      <c r="G203" s="311"/>
      <c r="H203">
        <v>0</v>
      </c>
    </row>
    <row r="204" spans="1:8">
      <c r="A204" s="270">
        <v>42077</v>
      </c>
      <c r="B204" s="271">
        <v>5.3521874999999994</v>
      </c>
      <c r="C204" s="271">
        <v>0.34300000000000003</v>
      </c>
      <c r="D204" s="271">
        <v>11.236000000000001</v>
      </c>
      <c r="G204" s="311"/>
      <c r="H204">
        <v>0.60000000000002274</v>
      </c>
    </row>
    <row r="205" spans="1:8">
      <c r="A205" s="270">
        <v>42078</v>
      </c>
      <c r="B205" s="271">
        <v>5.5911041666666677</v>
      </c>
      <c r="C205" s="271">
        <v>3.8929999999999998</v>
      </c>
      <c r="D205" s="271">
        <v>8.0820000000000007</v>
      </c>
      <c r="G205" s="311"/>
      <c r="H205">
        <v>0.60000000000002274</v>
      </c>
    </row>
    <row r="206" spans="1:8">
      <c r="A206" s="270">
        <v>42079</v>
      </c>
      <c r="B206" s="271">
        <v>7.0814166666666658</v>
      </c>
      <c r="C206" s="271">
        <v>1.4390000000000001</v>
      </c>
      <c r="D206" s="271">
        <v>14.038</v>
      </c>
      <c r="G206" s="311"/>
      <c r="H206">
        <v>0</v>
      </c>
    </row>
    <row r="207" spans="1:8">
      <c r="A207" s="270">
        <v>42080</v>
      </c>
      <c r="B207" s="271">
        <v>9.7712083333333322</v>
      </c>
      <c r="C207" s="271">
        <v>1.764</v>
      </c>
      <c r="D207" s="271">
        <v>19.472000000000001</v>
      </c>
      <c r="G207" s="311"/>
      <c r="H207">
        <v>0</v>
      </c>
    </row>
    <row r="208" spans="1:8">
      <c r="A208" s="270">
        <v>42081</v>
      </c>
      <c r="B208" s="271">
        <v>7.2354583333333311</v>
      </c>
      <c r="C208" s="271">
        <v>5.141</v>
      </c>
      <c r="D208" s="271">
        <v>11.722</v>
      </c>
      <c r="G208" s="311"/>
      <c r="H208">
        <v>0</v>
      </c>
    </row>
    <row r="209" spans="1:8">
      <c r="A209" s="270">
        <v>42082</v>
      </c>
      <c r="B209" s="271">
        <v>6.7472916666666656</v>
      </c>
      <c r="C209" s="271">
        <v>5.86</v>
      </c>
      <c r="D209" s="271">
        <v>8.3819999999999997</v>
      </c>
      <c r="G209" s="311"/>
      <c r="H209">
        <v>0</v>
      </c>
    </row>
    <row r="210" spans="1:8">
      <c r="A210" s="270">
        <v>42083</v>
      </c>
      <c r="B210" s="271">
        <v>6.5318124999999982</v>
      </c>
      <c r="C210" s="271">
        <v>4.3109999999999999</v>
      </c>
      <c r="D210" s="271">
        <v>8.4809999999999999</v>
      </c>
      <c r="G210" s="311"/>
      <c r="H210">
        <v>0</v>
      </c>
    </row>
    <row r="211" spans="1:8">
      <c r="A211" s="270">
        <v>42084</v>
      </c>
      <c r="B211" s="271">
        <v>6.2498541666666654</v>
      </c>
      <c r="C211" s="271">
        <v>3.6829999999999998</v>
      </c>
      <c r="D211" s="271">
        <v>9.077</v>
      </c>
      <c r="G211" s="311"/>
      <c r="H211">
        <v>0.30000000000001137</v>
      </c>
    </row>
    <row r="212" spans="1:8">
      <c r="A212" s="270">
        <v>42085</v>
      </c>
      <c r="B212" s="271">
        <v>6.2104583333333352</v>
      </c>
      <c r="C212" s="271">
        <v>0.89300000000000002</v>
      </c>
      <c r="D212" s="271">
        <v>10.161</v>
      </c>
      <c r="G212" s="311"/>
      <c r="H212">
        <v>0</v>
      </c>
    </row>
    <row r="213" spans="1:8">
      <c r="A213" s="270">
        <v>42086</v>
      </c>
      <c r="B213" s="271">
        <v>4.6569374999999988</v>
      </c>
      <c r="C213" s="271">
        <v>-2.0299999999999998</v>
      </c>
      <c r="D213" s="271">
        <v>11.819000000000001</v>
      </c>
      <c r="G213" s="311"/>
      <c r="H213">
        <v>0</v>
      </c>
    </row>
    <row r="214" spans="1:8">
      <c r="A214" s="270">
        <v>42087</v>
      </c>
      <c r="B214" s="271">
        <v>5.0191875000000001</v>
      </c>
      <c r="C214" s="271">
        <v>-0.32500000000000001</v>
      </c>
      <c r="D214" s="271">
        <v>11.138999999999999</v>
      </c>
      <c r="G214" s="311"/>
      <c r="H214">
        <v>3.6000000000001364</v>
      </c>
    </row>
    <row r="215" spans="1:8">
      <c r="A215" s="270">
        <v>42088</v>
      </c>
      <c r="B215" s="271">
        <v>5.2108958333333346</v>
      </c>
      <c r="C215" s="271">
        <v>0.89300000000000002</v>
      </c>
      <c r="D215" s="271">
        <v>8.282</v>
      </c>
      <c r="G215" s="311"/>
      <c r="H215">
        <v>6.6000000000002501</v>
      </c>
    </row>
    <row r="216" spans="1:8">
      <c r="A216" s="270">
        <v>42089</v>
      </c>
      <c r="B216" s="271">
        <v>4.2196041666666675</v>
      </c>
      <c r="C216" s="271">
        <v>-0.21299999999999999</v>
      </c>
      <c r="D216" s="271">
        <v>10.259</v>
      </c>
      <c r="G216" s="311"/>
      <c r="H216">
        <v>3.0000000000001137</v>
      </c>
    </row>
    <row r="217" spans="1:8">
      <c r="A217" s="270">
        <v>42090</v>
      </c>
      <c r="B217" s="271">
        <v>6.5865833333333335</v>
      </c>
      <c r="C217" s="271">
        <v>2.3029999999999999</v>
      </c>
      <c r="D217" s="271">
        <v>11.138999999999999</v>
      </c>
      <c r="G217" s="311"/>
      <c r="H217">
        <v>0</v>
      </c>
    </row>
    <row r="218" spans="1:8">
      <c r="A218" s="270">
        <v>42091</v>
      </c>
      <c r="B218" s="271">
        <v>8.9015416666666667</v>
      </c>
      <c r="C218" s="271">
        <v>4.1020000000000003</v>
      </c>
      <c r="D218" s="271">
        <v>13.558</v>
      </c>
      <c r="G218" s="311"/>
      <c r="H218">
        <v>0.60000000000002274</v>
      </c>
    </row>
    <row r="219" spans="1:8">
      <c r="A219" s="270">
        <v>42092</v>
      </c>
      <c r="B219" s="271">
        <v>10.487145833333331</v>
      </c>
      <c r="C219" s="271">
        <v>8.8789999999999996</v>
      </c>
      <c r="D219" s="271">
        <v>12.013</v>
      </c>
      <c r="G219" s="311"/>
      <c r="H219">
        <v>13.500000000000512</v>
      </c>
    </row>
    <row r="220" spans="1:8">
      <c r="A220" s="270">
        <v>42093</v>
      </c>
      <c r="B220" s="271">
        <v>8.6613333333333298</v>
      </c>
      <c r="C220" s="271">
        <v>6.9779999999999998</v>
      </c>
      <c r="D220" s="271">
        <v>11.430999999999999</v>
      </c>
      <c r="G220" s="311"/>
      <c r="H220">
        <v>3.6000000000001364</v>
      </c>
    </row>
    <row r="221" spans="1:8">
      <c r="A221" s="270">
        <v>42094</v>
      </c>
      <c r="B221" s="271">
        <v>10.713604166666665</v>
      </c>
      <c r="C221" s="271">
        <v>6.37</v>
      </c>
      <c r="D221" s="271">
        <v>13.75</v>
      </c>
      <c r="G221" s="311"/>
      <c r="H221">
        <v>0.60000000000002274</v>
      </c>
    </row>
    <row r="222" spans="1:8">
      <c r="A222" s="270">
        <v>42095</v>
      </c>
      <c r="B222" s="271">
        <v>7.0487291666666669</v>
      </c>
      <c r="C222" s="271">
        <v>2.73</v>
      </c>
      <c r="D222" s="271">
        <v>10.651</v>
      </c>
      <c r="G222" s="311"/>
      <c r="H222">
        <v>0.60000000000002274</v>
      </c>
    </row>
    <row r="223" spans="1:8">
      <c r="A223" s="270">
        <v>42096</v>
      </c>
      <c r="B223" s="271">
        <v>7.9853125000000027</v>
      </c>
      <c r="C223" s="271">
        <v>1.6559999999999999</v>
      </c>
      <c r="D223" s="271">
        <v>14.516999999999999</v>
      </c>
      <c r="G223" s="311"/>
      <c r="H223">
        <v>0.60000000000002274</v>
      </c>
    </row>
    <row r="224" spans="1:8">
      <c r="A224" s="270">
        <v>42097</v>
      </c>
      <c r="B224" s="271">
        <v>6.0788409090909106</v>
      </c>
      <c r="C224" s="271">
        <v>1.548</v>
      </c>
      <c r="D224" s="271">
        <v>9.077</v>
      </c>
      <c r="G224" s="311"/>
      <c r="H224">
        <v>2.7000000000001023</v>
      </c>
    </row>
    <row r="225" spans="1:8">
      <c r="A225" s="270">
        <v>42098</v>
      </c>
      <c r="B225" s="271">
        <v>7.2537499999999975</v>
      </c>
      <c r="C225" s="271">
        <v>3.6829999999999998</v>
      </c>
      <c r="D225" s="271">
        <v>9.4719999999999995</v>
      </c>
      <c r="G225" s="311"/>
      <c r="H225">
        <v>0.90000000000003411</v>
      </c>
    </row>
    <row r="226" spans="1:8">
      <c r="A226" s="270">
        <v>42099</v>
      </c>
      <c r="B226" s="271">
        <v>6.8784583333333318</v>
      </c>
      <c r="C226" s="271">
        <v>1.2210000000000001</v>
      </c>
      <c r="D226" s="271">
        <v>12.882999999999999</v>
      </c>
      <c r="G226" s="311"/>
      <c r="H226">
        <v>0</v>
      </c>
    </row>
    <row r="227" spans="1:8">
      <c r="A227" s="270">
        <v>42100</v>
      </c>
      <c r="B227" s="271">
        <v>5.2004374999999996</v>
      </c>
      <c r="C227" s="271">
        <v>-0.66200000000000003</v>
      </c>
      <c r="D227" s="271">
        <v>9.8659999999999997</v>
      </c>
      <c r="G227" s="311"/>
      <c r="H227">
        <v>0</v>
      </c>
    </row>
    <row r="228" spans="1:8">
      <c r="A228" s="270">
        <v>42101</v>
      </c>
      <c r="B228" s="271">
        <v>7.7917291666666664</v>
      </c>
      <c r="C228" s="271">
        <v>0.34300000000000003</v>
      </c>
      <c r="D228" s="271">
        <v>16.617999999999999</v>
      </c>
      <c r="G228" s="311"/>
      <c r="H228">
        <v>0.30000000000001137</v>
      </c>
    </row>
    <row r="229" spans="1:8">
      <c r="A229" s="270">
        <v>42102</v>
      </c>
      <c r="B229" s="271">
        <v>9.490062499999997</v>
      </c>
      <c r="C229" s="271">
        <v>2.1949999999999998</v>
      </c>
      <c r="D229" s="271">
        <v>15.664</v>
      </c>
      <c r="G229" s="311"/>
      <c r="H229">
        <v>0</v>
      </c>
    </row>
    <row r="230" spans="1:8">
      <c r="A230" s="270">
        <v>42103</v>
      </c>
      <c r="B230" s="271">
        <v>11.260104166666665</v>
      </c>
      <c r="C230" s="271">
        <v>1.98</v>
      </c>
      <c r="D230" s="271">
        <v>20.71</v>
      </c>
      <c r="G230" s="311"/>
      <c r="H230">
        <v>0</v>
      </c>
    </row>
    <row r="231" spans="1:8">
      <c r="A231" s="270">
        <v>42104</v>
      </c>
      <c r="B231" s="271">
        <v>13.1335</v>
      </c>
      <c r="C231" s="271">
        <v>2.8370000000000002</v>
      </c>
      <c r="D231" s="271">
        <v>23.004000000000001</v>
      </c>
      <c r="G231" s="311"/>
      <c r="H231">
        <v>0</v>
      </c>
    </row>
    <row r="232" spans="1:8">
      <c r="A232" s="270">
        <v>42105</v>
      </c>
      <c r="B232" s="271">
        <v>11.636791666666669</v>
      </c>
      <c r="C232" s="271">
        <v>6.6740000000000004</v>
      </c>
      <c r="D232" s="271">
        <v>14.613</v>
      </c>
      <c r="G232" s="311"/>
      <c r="H232">
        <v>0.90000000000003411</v>
      </c>
    </row>
    <row r="233" spans="1:8">
      <c r="A233" s="270">
        <v>42106</v>
      </c>
      <c r="B233" s="271">
        <v>10.407541666666667</v>
      </c>
      <c r="C233" s="271">
        <v>1.764</v>
      </c>
      <c r="D233" s="271">
        <v>19.187000000000001</v>
      </c>
      <c r="G233" s="311"/>
      <c r="H233">
        <v>0</v>
      </c>
    </row>
    <row r="234" spans="1:8">
      <c r="A234" s="270">
        <v>42107</v>
      </c>
      <c r="B234" s="271">
        <v>12.089166666666669</v>
      </c>
      <c r="C234" s="271">
        <v>5.3470000000000004</v>
      </c>
      <c r="D234" s="271">
        <v>19.187000000000001</v>
      </c>
      <c r="G234" s="311"/>
      <c r="H234">
        <v>0</v>
      </c>
    </row>
    <row r="235" spans="1:8">
      <c r="A235" s="270">
        <v>42108</v>
      </c>
      <c r="B235" s="271">
        <v>14.681125000000003</v>
      </c>
      <c r="C235" s="271">
        <v>4.9340000000000002</v>
      </c>
      <c r="D235" s="271">
        <v>24.158000000000001</v>
      </c>
      <c r="G235" s="311"/>
      <c r="H235">
        <v>0</v>
      </c>
    </row>
    <row r="236" spans="1:8">
      <c r="A236" s="270">
        <v>42109</v>
      </c>
      <c r="B236" s="271">
        <v>16.508416666666665</v>
      </c>
      <c r="C236" s="271">
        <v>5.2439999999999998</v>
      </c>
      <c r="D236" s="271">
        <v>28.456</v>
      </c>
      <c r="G236" s="311"/>
      <c r="H236">
        <v>0</v>
      </c>
    </row>
    <row r="237" spans="1:8">
      <c r="A237" s="270">
        <v>42110</v>
      </c>
      <c r="B237" s="271">
        <v>13.557020833333331</v>
      </c>
      <c r="C237" s="271">
        <v>6.8769999999999998</v>
      </c>
      <c r="D237" s="271">
        <v>21.091000000000001</v>
      </c>
      <c r="G237" s="311"/>
      <c r="H237">
        <v>0</v>
      </c>
    </row>
    <row r="238" spans="1:8">
      <c r="A238" s="270">
        <v>42111</v>
      </c>
      <c r="B238" s="271">
        <v>12.06966666666667</v>
      </c>
      <c r="C238" s="271">
        <v>7.3810000000000002</v>
      </c>
      <c r="D238" s="271">
        <v>18.806000000000001</v>
      </c>
      <c r="G238" s="311"/>
      <c r="H238">
        <v>0</v>
      </c>
    </row>
    <row r="239" spans="1:8">
      <c r="A239" s="270">
        <v>42112</v>
      </c>
      <c r="B239" s="271">
        <v>10.735562500000002</v>
      </c>
      <c r="C239" s="271">
        <v>2.6240000000000001</v>
      </c>
      <c r="D239" s="271">
        <v>17.475000000000001</v>
      </c>
      <c r="G239" s="311"/>
      <c r="H239">
        <v>0</v>
      </c>
    </row>
    <row r="240" spans="1:8">
      <c r="A240" s="270">
        <v>42113</v>
      </c>
      <c r="B240" s="271">
        <v>10.737187499999997</v>
      </c>
      <c r="C240" s="271">
        <v>2.73</v>
      </c>
      <c r="D240" s="271">
        <v>19.091999999999999</v>
      </c>
      <c r="G240" s="311"/>
      <c r="H240">
        <v>0</v>
      </c>
    </row>
    <row r="241" spans="1:8">
      <c r="A241" s="270">
        <v>42114</v>
      </c>
      <c r="B241" s="271">
        <v>12.495395833333335</v>
      </c>
      <c r="C241" s="271">
        <v>1.33</v>
      </c>
      <c r="D241" s="271">
        <v>23.581</v>
      </c>
      <c r="G241" s="311"/>
      <c r="H241">
        <v>0</v>
      </c>
    </row>
    <row r="242" spans="1:8">
      <c r="A242" s="270">
        <v>42115</v>
      </c>
      <c r="B242" s="271">
        <v>13.284166666666666</v>
      </c>
      <c r="C242" s="271">
        <v>3.5779999999999998</v>
      </c>
      <c r="D242" s="271">
        <v>24.738</v>
      </c>
      <c r="G242" s="311"/>
      <c r="H242">
        <v>0</v>
      </c>
    </row>
    <row r="243" spans="1:8">
      <c r="A243" s="270">
        <v>42116</v>
      </c>
      <c r="B243" s="271">
        <v>11.516395833333332</v>
      </c>
      <c r="C243" s="271">
        <v>5.141</v>
      </c>
      <c r="D243" s="271">
        <v>18.995999999999999</v>
      </c>
      <c r="G243" s="311"/>
      <c r="H243">
        <v>0</v>
      </c>
    </row>
    <row r="244" spans="1:8">
      <c r="A244" s="270">
        <v>42117</v>
      </c>
      <c r="B244" s="271">
        <v>12.499145833333337</v>
      </c>
      <c r="C244" s="271">
        <v>2.41</v>
      </c>
      <c r="D244" s="271">
        <v>23.869</v>
      </c>
      <c r="G244" s="311"/>
      <c r="H244">
        <v>0</v>
      </c>
    </row>
    <row r="245" spans="1:8">
      <c r="A245" s="270">
        <v>42118</v>
      </c>
      <c r="B245" s="271">
        <v>13.3511875</v>
      </c>
      <c r="C245" s="271">
        <v>2.41</v>
      </c>
      <c r="D245" s="271">
        <v>26.585000000000001</v>
      </c>
      <c r="G245" s="311"/>
      <c r="H245">
        <v>0</v>
      </c>
    </row>
    <row r="246" spans="1:8">
      <c r="A246" s="270">
        <v>42119</v>
      </c>
      <c r="B246" s="271">
        <v>13.983229166666669</v>
      </c>
      <c r="C246" s="271">
        <v>11.236000000000001</v>
      </c>
      <c r="D246" s="271">
        <v>19.567</v>
      </c>
      <c r="G246" s="311"/>
      <c r="H246">
        <v>2.1000000000000796</v>
      </c>
    </row>
    <row r="247" spans="1:8">
      <c r="A247" s="270">
        <v>42120</v>
      </c>
      <c r="B247" s="271">
        <v>12.45455319148936</v>
      </c>
      <c r="C247" s="271">
        <v>8.3819999999999997</v>
      </c>
      <c r="D247" s="271">
        <v>16.140999999999998</v>
      </c>
      <c r="G247" s="311"/>
      <c r="H247">
        <v>10.800000000000409</v>
      </c>
    </row>
    <row r="248" spans="1:8">
      <c r="A248" s="270">
        <v>42121</v>
      </c>
      <c r="B248" s="271">
        <v>10.920437499999998</v>
      </c>
      <c r="C248" s="271">
        <v>3.0489999999999999</v>
      </c>
      <c r="D248" s="271">
        <v>17.475000000000001</v>
      </c>
      <c r="G248" s="311"/>
      <c r="H248">
        <v>0</v>
      </c>
    </row>
    <row r="249" spans="1:8">
      <c r="A249" s="270">
        <v>42122</v>
      </c>
      <c r="B249" s="271">
        <v>9.2642083333333325</v>
      </c>
      <c r="C249" s="271">
        <v>1.6559999999999999</v>
      </c>
      <c r="D249" s="271">
        <v>16.902999999999999</v>
      </c>
      <c r="G249" s="311"/>
      <c r="H249">
        <v>0</v>
      </c>
    </row>
    <row r="250" spans="1:8">
      <c r="A250" s="270">
        <v>42123</v>
      </c>
      <c r="B250" s="271">
        <v>9.7010416666666686</v>
      </c>
      <c r="C250" s="271">
        <v>2.3029999999999999</v>
      </c>
      <c r="D250" s="271">
        <v>17.760000000000002</v>
      </c>
      <c r="G250" s="311"/>
      <c r="H250">
        <v>2.4000000000000909</v>
      </c>
    </row>
    <row r="251" spans="1:8">
      <c r="A251" s="270">
        <v>42124</v>
      </c>
      <c r="B251" s="271">
        <v>11.143770833333335</v>
      </c>
      <c r="C251" s="271">
        <v>5.3470000000000004</v>
      </c>
      <c r="D251" s="271">
        <v>18.14</v>
      </c>
      <c r="G251" s="311"/>
      <c r="H251">
        <v>0.30000000000001137</v>
      </c>
    </row>
    <row r="252" spans="1:8">
      <c r="A252" s="270">
        <v>42125</v>
      </c>
      <c r="B252" s="271">
        <v>9.8491041666666685</v>
      </c>
      <c r="C252" s="271">
        <v>2.73</v>
      </c>
      <c r="D252" s="271">
        <v>17.855</v>
      </c>
      <c r="G252" s="311"/>
      <c r="H252">
        <v>0</v>
      </c>
    </row>
    <row r="253" spans="1:8">
      <c r="A253" s="270">
        <v>42126</v>
      </c>
      <c r="B253" s="271">
        <v>12.055729166666667</v>
      </c>
      <c r="C253" s="271">
        <v>7.3810000000000002</v>
      </c>
      <c r="D253" s="271">
        <v>17.379000000000001</v>
      </c>
      <c r="G253" s="311"/>
      <c r="H253">
        <v>0</v>
      </c>
    </row>
    <row r="254" spans="1:8">
      <c r="A254" s="270">
        <v>42127</v>
      </c>
      <c r="B254" s="271">
        <v>14.500479166666665</v>
      </c>
      <c r="C254" s="271">
        <v>11.819000000000001</v>
      </c>
      <c r="D254" s="271">
        <v>19.757999999999999</v>
      </c>
      <c r="G254" s="311"/>
      <c r="H254">
        <v>3.6000000000001364</v>
      </c>
    </row>
    <row r="255" spans="1:8">
      <c r="A255" s="270">
        <v>42128</v>
      </c>
      <c r="B255" s="271">
        <v>15.425604166666664</v>
      </c>
      <c r="C255" s="271">
        <v>10.944000000000001</v>
      </c>
      <c r="D255" s="271">
        <v>21.664000000000001</v>
      </c>
      <c r="G255" s="311"/>
      <c r="H255">
        <v>9.9000000000003752</v>
      </c>
    </row>
    <row r="256" spans="1:8">
      <c r="A256" s="270">
        <v>42129</v>
      </c>
      <c r="B256" s="271">
        <v>16.215687500000001</v>
      </c>
      <c r="C256" s="271">
        <v>11.722</v>
      </c>
      <c r="D256" s="271">
        <v>20.901</v>
      </c>
      <c r="G256" s="311"/>
      <c r="H256">
        <v>10.500000000000398</v>
      </c>
    </row>
    <row r="257" spans="1:8">
      <c r="A257" s="270">
        <v>42130</v>
      </c>
      <c r="B257" s="271">
        <v>12.637250000000002</v>
      </c>
      <c r="C257" s="271">
        <v>8.9779999999999998</v>
      </c>
      <c r="D257" s="271">
        <v>16.998999999999999</v>
      </c>
      <c r="G257" s="311"/>
      <c r="H257">
        <v>0.90000000000003411</v>
      </c>
    </row>
    <row r="258" spans="1:8">
      <c r="A258" s="270">
        <v>42131</v>
      </c>
      <c r="B258" s="271">
        <v>12.943979166666665</v>
      </c>
      <c r="C258" s="271">
        <v>8.1820000000000004</v>
      </c>
      <c r="D258" s="271">
        <v>19.282</v>
      </c>
      <c r="G258" s="311"/>
      <c r="H258">
        <v>0</v>
      </c>
    </row>
    <row r="259" spans="1:8">
      <c r="A259" s="270">
        <v>42132</v>
      </c>
      <c r="B259" s="271">
        <v>15.91079166666667</v>
      </c>
      <c r="C259" s="271">
        <v>8.68</v>
      </c>
      <c r="D259" s="271">
        <v>23.966000000000001</v>
      </c>
      <c r="G259" s="311"/>
      <c r="H259">
        <v>0.30000000000001137</v>
      </c>
    </row>
    <row r="260" spans="1:8">
      <c r="A260" s="270">
        <v>42133</v>
      </c>
      <c r="B260" s="271">
        <v>14.678145833333337</v>
      </c>
      <c r="C260" s="271">
        <v>11.138999999999999</v>
      </c>
      <c r="D260" s="271">
        <v>18.331</v>
      </c>
      <c r="G260" s="311"/>
      <c r="H260">
        <v>1.2000000000000455</v>
      </c>
    </row>
    <row r="261" spans="1:8">
      <c r="A261" s="270">
        <v>42134</v>
      </c>
      <c r="B261" s="271">
        <v>15.263395833333334</v>
      </c>
      <c r="C261" s="271">
        <v>9.2750000000000004</v>
      </c>
      <c r="D261" s="271">
        <v>21.76</v>
      </c>
      <c r="G261" s="311"/>
      <c r="H261">
        <v>0</v>
      </c>
    </row>
    <row r="262" spans="1:8">
      <c r="A262" s="270">
        <v>42135</v>
      </c>
      <c r="B262" s="271">
        <v>18.979104166666669</v>
      </c>
      <c r="C262" s="271">
        <v>12.69</v>
      </c>
      <c r="D262" s="271">
        <v>28.158999999999999</v>
      </c>
      <c r="G262" s="311"/>
      <c r="H262">
        <v>0</v>
      </c>
    </row>
    <row r="263" spans="1:8">
      <c r="A263" s="270">
        <v>42136</v>
      </c>
      <c r="B263" s="271">
        <v>16.2184347826087</v>
      </c>
      <c r="C263" s="271">
        <v>10.356999999999999</v>
      </c>
      <c r="D263" s="271">
        <v>23.292000000000002</v>
      </c>
      <c r="G263" s="311"/>
      <c r="H263">
        <v>0</v>
      </c>
    </row>
    <row r="264" spans="1:8">
      <c r="A264" s="270">
        <v>42137</v>
      </c>
      <c r="B264" s="271">
        <v>14.99310416666667</v>
      </c>
      <c r="C264" s="271">
        <v>4.5190000000000001</v>
      </c>
      <c r="D264" s="271">
        <v>25.125</v>
      </c>
      <c r="G264" s="311"/>
      <c r="H264">
        <v>0</v>
      </c>
    </row>
    <row r="265" spans="1:8">
      <c r="A265" s="270">
        <v>42138</v>
      </c>
      <c r="B265" s="271">
        <v>10.268208333333332</v>
      </c>
      <c r="C265" s="271">
        <v>4.9340000000000002</v>
      </c>
      <c r="D265" s="271">
        <v>14.613</v>
      </c>
      <c r="G265" s="311"/>
      <c r="H265">
        <v>8.7000000000003297</v>
      </c>
    </row>
    <row r="266" spans="1:8">
      <c r="A266" s="270">
        <v>42139</v>
      </c>
      <c r="B266" s="271">
        <v>11.809062499999998</v>
      </c>
      <c r="C266" s="271">
        <v>6.0640000000000001</v>
      </c>
      <c r="D266" s="271">
        <v>16.713000000000001</v>
      </c>
      <c r="G266" s="311"/>
      <c r="H266">
        <v>2.4000000000000909</v>
      </c>
    </row>
    <row r="267" spans="1:8">
      <c r="A267" s="270">
        <v>42140</v>
      </c>
      <c r="B267" s="271">
        <v>11.995854166666669</v>
      </c>
      <c r="C267" s="271">
        <v>5.7569999999999997</v>
      </c>
      <c r="D267" s="271">
        <v>19.472000000000001</v>
      </c>
      <c r="G267" s="311"/>
      <c r="H267">
        <v>0</v>
      </c>
    </row>
    <row r="268" spans="1:8">
      <c r="A268" s="270">
        <v>42141</v>
      </c>
      <c r="B268" s="271">
        <v>13.888916666666669</v>
      </c>
      <c r="C268" s="271">
        <v>6.5730000000000004</v>
      </c>
      <c r="D268" s="271">
        <v>22.332999999999998</v>
      </c>
      <c r="G268" s="311"/>
      <c r="H268">
        <v>0</v>
      </c>
    </row>
    <row r="269" spans="1:8">
      <c r="A269" s="270">
        <v>42142</v>
      </c>
      <c r="B269" s="271">
        <v>11.483979166666666</v>
      </c>
      <c r="C269" s="271">
        <v>6.8769999999999998</v>
      </c>
      <c r="D269" s="271">
        <v>16.998999999999999</v>
      </c>
      <c r="G269" s="311"/>
      <c r="H269">
        <v>0</v>
      </c>
    </row>
    <row r="270" spans="1:8">
      <c r="A270" s="270">
        <v>42143</v>
      </c>
      <c r="B270" s="271">
        <v>10.95383333333333</v>
      </c>
      <c r="C270" s="271">
        <v>7.1790000000000003</v>
      </c>
      <c r="D270" s="271">
        <v>15.76</v>
      </c>
      <c r="G270" s="311"/>
      <c r="H270">
        <v>1.8000000000000682</v>
      </c>
    </row>
    <row r="271" spans="1:8">
      <c r="A271" s="270">
        <v>42144</v>
      </c>
      <c r="B271" s="271">
        <v>11.66641666666667</v>
      </c>
      <c r="C271" s="271">
        <v>5.3470000000000004</v>
      </c>
      <c r="D271" s="271">
        <v>18.710999999999999</v>
      </c>
      <c r="G271" s="311"/>
      <c r="H271">
        <v>3.3000000000001251</v>
      </c>
    </row>
    <row r="272" spans="1:8">
      <c r="A272" s="270">
        <v>42145</v>
      </c>
      <c r="B272" s="271">
        <v>13.38425</v>
      </c>
      <c r="C272" s="271">
        <v>3.367</v>
      </c>
      <c r="D272" s="271">
        <v>23.004000000000001</v>
      </c>
      <c r="G272" s="311"/>
      <c r="H272">
        <v>0</v>
      </c>
    </row>
    <row r="273" spans="1:8">
      <c r="A273" s="270">
        <v>42146</v>
      </c>
      <c r="B273" s="271">
        <v>14.410833333333334</v>
      </c>
      <c r="C273" s="271">
        <v>7.28</v>
      </c>
      <c r="D273" s="271">
        <v>22.620999999999999</v>
      </c>
      <c r="G273" s="311"/>
      <c r="H273">
        <v>0</v>
      </c>
    </row>
    <row r="274" spans="1:8">
      <c r="A274" s="270">
        <v>42147</v>
      </c>
      <c r="B274" s="271">
        <v>15.271666666666668</v>
      </c>
      <c r="C274" s="271">
        <v>9.9649999999999999</v>
      </c>
      <c r="D274" s="271">
        <v>20.805</v>
      </c>
      <c r="G274" s="311"/>
      <c r="H274">
        <v>0</v>
      </c>
    </row>
    <row r="275" spans="1:8">
      <c r="A275" s="270">
        <v>42148</v>
      </c>
      <c r="B275" s="271">
        <v>15.566000000000003</v>
      </c>
      <c r="C275" s="271">
        <v>3.8929999999999998</v>
      </c>
      <c r="D275" s="271">
        <v>25.513000000000002</v>
      </c>
      <c r="G275" s="311"/>
      <c r="H275">
        <v>0.60000000000002274</v>
      </c>
    </row>
    <row r="276" spans="1:8">
      <c r="A276" s="270">
        <v>42149</v>
      </c>
      <c r="B276" s="271">
        <v>14.977750000000006</v>
      </c>
      <c r="C276" s="271">
        <v>11.916</v>
      </c>
      <c r="D276" s="271">
        <v>19.757999999999999</v>
      </c>
      <c r="G276" s="311"/>
      <c r="H276">
        <v>0.30000000000001137</v>
      </c>
    </row>
    <row r="277" spans="1:8">
      <c r="A277" s="270">
        <v>42150</v>
      </c>
      <c r="B277" s="271">
        <v>16.196187500000004</v>
      </c>
      <c r="C277" s="271">
        <v>9.7680000000000007</v>
      </c>
      <c r="D277" s="271">
        <v>23.966000000000001</v>
      </c>
      <c r="G277" s="311"/>
      <c r="H277">
        <v>0</v>
      </c>
    </row>
    <row r="278" spans="1:8">
      <c r="A278" s="270">
        <v>42151</v>
      </c>
      <c r="B278" s="271">
        <v>16.700375000000005</v>
      </c>
      <c r="C278" s="271">
        <v>10.553000000000001</v>
      </c>
      <c r="D278" s="271">
        <v>24.254999999999999</v>
      </c>
      <c r="G278" s="311"/>
      <c r="H278">
        <v>0</v>
      </c>
    </row>
    <row r="279" spans="1:8">
      <c r="A279" s="270">
        <v>42152</v>
      </c>
      <c r="B279" s="271">
        <v>15.413958333333332</v>
      </c>
      <c r="C279" s="271">
        <v>11.236000000000001</v>
      </c>
      <c r="D279" s="271">
        <v>20.423999999999999</v>
      </c>
      <c r="G279" s="311"/>
      <c r="H279">
        <v>0</v>
      </c>
    </row>
    <row r="280" spans="1:8">
      <c r="A280" s="270">
        <v>42153</v>
      </c>
      <c r="B280" s="271">
        <v>11.525437500000002</v>
      </c>
      <c r="C280" s="271">
        <v>7.6820000000000004</v>
      </c>
      <c r="D280" s="271">
        <v>16.998999999999999</v>
      </c>
      <c r="G280" s="311"/>
      <c r="H280">
        <v>9.9000000000003752</v>
      </c>
    </row>
    <row r="281" spans="1:8">
      <c r="A281" s="270">
        <v>42154</v>
      </c>
      <c r="B281" s="271">
        <v>12.165687500000002</v>
      </c>
      <c r="C281" s="271">
        <v>5.3470000000000004</v>
      </c>
      <c r="D281" s="271">
        <v>17.95</v>
      </c>
      <c r="G281" s="311"/>
      <c r="H281">
        <v>0.30000000000001137</v>
      </c>
    </row>
    <row r="282" spans="1:8">
      <c r="A282" s="270">
        <v>42155</v>
      </c>
      <c r="B282" s="271">
        <v>12.755729166666674</v>
      </c>
      <c r="C282" s="271">
        <v>7.28</v>
      </c>
      <c r="D282" s="271">
        <v>16.998999999999999</v>
      </c>
      <c r="G282" s="311"/>
      <c r="H282">
        <v>8.4000000000003183</v>
      </c>
    </row>
    <row r="283" spans="1:8">
      <c r="A283" s="270">
        <v>42156</v>
      </c>
      <c r="B283" s="271">
        <v>12.688208333333336</v>
      </c>
      <c r="C283" s="271">
        <v>7.6820000000000004</v>
      </c>
      <c r="D283" s="271">
        <v>17.760000000000002</v>
      </c>
      <c r="G283" s="311"/>
      <c r="H283">
        <v>0</v>
      </c>
    </row>
    <row r="284" spans="1:8">
      <c r="A284" s="270">
        <v>42157</v>
      </c>
      <c r="B284" s="271">
        <v>14.860312500000001</v>
      </c>
      <c r="C284" s="271">
        <v>10.944000000000001</v>
      </c>
      <c r="D284" s="271">
        <v>18.425999999999998</v>
      </c>
      <c r="G284" s="311"/>
      <c r="H284">
        <v>2.4000000000000909</v>
      </c>
    </row>
    <row r="285" spans="1:8">
      <c r="A285" s="270">
        <v>42158</v>
      </c>
      <c r="B285" s="271">
        <v>15.761895833333336</v>
      </c>
      <c r="C285" s="271">
        <v>9.2750000000000004</v>
      </c>
      <c r="D285" s="271">
        <v>21.091000000000001</v>
      </c>
      <c r="G285" s="311"/>
      <c r="H285">
        <v>0.60000000000002274</v>
      </c>
    </row>
    <row r="286" spans="1:8">
      <c r="A286" s="270">
        <v>42159</v>
      </c>
      <c r="B286" s="271">
        <v>16.717645833333336</v>
      </c>
      <c r="C286" s="271">
        <v>4.7270000000000003</v>
      </c>
      <c r="D286" s="271">
        <v>25.707999999999998</v>
      </c>
      <c r="G286" s="311"/>
      <c r="H286">
        <v>0</v>
      </c>
    </row>
    <row r="287" spans="1:8">
      <c r="A287" s="270">
        <v>42160</v>
      </c>
      <c r="B287" s="271">
        <v>19.932791666666663</v>
      </c>
      <c r="C287" s="271">
        <v>11.625</v>
      </c>
      <c r="D287" s="271">
        <v>32.393999999999998</v>
      </c>
      <c r="G287" s="311"/>
      <c r="H287">
        <v>3.0000000000001137</v>
      </c>
    </row>
    <row r="288" spans="1:8">
      <c r="A288" s="270">
        <v>42161</v>
      </c>
      <c r="B288" s="271">
        <v>16.768520833333334</v>
      </c>
      <c r="C288" s="271">
        <v>10.063000000000001</v>
      </c>
      <c r="D288" s="271">
        <v>23.1</v>
      </c>
      <c r="G288" s="311"/>
      <c r="H288">
        <v>0.30000000000001137</v>
      </c>
    </row>
    <row r="289" spans="1:8">
      <c r="A289" s="270">
        <v>42162</v>
      </c>
      <c r="B289" s="271">
        <v>15.955979166666664</v>
      </c>
      <c r="C289" s="271">
        <v>6.37</v>
      </c>
      <c r="D289" s="271">
        <v>25.222000000000001</v>
      </c>
      <c r="G289" s="311"/>
      <c r="H289">
        <v>0</v>
      </c>
    </row>
    <row r="290" spans="1:8">
      <c r="A290" s="270">
        <v>42163</v>
      </c>
      <c r="B290" s="271">
        <v>14.340812499999998</v>
      </c>
      <c r="C290" s="271">
        <v>6.1660000000000004</v>
      </c>
      <c r="D290" s="271">
        <v>21.378</v>
      </c>
      <c r="G290" s="311"/>
      <c r="H290">
        <v>0</v>
      </c>
    </row>
    <row r="291" spans="1:8">
      <c r="A291" s="270">
        <v>42164</v>
      </c>
      <c r="B291" s="271">
        <v>14.107812500000001</v>
      </c>
      <c r="C291" s="271">
        <v>7.8819999999999997</v>
      </c>
      <c r="D291" s="271">
        <v>20.614999999999998</v>
      </c>
      <c r="G291" s="311"/>
      <c r="H291">
        <v>0</v>
      </c>
    </row>
    <row r="292" spans="1:8">
      <c r="A292" s="270">
        <v>42165</v>
      </c>
      <c r="B292" s="271">
        <v>16.531645833333339</v>
      </c>
      <c r="C292" s="271">
        <v>8.3819999999999997</v>
      </c>
      <c r="D292" s="271">
        <v>23.966000000000001</v>
      </c>
      <c r="G292" s="311"/>
      <c r="H292">
        <v>0</v>
      </c>
    </row>
    <row r="293" spans="1:8">
      <c r="A293" s="270">
        <v>42166</v>
      </c>
      <c r="B293" s="271">
        <v>20.306374999999999</v>
      </c>
      <c r="C293" s="271">
        <v>11.625</v>
      </c>
      <c r="D293" s="271">
        <v>27.468</v>
      </c>
      <c r="G293" s="311"/>
      <c r="H293">
        <v>0</v>
      </c>
    </row>
    <row r="294" spans="1:8">
      <c r="A294" s="270">
        <v>42167</v>
      </c>
      <c r="B294" s="271">
        <v>22.362104166666665</v>
      </c>
      <c r="C294" s="271">
        <v>14.324999999999999</v>
      </c>
      <c r="D294" s="271">
        <v>30.254999999999999</v>
      </c>
      <c r="G294" s="311"/>
      <c r="H294">
        <v>0</v>
      </c>
    </row>
    <row r="295" spans="1:8">
      <c r="A295" s="270">
        <v>42168</v>
      </c>
      <c r="B295" s="271">
        <v>18.157875000000004</v>
      </c>
      <c r="C295" s="271">
        <v>13.75</v>
      </c>
      <c r="D295" s="271">
        <v>23.388000000000002</v>
      </c>
      <c r="G295" s="311"/>
      <c r="H295">
        <v>0</v>
      </c>
    </row>
    <row r="296" spans="1:8">
      <c r="A296" s="270">
        <v>42169</v>
      </c>
      <c r="B296" s="271">
        <v>17.825979166666666</v>
      </c>
      <c r="C296" s="271">
        <v>7.9829999999999997</v>
      </c>
      <c r="D296" s="271">
        <v>26.977</v>
      </c>
      <c r="G296" s="311"/>
      <c r="H296">
        <v>0</v>
      </c>
    </row>
    <row r="297" spans="1:8">
      <c r="A297" s="270">
        <v>42170</v>
      </c>
      <c r="B297" s="271">
        <v>17.424770833333337</v>
      </c>
      <c r="C297" s="271">
        <v>12.207000000000001</v>
      </c>
      <c r="D297" s="271">
        <v>23.388000000000002</v>
      </c>
      <c r="G297" s="311"/>
      <c r="H297">
        <v>0</v>
      </c>
    </row>
    <row r="298" spans="1:8">
      <c r="A298" s="270">
        <v>42171</v>
      </c>
      <c r="B298" s="271">
        <v>15.773844444444446</v>
      </c>
      <c r="C298" s="271">
        <v>7.5819999999999999</v>
      </c>
      <c r="D298" s="271">
        <v>23.677</v>
      </c>
      <c r="G298" s="311"/>
      <c r="H298">
        <v>0</v>
      </c>
    </row>
    <row r="299" spans="1:8">
      <c r="A299" s="270">
        <v>42172</v>
      </c>
      <c r="B299" s="271">
        <v>16.947416666666665</v>
      </c>
      <c r="C299" s="271">
        <v>7.1790000000000003</v>
      </c>
      <c r="D299" s="271">
        <v>26.195</v>
      </c>
      <c r="G299" s="311"/>
      <c r="H299">
        <v>0</v>
      </c>
    </row>
    <row r="300" spans="1:8">
      <c r="A300" s="270">
        <v>42173</v>
      </c>
      <c r="B300" s="271">
        <v>17.533895833333332</v>
      </c>
      <c r="C300" s="271">
        <v>11.528</v>
      </c>
      <c r="D300" s="271">
        <v>22.908000000000001</v>
      </c>
      <c r="G300" s="311"/>
      <c r="H300">
        <v>3.9000000000001478</v>
      </c>
    </row>
    <row r="301" spans="1:8">
      <c r="A301" s="270">
        <v>42174</v>
      </c>
      <c r="B301" s="271">
        <v>15.143708333333334</v>
      </c>
      <c r="C301" s="271">
        <v>8.9779999999999998</v>
      </c>
      <c r="D301" s="271">
        <v>21.76</v>
      </c>
      <c r="G301" s="311"/>
      <c r="H301">
        <v>0</v>
      </c>
    </row>
    <row r="302" spans="1:8">
      <c r="A302" s="311">
        <v>42175</v>
      </c>
      <c r="B302" s="271">
        <v>17.386916666666671</v>
      </c>
      <c r="C302">
        <v>12.98</v>
      </c>
      <c r="D302">
        <v>25.222000000000001</v>
      </c>
      <c r="G302" s="311"/>
      <c r="H302">
        <v>12.300000000000466</v>
      </c>
    </row>
    <row r="303" spans="1:8">
      <c r="A303" s="311">
        <v>42176</v>
      </c>
      <c r="B303" s="271">
        <v>16.566166666666671</v>
      </c>
      <c r="C303">
        <v>12.593999999999999</v>
      </c>
      <c r="D303">
        <v>20.329000000000001</v>
      </c>
      <c r="G303" s="311"/>
      <c r="H303">
        <v>0</v>
      </c>
    </row>
    <row r="304" spans="1:8">
      <c r="A304" s="311">
        <v>42177</v>
      </c>
      <c r="B304" s="271">
        <v>13.070125000000004</v>
      </c>
      <c r="C304">
        <v>10.747999999999999</v>
      </c>
      <c r="D304">
        <v>14.9</v>
      </c>
      <c r="G304" s="311"/>
      <c r="H304">
        <v>15.600000000000591</v>
      </c>
    </row>
    <row r="305" spans="1:8">
      <c r="A305" s="311">
        <v>42178</v>
      </c>
      <c r="B305" s="271">
        <v>14.597437500000003</v>
      </c>
      <c r="C305">
        <v>10.356999999999999</v>
      </c>
      <c r="D305">
        <v>19.567</v>
      </c>
      <c r="G305" s="311"/>
      <c r="H305">
        <v>0.90000000000003411</v>
      </c>
    </row>
    <row r="306" spans="1:8">
      <c r="A306" s="311">
        <v>42179</v>
      </c>
      <c r="B306" s="271">
        <v>16.1119375</v>
      </c>
      <c r="C306">
        <v>6.8769999999999998</v>
      </c>
      <c r="D306">
        <v>23.773</v>
      </c>
      <c r="G306" s="311"/>
      <c r="H306">
        <v>0</v>
      </c>
    </row>
    <row r="307" spans="1:8">
      <c r="A307" s="311">
        <v>42180</v>
      </c>
      <c r="B307" s="271">
        <v>19.855395833333333</v>
      </c>
      <c r="C307">
        <v>10.747999999999999</v>
      </c>
      <c r="D307">
        <v>26.780999999999999</v>
      </c>
      <c r="G307" s="311"/>
      <c r="H307">
        <v>0</v>
      </c>
    </row>
    <row r="308" spans="1:8">
      <c r="A308" s="311">
        <v>42181</v>
      </c>
      <c r="B308" s="271">
        <v>20.789958333333335</v>
      </c>
      <c r="C308">
        <v>12.207000000000001</v>
      </c>
      <c r="D308">
        <v>29.251999999999999</v>
      </c>
      <c r="G308" s="311"/>
      <c r="H308">
        <v>0</v>
      </c>
    </row>
    <row r="309" spans="1:8">
      <c r="A309" s="311">
        <v>42182</v>
      </c>
      <c r="B309" s="271">
        <v>20.230541666666667</v>
      </c>
      <c r="C309">
        <v>14.613</v>
      </c>
      <c r="D309">
        <v>26</v>
      </c>
      <c r="G309" s="311"/>
      <c r="H309">
        <v>0</v>
      </c>
    </row>
    <row r="310" spans="1:8">
      <c r="A310" s="311">
        <v>42183</v>
      </c>
      <c r="B310" s="271">
        <v>19.319958333333339</v>
      </c>
      <c r="C310">
        <v>10.259</v>
      </c>
      <c r="D310">
        <v>29.452000000000002</v>
      </c>
      <c r="G310" s="311"/>
      <c r="H310">
        <v>0</v>
      </c>
    </row>
    <row r="311" spans="1:8">
      <c r="A311" s="311">
        <v>42184</v>
      </c>
      <c r="B311" s="271">
        <v>21.817604166666666</v>
      </c>
      <c r="C311">
        <v>14.038</v>
      </c>
      <c r="D311">
        <v>29.952999999999999</v>
      </c>
      <c r="G311" s="311"/>
      <c r="H311">
        <v>0</v>
      </c>
    </row>
    <row r="312" spans="1:8">
      <c r="A312" s="311">
        <v>42185</v>
      </c>
      <c r="B312" s="271">
        <v>22.781583333333327</v>
      </c>
      <c r="C312">
        <v>11.041</v>
      </c>
      <c r="D312">
        <v>32.290999999999997</v>
      </c>
      <c r="G312" s="311"/>
      <c r="H312">
        <v>0</v>
      </c>
    </row>
    <row r="313" spans="1:8">
      <c r="A313" s="311">
        <v>42186</v>
      </c>
      <c r="B313" s="271">
        <v>27.136583333333331</v>
      </c>
      <c r="C313">
        <v>14.709</v>
      </c>
      <c r="D313">
        <v>36.511000000000003</v>
      </c>
      <c r="G313" s="311"/>
      <c r="H313">
        <v>0</v>
      </c>
    </row>
    <row r="314" spans="1:8">
      <c r="A314" s="311">
        <v>42187</v>
      </c>
      <c r="B314" s="271">
        <v>24.11377083333333</v>
      </c>
      <c r="C314">
        <v>17.95</v>
      </c>
      <c r="D314">
        <v>30.658999999999999</v>
      </c>
      <c r="G314" s="311"/>
      <c r="H314">
        <v>3.0000000000001137</v>
      </c>
    </row>
    <row r="315" spans="1:8">
      <c r="A315" s="311">
        <v>42188</v>
      </c>
      <c r="B315" s="271">
        <v>24.651291666666665</v>
      </c>
      <c r="C315">
        <v>15.378</v>
      </c>
      <c r="D315">
        <v>33.639000000000003</v>
      </c>
      <c r="G315" s="311"/>
      <c r="H315">
        <v>0</v>
      </c>
    </row>
    <row r="316" spans="1:8">
      <c r="A316" s="311">
        <v>42189</v>
      </c>
      <c r="B316" s="271">
        <v>26.24906249999999</v>
      </c>
      <c r="C316">
        <v>18.14</v>
      </c>
      <c r="D316">
        <v>30.658999999999999</v>
      </c>
      <c r="G316" s="311"/>
      <c r="H316">
        <v>0.60000000000002274</v>
      </c>
    </row>
    <row r="317" spans="1:8">
      <c r="A317" s="311">
        <v>42190</v>
      </c>
      <c r="B317" s="271">
        <v>19.106708333333334</v>
      </c>
      <c r="C317">
        <v>14.613</v>
      </c>
      <c r="D317">
        <v>27.763999999999999</v>
      </c>
      <c r="G317" s="311"/>
      <c r="H317">
        <v>6.6000000000002501</v>
      </c>
    </row>
    <row r="318" spans="1:8">
      <c r="A318" s="311">
        <v>42191</v>
      </c>
      <c r="B318" s="271">
        <v>20.134687500000005</v>
      </c>
      <c r="C318">
        <v>11.334</v>
      </c>
      <c r="D318">
        <v>28.257999999999999</v>
      </c>
      <c r="G318" s="311"/>
      <c r="H318">
        <v>0</v>
      </c>
    </row>
    <row r="319" spans="1:8">
      <c r="A319" s="311">
        <v>42192</v>
      </c>
      <c r="B319" s="271">
        <v>18.372291666666666</v>
      </c>
      <c r="C319">
        <v>12.882999999999999</v>
      </c>
      <c r="D319">
        <v>23.581</v>
      </c>
      <c r="G319" s="311"/>
      <c r="H319">
        <v>0</v>
      </c>
    </row>
    <row r="320" spans="1:8">
      <c r="A320" s="311">
        <v>42193</v>
      </c>
      <c r="B320" s="271">
        <v>15.985020833333332</v>
      </c>
      <c r="C320">
        <v>13.269</v>
      </c>
      <c r="D320">
        <v>18.995999999999999</v>
      </c>
      <c r="G320" s="311"/>
      <c r="H320">
        <v>2.7000000000001023</v>
      </c>
    </row>
    <row r="321" spans="1:8">
      <c r="A321" s="311">
        <v>42194</v>
      </c>
      <c r="B321" s="271">
        <v>17.184229166666668</v>
      </c>
      <c r="C321">
        <v>10.651</v>
      </c>
      <c r="D321">
        <v>24.254999999999999</v>
      </c>
      <c r="G321" s="311"/>
      <c r="H321">
        <v>0</v>
      </c>
    </row>
    <row r="322" spans="1:8">
      <c r="A322" s="311">
        <v>42195</v>
      </c>
      <c r="B322" s="271">
        <v>18.071041666666666</v>
      </c>
      <c r="C322">
        <v>6.6740000000000004</v>
      </c>
      <c r="D322">
        <v>28.158999999999999</v>
      </c>
      <c r="G322" s="311"/>
      <c r="H322">
        <v>0</v>
      </c>
    </row>
    <row r="323" spans="1:8">
      <c r="A323" s="311">
        <v>42196</v>
      </c>
      <c r="B323" s="271">
        <v>20.867166666666666</v>
      </c>
      <c r="C323">
        <v>10.651</v>
      </c>
      <c r="D323">
        <v>30.658999999999999</v>
      </c>
      <c r="G323" s="311"/>
      <c r="H323">
        <v>0</v>
      </c>
    </row>
    <row r="324" spans="1:8">
      <c r="A324" s="311">
        <v>42197</v>
      </c>
      <c r="B324" s="271">
        <v>16.912145833333337</v>
      </c>
      <c r="C324">
        <v>12.787000000000001</v>
      </c>
      <c r="D324">
        <v>22.716999999999999</v>
      </c>
      <c r="G324" s="311"/>
      <c r="H324">
        <v>0.60000000000002274</v>
      </c>
    </row>
    <row r="325" spans="1:8">
      <c r="A325" s="311">
        <v>42198</v>
      </c>
      <c r="B325" s="271">
        <v>17.392791666666668</v>
      </c>
      <c r="C325">
        <v>15.76</v>
      </c>
      <c r="D325">
        <v>18.806000000000001</v>
      </c>
      <c r="G325" s="311"/>
      <c r="H325">
        <v>1.5000000000000568</v>
      </c>
    </row>
    <row r="326" spans="1:8">
      <c r="A326" s="311">
        <v>42199</v>
      </c>
      <c r="B326" s="271">
        <v>18.810583333333337</v>
      </c>
      <c r="C326">
        <v>16.617999999999999</v>
      </c>
      <c r="D326">
        <v>21.282</v>
      </c>
      <c r="G326" s="311"/>
      <c r="H326">
        <v>0</v>
      </c>
    </row>
    <row r="327" spans="1:8">
      <c r="A327" s="311">
        <v>42200</v>
      </c>
      <c r="B327" s="271">
        <v>18.279028571428569</v>
      </c>
      <c r="C327">
        <v>14.9</v>
      </c>
      <c r="D327">
        <v>22.141999999999999</v>
      </c>
      <c r="G327" s="311"/>
      <c r="H327">
        <v>0.90000000000003411</v>
      </c>
    </row>
  </sheetData>
  <mergeCells count="13">
    <mergeCell ref="C10:G10"/>
    <mergeCell ref="A6:A8"/>
    <mergeCell ref="C6:G6"/>
    <mergeCell ref="C7:G7"/>
    <mergeCell ref="C8:G8"/>
    <mergeCell ref="C9:G9"/>
    <mergeCell ref="B19:D19"/>
    <mergeCell ref="C11:G11"/>
    <mergeCell ref="C12:G12"/>
    <mergeCell ref="C13:G13"/>
    <mergeCell ref="C14:G14"/>
    <mergeCell ref="C15:G15"/>
    <mergeCell ref="C16:G1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B3:G6"/>
  <sheetViews>
    <sheetView zoomScaleNormal="100" workbookViewId="0">
      <selection activeCell="I34" sqref="I34"/>
    </sheetView>
  </sheetViews>
  <sheetFormatPr baseColWidth="10" defaultRowHeight="12"/>
  <cols>
    <col min="1" max="16384" width="11.42578125" style="96"/>
  </cols>
  <sheetData>
    <row r="3" spans="2:7">
      <c r="B3" s="480" t="s">
        <v>8177</v>
      </c>
      <c r="C3" s="480"/>
      <c r="D3" s="480"/>
      <c r="E3" s="480"/>
      <c r="F3" s="480"/>
      <c r="G3" s="480"/>
    </row>
    <row r="4" spans="2:7" ht="12" customHeight="1">
      <c r="B4" s="480"/>
      <c r="C4" s="480"/>
      <c r="D4" s="480"/>
      <c r="E4" s="480"/>
      <c r="F4" s="480"/>
      <c r="G4" s="480"/>
    </row>
    <row r="5" spans="2:7" ht="12" customHeight="1">
      <c r="B5" s="480"/>
      <c r="C5" s="480"/>
      <c r="D5" s="480"/>
      <c r="E5" s="480"/>
      <c r="F5" s="480"/>
      <c r="G5" s="480"/>
    </row>
    <row r="6" spans="2:7" ht="12" customHeight="1">
      <c r="B6" s="480"/>
      <c r="C6" s="480"/>
      <c r="D6" s="480"/>
      <c r="E6" s="480"/>
      <c r="F6" s="480"/>
      <c r="G6" s="480"/>
    </row>
  </sheetData>
  <mergeCells count="1">
    <mergeCell ref="B3:G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Y59"/>
  <sheetViews>
    <sheetView zoomScale="90" zoomScaleNormal="90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S50" sqref="S50"/>
    </sheetView>
  </sheetViews>
  <sheetFormatPr baseColWidth="10" defaultRowHeight="12"/>
  <cols>
    <col min="1" max="2" width="11.85546875" bestFit="1" customWidth="1"/>
    <col min="3" max="3" width="7.28515625" bestFit="1" customWidth="1"/>
    <col min="5" max="5" width="13" bestFit="1" customWidth="1"/>
    <col min="6" max="6" width="13.5703125" bestFit="1" customWidth="1"/>
    <col min="16" max="16" width="13.5703125" customWidth="1"/>
    <col min="24" max="24" width="16" bestFit="1" customWidth="1"/>
  </cols>
  <sheetData>
    <row r="1" spans="1:25" s="181" customFormat="1" ht="15.75">
      <c r="A1" s="207" t="s">
        <v>11652</v>
      </c>
      <c r="B1" s="186"/>
      <c r="C1" s="187"/>
      <c r="D1" s="187"/>
      <c r="E1" s="187"/>
      <c r="F1" s="187"/>
      <c r="G1" s="187"/>
      <c r="H1" s="495" t="s">
        <v>8135</v>
      </c>
      <c r="I1" s="496"/>
      <c r="J1" s="497"/>
      <c r="K1" s="498" t="s">
        <v>8136</v>
      </c>
      <c r="L1" s="496"/>
      <c r="M1" s="496"/>
      <c r="N1" s="496"/>
      <c r="O1" s="496"/>
      <c r="P1" s="496"/>
      <c r="Q1" s="496"/>
      <c r="R1" s="497"/>
      <c r="S1" s="499" t="s">
        <v>8137</v>
      </c>
      <c r="T1" s="500"/>
      <c r="U1" s="501" t="s">
        <v>8138</v>
      </c>
      <c r="V1" s="501"/>
      <c r="W1" s="502"/>
      <c r="X1" s="188"/>
    </row>
    <row r="2" spans="1:25" s="181" customFormat="1" ht="12.75">
      <c r="A2" s="189" t="s">
        <v>8139</v>
      </c>
      <c r="B2" s="189" t="s">
        <v>213</v>
      </c>
      <c r="C2" s="189" t="s">
        <v>22</v>
      </c>
      <c r="D2" s="189" t="s">
        <v>21</v>
      </c>
      <c r="E2" s="189" t="s">
        <v>8140</v>
      </c>
      <c r="F2" s="189" t="s">
        <v>8141</v>
      </c>
      <c r="G2" s="189" t="s">
        <v>8142</v>
      </c>
      <c r="H2" s="189" t="s">
        <v>8143</v>
      </c>
      <c r="I2" s="189" t="s">
        <v>8144</v>
      </c>
      <c r="J2" s="190" t="s">
        <v>8145</v>
      </c>
      <c r="K2" s="191" t="s">
        <v>8143</v>
      </c>
      <c r="L2" s="189" t="s">
        <v>8146</v>
      </c>
      <c r="M2" s="192" t="s">
        <v>8147</v>
      </c>
      <c r="N2" s="192" t="s">
        <v>8148</v>
      </c>
      <c r="O2" s="189" t="s">
        <v>8149</v>
      </c>
      <c r="P2" s="192" t="s">
        <v>8150</v>
      </c>
      <c r="Q2" s="192" t="s">
        <v>8151</v>
      </c>
      <c r="R2" s="193" t="s">
        <v>8152</v>
      </c>
      <c r="S2" s="194" t="s">
        <v>8153</v>
      </c>
      <c r="T2" s="192" t="s">
        <v>8154</v>
      </c>
      <c r="U2" s="195" t="s">
        <v>8155</v>
      </c>
      <c r="V2" s="195" t="s">
        <v>8156</v>
      </c>
      <c r="W2" s="196" t="s">
        <v>8157</v>
      </c>
      <c r="X2" s="197" t="s">
        <v>8158</v>
      </c>
      <c r="Y2" s="198" t="s">
        <v>8159</v>
      </c>
    </row>
    <row r="3" spans="1:25" s="403" customFormat="1" ht="12.75">
      <c r="A3" s="223" t="s">
        <v>11650</v>
      </c>
      <c r="B3" s="402">
        <v>41970</v>
      </c>
      <c r="C3" s="224">
        <v>10</v>
      </c>
      <c r="D3" s="224">
        <v>7</v>
      </c>
      <c r="E3" s="223" t="s">
        <v>8696</v>
      </c>
      <c r="F3" s="225" t="s">
        <v>8299</v>
      </c>
      <c r="G3" s="225" t="s">
        <v>11651</v>
      </c>
      <c r="H3" s="225">
        <v>40</v>
      </c>
      <c r="I3" s="226">
        <v>439</v>
      </c>
      <c r="J3" s="227"/>
      <c r="K3" s="228">
        <v>10</v>
      </c>
      <c r="L3" s="226"/>
      <c r="M3" s="226">
        <v>124</v>
      </c>
      <c r="N3" s="226"/>
      <c r="O3" s="226">
        <v>124</v>
      </c>
      <c r="P3" s="226">
        <v>18</v>
      </c>
      <c r="Q3" s="229"/>
      <c r="R3" s="227">
        <v>18</v>
      </c>
      <c r="S3" s="230"/>
      <c r="T3" s="231"/>
      <c r="U3" s="492"/>
      <c r="V3" s="492"/>
      <c r="W3" s="232"/>
      <c r="X3" s="232"/>
      <c r="Y3" s="232"/>
    </row>
    <row r="4" spans="1:25" s="403" customFormat="1" ht="12.75">
      <c r="A4" s="223" t="s">
        <v>11650</v>
      </c>
      <c r="B4" s="402">
        <v>41970</v>
      </c>
      <c r="C4" s="224">
        <v>8</v>
      </c>
      <c r="D4" s="224">
        <v>7</v>
      </c>
      <c r="E4" s="223" t="s">
        <v>8696</v>
      </c>
      <c r="F4" s="225" t="s">
        <v>8269</v>
      </c>
      <c r="G4" s="225" t="s">
        <v>11651</v>
      </c>
      <c r="H4" s="225">
        <v>41</v>
      </c>
      <c r="I4" s="226">
        <v>350</v>
      </c>
      <c r="J4" s="227"/>
      <c r="K4" s="228">
        <v>10</v>
      </c>
      <c r="L4" s="226"/>
      <c r="M4" s="226">
        <v>70</v>
      </c>
      <c r="N4" s="226"/>
      <c r="O4" s="226">
        <v>70</v>
      </c>
      <c r="P4" s="226">
        <v>12</v>
      </c>
      <c r="Q4" s="229"/>
      <c r="R4" s="227">
        <v>12</v>
      </c>
      <c r="S4" s="230"/>
      <c r="T4" s="231"/>
      <c r="U4" s="492"/>
      <c r="V4" s="492"/>
      <c r="W4" s="232"/>
      <c r="X4" s="232"/>
      <c r="Y4" s="232"/>
    </row>
    <row r="5" spans="1:25" s="403" customFormat="1" ht="12.75">
      <c r="A5" s="223" t="s">
        <v>11650</v>
      </c>
      <c r="B5" s="402">
        <v>41970</v>
      </c>
      <c r="C5" s="224">
        <v>9</v>
      </c>
      <c r="D5" s="224">
        <v>7</v>
      </c>
      <c r="E5" s="223" t="s">
        <v>8696</v>
      </c>
      <c r="F5" s="225" t="s">
        <v>7845</v>
      </c>
      <c r="G5" s="225" t="s">
        <v>11651</v>
      </c>
      <c r="H5" s="225">
        <v>58</v>
      </c>
      <c r="I5" s="226">
        <v>868</v>
      </c>
      <c r="J5" s="227"/>
      <c r="K5" s="228">
        <v>14</v>
      </c>
      <c r="L5" s="226"/>
      <c r="M5" s="226">
        <v>185</v>
      </c>
      <c r="N5" s="226"/>
      <c r="O5" s="226">
        <v>185</v>
      </c>
      <c r="P5" s="226">
        <v>21</v>
      </c>
      <c r="Q5" s="229"/>
      <c r="R5" s="227">
        <v>21</v>
      </c>
      <c r="S5" s="230"/>
      <c r="T5" s="231"/>
      <c r="U5" s="492"/>
      <c r="V5" s="492"/>
      <c r="W5" s="232"/>
      <c r="X5" s="232"/>
      <c r="Y5" s="232"/>
    </row>
    <row r="6" spans="1:25" s="403" customFormat="1" ht="12.75">
      <c r="A6" s="223" t="s">
        <v>11650</v>
      </c>
      <c r="B6" s="402">
        <v>41970</v>
      </c>
      <c r="C6" s="224">
        <v>3</v>
      </c>
      <c r="D6" s="224">
        <v>133</v>
      </c>
      <c r="E6" s="223" t="s">
        <v>8696</v>
      </c>
      <c r="F6" s="225" t="s">
        <v>8299</v>
      </c>
      <c r="G6" s="225" t="s">
        <v>11651</v>
      </c>
      <c r="H6" s="225">
        <v>33</v>
      </c>
      <c r="I6" s="226">
        <v>733</v>
      </c>
      <c r="J6" s="227"/>
      <c r="K6" s="228">
        <v>8</v>
      </c>
      <c r="L6" s="226"/>
      <c r="M6" s="226">
        <v>93</v>
      </c>
      <c r="N6" s="226"/>
      <c r="O6" s="226">
        <v>93</v>
      </c>
      <c r="P6" s="226">
        <v>12</v>
      </c>
      <c r="Q6" s="229"/>
      <c r="R6" s="227">
        <v>12</v>
      </c>
      <c r="S6" s="230"/>
      <c r="T6" s="231"/>
      <c r="U6" s="492"/>
      <c r="V6" s="492"/>
      <c r="W6" s="232"/>
      <c r="X6" s="232"/>
      <c r="Y6" s="232"/>
    </row>
    <row r="7" spans="1:25" s="403" customFormat="1" ht="12.75">
      <c r="A7" s="223" t="s">
        <v>11650</v>
      </c>
      <c r="B7" s="402">
        <v>41970</v>
      </c>
      <c r="C7" s="224">
        <v>4</v>
      </c>
      <c r="D7" s="224">
        <v>133</v>
      </c>
      <c r="E7" s="223" t="s">
        <v>8696</v>
      </c>
      <c r="F7" s="225" t="s">
        <v>8269</v>
      </c>
      <c r="G7" s="225" t="s">
        <v>11651</v>
      </c>
      <c r="H7" s="225">
        <v>22</v>
      </c>
      <c r="I7" s="226">
        <v>569</v>
      </c>
      <c r="J7" s="227"/>
      <c r="K7" s="228">
        <v>5</v>
      </c>
      <c r="L7" s="226"/>
      <c r="M7" s="226">
        <v>86</v>
      </c>
      <c r="N7" s="226"/>
      <c r="O7" s="226">
        <v>86</v>
      </c>
      <c r="P7" s="226">
        <v>10</v>
      </c>
      <c r="Q7" s="229"/>
      <c r="R7" s="227">
        <v>10</v>
      </c>
      <c r="S7" s="230"/>
      <c r="T7" s="231"/>
      <c r="U7" s="492"/>
      <c r="V7" s="492"/>
      <c r="W7" s="232"/>
      <c r="X7" s="232"/>
      <c r="Y7" s="232"/>
    </row>
    <row r="8" spans="1:25" s="403" customFormat="1" ht="13.5" thickBot="1">
      <c r="A8" s="426" t="s">
        <v>11650</v>
      </c>
      <c r="B8" s="427">
        <v>41970</v>
      </c>
      <c r="C8" s="428">
        <v>2</v>
      </c>
      <c r="D8" s="428">
        <v>133</v>
      </c>
      <c r="E8" s="426" t="s">
        <v>8696</v>
      </c>
      <c r="F8" s="429" t="s">
        <v>7845</v>
      </c>
      <c r="G8" s="429" t="s">
        <v>11651</v>
      </c>
      <c r="H8" s="429">
        <v>46</v>
      </c>
      <c r="I8" s="430">
        <v>621</v>
      </c>
      <c r="J8" s="431"/>
      <c r="K8" s="432">
        <v>12</v>
      </c>
      <c r="L8" s="430"/>
      <c r="M8" s="430">
        <v>101</v>
      </c>
      <c r="N8" s="430"/>
      <c r="O8" s="430">
        <v>101</v>
      </c>
      <c r="P8" s="433">
        <v>12</v>
      </c>
      <c r="Q8" s="234"/>
      <c r="R8" s="233">
        <v>12</v>
      </c>
      <c r="S8" s="235"/>
      <c r="T8" s="265"/>
      <c r="U8" s="493"/>
      <c r="V8" s="493"/>
      <c r="W8" s="236"/>
      <c r="X8" s="236"/>
      <c r="Y8" s="236"/>
    </row>
    <row r="9" spans="1:25" s="183" customFormat="1" ht="13.5" thickTop="1">
      <c r="A9" s="209" t="s">
        <v>11654</v>
      </c>
      <c r="B9" s="421">
        <v>42054</v>
      </c>
      <c r="C9" s="210">
        <v>2</v>
      </c>
      <c r="D9" s="210">
        <v>7</v>
      </c>
      <c r="E9" s="209" t="s">
        <v>8697</v>
      </c>
      <c r="F9" s="422" t="s">
        <v>8299</v>
      </c>
      <c r="G9" s="423" t="s">
        <v>11653</v>
      </c>
      <c r="H9" s="206">
        <v>39</v>
      </c>
      <c r="I9" s="211">
        <v>555</v>
      </c>
      <c r="J9" s="212"/>
      <c r="K9" s="424">
        <v>10</v>
      </c>
      <c r="L9" s="211"/>
      <c r="M9" s="211">
        <v>159</v>
      </c>
      <c r="N9" s="425"/>
      <c r="O9" s="211">
        <v>159</v>
      </c>
      <c r="P9" s="424">
        <v>29.4</v>
      </c>
      <c r="Q9" s="418"/>
      <c r="R9" s="434">
        <v>29.4</v>
      </c>
      <c r="S9" s="437"/>
      <c r="T9" s="281"/>
      <c r="U9" s="504"/>
      <c r="V9" s="485"/>
      <c r="W9" s="214"/>
      <c r="X9" s="214"/>
      <c r="Y9" s="214"/>
    </row>
    <row r="10" spans="1:25" s="183" customFormat="1" ht="12.75">
      <c r="A10" s="209" t="s">
        <v>11654</v>
      </c>
      <c r="B10" s="404">
        <v>42054</v>
      </c>
      <c r="C10" s="200">
        <v>3</v>
      </c>
      <c r="D10" s="200">
        <v>7</v>
      </c>
      <c r="E10" s="209" t="s">
        <v>8697</v>
      </c>
      <c r="F10" s="405" t="s">
        <v>8269</v>
      </c>
      <c r="G10" s="406" t="s">
        <v>11653</v>
      </c>
      <c r="H10" s="201">
        <v>16</v>
      </c>
      <c r="I10" s="202">
        <v>365</v>
      </c>
      <c r="J10" s="203"/>
      <c r="K10" s="215">
        <v>4</v>
      </c>
      <c r="L10" s="202"/>
      <c r="M10" s="202">
        <v>174</v>
      </c>
      <c r="N10" s="417"/>
      <c r="O10" s="202">
        <v>174</v>
      </c>
      <c r="P10" s="419">
        <v>28.5</v>
      </c>
      <c r="Q10" s="419"/>
      <c r="R10" s="434">
        <v>28.5</v>
      </c>
      <c r="S10" s="438"/>
      <c r="T10" s="281"/>
      <c r="U10" s="481"/>
      <c r="V10" s="481"/>
      <c r="W10" s="205"/>
      <c r="X10" s="205"/>
      <c r="Y10" s="205"/>
    </row>
    <row r="11" spans="1:25" s="183" customFormat="1" ht="12.75">
      <c r="A11" s="209" t="s">
        <v>11654</v>
      </c>
      <c r="B11" s="404">
        <v>42054</v>
      </c>
      <c r="C11" s="200">
        <v>4</v>
      </c>
      <c r="D11" s="200">
        <v>7</v>
      </c>
      <c r="E11" s="209" t="s">
        <v>8697</v>
      </c>
      <c r="F11" s="405" t="s">
        <v>7845</v>
      </c>
      <c r="G11" s="406" t="s">
        <v>11653</v>
      </c>
      <c r="H11" s="201">
        <v>43</v>
      </c>
      <c r="I11" s="202">
        <v>355</v>
      </c>
      <c r="J11" s="203"/>
      <c r="K11" s="215">
        <v>11</v>
      </c>
      <c r="L11" s="202"/>
      <c r="M11" s="202">
        <v>144</v>
      </c>
      <c r="N11" s="417"/>
      <c r="O11" s="202">
        <v>144</v>
      </c>
      <c r="P11" s="419">
        <v>23</v>
      </c>
      <c r="Q11" s="419"/>
      <c r="R11" s="434">
        <v>23</v>
      </c>
      <c r="S11" s="438"/>
      <c r="T11" s="281"/>
      <c r="U11" s="481"/>
      <c r="V11" s="481"/>
      <c r="W11" s="205"/>
      <c r="X11" s="205"/>
      <c r="Y11" s="205"/>
    </row>
    <row r="12" spans="1:25" s="183" customFormat="1" ht="12.75">
      <c r="A12" s="209" t="s">
        <v>11654</v>
      </c>
      <c r="B12" s="404">
        <v>42054</v>
      </c>
      <c r="C12" s="200">
        <v>8</v>
      </c>
      <c r="D12" s="200">
        <v>7</v>
      </c>
      <c r="E12" s="199" t="s">
        <v>8696</v>
      </c>
      <c r="F12" s="405" t="s">
        <v>8269</v>
      </c>
      <c r="G12" s="406" t="s">
        <v>11653</v>
      </c>
      <c r="H12" s="201">
        <v>47</v>
      </c>
      <c r="I12" s="202">
        <v>470</v>
      </c>
      <c r="J12" s="203"/>
      <c r="K12" s="215">
        <v>12</v>
      </c>
      <c r="L12" s="202"/>
      <c r="M12" s="202">
        <v>160</v>
      </c>
      <c r="N12" s="417"/>
      <c r="O12" s="202">
        <v>160</v>
      </c>
      <c r="P12" s="419">
        <v>26.1</v>
      </c>
      <c r="Q12" s="419"/>
      <c r="R12" s="434">
        <v>26.1</v>
      </c>
      <c r="S12" s="438"/>
      <c r="T12" s="281"/>
      <c r="U12" s="481"/>
      <c r="V12" s="481"/>
      <c r="W12" s="205"/>
      <c r="X12" s="205"/>
      <c r="Y12" s="205"/>
    </row>
    <row r="13" spans="1:25" s="183" customFormat="1" ht="12.75">
      <c r="A13" s="209" t="s">
        <v>11654</v>
      </c>
      <c r="B13" s="404">
        <v>42054</v>
      </c>
      <c r="C13" s="200">
        <v>9</v>
      </c>
      <c r="D13" s="200">
        <v>7</v>
      </c>
      <c r="E13" s="199" t="s">
        <v>8696</v>
      </c>
      <c r="F13" s="405" t="s">
        <v>7845</v>
      </c>
      <c r="G13" s="406" t="s">
        <v>11653</v>
      </c>
      <c r="H13" s="201">
        <v>40</v>
      </c>
      <c r="I13" s="202">
        <v>1090</v>
      </c>
      <c r="J13" s="203"/>
      <c r="K13" s="215">
        <v>9</v>
      </c>
      <c r="L13" s="202"/>
      <c r="M13" s="202">
        <v>299</v>
      </c>
      <c r="N13" s="417"/>
      <c r="O13" s="202">
        <v>299</v>
      </c>
      <c r="P13" s="419">
        <v>40.6</v>
      </c>
      <c r="Q13" s="419"/>
      <c r="R13" s="434">
        <v>40.6</v>
      </c>
      <c r="S13" s="438"/>
      <c r="T13" s="281"/>
      <c r="U13" s="481"/>
      <c r="V13" s="481"/>
      <c r="W13" s="205"/>
      <c r="X13" s="205"/>
      <c r="Y13" s="205"/>
    </row>
    <row r="14" spans="1:25" s="408" customFormat="1" ht="12.75">
      <c r="A14" s="209" t="s">
        <v>11654</v>
      </c>
      <c r="B14" s="404">
        <v>42054</v>
      </c>
      <c r="C14" s="200">
        <v>10</v>
      </c>
      <c r="D14" s="200">
        <v>7</v>
      </c>
      <c r="E14" s="199" t="s">
        <v>8696</v>
      </c>
      <c r="F14" s="407" t="s">
        <v>8299</v>
      </c>
      <c r="G14" s="406" t="s">
        <v>11653</v>
      </c>
      <c r="H14" s="201">
        <v>39</v>
      </c>
      <c r="I14" s="202">
        <v>440</v>
      </c>
      <c r="J14" s="203"/>
      <c r="K14" s="394">
        <v>9</v>
      </c>
      <c r="L14" s="202"/>
      <c r="M14" s="202">
        <v>157</v>
      </c>
      <c r="N14" s="400"/>
      <c r="O14" s="202">
        <v>157</v>
      </c>
      <c r="P14" s="419">
        <v>26.4</v>
      </c>
      <c r="Q14" s="419"/>
      <c r="R14" s="435">
        <v>26.4</v>
      </c>
      <c r="S14" s="438"/>
      <c r="T14" s="395"/>
      <c r="U14" s="503"/>
      <c r="V14" s="503"/>
      <c r="W14" s="396"/>
      <c r="X14" s="396"/>
      <c r="Y14" s="396"/>
    </row>
    <row r="15" spans="1:25" s="410" customFormat="1" ht="12.75">
      <c r="A15" s="209" t="s">
        <v>11654</v>
      </c>
      <c r="B15" s="404">
        <v>42054</v>
      </c>
      <c r="C15" s="200">
        <v>2</v>
      </c>
      <c r="D15" s="200">
        <v>133</v>
      </c>
      <c r="E15" s="199" t="s">
        <v>8696</v>
      </c>
      <c r="F15" s="409" t="s">
        <v>7845</v>
      </c>
      <c r="G15" s="406" t="s">
        <v>11653</v>
      </c>
      <c r="H15" s="201">
        <v>51</v>
      </c>
      <c r="I15" s="202">
        <v>350</v>
      </c>
      <c r="J15" s="203"/>
      <c r="K15" s="397">
        <v>12</v>
      </c>
      <c r="L15" s="202"/>
      <c r="M15" s="202">
        <v>92</v>
      </c>
      <c r="N15" s="401"/>
      <c r="O15" s="202">
        <v>92</v>
      </c>
      <c r="P15" s="419">
        <v>15.7</v>
      </c>
      <c r="Q15" s="419"/>
      <c r="R15" s="436">
        <v>15.7</v>
      </c>
      <c r="S15" s="438"/>
      <c r="T15" s="398"/>
      <c r="U15" s="482"/>
      <c r="V15" s="483"/>
      <c r="W15" s="399"/>
      <c r="X15" s="399"/>
      <c r="Y15" s="399"/>
    </row>
    <row r="16" spans="1:25" s="183" customFormat="1" ht="12.75">
      <c r="A16" s="209" t="s">
        <v>11654</v>
      </c>
      <c r="B16" s="404">
        <v>42054</v>
      </c>
      <c r="C16" s="200">
        <v>3</v>
      </c>
      <c r="D16" s="200">
        <v>133</v>
      </c>
      <c r="E16" s="199" t="s">
        <v>8696</v>
      </c>
      <c r="F16" s="405" t="s">
        <v>8299</v>
      </c>
      <c r="G16" s="406" t="s">
        <v>11653</v>
      </c>
      <c r="H16" s="201">
        <v>26</v>
      </c>
      <c r="I16" s="202">
        <v>505</v>
      </c>
      <c r="J16" s="203"/>
      <c r="K16" s="215">
        <v>6</v>
      </c>
      <c r="L16" s="202"/>
      <c r="M16" s="202">
        <v>135</v>
      </c>
      <c r="N16" s="417"/>
      <c r="O16" s="202">
        <v>135</v>
      </c>
      <c r="P16" s="419">
        <v>23.3</v>
      </c>
      <c r="Q16" s="419"/>
      <c r="R16" s="434">
        <v>23.3</v>
      </c>
      <c r="S16" s="438"/>
      <c r="T16" s="281"/>
      <c r="U16" s="481"/>
      <c r="V16" s="481"/>
      <c r="W16" s="205"/>
      <c r="X16" s="205"/>
      <c r="Y16" s="205"/>
    </row>
    <row r="17" spans="1:25" s="183" customFormat="1" ht="12.75">
      <c r="A17" s="209" t="s">
        <v>11654</v>
      </c>
      <c r="B17" s="404">
        <v>42054</v>
      </c>
      <c r="C17" s="200">
        <v>4</v>
      </c>
      <c r="D17" s="200">
        <v>133</v>
      </c>
      <c r="E17" s="199" t="s">
        <v>8696</v>
      </c>
      <c r="F17" s="405" t="s">
        <v>8269</v>
      </c>
      <c r="G17" s="406" t="s">
        <v>11653</v>
      </c>
      <c r="H17" s="201">
        <v>15</v>
      </c>
      <c r="I17" s="202">
        <v>495</v>
      </c>
      <c r="J17" s="203"/>
      <c r="K17" s="215">
        <v>3</v>
      </c>
      <c r="L17" s="202"/>
      <c r="M17" s="202">
        <v>108</v>
      </c>
      <c r="N17" s="417"/>
      <c r="O17" s="202">
        <v>108</v>
      </c>
      <c r="P17" s="419">
        <v>18</v>
      </c>
      <c r="Q17" s="419"/>
      <c r="R17" s="434">
        <v>18</v>
      </c>
      <c r="S17" s="438"/>
      <c r="T17" s="281"/>
      <c r="U17" s="481"/>
      <c r="V17" s="481"/>
      <c r="W17" s="205"/>
      <c r="X17" s="205"/>
      <c r="Y17" s="205"/>
    </row>
    <row r="18" spans="1:25" s="183" customFormat="1" ht="12.75">
      <c r="A18" s="209" t="s">
        <v>11654</v>
      </c>
      <c r="B18" s="404">
        <v>42054</v>
      </c>
      <c r="C18" s="200">
        <v>8</v>
      </c>
      <c r="D18" s="200">
        <v>133</v>
      </c>
      <c r="E18" s="209" t="s">
        <v>8697</v>
      </c>
      <c r="F18" s="405" t="s">
        <v>8269</v>
      </c>
      <c r="G18" s="406" t="s">
        <v>11653</v>
      </c>
      <c r="H18" s="201">
        <v>23</v>
      </c>
      <c r="I18" s="202">
        <v>580</v>
      </c>
      <c r="J18" s="203"/>
      <c r="K18" s="215">
        <v>6</v>
      </c>
      <c r="L18" s="202"/>
      <c r="M18" s="202">
        <v>138</v>
      </c>
      <c r="N18" s="417"/>
      <c r="O18" s="202">
        <v>138</v>
      </c>
      <c r="P18" s="419">
        <v>22.8</v>
      </c>
      <c r="Q18" s="419"/>
      <c r="R18" s="434">
        <v>22.8</v>
      </c>
      <c r="S18" s="438"/>
      <c r="T18" s="281"/>
      <c r="U18" s="481"/>
      <c r="V18" s="481"/>
      <c r="W18" s="205"/>
      <c r="X18" s="205"/>
      <c r="Y18" s="205"/>
    </row>
    <row r="19" spans="1:25" s="183" customFormat="1" ht="12.75">
      <c r="A19" s="209" t="s">
        <v>11654</v>
      </c>
      <c r="B19" s="404">
        <v>42054</v>
      </c>
      <c r="C19" s="200">
        <v>9</v>
      </c>
      <c r="D19" s="200">
        <v>133</v>
      </c>
      <c r="E19" s="209" t="s">
        <v>8697</v>
      </c>
      <c r="F19" s="405" t="s">
        <v>7845</v>
      </c>
      <c r="G19" s="406" t="s">
        <v>11653</v>
      </c>
      <c r="H19" s="201">
        <v>19</v>
      </c>
      <c r="I19" s="202">
        <v>615</v>
      </c>
      <c r="J19" s="203"/>
      <c r="K19" s="215">
        <v>4</v>
      </c>
      <c r="L19" s="202"/>
      <c r="M19" s="202">
        <v>121</v>
      </c>
      <c r="N19" s="417"/>
      <c r="O19" s="202">
        <v>121</v>
      </c>
      <c r="P19" s="419">
        <v>21</v>
      </c>
      <c r="Q19" s="419"/>
      <c r="R19" s="434">
        <v>21</v>
      </c>
      <c r="S19" s="438"/>
      <c r="T19" s="281"/>
      <c r="U19" s="481"/>
      <c r="V19" s="481"/>
      <c r="W19" s="205"/>
      <c r="X19" s="205"/>
      <c r="Y19" s="205"/>
    </row>
    <row r="20" spans="1:25" s="411" customFormat="1" ht="13.5" thickBot="1">
      <c r="A20" s="439" t="s">
        <v>11654</v>
      </c>
      <c r="B20" s="440">
        <v>42054</v>
      </c>
      <c r="C20" s="441">
        <v>10</v>
      </c>
      <c r="D20" s="441">
        <v>133</v>
      </c>
      <c r="E20" s="439" t="s">
        <v>8697</v>
      </c>
      <c r="F20" s="442" t="s">
        <v>8299</v>
      </c>
      <c r="G20" s="443" t="s">
        <v>11653</v>
      </c>
      <c r="H20" s="444">
        <v>34</v>
      </c>
      <c r="I20" s="445">
        <v>665</v>
      </c>
      <c r="J20" s="446"/>
      <c r="K20" s="447">
        <v>8</v>
      </c>
      <c r="L20" s="445"/>
      <c r="M20" s="445">
        <v>200</v>
      </c>
      <c r="N20" s="448"/>
      <c r="O20" s="445">
        <v>200</v>
      </c>
      <c r="P20" s="447">
        <v>33.799999999999997</v>
      </c>
      <c r="Q20" s="447"/>
      <c r="R20" s="449">
        <v>33.799999999999997</v>
      </c>
      <c r="S20" s="450"/>
      <c r="T20" s="451"/>
      <c r="U20" s="491"/>
      <c r="V20" s="491"/>
      <c r="W20" s="452"/>
      <c r="X20" s="452"/>
      <c r="Y20" s="452"/>
    </row>
    <row r="21" spans="1:25" s="413" customFormat="1" ht="13.5" thickTop="1">
      <c r="A21" s="237" t="s">
        <v>11656</v>
      </c>
      <c r="B21" s="412">
        <v>42142</v>
      </c>
      <c r="C21" s="263">
        <v>2</v>
      </c>
      <c r="D21" s="263">
        <v>7</v>
      </c>
      <c r="E21" s="237" t="s">
        <v>8697</v>
      </c>
      <c r="F21" s="237" t="s">
        <v>8299</v>
      </c>
      <c r="G21" s="238" t="s">
        <v>11655</v>
      </c>
      <c r="H21" s="238">
        <v>52</v>
      </c>
      <c r="I21" s="238">
        <v>3355</v>
      </c>
      <c r="J21" s="239"/>
      <c r="K21" s="264">
        <v>12</v>
      </c>
      <c r="L21" s="240"/>
      <c r="M21" s="264">
        <v>95</v>
      </c>
      <c r="N21" s="264">
        <v>660</v>
      </c>
      <c r="O21" s="454">
        <f>SUM(M21:N21)</f>
        <v>755</v>
      </c>
      <c r="P21" s="264">
        <v>12.1</v>
      </c>
      <c r="Q21" s="264">
        <v>125</v>
      </c>
      <c r="R21" s="420">
        <f>SUM(P21:Q21)</f>
        <v>137.1</v>
      </c>
      <c r="S21" s="241"/>
      <c r="T21" s="242"/>
      <c r="U21" s="487"/>
      <c r="V21" s="488"/>
      <c r="W21" s="243"/>
      <c r="X21" s="243"/>
      <c r="Y21" s="243"/>
    </row>
    <row r="22" spans="1:25" s="413" customFormat="1" ht="12.75">
      <c r="A22" s="237" t="s">
        <v>11656</v>
      </c>
      <c r="B22" s="412">
        <v>42142</v>
      </c>
      <c r="C22" s="224">
        <v>3</v>
      </c>
      <c r="D22" s="224">
        <v>7</v>
      </c>
      <c r="E22" s="223" t="s">
        <v>8697</v>
      </c>
      <c r="F22" s="223" t="s">
        <v>8269</v>
      </c>
      <c r="G22" s="238" t="s">
        <v>11655</v>
      </c>
      <c r="H22" s="225">
        <v>41</v>
      </c>
      <c r="I22" s="225">
        <v>3350</v>
      </c>
      <c r="J22" s="227"/>
      <c r="K22" s="228">
        <v>10</v>
      </c>
      <c r="L22" s="226"/>
      <c r="M22" s="228">
        <v>118</v>
      </c>
      <c r="N22" s="228">
        <v>636</v>
      </c>
      <c r="O22" s="454">
        <f t="shared" ref="O22:O32" si="0">SUM(M22:N22)</f>
        <v>754</v>
      </c>
      <c r="P22" s="228">
        <v>14.6</v>
      </c>
      <c r="Q22" s="228">
        <v>130</v>
      </c>
      <c r="R22" s="455">
        <f t="shared" ref="R22:R32" si="1">SUM(P22:Q22)</f>
        <v>144.6</v>
      </c>
      <c r="S22" s="230"/>
      <c r="T22" s="231"/>
      <c r="U22" s="489"/>
      <c r="V22" s="489"/>
      <c r="W22" s="243"/>
      <c r="X22" s="232"/>
      <c r="Y22" s="232"/>
    </row>
    <row r="23" spans="1:25" s="413" customFormat="1" ht="12.75">
      <c r="A23" s="237" t="s">
        <v>11656</v>
      </c>
      <c r="B23" s="412">
        <v>42142</v>
      </c>
      <c r="C23" s="224">
        <v>4</v>
      </c>
      <c r="D23" s="224">
        <v>7</v>
      </c>
      <c r="E23" s="223" t="s">
        <v>8697</v>
      </c>
      <c r="F23" s="223" t="s">
        <v>7845</v>
      </c>
      <c r="G23" s="238" t="s">
        <v>11655</v>
      </c>
      <c r="H23" s="225">
        <v>36</v>
      </c>
      <c r="I23" s="225">
        <v>3025</v>
      </c>
      <c r="J23" s="227"/>
      <c r="K23" s="228">
        <v>8</v>
      </c>
      <c r="L23" s="226"/>
      <c r="M23" s="228">
        <v>79</v>
      </c>
      <c r="N23" s="228">
        <v>760</v>
      </c>
      <c r="O23" s="454">
        <f t="shared" si="0"/>
        <v>839</v>
      </c>
      <c r="P23" s="228">
        <v>9.6999999999999993</v>
      </c>
      <c r="Q23" s="228">
        <v>150</v>
      </c>
      <c r="R23" s="455">
        <f t="shared" si="1"/>
        <v>159.69999999999999</v>
      </c>
      <c r="S23" s="230"/>
      <c r="T23" s="231"/>
      <c r="U23" s="489"/>
      <c r="V23" s="489"/>
      <c r="W23" s="243"/>
      <c r="X23" s="232"/>
      <c r="Y23" s="232"/>
    </row>
    <row r="24" spans="1:25" s="413" customFormat="1" ht="12.75">
      <c r="A24" s="237" t="s">
        <v>11656</v>
      </c>
      <c r="B24" s="412">
        <v>42142</v>
      </c>
      <c r="C24" s="224">
        <v>8</v>
      </c>
      <c r="D24" s="224">
        <v>7</v>
      </c>
      <c r="E24" s="223" t="s">
        <v>8696</v>
      </c>
      <c r="F24" s="223" t="s">
        <v>8269</v>
      </c>
      <c r="G24" s="238" t="s">
        <v>11655</v>
      </c>
      <c r="H24" s="225">
        <v>67</v>
      </c>
      <c r="I24" s="225">
        <v>3300</v>
      </c>
      <c r="J24" s="227"/>
      <c r="K24" s="228">
        <v>16</v>
      </c>
      <c r="L24" s="226"/>
      <c r="M24" s="228">
        <v>169</v>
      </c>
      <c r="N24" s="228">
        <v>738</v>
      </c>
      <c r="O24" s="454">
        <f t="shared" si="0"/>
        <v>907</v>
      </c>
      <c r="P24" s="228">
        <v>20.5</v>
      </c>
      <c r="Q24" s="228">
        <v>135</v>
      </c>
      <c r="R24" s="455">
        <f t="shared" si="1"/>
        <v>155.5</v>
      </c>
      <c r="S24" s="230"/>
      <c r="T24" s="231"/>
      <c r="U24" s="489"/>
      <c r="V24" s="489"/>
      <c r="W24" s="243"/>
      <c r="X24" s="232"/>
      <c r="Y24" s="232"/>
    </row>
    <row r="25" spans="1:25" s="413" customFormat="1" ht="12.75">
      <c r="A25" s="237" t="s">
        <v>11656</v>
      </c>
      <c r="B25" s="412">
        <v>42142</v>
      </c>
      <c r="C25" s="224">
        <v>9</v>
      </c>
      <c r="D25" s="224">
        <v>7</v>
      </c>
      <c r="E25" s="223" t="s">
        <v>8696</v>
      </c>
      <c r="F25" s="223" t="s">
        <v>7845</v>
      </c>
      <c r="G25" s="238" t="s">
        <v>11655</v>
      </c>
      <c r="H25" s="225">
        <v>40</v>
      </c>
      <c r="I25" s="225">
        <v>3930</v>
      </c>
      <c r="J25" s="227"/>
      <c r="K25" s="228">
        <v>10</v>
      </c>
      <c r="L25" s="226"/>
      <c r="M25" s="228">
        <v>137</v>
      </c>
      <c r="N25" s="228">
        <v>878</v>
      </c>
      <c r="O25" s="454">
        <f t="shared" si="0"/>
        <v>1015</v>
      </c>
      <c r="P25" s="228">
        <v>16</v>
      </c>
      <c r="Q25" s="228">
        <v>160</v>
      </c>
      <c r="R25" s="455">
        <f t="shared" si="1"/>
        <v>176</v>
      </c>
      <c r="S25" s="230"/>
      <c r="T25" s="231"/>
      <c r="U25" s="489"/>
      <c r="V25" s="489"/>
      <c r="W25" s="243"/>
      <c r="X25" s="232"/>
      <c r="Y25" s="232"/>
    </row>
    <row r="26" spans="1:25" s="413" customFormat="1" ht="12.75">
      <c r="A26" s="237" t="s">
        <v>11656</v>
      </c>
      <c r="B26" s="412">
        <v>42142</v>
      </c>
      <c r="C26" s="224">
        <v>10</v>
      </c>
      <c r="D26" s="224">
        <v>7</v>
      </c>
      <c r="E26" s="223" t="s">
        <v>8696</v>
      </c>
      <c r="F26" s="223" t="s">
        <v>8299</v>
      </c>
      <c r="G26" s="238" t="s">
        <v>11655</v>
      </c>
      <c r="H26" s="225">
        <v>28</v>
      </c>
      <c r="I26" s="225">
        <v>4400</v>
      </c>
      <c r="J26" s="227"/>
      <c r="K26" s="228">
        <v>6</v>
      </c>
      <c r="L26" s="226"/>
      <c r="M26" s="228">
        <v>221</v>
      </c>
      <c r="N26" s="228">
        <v>715</v>
      </c>
      <c r="O26" s="454">
        <f t="shared" si="0"/>
        <v>936</v>
      </c>
      <c r="P26" s="228">
        <v>26.4</v>
      </c>
      <c r="Q26" s="228">
        <v>125</v>
      </c>
      <c r="R26" s="455">
        <f t="shared" si="1"/>
        <v>151.4</v>
      </c>
      <c r="S26" s="230"/>
      <c r="T26" s="231"/>
      <c r="U26" s="489"/>
      <c r="V26" s="489"/>
      <c r="W26" s="243"/>
      <c r="X26" s="232"/>
      <c r="Y26" s="232"/>
    </row>
    <row r="27" spans="1:25" s="414" customFormat="1" ht="12.75">
      <c r="A27" s="237" t="s">
        <v>11656</v>
      </c>
      <c r="B27" s="412">
        <v>42142</v>
      </c>
      <c r="C27" s="224">
        <v>2</v>
      </c>
      <c r="D27" s="224">
        <v>133</v>
      </c>
      <c r="E27" s="223" t="s">
        <v>8696</v>
      </c>
      <c r="F27" s="245" t="s">
        <v>7845</v>
      </c>
      <c r="G27" s="238" t="s">
        <v>11655</v>
      </c>
      <c r="H27" s="246">
        <v>27</v>
      </c>
      <c r="I27" s="225">
        <v>3780</v>
      </c>
      <c r="J27" s="227"/>
      <c r="K27" s="228">
        <v>6</v>
      </c>
      <c r="L27" s="247"/>
      <c r="M27" s="228">
        <v>176</v>
      </c>
      <c r="N27" s="228">
        <v>932</v>
      </c>
      <c r="O27" s="454">
        <f t="shared" si="0"/>
        <v>1108</v>
      </c>
      <c r="P27" s="228">
        <v>20.9</v>
      </c>
      <c r="Q27" s="228">
        <v>175</v>
      </c>
      <c r="R27" s="456">
        <f t="shared" si="1"/>
        <v>195.9</v>
      </c>
      <c r="S27" s="230"/>
      <c r="T27" s="231"/>
      <c r="U27" s="489"/>
      <c r="V27" s="489"/>
      <c r="W27" s="243"/>
      <c r="X27" s="232"/>
      <c r="Y27" s="232"/>
    </row>
    <row r="28" spans="1:25" s="414" customFormat="1" ht="12.75">
      <c r="A28" s="237" t="s">
        <v>11656</v>
      </c>
      <c r="B28" s="412">
        <v>42142</v>
      </c>
      <c r="C28" s="224">
        <v>3</v>
      </c>
      <c r="D28" s="224">
        <v>133</v>
      </c>
      <c r="E28" s="223" t="s">
        <v>8696</v>
      </c>
      <c r="F28" s="245" t="s">
        <v>8299</v>
      </c>
      <c r="G28" s="238" t="s">
        <v>11655</v>
      </c>
      <c r="H28" s="246">
        <v>44</v>
      </c>
      <c r="I28" s="225">
        <v>4575</v>
      </c>
      <c r="J28" s="227"/>
      <c r="K28" s="228">
        <v>10</v>
      </c>
      <c r="L28" s="247"/>
      <c r="M28" s="228">
        <v>220</v>
      </c>
      <c r="N28" s="228">
        <v>933</v>
      </c>
      <c r="O28" s="454">
        <f t="shared" si="0"/>
        <v>1153</v>
      </c>
      <c r="P28" s="228">
        <v>26.4</v>
      </c>
      <c r="Q28" s="228">
        <v>170</v>
      </c>
      <c r="R28" s="456">
        <f t="shared" si="1"/>
        <v>196.4</v>
      </c>
      <c r="S28" s="230"/>
      <c r="T28" s="231"/>
      <c r="U28" s="489"/>
      <c r="V28" s="489"/>
      <c r="W28" s="243"/>
      <c r="X28" s="232"/>
      <c r="Y28" s="232"/>
    </row>
    <row r="29" spans="1:25" s="414" customFormat="1" ht="12.75">
      <c r="A29" s="237" t="s">
        <v>11656</v>
      </c>
      <c r="B29" s="412">
        <v>42142</v>
      </c>
      <c r="C29" s="224">
        <v>4</v>
      </c>
      <c r="D29" s="224">
        <v>133</v>
      </c>
      <c r="E29" s="223" t="s">
        <v>8696</v>
      </c>
      <c r="F29" s="245" t="s">
        <v>8269</v>
      </c>
      <c r="G29" s="238" t="s">
        <v>11655</v>
      </c>
      <c r="H29" s="246">
        <v>16</v>
      </c>
      <c r="I29" s="225">
        <v>3780</v>
      </c>
      <c r="J29" s="227"/>
      <c r="K29" s="283">
        <v>3</v>
      </c>
      <c r="L29" s="247"/>
      <c r="M29" s="228">
        <v>92</v>
      </c>
      <c r="N29" s="283">
        <v>399</v>
      </c>
      <c r="O29" s="454">
        <f t="shared" si="0"/>
        <v>491</v>
      </c>
      <c r="P29" s="228">
        <v>11.1</v>
      </c>
      <c r="Q29" s="228">
        <v>80</v>
      </c>
      <c r="R29" s="456">
        <f t="shared" si="1"/>
        <v>91.1</v>
      </c>
      <c r="S29" s="230"/>
      <c r="T29" s="231"/>
      <c r="U29" s="489"/>
      <c r="V29" s="489"/>
      <c r="W29" s="243"/>
      <c r="X29" s="232"/>
      <c r="Y29" s="232"/>
    </row>
    <row r="30" spans="1:25" s="414" customFormat="1" ht="12.75">
      <c r="A30" s="237" t="s">
        <v>11656</v>
      </c>
      <c r="B30" s="412">
        <v>42142</v>
      </c>
      <c r="C30" s="224">
        <v>8</v>
      </c>
      <c r="D30" s="224">
        <v>133</v>
      </c>
      <c r="E30" s="223" t="s">
        <v>8697</v>
      </c>
      <c r="F30" s="245" t="s">
        <v>8269</v>
      </c>
      <c r="G30" s="238" t="s">
        <v>11655</v>
      </c>
      <c r="H30" s="246">
        <v>61</v>
      </c>
      <c r="I30" s="225">
        <v>3125</v>
      </c>
      <c r="J30" s="227"/>
      <c r="K30" s="283">
        <v>15</v>
      </c>
      <c r="L30" s="247"/>
      <c r="M30" s="228">
        <v>96</v>
      </c>
      <c r="N30" s="283">
        <v>542</v>
      </c>
      <c r="O30" s="454">
        <f t="shared" si="0"/>
        <v>638</v>
      </c>
      <c r="P30" s="228">
        <v>12.9</v>
      </c>
      <c r="Q30" s="228">
        <v>105</v>
      </c>
      <c r="R30" s="456">
        <f t="shared" si="1"/>
        <v>117.9</v>
      </c>
      <c r="S30" s="230"/>
      <c r="T30" s="231"/>
      <c r="U30" s="489"/>
      <c r="V30" s="489"/>
      <c r="W30" s="243"/>
      <c r="X30" s="232"/>
      <c r="Y30" s="232"/>
    </row>
    <row r="31" spans="1:25" s="414" customFormat="1" ht="12.75">
      <c r="A31" s="237" t="s">
        <v>11656</v>
      </c>
      <c r="B31" s="412">
        <v>42142</v>
      </c>
      <c r="C31" s="249">
        <v>9</v>
      </c>
      <c r="D31" s="249">
        <v>133</v>
      </c>
      <c r="E31" s="248" t="s">
        <v>8697</v>
      </c>
      <c r="F31" s="250" t="s">
        <v>7845</v>
      </c>
      <c r="G31" s="238" t="s">
        <v>11655</v>
      </c>
      <c r="H31" s="251">
        <v>44</v>
      </c>
      <c r="I31" s="244">
        <v>3125</v>
      </c>
      <c r="J31" s="252"/>
      <c r="K31" s="284">
        <v>11</v>
      </c>
      <c r="L31" s="253"/>
      <c r="M31" s="453">
        <v>121</v>
      </c>
      <c r="N31" s="284">
        <v>1083</v>
      </c>
      <c r="O31" s="454">
        <f t="shared" si="0"/>
        <v>1204</v>
      </c>
      <c r="P31" s="453">
        <v>15.4</v>
      </c>
      <c r="Q31" s="453">
        <v>225</v>
      </c>
      <c r="R31" s="457">
        <f t="shared" si="1"/>
        <v>240.4</v>
      </c>
      <c r="S31" s="254"/>
      <c r="T31" s="231"/>
      <c r="U31" s="490"/>
      <c r="V31" s="490"/>
      <c r="W31" s="243"/>
      <c r="X31" s="255"/>
      <c r="Y31" s="255"/>
    </row>
    <row r="32" spans="1:25" s="415" customFormat="1" ht="13.5" thickBot="1">
      <c r="A32" s="460" t="s">
        <v>11656</v>
      </c>
      <c r="B32" s="461">
        <v>42142</v>
      </c>
      <c r="C32" s="257">
        <v>10</v>
      </c>
      <c r="D32" s="257">
        <v>133</v>
      </c>
      <c r="E32" s="256" t="s">
        <v>8697</v>
      </c>
      <c r="F32" s="256" t="s">
        <v>8299</v>
      </c>
      <c r="G32" s="462" t="s">
        <v>11655</v>
      </c>
      <c r="H32" s="234">
        <v>55</v>
      </c>
      <c r="I32" s="234">
        <v>3230</v>
      </c>
      <c r="J32" s="258"/>
      <c r="K32" s="282">
        <v>13</v>
      </c>
      <c r="L32" s="234"/>
      <c r="M32" s="286">
        <v>227</v>
      </c>
      <c r="N32" s="282">
        <v>1184</v>
      </c>
      <c r="O32" s="286">
        <f t="shared" si="0"/>
        <v>1411</v>
      </c>
      <c r="P32" s="286">
        <v>30.4</v>
      </c>
      <c r="Q32" s="286">
        <v>220</v>
      </c>
      <c r="R32" s="458">
        <f t="shared" si="1"/>
        <v>250.4</v>
      </c>
      <c r="S32" s="259"/>
      <c r="T32" s="266"/>
      <c r="U32" s="486"/>
      <c r="V32" s="486"/>
      <c r="W32" s="236"/>
      <c r="X32" s="236"/>
      <c r="Y32" s="236"/>
    </row>
    <row r="33" spans="1:25" s="289" customFormat="1" ht="13.5" thickTop="1">
      <c r="A33" s="260" t="s">
        <v>11657</v>
      </c>
      <c r="B33" s="459">
        <v>42198</v>
      </c>
      <c r="C33" s="216">
        <v>2</v>
      </c>
      <c r="D33" s="261">
        <v>7</v>
      </c>
      <c r="E33" s="260" t="s">
        <v>8697</v>
      </c>
      <c r="F33" s="216" t="s">
        <v>8299</v>
      </c>
      <c r="G33" s="416" t="s">
        <v>11658</v>
      </c>
      <c r="H33" s="206">
        <v>33</v>
      </c>
      <c r="I33" s="206">
        <v>1740</v>
      </c>
      <c r="J33" s="213"/>
      <c r="K33" s="215">
        <v>8</v>
      </c>
      <c r="L33" s="213"/>
      <c r="M33" s="215"/>
      <c r="N33" s="215"/>
      <c r="O33" s="213">
        <v>680</v>
      </c>
      <c r="P33" s="285"/>
      <c r="Q33" s="215"/>
      <c r="R33" s="213">
        <v>335</v>
      </c>
      <c r="S33" s="262"/>
      <c r="T33" s="267"/>
      <c r="U33" s="484"/>
      <c r="V33" s="485"/>
      <c r="W33" s="205"/>
      <c r="X33" s="214"/>
      <c r="Y33" s="268"/>
    </row>
    <row r="34" spans="1:25" s="289" customFormat="1" ht="12.75">
      <c r="A34" s="260" t="s">
        <v>11657</v>
      </c>
      <c r="B34" s="459">
        <v>42198</v>
      </c>
      <c r="C34" s="215">
        <v>3</v>
      </c>
      <c r="D34" s="218">
        <v>7</v>
      </c>
      <c r="E34" s="217" t="s">
        <v>8697</v>
      </c>
      <c r="F34" s="215" t="s">
        <v>8269</v>
      </c>
      <c r="G34" s="416" t="s">
        <v>11658</v>
      </c>
      <c r="H34" s="206">
        <v>20</v>
      </c>
      <c r="I34" s="206">
        <v>1550</v>
      </c>
      <c r="J34" s="204"/>
      <c r="K34" s="215">
        <v>5</v>
      </c>
      <c r="L34" s="204"/>
      <c r="M34" s="215"/>
      <c r="N34" s="215"/>
      <c r="O34" s="204">
        <v>380</v>
      </c>
      <c r="P34" s="285"/>
      <c r="Q34" s="215"/>
      <c r="R34" s="204">
        <v>205</v>
      </c>
      <c r="S34" s="219"/>
      <c r="T34" s="281"/>
      <c r="U34" s="481"/>
      <c r="V34" s="481"/>
      <c r="W34" s="205"/>
      <c r="X34" s="205"/>
      <c r="Y34" s="269"/>
    </row>
    <row r="35" spans="1:25" s="289" customFormat="1" ht="12.75">
      <c r="A35" s="260" t="s">
        <v>11657</v>
      </c>
      <c r="B35" s="459">
        <v>42198</v>
      </c>
      <c r="C35" s="215">
        <v>4</v>
      </c>
      <c r="D35" s="218">
        <v>7</v>
      </c>
      <c r="E35" s="217" t="s">
        <v>8697</v>
      </c>
      <c r="F35" s="215" t="s">
        <v>7845</v>
      </c>
      <c r="G35" s="416" t="s">
        <v>11658</v>
      </c>
      <c r="H35" s="206">
        <v>32</v>
      </c>
      <c r="I35" s="206">
        <v>1795</v>
      </c>
      <c r="J35" s="204"/>
      <c r="K35" s="215">
        <v>8</v>
      </c>
      <c r="L35" s="204"/>
      <c r="M35" s="215"/>
      <c r="N35" s="215"/>
      <c r="O35" s="204">
        <v>1065</v>
      </c>
      <c r="P35" s="285"/>
      <c r="Q35" s="215"/>
      <c r="R35" s="204">
        <v>510</v>
      </c>
      <c r="S35" s="219"/>
      <c r="T35" s="281"/>
      <c r="U35" s="481"/>
      <c r="V35" s="481"/>
      <c r="W35" s="205"/>
      <c r="X35" s="205"/>
      <c r="Y35" s="269"/>
    </row>
    <row r="36" spans="1:25" s="289" customFormat="1" ht="12.75">
      <c r="A36" s="260" t="s">
        <v>11657</v>
      </c>
      <c r="B36" s="459">
        <v>42198</v>
      </c>
      <c r="C36" s="215">
        <v>8</v>
      </c>
      <c r="D36" s="218">
        <v>7</v>
      </c>
      <c r="E36" s="217" t="s">
        <v>8696</v>
      </c>
      <c r="F36" s="215" t="s">
        <v>8269</v>
      </c>
      <c r="G36" s="416" t="s">
        <v>11658</v>
      </c>
      <c r="H36" s="206">
        <v>47</v>
      </c>
      <c r="I36" s="206">
        <v>1950</v>
      </c>
      <c r="J36" s="204"/>
      <c r="K36" s="215">
        <v>11</v>
      </c>
      <c r="L36" s="204"/>
      <c r="M36" s="215"/>
      <c r="N36" s="215"/>
      <c r="O36" s="204">
        <v>845</v>
      </c>
      <c r="P36" s="285"/>
      <c r="Q36" s="215"/>
      <c r="R36" s="204">
        <v>420</v>
      </c>
      <c r="S36" s="219"/>
      <c r="T36" s="281"/>
      <c r="U36" s="481"/>
      <c r="V36" s="481"/>
      <c r="W36" s="205"/>
      <c r="X36" s="205"/>
      <c r="Y36" s="269"/>
    </row>
    <row r="37" spans="1:25" s="289" customFormat="1" ht="12.75">
      <c r="A37" s="260" t="s">
        <v>11657</v>
      </c>
      <c r="B37" s="459">
        <v>42198</v>
      </c>
      <c r="C37" s="215">
        <v>9</v>
      </c>
      <c r="D37" s="218">
        <v>7</v>
      </c>
      <c r="E37" s="217" t="s">
        <v>8696</v>
      </c>
      <c r="F37" s="215" t="s">
        <v>7845</v>
      </c>
      <c r="G37" s="416" t="s">
        <v>11658</v>
      </c>
      <c r="H37" s="206">
        <v>38</v>
      </c>
      <c r="I37" s="206">
        <v>1980</v>
      </c>
      <c r="J37" s="204"/>
      <c r="K37" s="215">
        <v>10</v>
      </c>
      <c r="L37" s="204"/>
      <c r="M37" s="215"/>
      <c r="N37" s="215"/>
      <c r="O37" s="204">
        <v>1600</v>
      </c>
      <c r="P37" s="285"/>
      <c r="Q37" s="215"/>
      <c r="R37" s="204">
        <v>682</v>
      </c>
      <c r="S37" s="219"/>
      <c r="T37" s="281"/>
      <c r="U37" s="481"/>
      <c r="V37" s="481"/>
      <c r="W37" s="205"/>
      <c r="X37" s="205"/>
      <c r="Y37" s="269"/>
    </row>
    <row r="38" spans="1:25" s="289" customFormat="1" ht="12.75">
      <c r="A38" s="260" t="s">
        <v>11657</v>
      </c>
      <c r="B38" s="459">
        <v>42198</v>
      </c>
      <c r="C38" s="215">
        <v>10</v>
      </c>
      <c r="D38" s="218">
        <v>7</v>
      </c>
      <c r="E38" s="217" t="s">
        <v>8696</v>
      </c>
      <c r="F38" s="215" t="s">
        <v>8299</v>
      </c>
      <c r="G38" s="416" t="s">
        <v>11658</v>
      </c>
      <c r="H38" s="206">
        <v>31</v>
      </c>
      <c r="I38" s="206">
        <v>2500</v>
      </c>
      <c r="J38" s="204"/>
      <c r="K38" s="215">
        <v>8</v>
      </c>
      <c r="L38" s="204"/>
      <c r="M38" s="215"/>
      <c r="N38" s="215"/>
      <c r="O38" s="204">
        <v>1340</v>
      </c>
      <c r="P38" s="285"/>
      <c r="Q38" s="215"/>
      <c r="R38" s="204">
        <v>493</v>
      </c>
      <c r="S38" s="219"/>
      <c r="T38" s="281"/>
      <c r="U38" s="481"/>
      <c r="V38" s="481"/>
      <c r="W38" s="205"/>
      <c r="X38" s="205"/>
      <c r="Y38" s="269"/>
    </row>
    <row r="39" spans="1:25" s="289" customFormat="1" ht="12.75">
      <c r="A39" s="260" t="s">
        <v>11657</v>
      </c>
      <c r="B39" s="459">
        <v>42198</v>
      </c>
      <c r="C39" s="215">
        <v>2</v>
      </c>
      <c r="D39" s="218">
        <v>133</v>
      </c>
      <c r="E39" s="217" t="s">
        <v>8696</v>
      </c>
      <c r="F39" s="215" t="s">
        <v>7845</v>
      </c>
      <c r="G39" s="416" t="s">
        <v>11658</v>
      </c>
      <c r="H39" s="206">
        <v>28</v>
      </c>
      <c r="I39" s="206">
        <v>2190</v>
      </c>
      <c r="J39" s="204"/>
      <c r="K39" s="215">
        <v>8</v>
      </c>
      <c r="L39" s="204"/>
      <c r="M39" s="215"/>
      <c r="N39" s="215"/>
      <c r="O39" s="204">
        <v>1045</v>
      </c>
      <c r="P39" s="285"/>
      <c r="Q39" s="215"/>
      <c r="R39" s="204">
        <v>450</v>
      </c>
      <c r="S39" s="219"/>
      <c r="T39" s="281"/>
      <c r="U39" s="481"/>
      <c r="V39" s="481"/>
      <c r="W39" s="205"/>
      <c r="X39" s="205"/>
      <c r="Y39" s="269"/>
    </row>
    <row r="40" spans="1:25" s="289" customFormat="1" ht="12.75">
      <c r="A40" s="260" t="s">
        <v>11657</v>
      </c>
      <c r="B40" s="459">
        <v>42198</v>
      </c>
      <c r="C40" s="215">
        <v>3</v>
      </c>
      <c r="D40" s="218">
        <v>133</v>
      </c>
      <c r="E40" s="217" t="s">
        <v>8696</v>
      </c>
      <c r="F40" s="215" t="s">
        <v>8299</v>
      </c>
      <c r="G40" s="416" t="s">
        <v>11658</v>
      </c>
      <c r="H40" s="206">
        <v>26</v>
      </c>
      <c r="I40" s="206">
        <v>2470</v>
      </c>
      <c r="J40" s="204"/>
      <c r="K40" s="215">
        <v>6</v>
      </c>
      <c r="L40" s="204"/>
      <c r="M40" s="215"/>
      <c r="N40" s="215"/>
      <c r="O40" s="204">
        <v>1325</v>
      </c>
      <c r="P40" s="285"/>
      <c r="Q40" s="215"/>
      <c r="R40" s="204">
        <v>485</v>
      </c>
      <c r="S40" s="219"/>
      <c r="T40" s="281"/>
      <c r="U40" s="481"/>
      <c r="V40" s="481"/>
      <c r="W40" s="205"/>
      <c r="X40" s="205"/>
      <c r="Y40" s="269"/>
    </row>
    <row r="41" spans="1:25" s="289" customFormat="1" ht="12.75">
      <c r="A41" s="260" t="s">
        <v>11657</v>
      </c>
      <c r="B41" s="459">
        <v>42198</v>
      </c>
      <c r="C41" s="215">
        <v>4</v>
      </c>
      <c r="D41" s="218">
        <v>133</v>
      </c>
      <c r="E41" s="217" t="s">
        <v>8696</v>
      </c>
      <c r="F41" s="281" t="s">
        <v>8269</v>
      </c>
      <c r="G41" s="416" t="s">
        <v>11658</v>
      </c>
      <c r="H41" s="206">
        <v>12</v>
      </c>
      <c r="I41" s="206">
        <v>1250</v>
      </c>
      <c r="J41" s="204"/>
      <c r="K41" s="215">
        <v>4</v>
      </c>
      <c r="L41" s="204"/>
      <c r="M41" s="215"/>
      <c r="N41" s="281"/>
      <c r="O41" s="204">
        <v>1270</v>
      </c>
      <c r="P41" s="285"/>
      <c r="Q41" s="281"/>
      <c r="R41" s="204">
        <v>600</v>
      </c>
      <c r="S41" s="219"/>
      <c r="T41" s="281"/>
      <c r="U41" s="481"/>
      <c r="V41" s="481"/>
      <c r="W41" s="205"/>
      <c r="X41" s="205"/>
      <c r="Y41" s="269"/>
    </row>
    <row r="42" spans="1:25" s="289" customFormat="1" ht="12.75">
      <c r="A42" s="260" t="s">
        <v>11657</v>
      </c>
      <c r="B42" s="459">
        <v>42198</v>
      </c>
      <c r="C42" s="215">
        <v>8</v>
      </c>
      <c r="D42" s="218">
        <v>133</v>
      </c>
      <c r="E42" s="217" t="s">
        <v>8697</v>
      </c>
      <c r="F42" s="281" t="s">
        <v>8269</v>
      </c>
      <c r="G42" s="416" t="s">
        <v>11658</v>
      </c>
      <c r="H42" s="206">
        <v>31</v>
      </c>
      <c r="I42" s="206">
        <v>1290</v>
      </c>
      <c r="J42" s="204"/>
      <c r="K42" s="215">
        <v>8</v>
      </c>
      <c r="L42" s="204"/>
      <c r="M42" s="215"/>
      <c r="N42" s="281"/>
      <c r="O42" s="204">
        <v>780</v>
      </c>
      <c r="P42" s="285"/>
      <c r="Q42" s="281"/>
      <c r="R42" s="204">
        <v>405</v>
      </c>
      <c r="S42" s="219"/>
      <c r="T42" s="281"/>
      <c r="U42" s="481"/>
      <c r="V42" s="481"/>
      <c r="W42" s="205"/>
      <c r="X42" s="205"/>
      <c r="Y42" s="269"/>
    </row>
    <row r="43" spans="1:25" s="289" customFormat="1" ht="12.75">
      <c r="A43" s="260" t="s">
        <v>11657</v>
      </c>
      <c r="B43" s="459">
        <v>42198</v>
      </c>
      <c r="C43" s="215">
        <v>9</v>
      </c>
      <c r="D43" s="218">
        <v>133</v>
      </c>
      <c r="E43" s="217" t="s">
        <v>8697</v>
      </c>
      <c r="F43" s="281" t="s">
        <v>7845</v>
      </c>
      <c r="G43" s="416" t="s">
        <v>11658</v>
      </c>
      <c r="H43" s="206">
        <v>47</v>
      </c>
      <c r="I43" s="206">
        <v>1760</v>
      </c>
      <c r="J43" s="204"/>
      <c r="K43" s="215">
        <v>11</v>
      </c>
      <c r="L43" s="204"/>
      <c r="M43" s="215"/>
      <c r="N43" s="281"/>
      <c r="O43" s="204">
        <v>866</v>
      </c>
      <c r="P43" s="285"/>
      <c r="Q43" s="281"/>
      <c r="R43" s="204">
        <v>395</v>
      </c>
      <c r="S43" s="219"/>
      <c r="T43" s="281"/>
      <c r="U43" s="481"/>
      <c r="V43" s="481"/>
      <c r="W43" s="205"/>
      <c r="X43" s="205"/>
      <c r="Y43" s="269"/>
    </row>
    <row r="44" spans="1:25" s="289" customFormat="1" ht="12.75">
      <c r="A44" s="260" t="s">
        <v>11657</v>
      </c>
      <c r="B44" s="459">
        <v>42198</v>
      </c>
      <c r="C44" s="215">
        <v>10</v>
      </c>
      <c r="D44" s="218">
        <v>133</v>
      </c>
      <c r="E44" s="217" t="s">
        <v>8697</v>
      </c>
      <c r="F44" s="222" t="s">
        <v>8299</v>
      </c>
      <c r="G44" s="416" t="s">
        <v>11658</v>
      </c>
      <c r="H44" s="206">
        <v>12</v>
      </c>
      <c r="I44" s="206">
        <v>1920</v>
      </c>
      <c r="J44" s="204"/>
      <c r="K44" s="215">
        <v>4</v>
      </c>
      <c r="L44" s="204"/>
      <c r="M44" s="215"/>
      <c r="N44" s="281"/>
      <c r="O44" s="204">
        <v>850</v>
      </c>
      <c r="P44" s="285"/>
      <c r="Q44" s="281"/>
      <c r="R44" s="204">
        <v>375</v>
      </c>
      <c r="S44" s="219"/>
      <c r="T44" s="281"/>
      <c r="U44" s="481"/>
      <c r="V44" s="481"/>
      <c r="W44" s="205"/>
      <c r="X44" s="205"/>
      <c r="Y44" s="269"/>
    </row>
    <row r="45" spans="1:25" ht="12.75">
      <c r="A45" s="220"/>
      <c r="B45" s="221"/>
      <c r="C45" s="186"/>
      <c r="D45" s="186"/>
      <c r="E45" s="186"/>
      <c r="F45" s="186"/>
      <c r="G45" s="186"/>
      <c r="H45" s="186"/>
      <c r="I45" s="186"/>
      <c r="J45" s="186"/>
    </row>
    <row r="46" spans="1:25" ht="12.75">
      <c r="B46" s="186"/>
      <c r="C46" s="186"/>
      <c r="D46" s="186"/>
      <c r="E46" s="186"/>
      <c r="F46" s="186"/>
      <c r="G46" s="186"/>
      <c r="H46" s="186"/>
      <c r="I46" s="186"/>
      <c r="J46" s="494" t="s">
        <v>8178</v>
      </c>
      <c r="K46" s="494"/>
      <c r="L46" s="494"/>
      <c r="M46" s="494"/>
    </row>
    <row r="47" spans="1:25" ht="12.75">
      <c r="A47" s="207" t="s">
        <v>8160</v>
      </c>
      <c r="B47" s="186"/>
      <c r="C47" s="186"/>
      <c r="D47" s="186"/>
      <c r="E47" s="186"/>
      <c r="F47" s="186"/>
      <c r="G47" s="186"/>
      <c r="H47" s="186"/>
      <c r="I47" s="186"/>
      <c r="J47" s="494"/>
      <c r="K47" s="494"/>
      <c r="L47" s="494"/>
      <c r="M47" s="494"/>
    </row>
    <row r="48" spans="1:25" ht="12.75">
      <c r="A48" s="208" t="s">
        <v>8161</v>
      </c>
      <c r="B48" s="186"/>
      <c r="C48" s="186"/>
      <c r="D48" s="186"/>
      <c r="E48" s="186"/>
      <c r="F48" s="186"/>
      <c r="G48" s="186"/>
      <c r="H48" s="186"/>
      <c r="I48" s="186"/>
      <c r="J48" s="186"/>
    </row>
    <row r="49" spans="1:10" ht="12.75">
      <c r="A49" s="208" t="s">
        <v>8162</v>
      </c>
      <c r="B49" s="186"/>
      <c r="C49" s="186"/>
      <c r="D49" s="186"/>
      <c r="E49" s="186"/>
      <c r="F49" s="186"/>
      <c r="G49" s="186"/>
      <c r="H49" s="186"/>
      <c r="I49" s="186"/>
      <c r="J49" s="186"/>
    </row>
    <row r="50" spans="1:10" ht="12.75">
      <c r="A50" s="208" t="s">
        <v>8163</v>
      </c>
      <c r="B50" s="186"/>
      <c r="C50" s="186"/>
      <c r="D50" s="186"/>
      <c r="E50" s="186"/>
      <c r="F50" s="186"/>
      <c r="G50" s="186"/>
      <c r="H50" s="186"/>
      <c r="I50" s="186"/>
      <c r="J50" s="186"/>
    </row>
    <row r="51" spans="1:10" ht="12.75">
      <c r="A51" s="207" t="s">
        <v>8164</v>
      </c>
      <c r="B51" s="186"/>
      <c r="C51" s="186"/>
      <c r="D51" s="186"/>
      <c r="E51" s="186"/>
      <c r="F51" s="186"/>
      <c r="G51" s="186"/>
      <c r="H51" s="186"/>
      <c r="I51" s="186"/>
      <c r="J51" s="186"/>
    </row>
    <row r="52" spans="1:10" ht="12.75">
      <c r="A52" s="207" t="s">
        <v>8165</v>
      </c>
      <c r="B52" s="186"/>
      <c r="C52" s="186"/>
      <c r="D52" s="186"/>
      <c r="E52" s="186"/>
      <c r="F52" s="186"/>
      <c r="G52" s="186"/>
      <c r="H52" s="186"/>
      <c r="I52" s="186"/>
      <c r="J52" s="186"/>
    </row>
    <row r="53" spans="1:10" ht="12.75">
      <c r="A53" s="207" t="s">
        <v>8166</v>
      </c>
      <c r="B53" s="186"/>
      <c r="C53" s="186"/>
      <c r="D53" s="186"/>
      <c r="E53" s="186"/>
      <c r="F53" s="186"/>
      <c r="G53" s="186"/>
      <c r="H53" s="186"/>
      <c r="I53" s="186"/>
      <c r="J53" s="186"/>
    </row>
    <row r="54" spans="1:10" ht="12.75">
      <c r="A54" s="208" t="s">
        <v>8167</v>
      </c>
      <c r="B54" s="186"/>
      <c r="C54" s="186"/>
      <c r="D54" s="186"/>
      <c r="E54" s="186"/>
      <c r="F54" s="186"/>
      <c r="G54" s="186"/>
      <c r="H54" s="186"/>
      <c r="I54" s="186"/>
      <c r="J54" s="186"/>
    </row>
    <row r="55" spans="1:10" ht="12.75">
      <c r="A55" s="208" t="s">
        <v>8168</v>
      </c>
      <c r="B55" s="186"/>
      <c r="C55" s="186"/>
      <c r="D55" s="186"/>
      <c r="E55" s="186"/>
      <c r="F55" s="186"/>
      <c r="G55" s="186"/>
      <c r="H55" s="186"/>
      <c r="I55" s="186"/>
      <c r="J55" s="186"/>
    </row>
    <row r="56" spans="1:10" ht="12.75">
      <c r="A56" s="208" t="s">
        <v>8169</v>
      </c>
    </row>
    <row r="57" spans="1:10" ht="12.75">
      <c r="A57" s="208" t="s">
        <v>8170</v>
      </c>
    </row>
    <row r="58" spans="1:10" ht="12.75">
      <c r="A58" s="186"/>
    </row>
    <row r="59" spans="1:10" ht="12.75">
      <c r="A59" s="186" t="s">
        <v>8171</v>
      </c>
    </row>
  </sheetData>
  <mergeCells count="47">
    <mergeCell ref="U6:V6"/>
    <mergeCell ref="U7:V7"/>
    <mergeCell ref="U8:V8"/>
    <mergeCell ref="J46:M47"/>
    <mergeCell ref="H1:J1"/>
    <mergeCell ref="K1:R1"/>
    <mergeCell ref="S1:T1"/>
    <mergeCell ref="U1:W1"/>
    <mergeCell ref="U3:V3"/>
    <mergeCell ref="U4:V4"/>
    <mergeCell ref="U5:V5"/>
    <mergeCell ref="U13:V13"/>
    <mergeCell ref="U14:V14"/>
    <mergeCell ref="U10:V10"/>
    <mergeCell ref="U9:V9"/>
    <mergeCell ref="U11:V11"/>
    <mergeCell ref="U12:V12"/>
    <mergeCell ref="U32:V32"/>
    <mergeCell ref="U21:V21"/>
    <mergeCell ref="U22:V22"/>
    <mergeCell ref="U23:V23"/>
    <mergeCell ref="U24:V24"/>
    <mergeCell ref="U25:V25"/>
    <mergeCell ref="U26:V26"/>
    <mergeCell ref="U27:V27"/>
    <mergeCell ref="U28:V28"/>
    <mergeCell ref="U29:V29"/>
    <mergeCell ref="U30:V30"/>
    <mergeCell ref="U31:V31"/>
    <mergeCell ref="U19:V19"/>
    <mergeCell ref="U20:V20"/>
    <mergeCell ref="U17:V17"/>
    <mergeCell ref="U18:V18"/>
    <mergeCell ref="U15:V15"/>
    <mergeCell ref="U16:V16"/>
    <mergeCell ref="U44:V44"/>
    <mergeCell ref="U33:V33"/>
    <mergeCell ref="U34:V34"/>
    <mergeCell ref="U35:V35"/>
    <mergeCell ref="U36:V36"/>
    <mergeCell ref="U37:V37"/>
    <mergeCell ref="U38:V38"/>
    <mergeCell ref="U39:V39"/>
    <mergeCell ref="U40:V40"/>
    <mergeCell ref="U41:V41"/>
    <mergeCell ref="U42:V42"/>
    <mergeCell ref="U43:V43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J123"/>
  <sheetViews>
    <sheetView topLeftCell="A34" zoomScale="80" zoomScaleNormal="80" workbookViewId="0">
      <selection activeCell="B72" sqref="A72:XFD75"/>
    </sheetView>
  </sheetViews>
  <sheetFormatPr baseColWidth="10" defaultRowHeight="12"/>
  <cols>
    <col min="2" max="7" width="14.42578125" customWidth="1"/>
    <col min="8" max="8" width="18.85546875" customWidth="1"/>
    <col min="9" max="105" width="14.42578125" customWidth="1"/>
    <col min="106" max="106" width="17" customWidth="1"/>
    <col min="107" max="140" width="14.42578125" customWidth="1"/>
  </cols>
  <sheetData>
    <row r="1" spans="1:140" ht="12.75" thickBot="1"/>
    <row r="2" spans="1:140" ht="12.75">
      <c r="C2" s="348" t="s">
        <v>8507</v>
      </c>
      <c r="D2" t="s">
        <v>11644</v>
      </c>
      <c r="F2" s="350" t="s">
        <v>8507</v>
      </c>
      <c r="G2" s="350" t="s">
        <v>11645</v>
      </c>
    </row>
    <row r="3" spans="1:140" ht="12.75">
      <c r="C3" s="352" t="s">
        <v>8734</v>
      </c>
      <c r="F3" s="354" t="s">
        <v>8734</v>
      </c>
      <c r="G3" s="354" t="s">
        <v>11646</v>
      </c>
    </row>
    <row r="5" spans="1:140" ht="12.75">
      <c r="C5" s="333" t="s">
        <v>8507</v>
      </c>
      <c r="D5" t="s">
        <v>11643</v>
      </c>
    </row>
    <row r="6" spans="1:140" ht="12.75">
      <c r="C6" s="336" t="s">
        <v>8911</v>
      </c>
    </row>
    <row r="10" spans="1:140" ht="12.75" thickBot="1"/>
    <row r="11" spans="1:140" ht="12.75">
      <c r="A11" s="507">
        <v>12</v>
      </c>
      <c r="B11" s="347" t="s">
        <v>8731</v>
      </c>
      <c r="C11" s="348" t="s">
        <v>8507</v>
      </c>
      <c r="D11" s="348" t="s">
        <v>8507</v>
      </c>
      <c r="E11" s="348" t="s">
        <v>8507</v>
      </c>
      <c r="F11" s="347" t="s">
        <v>8507</v>
      </c>
      <c r="G11" s="347" t="s">
        <v>8731</v>
      </c>
      <c r="H11" s="349" t="s">
        <v>8732</v>
      </c>
      <c r="I11" s="347" t="s">
        <v>8731</v>
      </c>
      <c r="J11" s="348" t="s">
        <v>8506</v>
      </c>
      <c r="K11" s="348" t="s">
        <v>8506</v>
      </c>
      <c r="L11" s="348" t="s">
        <v>8506</v>
      </c>
      <c r="M11" s="348" t="s">
        <v>8506</v>
      </c>
      <c r="N11" s="348" t="s">
        <v>8506</v>
      </c>
      <c r="O11" s="348" t="s">
        <v>8506</v>
      </c>
      <c r="P11" s="348" t="s">
        <v>8506</v>
      </c>
      <c r="Q11" s="348" t="s">
        <v>8506</v>
      </c>
      <c r="R11" s="348" t="s">
        <v>8506</v>
      </c>
      <c r="S11" s="348" t="s">
        <v>8506</v>
      </c>
      <c r="T11" s="348" t="s">
        <v>8506</v>
      </c>
      <c r="U11" s="348" t="s">
        <v>8506</v>
      </c>
      <c r="V11" s="348" t="s">
        <v>8506</v>
      </c>
      <c r="W11" s="348" t="s">
        <v>8506</v>
      </c>
      <c r="X11" s="348" t="s">
        <v>8506</v>
      </c>
      <c r="Y11" s="348" t="s">
        <v>8506</v>
      </c>
      <c r="Z11" s="348" t="s">
        <v>8506</v>
      </c>
      <c r="AA11" s="348" t="s">
        <v>8506</v>
      </c>
      <c r="AB11" s="350" t="s">
        <v>8506</v>
      </c>
      <c r="AC11" s="348" t="s">
        <v>8506</v>
      </c>
      <c r="AD11" s="348" t="s">
        <v>8506</v>
      </c>
      <c r="AE11" s="348" t="s">
        <v>8506</v>
      </c>
      <c r="AF11" s="348" t="s">
        <v>8506</v>
      </c>
      <c r="AG11" s="348" t="s">
        <v>8506</v>
      </c>
      <c r="AH11" s="348" t="s">
        <v>8506</v>
      </c>
      <c r="AI11" s="348" t="s">
        <v>8506</v>
      </c>
      <c r="AJ11" s="348" t="s">
        <v>8506</v>
      </c>
      <c r="AK11" s="348" t="s">
        <v>8506</v>
      </c>
      <c r="AL11" s="348" t="s">
        <v>8506</v>
      </c>
      <c r="AM11" s="348" t="s">
        <v>8506</v>
      </c>
      <c r="AN11" s="348" t="s">
        <v>8506</v>
      </c>
      <c r="AO11" s="348" t="s">
        <v>8506</v>
      </c>
      <c r="AP11" s="348" t="s">
        <v>8506</v>
      </c>
      <c r="AQ11" s="348" t="s">
        <v>8506</v>
      </c>
      <c r="AR11" s="348" t="s">
        <v>8506</v>
      </c>
      <c r="AS11" s="348" t="s">
        <v>8506</v>
      </c>
      <c r="AT11" s="348" t="s">
        <v>8506</v>
      </c>
      <c r="AU11" s="348" t="s">
        <v>8506</v>
      </c>
      <c r="AV11" s="350" t="s">
        <v>8506</v>
      </c>
      <c r="AW11" s="348" t="s">
        <v>8506</v>
      </c>
      <c r="AX11" s="348" t="s">
        <v>8506</v>
      </c>
      <c r="AY11" s="348" t="s">
        <v>8506</v>
      </c>
      <c r="AZ11" s="348" t="s">
        <v>8506</v>
      </c>
      <c r="BA11" s="348" t="s">
        <v>8506</v>
      </c>
      <c r="BB11" s="348" t="s">
        <v>8506</v>
      </c>
      <c r="BC11" s="348" t="s">
        <v>8506</v>
      </c>
      <c r="BD11" s="348" t="s">
        <v>8506</v>
      </c>
      <c r="BE11" s="348" t="s">
        <v>8506</v>
      </c>
      <c r="BF11" s="348" t="s">
        <v>8506</v>
      </c>
      <c r="BG11" s="348" t="s">
        <v>8506</v>
      </c>
      <c r="BH11" s="348" t="s">
        <v>8506</v>
      </c>
      <c r="BI11" s="348" t="s">
        <v>8506</v>
      </c>
      <c r="BJ11" s="348" t="s">
        <v>8506</v>
      </c>
      <c r="BK11" s="348" t="s">
        <v>8506</v>
      </c>
      <c r="BL11" s="348" t="s">
        <v>8506</v>
      </c>
      <c r="BM11" s="348" t="s">
        <v>8506</v>
      </c>
      <c r="BN11" s="348" t="s">
        <v>8506</v>
      </c>
      <c r="BO11" s="348" t="s">
        <v>8506</v>
      </c>
      <c r="BP11" s="348" t="s">
        <v>8506</v>
      </c>
      <c r="BQ11" s="347" t="s">
        <v>8506</v>
      </c>
      <c r="BR11" s="347" t="s">
        <v>8731</v>
      </c>
      <c r="BS11" s="312" t="s">
        <v>8732</v>
      </c>
      <c r="BT11" s="343" t="s">
        <v>8731</v>
      </c>
      <c r="BU11" s="344" t="s">
        <v>8506</v>
      </c>
      <c r="BV11" s="344" t="s">
        <v>8506</v>
      </c>
      <c r="BW11" s="344" t="s">
        <v>8506</v>
      </c>
      <c r="BX11" s="344" t="s">
        <v>8506</v>
      </c>
      <c r="BY11" s="344" t="s">
        <v>8506</v>
      </c>
      <c r="BZ11" s="344" t="s">
        <v>8506</v>
      </c>
      <c r="CA11" s="344" t="s">
        <v>8506</v>
      </c>
      <c r="CB11" s="344" t="s">
        <v>8506</v>
      </c>
      <c r="CC11" s="344" t="s">
        <v>8506</v>
      </c>
      <c r="CD11" s="344" t="s">
        <v>8506</v>
      </c>
      <c r="CE11" s="344" t="s">
        <v>8506</v>
      </c>
      <c r="CF11" s="344" t="s">
        <v>8506</v>
      </c>
      <c r="CG11" s="344" t="s">
        <v>8506</v>
      </c>
      <c r="CH11" s="344" t="s">
        <v>8506</v>
      </c>
      <c r="CI11" s="344" t="s">
        <v>8506</v>
      </c>
      <c r="CJ11" s="344" t="s">
        <v>8506</v>
      </c>
      <c r="CK11" s="344" t="s">
        <v>8506</v>
      </c>
      <c r="CL11" s="344" t="s">
        <v>8506</v>
      </c>
      <c r="CM11" s="344" t="s">
        <v>8506</v>
      </c>
      <c r="CN11" s="344" t="s">
        <v>8506</v>
      </c>
      <c r="CO11" s="344" t="s">
        <v>8506</v>
      </c>
      <c r="CP11" s="345" t="s">
        <v>8506</v>
      </c>
      <c r="CQ11" s="344" t="s">
        <v>8506</v>
      </c>
      <c r="CR11" s="344" t="s">
        <v>8506</v>
      </c>
      <c r="CS11" s="344" t="s">
        <v>8506</v>
      </c>
      <c r="CT11" s="344" t="s">
        <v>8506</v>
      </c>
      <c r="CU11" s="344" t="s">
        <v>8506</v>
      </c>
      <c r="CV11" s="344" t="s">
        <v>8506</v>
      </c>
      <c r="CW11" s="344" t="s">
        <v>8506</v>
      </c>
      <c r="CX11" s="344" t="s">
        <v>8506</v>
      </c>
      <c r="CY11" s="344" t="s">
        <v>8506</v>
      </c>
      <c r="CZ11" s="344" t="s">
        <v>8506</v>
      </c>
      <c r="DA11" s="344" t="s">
        <v>8506</v>
      </c>
      <c r="DB11" s="344" t="s">
        <v>8506</v>
      </c>
      <c r="DC11" s="344" t="s">
        <v>8506</v>
      </c>
      <c r="DD11" s="344" t="s">
        <v>8506</v>
      </c>
      <c r="DE11" s="344" t="s">
        <v>8506</v>
      </c>
      <c r="DF11" s="344" t="s">
        <v>8506</v>
      </c>
      <c r="DG11" s="344" t="s">
        <v>8506</v>
      </c>
      <c r="DH11" s="344" t="s">
        <v>8506</v>
      </c>
      <c r="DI11" s="344" t="s">
        <v>8506</v>
      </c>
      <c r="DJ11" s="344" t="s">
        <v>8506</v>
      </c>
      <c r="DK11" s="344" t="s">
        <v>8506</v>
      </c>
      <c r="DL11" s="344" t="s">
        <v>8506</v>
      </c>
      <c r="DM11" s="344" t="s">
        <v>8506</v>
      </c>
      <c r="DN11" s="344" t="s">
        <v>8506</v>
      </c>
      <c r="DO11" s="344" t="s">
        <v>8506</v>
      </c>
      <c r="DP11" s="345" t="s">
        <v>8506</v>
      </c>
      <c r="DQ11" s="344" t="s">
        <v>8506</v>
      </c>
      <c r="DR11" s="344" t="s">
        <v>8506</v>
      </c>
      <c r="DS11" s="344" t="s">
        <v>8506</v>
      </c>
      <c r="DT11" s="344" t="s">
        <v>8506</v>
      </c>
      <c r="DU11" s="344" t="s">
        <v>8506</v>
      </c>
      <c r="DV11" s="344" t="s">
        <v>8506</v>
      </c>
      <c r="DW11" s="344" t="s">
        <v>8506</v>
      </c>
      <c r="DX11" s="344" t="s">
        <v>8506</v>
      </c>
      <c r="DY11" s="344" t="s">
        <v>8506</v>
      </c>
      <c r="DZ11" s="344" t="s">
        <v>8506</v>
      </c>
      <c r="EA11" s="344" t="s">
        <v>8506</v>
      </c>
      <c r="EB11" s="343" t="s">
        <v>8506</v>
      </c>
      <c r="EC11" s="343" t="s">
        <v>8731</v>
      </c>
      <c r="ED11" s="346" t="s">
        <v>8732</v>
      </c>
      <c r="EE11" s="343" t="s">
        <v>8731</v>
      </c>
      <c r="EF11" s="344" t="s">
        <v>8507</v>
      </c>
      <c r="EG11" s="344" t="s">
        <v>8507</v>
      </c>
      <c r="EH11" s="344" t="s">
        <v>8507</v>
      </c>
      <c r="EI11" s="343" t="s">
        <v>8507</v>
      </c>
      <c r="EJ11" s="343" t="s">
        <v>8731</v>
      </c>
    </row>
    <row r="12" spans="1:140" ht="13.5" thickBot="1">
      <c r="A12" s="506"/>
      <c r="B12" s="351" t="s">
        <v>8733</v>
      </c>
      <c r="C12" s="352" t="s">
        <v>8734</v>
      </c>
      <c r="D12" s="352" t="s">
        <v>8735</v>
      </c>
      <c r="E12" s="352" t="s">
        <v>8736</v>
      </c>
      <c r="F12" s="351" t="s">
        <v>8737</v>
      </c>
      <c r="G12" s="351" t="s">
        <v>8733</v>
      </c>
      <c r="H12" s="353" t="s">
        <v>8738</v>
      </c>
      <c r="I12" s="351" t="s">
        <v>8733</v>
      </c>
      <c r="J12" s="352" t="s">
        <v>8739</v>
      </c>
      <c r="K12" s="352" t="s">
        <v>8740</v>
      </c>
      <c r="L12" s="352" t="s">
        <v>8741</v>
      </c>
      <c r="M12" s="352" t="s">
        <v>8742</v>
      </c>
      <c r="N12" s="352" t="s">
        <v>8743</v>
      </c>
      <c r="O12" s="352" t="s">
        <v>8744</v>
      </c>
      <c r="P12" s="352" t="s">
        <v>8745</v>
      </c>
      <c r="Q12" s="352" t="s">
        <v>8746</v>
      </c>
      <c r="R12" s="352" t="s">
        <v>8747</v>
      </c>
      <c r="S12" s="352" t="s">
        <v>8748</v>
      </c>
      <c r="T12" s="352" t="s">
        <v>8749</v>
      </c>
      <c r="U12" s="352" t="s">
        <v>8750</v>
      </c>
      <c r="V12" s="352" t="s">
        <v>8751</v>
      </c>
      <c r="W12" s="352" t="s">
        <v>8752</v>
      </c>
      <c r="X12" s="352" t="s">
        <v>8753</v>
      </c>
      <c r="Y12" s="352" t="s">
        <v>8754</v>
      </c>
      <c r="Z12" s="352" t="s">
        <v>8755</v>
      </c>
      <c r="AA12" s="352" t="s">
        <v>8756</v>
      </c>
      <c r="AB12" s="354" t="s">
        <v>8757</v>
      </c>
      <c r="AC12" s="352" t="s">
        <v>8758</v>
      </c>
      <c r="AD12" s="352" t="s">
        <v>8759</v>
      </c>
      <c r="AE12" s="352" t="s">
        <v>8736</v>
      </c>
      <c r="AF12" s="352" t="s">
        <v>8760</v>
      </c>
      <c r="AG12" s="352" t="s">
        <v>8761</v>
      </c>
      <c r="AH12" s="352" t="s">
        <v>8762</v>
      </c>
      <c r="AI12" s="352" t="s">
        <v>8763</v>
      </c>
      <c r="AJ12" s="352" t="s">
        <v>8764</v>
      </c>
      <c r="AK12" s="352" t="s">
        <v>9085</v>
      </c>
      <c r="AL12" s="352" t="s">
        <v>9086</v>
      </c>
      <c r="AM12" s="352" t="s">
        <v>9087</v>
      </c>
      <c r="AN12" s="352" t="s">
        <v>9088</v>
      </c>
      <c r="AO12" s="352" t="s">
        <v>9089</v>
      </c>
      <c r="AP12" s="352" t="s">
        <v>9090</v>
      </c>
      <c r="AQ12" s="352" t="s">
        <v>9091</v>
      </c>
      <c r="AR12" s="352" t="s">
        <v>9092</v>
      </c>
      <c r="AS12" s="352" t="s">
        <v>9093</v>
      </c>
      <c r="AT12" s="352" t="s">
        <v>9094</v>
      </c>
      <c r="AU12" s="352" t="s">
        <v>9095</v>
      </c>
      <c r="AV12" s="354" t="s">
        <v>9096</v>
      </c>
      <c r="AW12" s="352" t="s">
        <v>8796</v>
      </c>
      <c r="AX12" s="352" t="s">
        <v>9097</v>
      </c>
      <c r="AY12" s="352" t="s">
        <v>9098</v>
      </c>
      <c r="AZ12" s="352" t="s">
        <v>9099</v>
      </c>
      <c r="BA12" s="352" t="s">
        <v>9100</v>
      </c>
      <c r="BB12" s="352" t="s">
        <v>9101</v>
      </c>
      <c r="BC12" s="352" t="s">
        <v>9102</v>
      </c>
      <c r="BD12" s="352" t="s">
        <v>9103</v>
      </c>
      <c r="BE12" s="352" t="s">
        <v>9104</v>
      </c>
      <c r="BF12" s="352" t="s">
        <v>9105</v>
      </c>
      <c r="BG12" s="352" t="s">
        <v>9106</v>
      </c>
      <c r="BH12" s="352" t="s">
        <v>9107</v>
      </c>
      <c r="BI12" s="352" t="s">
        <v>9108</v>
      </c>
      <c r="BJ12" s="352" t="s">
        <v>9109</v>
      </c>
      <c r="BK12" s="352" t="s">
        <v>9110</v>
      </c>
      <c r="BL12" s="352" t="s">
        <v>9111</v>
      </c>
      <c r="BM12" s="352" t="s">
        <v>9112</v>
      </c>
      <c r="BN12" s="352" t="s">
        <v>9113</v>
      </c>
      <c r="BO12" s="352" t="s">
        <v>9114</v>
      </c>
      <c r="BP12" s="352" t="s">
        <v>9115</v>
      </c>
      <c r="BQ12" s="351" t="s">
        <v>9116</v>
      </c>
      <c r="BR12" s="351" t="s">
        <v>8733</v>
      </c>
      <c r="BS12" s="317" t="s">
        <v>8738</v>
      </c>
      <c r="BT12" s="335" t="s">
        <v>8733</v>
      </c>
      <c r="BU12" s="336" t="s">
        <v>9454</v>
      </c>
      <c r="BV12" s="336" t="s">
        <v>9455</v>
      </c>
      <c r="BW12" s="336" t="s">
        <v>9456</v>
      </c>
      <c r="BX12" s="336" t="s">
        <v>9457</v>
      </c>
      <c r="BY12" s="336" t="s">
        <v>9458</v>
      </c>
      <c r="BZ12" s="336" t="s">
        <v>9459</v>
      </c>
      <c r="CA12" s="336" t="s">
        <v>9460</v>
      </c>
      <c r="CB12" s="336" t="s">
        <v>9461</v>
      </c>
      <c r="CC12" s="336" t="s">
        <v>9462</v>
      </c>
      <c r="CD12" s="336" t="s">
        <v>9463</v>
      </c>
      <c r="CE12" s="336" t="s">
        <v>9464</v>
      </c>
      <c r="CF12" s="336" t="s">
        <v>9465</v>
      </c>
      <c r="CG12" s="336" t="s">
        <v>9466</v>
      </c>
      <c r="CH12" s="336" t="s">
        <v>9467</v>
      </c>
      <c r="CI12" s="336" t="s">
        <v>9468</v>
      </c>
      <c r="CJ12" s="336" t="s">
        <v>9469</v>
      </c>
      <c r="CK12" s="336" t="s">
        <v>9470</v>
      </c>
      <c r="CL12" s="336" t="s">
        <v>9471</v>
      </c>
      <c r="CM12" s="336" t="s">
        <v>9472</v>
      </c>
      <c r="CN12" s="336" t="s">
        <v>9473</v>
      </c>
      <c r="CO12" s="336" t="s">
        <v>9474</v>
      </c>
      <c r="CP12" s="339" t="s">
        <v>9475</v>
      </c>
      <c r="CQ12" s="336" t="s">
        <v>9476</v>
      </c>
      <c r="CR12" s="336" t="s">
        <v>9477</v>
      </c>
      <c r="CS12" s="336" t="s">
        <v>9478</v>
      </c>
      <c r="CT12" s="336" t="s">
        <v>9479</v>
      </c>
      <c r="CU12" s="336" t="s">
        <v>9480</v>
      </c>
      <c r="CV12" s="336" t="s">
        <v>9481</v>
      </c>
      <c r="CW12" s="336" t="s">
        <v>9482</v>
      </c>
      <c r="CX12" s="336" t="s">
        <v>9483</v>
      </c>
      <c r="CY12" s="336" t="s">
        <v>9484</v>
      </c>
      <c r="CZ12" s="336" t="s">
        <v>9485</v>
      </c>
      <c r="DA12" s="336" t="s">
        <v>9486</v>
      </c>
      <c r="DB12" s="336" t="s">
        <v>9487</v>
      </c>
      <c r="DC12" s="336" t="s">
        <v>9862</v>
      </c>
      <c r="DD12" s="336" t="s">
        <v>9863</v>
      </c>
      <c r="DE12" s="336" t="s">
        <v>9864</v>
      </c>
      <c r="DF12" s="336" t="s">
        <v>9865</v>
      </c>
      <c r="DG12" s="336" t="s">
        <v>9866</v>
      </c>
      <c r="DH12" s="336" t="s">
        <v>9867</v>
      </c>
      <c r="DI12" s="336" t="s">
        <v>9868</v>
      </c>
      <c r="DJ12" s="336" t="s">
        <v>9869</v>
      </c>
      <c r="DK12" s="336" t="s">
        <v>9870</v>
      </c>
      <c r="DL12" s="336" t="s">
        <v>9871</v>
      </c>
      <c r="DM12" s="336" t="s">
        <v>9872</v>
      </c>
      <c r="DN12" s="336" t="s">
        <v>9873</v>
      </c>
      <c r="DO12" s="336" t="s">
        <v>9874</v>
      </c>
      <c r="DP12" s="339" t="s">
        <v>9875</v>
      </c>
      <c r="DQ12" s="336" t="s">
        <v>9876</v>
      </c>
      <c r="DR12" s="336" t="s">
        <v>9877</v>
      </c>
      <c r="DS12" s="336" t="s">
        <v>9878</v>
      </c>
      <c r="DT12" s="336" t="s">
        <v>9879</v>
      </c>
      <c r="DU12" s="336" t="s">
        <v>9880</v>
      </c>
      <c r="DV12" s="336" t="s">
        <v>9881</v>
      </c>
      <c r="DW12" s="336" t="s">
        <v>9882</v>
      </c>
      <c r="DX12" s="336" t="s">
        <v>9883</v>
      </c>
      <c r="DY12" s="336" t="s">
        <v>9884</v>
      </c>
      <c r="DZ12" s="336" t="s">
        <v>9885</v>
      </c>
      <c r="EA12" s="336" t="s">
        <v>9886</v>
      </c>
      <c r="EB12" s="335" t="s">
        <v>9887</v>
      </c>
      <c r="EC12" s="335" t="s">
        <v>8733</v>
      </c>
      <c r="ED12" s="337" t="s">
        <v>8738</v>
      </c>
      <c r="EE12" s="335" t="s">
        <v>8733</v>
      </c>
      <c r="EF12" s="336" t="s">
        <v>9888</v>
      </c>
      <c r="EG12" s="336" t="s">
        <v>9605</v>
      </c>
      <c r="EH12" s="336" t="s">
        <v>9631</v>
      </c>
      <c r="EI12" s="335" t="s">
        <v>9499</v>
      </c>
      <c r="EJ12" s="335" t="s">
        <v>8733</v>
      </c>
    </row>
    <row r="13" spans="1:140" ht="12.75">
      <c r="A13" s="505">
        <v>11</v>
      </c>
      <c r="B13" s="355" t="s">
        <v>8731</v>
      </c>
      <c r="C13" s="356" t="s">
        <v>8507</v>
      </c>
      <c r="D13" s="356" t="s">
        <v>8507</v>
      </c>
      <c r="E13" s="356" t="s">
        <v>8507</v>
      </c>
      <c r="F13" s="357" t="s">
        <v>8507</v>
      </c>
      <c r="G13" s="355" t="s">
        <v>8731</v>
      </c>
      <c r="H13" s="355" t="s">
        <v>8508</v>
      </c>
      <c r="I13" s="355" t="s">
        <v>8731</v>
      </c>
      <c r="J13" s="356" t="s">
        <v>8506</v>
      </c>
      <c r="K13" s="356" t="s">
        <v>8506</v>
      </c>
      <c r="L13" s="356" t="s">
        <v>8506</v>
      </c>
      <c r="M13" s="356" t="s">
        <v>8506</v>
      </c>
      <c r="N13" s="356" t="s">
        <v>8506</v>
      </c>
      <c r="O13" s="356" t="s">
        <v>8506</v>
      </c>
      <c r="P13" s="356" t="s">
        <v>8506</v>
      </c>
      <c r="Q13" s="356" t="s">
        <v>8506</v>
      </c>
      <c r="R13" s="356" t="s">
        <v>8506</v>
      </c>
      <c r="S13" s="356" t="s">
        <v>8506</v>
      </c>
      <c r="T13" s="356" t="s">
        <v>8506</v>
      </c>
      <c r="U13" s="356" t="s">
        <v>8506</v>
      </c>
      <c r="V13" s="356" t="s">
        <v>8506</v>
      </c>
      <c r="W13" s="356" t="s">
        <v>8506</v>
      </c>
      <c r="X13" s="356" t="s">
        <v>8506</v>
      </c>
      <c r="Y13" s="356" t="s">
        <v>8506</v>
      </c>
      <c r="Z13" s="356" t="s">
        <v>8506</v>
      </c>
      <c r="AA13" s="356" t="s">
        <v>8506</v>
      </c>
      <c r="AB13" s="356" t="s">
        <v>8506</v>
      </c>
      <c r="AC13" s="356" t="s">
        <v>8506</v>
      </c>
      <c r="AD13" s="356" t="s">
        <v>8506</v>
      </c>
      <c r="AE13" s="356" t="s">
        <v>8506</v>
      </c>
      <c r="AF13" s="356" t="s">
        <v>8506</v>
      </c>
      <c r="AG13" s="356" t="s">
        <v>8506</v>
      </c>
      <c r="AH13" s="356" t="s">
        <v>8506</v>
      </c>
      <c r="AI13" s="356" t="s">
        <v>8506</v>
      </c>
      <c r="AJ13" s="356" t="s">
        <v>8506</v>
      </c>
      <c r="AK13" s="356" t="s">
        <v>8506</v>
      </c>
      <c r="AL13" s="358" t="s">
        <v>8506</v>
      </c>
      <c r="AM13" s="356" t="s">
        <v>8506</v>
      </c>
      <c r="AN13" s="358" t="s">
        <v>8506</v>
      </c>
      <c r="AO13" s="356" t="s">
        <v>8506</v>
      </c>
      <c r="AP13" s="356" t="s">
        <v>8506</v>
      </c>
      <c r="AQ13" s="356" t="s">
        <v>8506</v>
      </c>
      <c r="AR13" s="356" t="s">
        <v>8506</v>
      </c>
      <c r="AS13" s="356" t="s">
        <v>8506</v>
      </c>
      <c r="AT13" s="356" t="s">
        <v>8506</v>
      </c>
      <c r="AU13" s="356" t="s">
        <v>8506</v>
      </c>
      <c r="AV13" s="356" t="s">
        <v>8506</v>
      </c>
      <c r="AW13" s="356" t="s">
        <v>8506</v>
      </c>
      <c r="AX13" s="358" t="s">
        <v>8506</v>
      </c>
      <c r="AY13" s="356" t="s">
        <v>8506</v>
      </c>
      <c r="AZ13" s="356" t="s">
        <v>8506</v>
      </c>
      <c r="BA13" s="356" t="s">
        <v>8506</v>
      </c>
      <c r="BB13" s="356" t="s">
        <v>8506</v>
      </c>
      <c r="BC13" s="356" t="s">
        <v>8506</v>
      </c>
      <c r="BD13" s="356" t="s">
        <v>8506</v>
      </c>
      <c r="BE13" s="356" t="s">
        <v>8506</v>
      </c>
      <c r="BF13" s="356" t="s">
        <v>8506</v>
      </c>
      <c r="BG13" s="356" t="s">
        <v>8506</v>
      </c>
      <c r="BH13" s="358" t="s">
        <v>8506</v>
      </c>
      <c r="BI13" s="356" t="s">
        <v>8506</v>
      </c>
      <c r="BJ13" s="356" t="s">
        <v>8506</v>
      </c>
      <c r="BK13" s="356" t="s">
        <v>8506</v>
      </c>
      <c r="BL13" s="356" t="s">
        <v>8506</v>
      </c>
      <c r="BM13" s="356" t="s">
        <v>8506</v>
      </c>
      <c r="BN13" s="356" t="s">
        <v>8506</v>
      </c>
      <c r="BO13" s="356" t="s">
        <v>8506</v>
      </c>
      <c r="BP13" s="356" t="s">
        <v>8506</v>
      </c>
      <c r="BQ13" s="355" t="s">
        <v>8506</v>
      </c>
      <c r="BR13" s="355" t="s">
        <v>8731</v>
      </c>
      <c r="BS13" s="314" t="s">
        <v>8732</v>
      </c>
      <c r="BT13" s="332" t="s">
        <v>8731</v>
      </c>
      <c r="BU13" s="333" t="s">
        <v>8506</v>
      </c>
      <c r="BV13" s="333" t="s">
        <v>8506</v>
      </c>
      <c r="BW13" s="333" t="s">
        <v>8506</v>
      </c>
      <c r="BX13" s="333" t="s">
        <v>8506</v>
      </c>
      <c r="BY13" s="333" t="s">
        <v>8506</v>
      </c>
      <c r="BZ13" s="333" t="s">
        <v>8506</v>
      </c>
      <c r="CA13" s="333" t="s">
        <v>8506</v>
      </c>
      <c r="CB13" s="333" t="s">
        <v>8506</v>
      </c>
      <c r="CC13" s="333" t="s">
        <v>8506</v>
      </c>
      <c r="CD13" s="333" t="s">
        <v>8506</v>
      </c>
      <c r="CE13" s="333" t="s">
        <v>8506</v>
      </c>
      <c r="CF13" s="333" t="s">
        <v>8506</v>
      </c>
      <c r="CG13" s="333" t="s">
        <v>8506</v>
      </c>
      <c r="CH13" s="333" t="s">
        <v>8506</v>
      </c>
      <c r="CI13" s="333" t="s">
        <v>8506</v>
      </c>
      <c r="CJ13" s="333" t="s">
        <v>8506</v>
      </c>
      <c r="CK13" s="333" t="s">
        <v>8506</v>
      </c>
      <c r="CL13" s="333" t="s">
        <v>8506</v>
      </c>
      <c r="CM13" s="333" t="s">
        <v>8506</v>
      </c>
      <c r="CN13" s="333" t="s">
        <v>8506</v>
      </c>
      <c r="CO13" s="333" t="s">
        <v>8506</v>
      </c>
      <c r="CP13" s="333" t="s">
        <v>8506</v>
      </c>
      <c r="CQ13" s="333" t="s">
        <v>8506</v>
      </c>
      <c r="CR13" s="333" t="s">
        <v>8506</v>
      </c>
      <c r="CS13" s="333" t="s">
        <v>8506</v>
      </c>
      <c r="CT13" s="333" t="s">
        <v>8506</v>
      </c>
      <c r="CU13" s="333" t="s">
        <v>8506</v>
      </c>
      <c r="CV13" s="333" t="s">
        <v>8506</v>
      </c>
      <c r="CW13" s="333" t="s">
        <v>8506</v>
      </c>
      <c r="CX13" s="333" t="s">
        <v>8506</v>
      </c>
      <c r="CY13" s="338" t="s">
        <v>8506</v>
      </c>
      <c r="CZ13" s="333" t="s">
        <v>8506</v>
      </c>
      <c r="DA13" s="333" t="s">
        <v>8506</v>
      </c>
      <c r="DB13" s="333" t="s">
        <v>8506</v>
      </c>
      <c r="DC13" s="338" t="s">
        <v>8506</v>
      </c>
      <c r="DD13" s="333" t="s">
        <v>8506</v>
      </c>
      <c r="DE13" s="333" t="s">
        <v>8506</v>
      </c>
      <c r="DF13" s="333" t="s">
        <v>8506</v>
      </c>
      <c r="DG13" s="333" t="s">
        <v>8506</v>
      </c>
      <c r="DH13" s="333" t="s">
        <v>8506</v>
      </c>
      <c r="DI13" s="333" t="s">
        <v>8506</v>
      </c>
      <c r="DJ13" s="333" t="s">
        <v>8506</v>
      </c>
      <c r="DK13" s="333" t="s">
        <v>8506</v>
      </c>
      <c r="DL13" s="333" t="s">
        <v>8506</v>
      </c>
      <c r="DM13" s="333" t="s">
        <v>8506</v>
      </c>
      <c r="DN13" s="333" t="s">
        <v>8506</v>
      </c>
      <c r="DO13" s="333" t="s">
        <v>8506</v>
      </c>
      <c r="DP13" s="338" t="s">
        <v>8506</v>
      </c>
      <c r="DQ13" s="333" t="s">
        <v>8506</v>
      </c>
      <c r="DR13" s="333" t="s">
        <v>8506</v>
      </c>
      <c r="DS13" s="333" t="s">
        <v>8506</v>
      </c>
      <c r="DT13" s="333" t="s">
        <v>8506</v>
      </c>
      <c r="DU13" s="333" t="s">
        <v>8506</v>
      </c>
      <c r="DV13" s="333" t="s">
        <v>8506</v>
      </c>
      <c r="DW13" s="333" t="s">
        <v>8506</v>
      </c>
      <c r="DX13" s="333" t="s">
        <v>8506</v>
      </c>
      <c r="DY13" s="333" t="s">
        <v>8506</v>
      </c>
      <c r="DZ13" s="333" t="s">
        <v>8506</v>
      </c>
      <c r="EA13" s="333" t="s">
        <v>8506</v>
      </c>
      <c r="EB13" s="332" t="s">
        <v>8506</v>
      </c>
      <c r="EC13" s="332" t="s">
        <v>8731</v>
      </c>
      <c r="ED13" s="332" t="s">
        <v>8508</v>
      </c>
      <c r="EE13" s="332" t="s">
        <v>8731</v>
      </c>
      <c r="EF13" s="333" t="s">
        <v>8507</v>
      </c>
      <c r="EG13" s="333" t="s">
        <v>8507</v>
      </c>
      <c r="EH13" s="333" t="s">
        <v>8507</v>
      </c>
      <c r="EI13" s="332" t="s">
        <v>8507</v>
      </c>
      <c r="EJ13" s="332" t="s">
        <v>8731</v>
      </c>
    </row>
    <row r="14" spans="1:140" ht="12.75">
      <c r="A14" s="506"/>
      <c r="B14" s="351" t="s">
        <v>8733</v>
      </c>
      <c r="C14" s="352" t="s">
        <v>8765</v>
      </c>
      <c r="D14" s="352" t="s">
        <v>8766</v>
      </c>
      <c r="E14" s="352" t="s">
        <v>8767</v>
      </c>
      <c r="F14" s="359" t="s">
        <v>8768</v>
      </c>
      <c r="G14" s="351" t="s">
        <v>8733</v>
      </c>
      <c r="H14" s="351" t="s">
        <v>8769</v>
      </c>
      <c r="I14" s="351" t="s">
        <v>8733</v>
      </c>
      <c r="J14" s="352" t="s">
        <v>8770</v>
      </c>
      <c r="K14" s="352" t="s">
        <v>8771</v>
      </c>
      <c r="L14" s="352" t="s">
        <v>8772</v>
      </c>
      <c r="M14" s="352" t="s">
        <v>8773</v>
      </c>
      <c r="N14" s="352" t="s">
        <v>8774</v>
      </c>
      <c r="O14" s="352" t="s">
        <v>8775</v>
      </c>
      <c r="P14" s="352" t="s">
        <v>8776</v>
      </c>
      <c r="Q14" s="352" t="s">
        <v>8777</v>
      </c>
      <c r="R14" s="352" t="s">
        <v>8778</v>
      </c>
      <c r="S14" s="352" t="s">
        <v>8779</v>
      </c>
      <c r="T14" s="352" t="s">
        <v>8780</v>
      </c>
      <c r="U14" s="352" t="s">
        <v>8781</v>
      </c>
      <c r="V14" s="352" t="s">
        <v>8782</v>
      </c>
      <c r="W14" s="352" t="s">
        <v>8783</v>
      </c>
      <c r="X14" s="352" t="s">
        <v>8784</v>
      </c>
      <c r="Y14" s="352" t="s">
        <v>8785</v>
      </c>
      <c r="Z14" s="352" t="s">
        <v>8786</v>
      </c>
      <c r="AA14" s="352" t="s">
        <v>8787</v>
      </c>
      <c r="AB14" s="352" t="s">
        <v>8788</v>
      </c>
      <c r="AC14" s="352" t="s">
        <v>8789</v>
      </c>
      <c r="AD14" s="352" t="s">
        <v>8790</v>
      </c>
      <c r="AE14" s="352" t="s">
        <v>8791</v>
      </c>
      <c r="AF14" s="352" t="s">
        <v>8765</v>
      </c>
      <c r="AG14" s="352" t="s">
        <v>8792</v>
      </c>
      <c r="AH14" s="352" t="s">
        <v>8793</v>
      </c>
      <c r="AI14" s="352" t="s">
        <v>8794</v>
      </c>
      <c r="AJ14" s="352" t="s">
        <v>8795</v>
      </c>
      <c r="AK14" s="352" t="s">
        <v>9117</v>
      </c>
      <c r="AL14" s="354" t="s">
        <v>9118</v>
      </c>
      <c r="AM14" s="352" t="s">
        <v>9119</v>
      </c>
      <c r="AN14" s="354" t="s">
        <v>9120</v>
      </c>
      <c r="AO14" s="352" t="s">
        <v>9121</v>
      </c>
      <c r="AP14" s="352" t="s">
        <v>8766</v>
      </c>
      <c r="AQ14" s="352" t="s">
        <v>9122</v>
      </c>
      <c r="AR14" s="352" t="s">
        <v>9123</v>
      </c>
      <c r="AS14" s="352" t="s">
        <v>9124</v>
      </c>
      <c r="AT14" s="352" t="s">
        <v>9125</v>
      </c>
      <c r="AU14" s="352" t="s">
        <v>9126</v>
      </c>
      <c r="AV14" s="352" t="s">
        <v>9127</v>
      </c>
      <c r="AW14" s="352" t="s">
        <v>9128</v>
      </c>
      <c r="AX14" s="354" t="s">
        <v>9129</v>
      </c>
      <c r="AY14" s="352" t="s">
        <v>9130</v>
      </c>
      <c r="AZ14" s="352" t="s">
        <v>9131</v>
      </c>
      <c r="BA14" s="352" t="s">
        <v>8797</v>
      </c>
      <c r="BB14" s="352" t="s">
        <v>9132</v>
      </c>
      <c r="BC14" s="352" t="s">
        <v>9133</v>
      </c>
      <c r="BD14" s="352" t="s">
        <v>9134</v>
      </c>
      <c r="BE14" s="352" t="s">
        <v>9135</v>
      </c>
      <c r="BF14" s="352" t="s">
        <v>9136</v>
      </c>
      <c r="BG14" s="352" t="s">
        <v>9137</v>
      </c>
      <c r="BH14" s="354" t="s">
        <v>9138</v>
      </c>
      <c r="BI14" s="352" t="s">
        <v>9139</v>
      </c>
      <c r="BJ14" s="352" t="s">
        <v>9140</v>
      </c>
      <c r="BK14" s="352" t="s">
        <v>9141</v>
      </c>
      <c r="BL14" s="352" t="s">
        <v>9142</v>
      </c>
      <c r="BM14" s="352" t="s">
        <v>9143</v>
      </c>
      <c r="BN14" s="352" t="s">
        <v>9144</v>
      </c>
      <c r="BO14" s="352" t="s">
        <v>8886</v>
      </c>
      <c r="BP14" s="352" t="s">
        <v>9145</v>
      </c>
      <c r="BQ14" s="351" t="s">
        <v>9146</v>
      </c>
      <c r="BR14" s="351" t="s">
        <v>8733</v>
      </c>
      <c r="BS14" s="317" t="s">
        <v>8738</v>
      </c>
      <c r="BT14" s="335" t="s">
        <v>8733</v>
      </c>
      <c r="BU14" s="336" t="s">
        <v>9488</v>
      </c>
      <c r="BV14" s="336" t="s">
        <v>9489</v>
      </c>
      <c r="BW14" s="336" t="s">
        <v>9490</v>
      </c>
      <c r="BX14" s="336" t="s">
        <v>9491</v>
      </c>
      <c r="BY14" s="336" t="s">
        <v>9492</v>
      </c>
      <c r="BZ14" s="336" t="s">
        <v>9493</v>
      </c>
      <c r="CA14" s="336" t="s">
        <v>9494</v>
      </c>
      <c r="CB14" s="336" t="s">
        <v>9495</v>
      </c>
      <c r="CC14" s="336" t="s">
        <v>9496</v>
      </c>
      <c r="CD14" s="336" t="s">
        <v>9497</v>
      </c>
      <c r="CE14" s="336" t="s">
        <v>9498</v>
      </c>
      <c r="CF14" s="336" t="s">
        <v>9499</v>
      </c>
      <c r="CG14" s="336" t="s">
        <v>9500</v>
      </c>
      <c r="CH14" s="336" t="s">
        <v>9501</v>
      </c>
      <c r="CI14" s="336" t="s">
        <v>9502</v>
      </c>
      <c r="CJ14" s="336" t="s">
        <v>9503</v>
      </c>
      <c r="CK14" s="336" t="s">
        <v>9504</v>
      </c>
      <c r="CL14" s="336" t="s">
        <v>9505</v>
      </c>
      <c r="CM14" s="336" t="s">
        <v>9506</v>
      </c>
      <c r="CN14" s="336" t="s">
        <v>9507</v>
      </c>
      <c r="CO14" s="336" t="s">
        <v>9508</v>
      </c>
      <c r="CP14" s="336" t="s">
        <v>9509</v>
      </c>
      <c r="CQ14" s="336" t="s">
        <v>9510</v>
      </c>
      <c r="CR14" s="336" t="s">
        <v>9511</v>
      </c>
      <c r="CS14" s="336" t="s">
        <v>9512</v>
      </c>
      <c r="CT14" s="336" t="s">
        <v>9513</v>
      </c>
      <c r="CU14" s="336" t="s">
        <v>9514</v>
      </c>
      <c r="CV14" s="336" t="s">
        <v>9515</v>
      </c>
      <c r="CW14" s="336" t="s">
        <v>9516</v>
      </c>
      <c r="CX14" s="336" t="s">
        <v>9517</v>
      </c>
      <c r="CY14" s="339" t="s">
        <v>9518</v>
      </c>
      <c r="CZ14" s="336" t="s">
        <v>9519</v>
      </c>
      <c r="DA14" s="336" t="s">
        <v>9520</v>
      </c>
      <c r="DB14" s="336" t="s">
        <v>9521</v>
      </c>
      <c r="DC14" s="339" t="s">
        <v>9889</v>
      </c>
      <c r="DD14" s="336" t="s">
        <v>9890</v>
      </c>
      <c r="DE14" s="336" t="s">
        <v>9891</v>
      </c>
      <c r="DF14" s="336" t="s">
        <v>9892</v>
      </c>
      <c r="DG14" s="336" t="s">
        <v>9893</v>
      </c>
      <c r="DH14" s="336" t="s">
        <v>9894</v>
      </c>
      <c r="DI14" s="336" t="s">
        <v>9895</v>
      </c>
      <c r="DJ14" s="336" t="s">
        <v>9896</v>
      </c>
      <c r="DK14" s="336" t="s">
        <v>9897</v>
      </c>
      <c r="DL14" s="336" t="s">
        <v>9898</v>
      </c>
      <c r="DM14" s="336" t="s">
        <v>9899</v>
      </c>
      <c r="DN14" s="336" t="s">
        <v>9900</v>
      </c>
      <c r="DO14" s="336" t="s">
        <v>9901</v>
      </c>
      <c r="DP14" s="339" t="s">
        <v>9902</v>
      </c>
      <c r="DQ14" s="336" t="s">
        <v>9903</v>
      </c>
      <c r="DR14" s="336" t="s">
        <v>9904</v>
      </c>
      <c r="DS14" s="336" t="s">
        <v>9905</v>
      </c>
      <c r="DT14" s="336" t="s">
        <v>9906</v>
      </c>
      <c r="DU14" s="336" t="s">
        <v>9907</v>
      </c>
      <c r="DV14" s="336" t="s">
        <v>9908</v>
      </c>
      <c r="DW14" s="336" t="s">
        <v>9909</v>
      </c>
      <c r="DX14" s="336" t="s">
        <v>9910</v>
      </c>
      <c r="DY14" s="336" t="s">
        <v>9911</v>
      </c>
      <c r="DZ14" s="336" t="s">
        <v>9912</v>
      </c>
      <c r="EA14" s="336" t="s">
        <v>9913</v>
      </c>
      <c r="EB14" s="335" t="s">
        <v>9914</v>
      </c>
      <c r="EC14" s="335" t="s">
        <v>8733</v>
      </c>
      <c r="ED14" s="335" t="s">
        <v>9605</v>
      </c>
      <c r="EE14" s="335" t="s">
        <v>8733</v>
      </c>
      <c r="EF14" s="336" t="s">
        <v>9915</v>
      </c>
      <c r="EG14" s="336" t="s">
        <v>9916</v>
      </c>
      <c r="EH14" s="336" t="s">
        <v>9506</v>
      </c>
      <c r="EI14" s="335" t="s">
        <v>9534</v>
      </c>
      <c r="EJ14" s="335" t="s">
        <v>8733</v>
      </c>
    </row>
    <row r="15" spans="1:140" ht="12.75">
      <c r="A15" s="505">
        <v>10</v>
      </c>
      <c r="B15" s="355" t="s">
        <v>8731</v>
      </c>
      <c r="C15" s="356" t="s">
        <v>8507</v>
      </c>
      <c r="D15" s="356" t="s">
        <v>8507</v>
      </c>
      <c r="E15" s="356" t="s">
        <v>8507</v>
      </c>
      <c r="F15" s="355" t="s">
        <v>8507</v>
      </c>
      <c r="G15" s="355" t="s">
        <v>8731</v>
      </c>
      <c r="H15" s="355" t="s">
        <v>8508</v>
      </c>
      <c r="I15" s="355" t="s">
        <v>8731</v>
      </c>
      <c r="J15" s="356" t="s">
        <v>8506</v>
      </c>
      <c r="K15" s="356" t="s">
        <v>8506</v>
      </c>
      <c r="L15" s="356" t="s">
        <v>8506</v>
      </c>
      <c r="M15" s="356" t="s">
        <v>8506</v>
      </c>
      <c r="N15" s="356" t="s">
        <v>8506</v>
      </c>
      <c r="O15" s="356" t="s">
        <v>8506</v>
      </c>
      <c r="P15" s="356" t="s">
        <v>8506</v>
      </c>
      <c r="Q15" s="356" t="s">
        <v>8506</v>
      </c>
      <c r="R15" s="356" t="s">
        <v>8506</v>
      </c>
      <c r="S15" s="356" t="s">
        <v>8506</v>
      </c>
      <c r="T15" s="356" t="s">
        <v>8506</v>
      </c>
      <c r="U15" s="358" t="s">
        <v>8506</v>
      </c>
      <c r="V15" s="356" t="s">
        <v>8506</v>
      </c>
      <c r="W15" s="356" t="s">
        <v>8506</v>
      </c>
      <c r="X15" s="356" t="s">
        <v>8506</v>
      </c>
      <c r="Y15" s="356" t="s">
        <v>8506</v>
      </c>
      <c r="Z15" s="356" t="s">
        <v>8506</v>
      </c>
      <c r="AA15" s="356" t="s">
        <v>8506</v>
      </c>
      <c r="AB15" s="356" t="s">
        <v>8506</v>
      </c>
      <c r="AC15" s="356" t="s">
        <v>8506</v>
      </c>
      <c r="AD15" s="356" t="s">
        <v>8506</v>
      </c>
      <c r="AE15" s="356" t="s">
        <v>8506</v>
      </c>
      <c r="AF15" s="356" t="s">
        <v>8506</v>
      </c>
      <c r="AG15" s="356" t="s">
        <v>8506</v>
      </c>
      <c r="AH15" s="356" t="s">
        <v>8506</v>
      </c>
      <c r="AI15" s="356" t="s">
        <v>8506</v>
      </c>
      <c r="AJ15" s="356" t="s">
        <v>8506</v>
      </c>
      <c r="AK15" s="356" t="s">
        <v>8506</v>
      </c>
      <c r="AL15" s="356" t="s">
        <v>8506</v>
      </c>
      <c r="AM15" s="356" t="s">
        <v>8506</v>
      </c>
      <c r="AN15" s="356" t="s">
        <v>8506</v>
      </c>
      <c r="AO15" s="356" t="s">
        <v>8506</v>
      </c>
      <c r="AP15" s="356" t="s">
        <v>8506</v>
      </c>
      <c r="AQ15" s="356" t="s">
        <v>8506</v>
      </c>
      <c r="AR15" s="356" t="s">
        <v>8506</v>
      </c>
      <c r="AS15" s="356" t="s">
        <v>8506</v>
      </c>
      <c r="AT15" s="356" t="s">
        <v>8506</v>
      </c>
      <c r="AU15" s="356" t="s">
        <v>8506</v>
      </c>
      <c r="AV15" s="356" t="s">
        <v>8506</v>
      </c>
      <c r="AW15" s="356" t="s">
        <v>8506</v>
      </c>
      <c r="AX15" s="356" t="s">
        <v>8506</v>
      </c>
      <c r="AY15" s="356" t="s">
        <v>8506</v>
      </c>
      <c r="AZ15" s="356" t="s">
        <v>8506</v>
      </c>
      <c r="BA15" s="356" t="s">
        <v>8506</v>
      </c>
      <c r="BB15" s="356" t="s">
        <v>8506</v>
      </c>
      <c r="BC15" s="356" t="s">
        <v>8506</v>
      </c>
      <c r="BD15" s="356" t="s">
        <v>8506</v>
      </c>
      <c r="BE15" s="356" t="s">
        <v>8506</v>
      </c>
      <c r="BF15" s="356" t="s">
        <v>8506</v>
      </c>
      <c r="BG15" s="356" t="s">
        <v>8506</v>
      </c>
      <c r="BH15" s="356" t="s">
        <v>8506</v>
      </c>
      <c r="BI15" s="356" t="s">
        <v>8506</v>
      </c>
      <c r="BJ15" s="356" t="s">
        <v>8506</v>
      </c>
      <c r="BK15" s="356" t="s">
        <v>8506</v>
      </c>
      <c r="BL15" s="356" t="s">
        <v>8506</v>
      </c>
      <c r="BM15" s="356" t="s">
        <v>8506</v>
      </c>
      <c r="BN15" s="356" t="s">
        <v>8506</v>
      </c>
      <c r="BO15" s="356" t="s">
        <v>8506</v>
      </c>
      <c r="BP15" s="356" t="s">
        <v>8506</v>
      </c>
      <c r="BQ15" s="355" t="s">
        <v>8506</v>
      </c>
      <c r="BR15" s="355" t="s">
        <v>8731</v>
      </c>
      <c r="BS15" s="314" t="s">
        <v>8732</v>
      </c>
      <c r="BT15" s="332" t="s">
        <v>8731</v>
      </c>
      <c r="BU15" s="333" t="s">
        <v>8506</v>
      </c>
      <c r="BV15" s="333" t="s">
        <v>8506</v>
      </c>
      <c r="BW15" s="333" t="s">
        <v>8506</v>
      </c>
      <c r="BX15" s="333" t="s">
        <v>8506</v>
      </c>
      <c r="BY15" s="333" t="s">
        <v>8506</v>
      </c>
      <c r="BZ15" s="333" t="s">
        <v>8506</v>
      </c>
      <c r="CA15" s="333" t="s">
        <v>8506</v>
      </c>
      <c r="CB15" s="333" t="s">
        <v>8506</v>
      </c>
      <c r="CC15" s="333" t="s">
        <v>8506</v>
      </c>
      <c r="CD15" s="333" t="s">
        <v>8506</v>
      </c>
      <c r="CE15" s="333" t="s">
        <v>8506</v>
      </c>
      <c r="CF15" s="333" t="s">
        <v>8506</v>
      </c>
      <c r="CG15" s="333" t="s">
        <v>8506</v>
      </c>
      <c r="CH15" s="333" t="s">
        <v>8506</v>
      </c>
      <c r="CI15" s="333" t="s">
        <v>8506</v>
      </c>
      <c r="CJ15" s="333" t="s">
        <v>8506</v>
      </c>
      <c r="CK15" s="333" t="s">
        <v>8506</v>
      </c>
      <c r="CL15" s="333" t="s">
        <v>8506</v>
      </c>
      <c r="CM15" s="333" t="s">
        <v>8506</v>
      </c>
      <c r="CN15" s="333" t="s">
        <v>8506</v>
      </c>
      <c r="CO15" s="333" t="s">
        <v>8506</v>
      </c>
      <c r="CP15" s="333" t="s">
        <v>8506</v>
      </c>
      <c r="CQ15" s="333" t="s">
        <v>8506</v>
      </c>
      <c r="CR15" s="333" t="s">
        <v>8506</v>
      </c>
      <c r="CS15" s="333" t="s">
        <v>8506</v>
      </c>
      <c r="CT15" s="333" t="s">
        <v>8506</v>
      </c>
      <c r="CU15" s="333" t="s">
        <v>8506</v>
      </c>
      <c r="CV15" s="333" t="s">
        <v>8506</v>
      </c>
      <c r="CW15" s="333" t="s">
        <v>8506</v>
      </c>
      <c r="CX15" s="333" t="s">
        <v>8506</v>
      </c>
      <c r="CY15" s="333" t="s">
        <v>8506</v>
      </c>
      <c r="CZ15" s="333" t="s">
        <v>8506</v>
      </c>
      <c r="DA15" s="333" t="s">
        <v>8506</v>
      </c>
      <c r="DB15" s="333" t="s">
        <v>8506</v>
      </c>
      <c r="DC15" s="333" t="s">
        <v>8506</v>
      </c>
      <c r="DD15" s="333" t="s">
        <v>8506</v>
      </c>
      <c r="DE15" s="333" t="s">
        <v>8506</v>
      </c>
      <c r="DF15" s="333" t="s">
        <v>8506</v>
      </c>
      <c r="DG15" s="333" t="s">
        <v>8506</v>
      </c>
      <c r="DH15" s="333" t="s">
        <v>8506</v>
      </c>
      <c r="DI15" s="333" t="s">
        <v>8506</v>
      </c>
      <c r="DJ15" s="333" t="s">
        <v>8506</v>
      </c>
      <c r="DK15" s="333" t="s">
        <v>8506</v>
      </c>
      <c r="DL15" s="333" t="s">
        <v>8506</v>
      </c>
      <c r="DM15" s="338" t="s">
        <v>8506</v>
      </c>
      <c r="DN15" s="333" t="s">
        <v>8506</v>
      </c>
      <c r="DO15" s="333" t="s">
        <v>8506</v>
      </c>
      <c r="DP15" s="333" t="s">
        <v>8506</v>
      </c>
      <c r="DQ15" s="333" t="s">
        <v>8506</v>
      </c>
      <c r="DR15" s="333" t="s">
        <v>8506</v>
      </c>
      <c r="DS15" s="333" t="s">
        <v>8506</v>
      </c>
      <c r="DT15" s="333" t="s">
        <v>8506</v>
      </c>
      <c r="DU15" s="333" t="s">
        <v>8506</v>
      </c>
      <c r="DV15" s="333" t="s">
        <v>8506</v>
      </c>
      <c r="DW15" s="333" t="s">
        <v>8506</v>
      </c>
      <c r="DX15" s="333" t="s">
        <v>8506</v>
      </c>
      <c r="DY15" s="333" t="s">
        <v>8506</v>
      </c>
      <c r="DZ15" s="333" t="s">
        <v>8506</v>
      </c>
      <c r="EA15" s="333" t="s">
        <v>8506</v>
      </c>
      <c r="EB15" s="332" t="s">
        <v>8506</v>
      </c>
      <c r="EC15" s="332" t="s">
        <v>8731</v>
      </c>
      <c r="ED15" s="332" t="s">
        <v>8508</v>
      </c>
      <c r="EE15" s="332" t="s">
        <v>8731</v>
      </c>
      <c r="EF15" s="333" t="s">
        <v>8507</v>
      </c>
      <c r="EG15" s="333" t="s">
        <v>8507</v>
      </c>
      <c r="EH15" s="338" t="s">
        <v>8507</v>
      </c>
      <c r="EI15" s="332" t="s">
        <v>8507</v>
      </c>
      <c r="EJ15" s="332" t="s">
        <v>8731</v>
      </c>
    </row>
    <row r="16" spans="1:140" ht="12.75">
      <c r="A16" s="506"/>
      <c r="B16" s="351" t="s">
        <v>8733</v>
      </c>
      <c r="C16" s="352" t="s">
        <v>8796</v>
      </c>
      <c r="D16" s="352" t="s">
        <v>8797</v>
      </c>
      <c r="E16" s="352" t="s">
        <v>8798</v>
      </c>
      <c r="F16" s="351" t="s">
        <v>8769</v>
      </c>
      <c r="G16" s="351" t="s">
        <v>8733</v>
      </c>
      <c r="H16" s="351" t="s">
        <v>8737</v>
      </c>
      <c r="I16" s="351" t="s">
        <v>8733</v>
      </c>
      <c r="J16" s="352" t="s">
        <v>8799</v>
      </c>
      <c r="K16" s="352" t="s">
        <v>8800</v>
      </c>
      <c r="L16" s="352" t="s">
        <v>8801</v>
      </c>
      <c r="M16" s="352" t="s">
        <v>8802</v>
      </c>
      <c r="N16" s="352" t="s">
        <v>8803</v>
      </c>
      <c r="O16" s="352" t="s">
        <v>8804</v>
      </c>
      <c r="P16" s="352" t="s">
        <v>8805</v>
      </c>
      <c r="Q16" s="352" t="s">
        <v>8806</v>
      </c>
      <c r="R16" s="352" t="s">
        <v>8807</v>
      </c>
      <c r="S16" s="352" t="s">
        <v>8808</v>
      </c>
      <c r="T16" s="352" t="s">
        <v>8809</v>
      </c>
      <c r="U16" s="354" t="s">
        <v>8810</v>
      </c>
      <c r="V16" s="352" t="s">
        <v>8811</v>
      </c>
      <c r="W16" s="352" t="s">
        <v>8812</v>
      </c>
      <c r="X16" s="352" t="s">
        <v>8813</v>
      </c>
      <c r="Y16" s="352" t="s">
        <v>8814</v>
      </c>
      <c r="Z16" s="352" t="s">
        <v>8815</v>
      </c>
      <c r="AA16" s="352" t="s">
        <v>8816</v>
      </c>
      <c r="AB16" s="352" t="s">
        <v>8817</v>
      </c>
      <c r="AC16" s="352" t="s">
        <v>8818</v>
      </c>
      <c r="AD16" s="352" t="s">
        <v>8819</v>
      </c>
      <c r="AE16" s="352" t="s">
        <v>8820</v>
      </c>
      <c r="AF16" s="352" t="s">
        <v>8821</v>
      </c>
      <c r="AG16" s="352" t="s">
        <v>8822</v>
      </c>
      <c r="AH16" s="352" t="s">
        <v>8823</v>
      </c>
      <c r="AI16" s="352" t="s">
        <v>8824</v>
      </c>
      <c r="AJ16" s="352" t="s">
        <v>8825</v>
      </c>
      <c r="AK16" s="352" t="s">
        <v>9147</v>
      </c>
      <c r="AL16" s="352" t="s">
        <v>9148</v>
      </c>
      <c r="AM16" s="352" t="s">
        <v>9149</v>
      </c>
      <c r="AN16" s="352" t="s">
        <v>9150</v>
      </c>
      <c r="AO16" s="352" t="s">
        <v>9151</v>
      </c>
      <c r="AP16" s="352" t="s">
        <v>9152</v>
      </c>
      <c r="AQ16" s="352" t="s">
        <v>9153</v>
      </c>
      <c r="AR16" s="352" t="s">
        <v>9154</v>
      </c>
      <c r="AS16" s="352" t="s">
        <v>9155</v>
      </c>
      <c r="AT16" s="352" t="s">
        <v>9156</v>
      </c>
      <c r="AU16" s="352" t="s">
        <v>9157</v>
      </c>
      <c r="AV16" s="352" t="s">
        <v>9158</v>
      </c>
      <c r="AW16" s="352" t="s">
        <v>9159</v>
      </c>
      <c r="AX16" s="352" t="s">
        <v>8734</v>
      </c>
      <c r="AY16" s="352" t="s">
        <v>9160</v>
      </c>
      <c r="AZ16" s="352" t="s">
        <v>9161</v>
      </c>
      <c r="BA16" s="352" t="s">
        <v>9162</v>
      </c>
      <c r="BB16" s="352" t="s">
        <v>9163</v>
      </c>
      <c r="BC16" s="352" t="s">
        <v>9164</v>
      </c>
      <c r="BD16" s="352" t="s">
        <v>9165</v>
      </c>
      <c r="BE16" s="352" t="s">
        <v>9166</v>
      </c>
      <c r="BF16" s="352" t="s">
        <v>9167</v>
      </c>
      <c r="BG16" s="352" t="s">
        <v>9168</v>
      </c>
      <c r="BH16" s="352" t="s">
        <v>9169</v>
      </c>
      <c r="BI16" s="352" t="s">
        <v>9170</v>
      </c>
      <c r="BJ16" s="352" t="s">
        <v>9171</v>
      </c>
      <c r="BK16" s="352" t="s">
        <v>8735</v>
      </c>
      <c r="BL16" s="352" t="s">
        <v>9172</v>
      </c>
      <c r="BM16" s="352" t="s">
        <v>8858</v>
      </c>
      <c r="BN16" s="352" t="s">
        <v>9173</v>
      </c>
      <c r="BO16" s="352" t="s">
        <v>9174</v>
      </c>
      <c r="BP16" s="352" t="s">
        <v>9175</v>
      </c>
      <c r="BQ16" s="351" t="s">
        <v>9176</v>
      </c>
      <c r="BR16" s="351" t="s">
        <v>8733</v>
      </c>
      <c r="BS16" s="317" t="s">
        <v>8738</v>
      </c>
      <c r="BT16" s="335" t="s">
        <v>8733</v>
      </c>
      <c r="BU16" s="336" t="s">
        <v>9522</v>
      </c>
      <c r="BV16" s="336" t="s">
        <v>9523</v>
      </c>
      <c r="BW16" s="336" t="s">
        <v>9524</v>
      </c>
      <c r="BX16" s="336" t="s">
        <v>9525</v>
      </c>
      <c r="BY16" s="336" t="s">
        <v>9526</v>
      </c>
      <c r="BZ16" s="336" t="s">
        <v>9527</v>
      </c>
      <c r="CA16" s="336" t="s">
        <v>9528</v>
      </c>
      <c r="CB16" s="336" t="s">
        <v>9529</v>
      </c>
      <c r="CC16" s="336" t="s">
        <v>9530</v>
      </c>
      <c r="CD16" s="336" t="s">
        <v>9531</v>
      </c>
      <c r="CE16" s="336" t="s">
        <v>9532</v>
      </c>
      <c r="CF16" s="336" t="s">
        <v>9533</v>
      </c>
      <c r="CG16" s="336" t="s">
        <v>9534</v>
      </c>
      <c r="CH16" s="336" t="s">
        <v>9535</v>
      </c>
      <c r="CI16" s="336" t="s">
        <v>9536</v>
      </c>
      <c r="CJ16" s="336" t="s">
        <v>9537</v>
      </c>
      <c r="CK16" s="336" t="s">
        <v>9538</v>
      </c>
      <c r="CL16" s="336" t="s">
        <v>9539</v>
      </c>
      <c r="CM16" s="336" t="s">
        <v>9540</v>
      </c>
      <c r="CN16" s="336" t="s">
        <v>9541</v>
      </c>
      <c r="CO16" s="336" t="s">
        <v>9542</v>
      </c>
      <c r="CP16" s="336" t="s">
        <v>9543</v>
      </c>
      <c r="CQ16" s="336" t="s">
        <v>9544</v>
      </c>
      <c r="CR16" s="336" t="s">
        <v>9545</v>
      </c>
      <c r="CS16" s="336" t="s">
        <v>9546</v>
      </c>
      <c r="CT16" s="336" t="s">
        <v>9547</v>
      </c>
      <c r="CU16" s="336" t="s">
        <v>9548</v>
      </c>
      <c r="CV16" s="336" t="s">
        <v>9549</v>
      </c>
      <c r="CW16" s="336" t="s">
        <v>9550</v>
      </c>
      <c r="CX16" s="336" t="s">
        <v>9551</v>
      </c>
      <c r="CY16" s="336" t="s">
        <v>9552</v>
      </c>
      <c r="CZ16" s="336" t="s">
        <v>9553</v>
      </c>
      <c r="DA16" s="336" t="s">
        <v>9554</v>
      </c>
      <c r="DB16" s="336" t="s">
        <v>9555</v>
      </c>
      <c r="DC16" s="336" t="s">
        <v>9917</v>
      </c>
      <c r="DD16" s="336" t="s">
        <v>9918</v>
      </c>
      <c r="DE16" s="336" t="s">
        <v>9919</v>
      </c>
      <c r="DF16" s="336" t="s">
        <v>9920</v>
      </c>
      <c r="DG16" s="336" t="s">
        <v>9921</v>
      </c>
      <c r="DH16" s="336" t="s">
        <v>9922</v>
      </c>
      <c r="DI16" s="336" t="s">
        <v>9923</v>
      </c>
      <c r="DJ16" s="336" t="s">
        <v>9924</v>
      </c>
      <c r="DK16" s="336" t="s">
        <v>9925</v>
      </c>
      <c r="DL16" s="336" t="s">
        <v>9926</v>
      </c>
      <c r="DM16" s="339" t="s">
        <v>9927</v>
      </c>
      <c r="DN16" s="336" t="s">
        <v>9928</v>
      </c>
      <c r="DO16" s="336" t="s">
        <v>9929</v>
      </c>
      <c r="DP16" s="336" t="s">
        <v>9930</v>
      </c>
      <c r="DQ16" s="336" t="s">
        <v>9931</v>
      </c>
      <c r="DR16" s="336" t="s">
        <v>9932</v>
      </c>
      <c r="DS16" s="336" t="s">
        <v>9933</v>
      </c>
      <c r="DT16" s="336" t="s">
        <v>9934</v>
      </c>
      <c r="DU16" s="336" t="s">
        <v>9935</v>
      </c>
      <c r="DV16" s="336" t="s">
        <v>9936</v>
      </c>
      <c r="DW16" s="336" t="s">
        <v>9937</v>
      </c>
      <c r="DX16" s="336" t="s">
        <v>9938</v>
      </c>
      <c r="DY16" s="336" t="s">
        <v>9939</v>
      </c>
      <c r="DZ16" s="336" t="s">
        <v>9940</v>
      </c>
      <c r="EA16" s="336" t="s">
        <v>9941</v>
      </c>
      <c r="EB16" s="335" t="s">
        <v>9915</v>
      </c>
      <c r="EC16" s="335" t="s">
        <v>8733</v>
      </c>
      <c r="ED16" s="335" t="s">
        <v>9486</v>
      </c>
      <c r="EE16" s="335" t="s">
        <v>8733</v>
      </c>
      <c r="EF16" s="336" t="s">
        <v>9653</v>
      </c>
      <c r="EG16" s="336" t="s">
        <v>9932</v>
      </c>
      <c r="EH16" s="339" t="s">
        <v>9625</v>
      </c>
      <c r="EI16" s="335" t="s">
        <v>9486</v>
      </c>
      <c r="EJ16" s="335" t="s">
        <v>8733</v>
      </c>
    </row>
    <row r="17" spans="1:140" ht="12.75">
      <c r="A17" s="505">
        <v>9</v>
      </c>
      <c r="B17" s="355" t="s">
        <v>8731</v>
      </c>
      <c r="C17" s="356" t="s">
        <v>8507</v>
      </c>
      <c r="D17" s="356" t="s">
        <v>8507</v>
      </c>
      <c r="E17" s="356" t="s">
        <v>8507</v>
      </c>
      <c r="F17" s="355" t="s">
        <v>8507</v>
      </c>
      <c r="G17" s="355" t="s">
        <v>8731</v>
      </c>
      <c r="H17" s="355" t="s">
        <v>8508</v>
      </c>
      <c r="I17" s="355" t="s">
        <v>8731</v>
      </c>
      <c r="J17" s="356" t="s">
        <v>8506</v>
      </c>
      <c r="K17" s="356" t="s">
        <v>8506</v>
      </c>
      <c r="L17" s="356" t="s">
        <v>8506</v>
      </c>
      <c r="M17" s="356" t="s">
        <v>8506</v>
      </c>
      <c r="N17" s="356" t="s">
        <v>8506</v>
      </c>
      <c r="O17" s="356" t="s">
        <v>8506</v>
      </c>
      <c r="P17" s="356" t="s">
        <v>8506</v>
      </c>
      <c r="Q17" s="356" t="s">
        <v>8506</v>
      </c>
      <c r="R17" s="356" t="s">
        <v>8506</v>
      </c>
      <c r="S17" s="356" t="s">
        <v>8506</v>
      </c>
      <c r="T17" s="356" t="s">
        <v>8506</v>
      </c>
      <c r="U17" s="356" t="s">
        <v>8506</v>
      </c>
      <c r="V17" s="356" t="s">
        <v>8506</v>
      </c>
      <c r="W17" s="356" t="s">
        <v>8506</v>
      </c>
      <c r="X17" s="356" t="s">
        <v>8506</v>
      </c>
      <c r="Y17" s="356" t="s">
        <v>8506</v>
      </c>
      <c r="Z17" s="356" t="s">
        <v>8506</v>
      </c>
      <c r="AA17" s="356" t="s">
        <v>8506</v>
      </c>
      <c r="AB17" s="356" t="s">
        <v>8506</v>
      </c>
      <c r="AC17" s="356" t="s">
        <v>8506</v>
      </c>
      <c r="AD17" s="356" t="s">
        <v>8506</v>
      </c>
      <c r="AE17" s="356" t="s">
        <v>8506</v>
      </c>
      <c r="AF17" s="356" t="s">
        <v>8506</v>
      </c>
      <c r="AG17" s="356" t="s">
        <v>8506</v>
      </c>
      <c r="AH17" s="356" t="s">
        <v>8506</v>
      </c>
      <c r="AI17" s="356" t="s">
        <v>8506</v>
      </c>
      <c r="AJ17" s="356" t="s">
        <v>8506</v>
      </c>
      <c r="AK17" s="356" t="s">
        <v>8506</v>
      </c>
      <c r="AL17" s="356" t="s">
        <v>8506</v>
      </c>
      <c r="AM17" s="356" t="s">
        <v>8506</v>
      </c>
      <c r="AN17" s="356" t="s">
        <v>8506</v>
      </c>
      <c r="AO17" s="356" t="s">
        <v>8506</v>
      </c>
      <c r="AP17" s="356" t="s">
        <v>8506</v>
      </c>
      <c r="AQ17" s="356" t="s">
        <v>8506</v>
      </c>
      <c r="AR17" s="356" t="s">
        <v>8506</v>
      </c>
      <c r="AS17" s="356" t="s">
        <v>8506</v>
      </c>
      <c r="AT17" s="356" t="s">
        <v>8506</v>
      </c>
      <c r="AU17" s="356" t="s">
        <v>8506</v>
      </c>
      <c r="AV17" s="356" t="s">
        <v>8506</v>
      </c>
      <c r="AW17" s="356" t="s">
        <v>8506</v>
      </c>
      <c r="AX17" s="356" t="s">
        <v>8506</v>
      </c>
      <c r="AY17" s="356" t="s">
        <v>8506</v>
      </c>
      <c r="AZ17" s="356" t="s">
        <v>8506</v>
      </c>
      <c r="BA17" s="356" t="s">
        <v>8506</v>
      </c>
      <c r="BB17" s="356" t="s">
        <v>8506</v>
      </c>
      <c r="BC17" s="356" t="s">
        <v>8506</v>
      </c>
      <c r="BD17" s="356" t="s">
        <v>8506</v>
      </c>
      <c r="BE17" s="356" t="s">
        <v>8506</v>
      </c>
      <c r="BF17" s="356" t="s">
        <v>8506</v>
      </c>
      <c r="BG17" s="356" t="s">
        <v>8506</v>
      </c>
      <c r="BH17" s="356" t="s">
        <v>8506</v>
      </c>
      <c r="BI17" s="356" t="s">
        <v>8506</v>
      </c>
      <c r="BJ17" s="356" t="s">
        <v>8506</v>
      </c>
      <c r="BK17" s="356" t="s">
        <v>8506</v>
      </c>
      <c r="BL17" s="356" t="s">
        <v>8506</v>
      </c>
      <c r="BM17" s="356" t="s">
        <v>8506</v>
      </c>
      <c r="BN17" s="356" t="s">
        <v>8506</v>
      </c>
      <c r="BO17" s="356" t="s">
        <v>8506</v>
      </c>
      <c r="BP17" s="356" t="s">
        <v>8506</v>
      </c>
      <c r="BQ17" s="355" t="s">
        <v>8506</v>
      </c>
      <c r="BR17" s="355" t="s">
        <v>8731</v>
      </c>
      <c r="BS17" s="314" t="s">
        <v>8732</v>
      </c>
      <c r="BT17" s="332" t="s">
        <v>8731</v>
      </c>
      <c r="BU17" s="333" t="s">
        <v>8506</v>
      </c>
      <c r="BV17" s="333" t="s">
        <v>8506</v>
      </c>
      <c r="BW17" s="333" t="s">
        <v>8506</v>
      </c>
      <c r="BX17" s="333" t="s">
        <v>8506</v>
      </c>
      <c r="BY17" s="333" t="s">
        <v>8506</v>
      </c>
      <c r="BZ17" s="333" t="s">
        <v>8506</v>
      </c>
      <c r="CA17" s="333" t="s">
        <v>8506</v>
      </c>
      <c r="CB17" s="333" t="s">
        <v>8506</v>
      </c>
      <c r="CC17" s="333" t="s">
        <v>8506</v>
      </c>
      <c r="CD17" s="333" t="s">
        <v>8506</v>
      </c>
      <c r="CE17" s="333" t="s">
        <v>8506</v>
      </c>
      <c r="CF17" s="333" t="s">
        <v>8506</v>
      </c>
      <c r="CG17" s="333" t="s">
        <v>8506</v>
      </c>
      <c r="CH17" s="333" t="s">
        <v>8506</v>
      </c>
      <c r="CI17" s="333" t="s">
        <v>8506</v>
      </c>
      <c r="CJ17" s="333" t="s">
        <v>8506</v>
      </c>
      <c r="CK17" s="333" t="s">
        <v>8506</v>
      </c>
      <c r="CL17" s="333" t="s">
        <v>8506</v>
      </c>
      <c r="CM17" s="333" t="s">
        <v>8506</v>
      </c>
      <c r="CN17" s="333" t="s">
        <v>8506</v>
      </c>
      <c r="CO17" s="333" t="s">
        <v>8506</v>
      </c>
      <c r="CP17" s="333" t="s">
        <v>8506</v>
      </c>
      <c r="CQ17" s="333" t="s">
        <v>8506</v>
      </c>
      <c r="CR17" s="333" t="s">
        <v>8506</v>
      </c>
      <c r="CS17" s="333" t="s">
        <v>8506</v>
      </c>
      <c r="CT17" s="333" t="s">
        <v>8506</v>
      </c>
      <c r="CU17" s="333" t="s">
        <v>8506</v>
      </c>
      <c r="CV17" s="333" t="s">
        <v>8506</v>
      </c>
      <c r="CW17" s="333" t="s">
        <v>8506</v>
      </c>
      <c r="CX17" s="333" t="s">
        <v>8506</v>
      </c>
      <c r="CY17" s="333" t="s">
        <v>8506</v>
      </c>
      <c r="CZ17" s="333" t="s">
        <v>8506</v>
      </c>
      <c r="DA17" s="333" t="s">
        <v>8506</v>
      </c>
      <c r="DB17" s="333" t="s">
        <v>8506</v>
      </c>
      <c r="DC17" s="333" t="s">
        <v>8506</v>
      </c>
      <c r="DD17" s="333" t="s">
        <v>8506</v>
      </c>
      <c r="DE17" s="333" t="s">
        <v>8506</v>
      </c>
      <c r="DF17" s="333" t="s">
        <v>8506</v>
      </c>
      <c r="DG17" s="333" t="s">
        <v>8506</v>
      </c>
      <c r="DH17" s="333" t="s">
        <v>8506</v>
      </c>
      <c r="DI17" s="333" t="s">
        <v>8506</v>
      </c>
      <c r="DJ17" s="333" t="s">
        <v>8506</v>
      </c>
      <c r="DK17" s="333" t="s">
        <v>8506</v>
      </c>
      <c r="DL17" s="333" t="s">
        <v>8506</v>
      </c>
      <c r="DM17" s="333" t="s">
        <v>8506</v>
      </c>
      <c r="DN17" s="333" t="s">
        <v>8506</v>
      </c>
      <c r="DO17" s="333" t="s">
        <v>8506</v>
      </c>
      <c r="DP17" s="333" t="s">
        <v>8506</v>
      </c>
      <c r="DQ17" s="333" t="s">
        <v>8506</v>
      </c>
      <c r="DR17" s="333" t="s">
        <v>8506</v>
      </c>
      <c r="DS17" s="333" t="s">
        <v>8506</v>
      </c>
      <c r="DT17" s="333" t="s">
        <v>8506</v>
      </c>
      <c r="DU17" s="333" t="s">
        <v>8506</v>
      </c>
      <c r="DV17" s="333" t="s">
        <v>8506</v>
      </c>
      <c r="DW17" s="333" t="s">
        <v>8506</v>
      </c>
      <c r="DX17" s="333" t="s">
        <v>8506</v>
      </c>
      <c r="DY17" s="333" t="s">
        <v>8506</v>
      </c>
      <c r="DZ17" s="333" t="s">
        <v>8506</v>
      </c>
      <c r="EA17" s="333" t="s">
        <v>8506</v>
      </c>
      <c r="EB17" s="332" t="s">
        <v>8506</v>
      </c>
      <c r="EC17" s="332" t="s">
        <v>8731</v>
      </c>
      <c r="ED17" s="332" t="s">
        <v>8508</v>
      </c>
      <c r="EE17" s="332" t="s">
        <v>8731</v>
      </c>
      <c r="EF17" s="333" t="s">
        <v>8507</v>
      </c>
      <c r="EG17" s="333" t="s">
        <v>8507</v>
      </c>
      <c r="EH17" s="333" t="s">
        <v>8507</v>
      </c>
      <c r="EI17" s="332" t="s">
        <v>8507</v>
      </c>
      <c r="EJ17" s="332" t="s">
        <v>8731</v>
      </c>
    </row>
    <row r="18" spans="1:140" ht="12.75">
      <c r="A18" s="506"/>
      <c r="B18" s="351" t="s">
        <v>8733</v>
      </c>
      <c r="C18" s="352" t="s">
        <v>8826</v>
      </c>
      <c r="D18" s="352" t="s">
        <v>8827</v>
      </c>
      <c r="E18" s="352" t="s">
        <v>8828</v>
      </c>
      <c r="F18" s="351" t="s">
        <v>8829</v>
      </c>
      <c r="G18" s="351" t="s">
        <v>8733</v>
      </c>
      <c r="H18" s="351" t="s">
        <v>8830</v>
      </c>
      <c r="I18" s="351" t="s">
        <v>8733</v>
      </c>
      <c r="J18" s="352" t="s">
        <v>8831</v>
      </c>
      <c r="K18" s="352" t="s">
        <v>8832</v>
      </c>
      <c r="L18" s="352" t="s">
        <v>8833</v>
      </c>
      <c r="M18" s="352" t="s">
        <v>8834</v>
      </c>
      <c r="N18" s="352" t="s">
        <v>8835</v>
      </c>
      <c r="O18" s="352" t="s">
        <v>8836</v>
      </c>
      <c r="P18" s="352" t="s">
        <v>8837</v>
      </c>
      <c r="Q18" s="352" t="s">
        <v>8838</v>
      </c>
      <c r="R18" s="352" t="s">
        <v>8839</v>
      </c>
      <c r="S18" s="352" t="s">
        <v>8840</v>
      </c>
      <c r="T18" s="352" t="s">
        <v>8841</v>
      </c>
      <c r="U18" s="352" t="s">
        <v>8842</v>
      </c>
      <c r="V18" s="352" t="s">
        <v>8843</v>
      </c>
      <c r="W18" s="352" t="s">
        <v>8844</v>
      </c>
      <c r="X18" s="352" t="s">
        <v>8845</v>
      </c>
      <c r="Y18" s="352" t="s">
        <v>8828</v>
      </c>
      <c r="Z18" s="352" t="s">
        <v>8846</v>
      </c>
      <c r="AA18" s="352" t="s">
        <v>8847</v>
      </c>
      <c r="AB18" s="352" t="s">
        <v>8848</v>
      </c>
      <c r="AC18" s="352" t="s">
        <v>8849</v>
      </c>
      <c r="AD18" s="352" t="s">
        <v>8850</v>
      </c>
      <c r="AE18" s="352" t="s">
        <v>8851</v>
      </c>
      <c r="AF18" s="352" t="s">
        <v>8852</v>
      </c>
      <c r="AG18" s="352" t="s">
        <v>8853</v>
      </c>
      <c r="AH18" s="352" t="s">
        <v>8854</v>
      </c>
      <c r="AI18" s="352" t="s">
        <v>8855</v>
      </c>
      <c r="AJ18" s="352" t="s">
        <v>8856</v>
      </c>
      <c r="AK18" s="352" t="s">
        <v>9177</v>
      </c>
      <c r="AL18" s="352" t="s">
        <v>9178</v>
      </c>
      <c r="AM18" s="352" t="s">
        <v>9179</v>
      </c>
      <c r="AN18" s="352" t="s">
        <v>9180</v>
      </c>
      <c r="AO18" s="352" t="s">
        <v>9181</v>
      </c>
      <c r="AP18" s="352" t="s">
        <v>9182</v>
      </c>
      <c r="AQ18" s="352" t="s">
        <v>9183</v>
      </c>
      <c r="AR18" s="352" t="s">
        <v>9184</v>
      </c>
      <c r="AS18" s="352" t="s">
        <v>9185</v>
      </c>
      <c r="AT18" s="352" t="s">
        <v>9186</v>
      </c>
      <c r="AU18" s="352" t="s">
        <v>8798</v>
      </c>
      <c r="AV18" s="352" t="s">
        <v>9187</v>
      </c>
      <c r="AW18" s="352" t="s">
        <v>9188</v>
      </c>
      <c r="AX18" s="352" t="s">
        <v>9189</v>
      </c>
      <c r="AY18" s="352" t="s">
        <v>9190</v>
      </c>
      <c r="AZ18" s="352" t="s">
        <v>9191</v>
      </c>
      <c r="BA18" s="352" t="s">
        <v>9192</v>
      </c>
      <c r="BB18" s="352" t="s">
        <v>9193</v>
      </c>
      <c r="BC18" s="352" t="s">
        <v>9194</v>
      </c>
      <c r="BD18" s="352" t="s">
        <v>9195</v>
      </c>
      <c r="BE18" s="352" t="s">
        <v>9196</v>
      </c>
      <c r="BF18" s="352" t="s">
        <v>9197</v>
      </c>
      <c r="BG18" s="352" t="s">
        <v>9198</v>
      </c>
      <c r="BH18" s="352" t="s">
        <v>9199</v>
      </c>
      <c r="BI18" s="352" t="s">
        <v>9200</v>
      </c>
      <c r="BJ18" s="352" t="s">
        <v>9201</v>
      </c>
      <c r="BK18" s="352" t="s">
        <v>9202</v>
      </c>
      <c r="BL18" s="352" t="s">
        <v>9203</v>
      </c>
      <c r="BM18" s="352" t="s">
        <v>9204</v>
      </c>
      <c r="BN18" s="352" t="s">
        <v>8859</v>
      </c>
      <c r="BO18" s="352" t="s">
        <v>9205</v>
      </c>
      <c r="BP18" s="352" t="s">
        <v>9206</v>
      </c>
      <c r="BQ18" s="351" t="s">
        <v>9207</v>
      </c>
      <c r="BR18" s="351" t="s">
        <v>8733</v>
      </c>
      <c r="BS18" s="317" t="s">
        <v>8738</v>
      </c>
      <c r="BT18" s="335" t="s">
        <v>8733</v>
      </c>
      <c r="BU18" s="336" t="s">
        <v>9556</v>
      </c>
      <c r="BV18" s="336" t="s">
        <v>9557</v>
      </c>
      <c r="BW18" s="336" t="s">
        <v>9558</v>
      </c>
      <c r="BX18" s="336" t="s">
        <v>9559</v>
      </c>
      <c r="BY18" s="336" t="s">
        <v>9560</v>
      </c>
      <c r="BZ18" s="336" t="s">
        <v>9561</v>
      </c>
      <c r="CA18" s="336" t="s">
        <v>9562</v>
      </c>
      <c r="CB18" s="336" t="s">
        <v>9563</v>
      </c>
      <c r="CC18" s="336" t="s">
        <v>9564</v>
      </c>
      <c r="CD18" s="336" t="s">
        <v>9565</v>
      </c>
      <c r="CE18" s="336" t="s">
        <v>9566</v>
      </c>
      <c r="CF18" s="336" t="s">
        <v>9567</v>
      </c>
      <c r="CG18" s="336" t="s">
        <v>9568</v>
      </c>
      <c r="CH18" s="336" t="s">
        <v>9569</v>
      </c>
      <c r="CI18" s="336" t="s">
        <v>9570</v>
      </c>
      <c r="CJ18" s="336" t="s">
        <v>9571</v>
      </c>
      <c r="CK18" s="336" t="s">
        <v>9572</v>
      </c>
      <c r="CL18" s="336" t="s">
        <v>9573</v>
      </c>
      <c r="CM18" s="336" t="s">
        <v>9574</v>
      </c>
      <c r="CN18" s="336" t="s">
        <v>9575</v>
      </c>
      <c r="CO18" s="336" t="s">
        <v>9576</v>
      </c>
      <c r="CP18" s="336" t="s">
        <v>9577</v>
      </c>
      <c r="CQ18" s="336" t="s">
        <v>9578</v>
      </c>
      <c r="CR18" s="336" t="s">
        <v>9579</v>
      </c>
      <c r="CS18" s="336" t="s">
        <v>9580</v>
      </c>
      <c r="CT18" s="336" t="s">
        <v>9581</v>
      </c>
      <c r="CU18" s="336" t="s">
        <v>9582</v>
      </c>
      <c r="CV18" s="336" t="s">
        <v>9583</v>
      </c>
      <c r="CW18" s="336" t="s">
        <v>9584</v>
      </c>
      <c r="CX18" s="336" t="s">
        <v>9585</v>
      </c>
      <c r="CY18" s="336" t="s">
        <v>9586</v>
      </c>
      <c r="CZ18" s="336" t="s">
        <v>9587</v>
      </c>
      <c r="DA18" s="336" t="s">
        <v>9588</v>
      </c>
      <c r="DB18" s="336" t="s">
        <v>9589</v>
      </c>
      <c r="DC18" s="336" t="s">
        <v>9942</v>
      </c>
      <c r="DD18" s="336" t="s">
        <v>9943</v>
      </c>
      <c r="DE18" s="336" t="s">
        <v>9944</v>
      </c>
      <c r="DF18" s="336" t="s">
        <v>9945</v>
      </c>
      <c r="DG18" s="336" t="s">
        <v>9946</v>
      </c>
      <c r="DH18" s="336" t="s">
        <v>9947</v>
      </c>
      <c r="DI18" s="336" t="s">
        <v>9948</v>
      </c>
      <c r="DJ18" s="336" t="s">
        <v>9949</v>
      </c>
      <c r="DK18" s="336" t="s">
        <v>9950</v>
      </c>
      <c r="DL18" s="336" t="s">
        <v>9951</v>
      </c>
      <c r="DM18" s="336" t="s">
        <v>9952</v>
      </c>
      <c r="DN18" s="336" t="s">
        <v>9953</v>
      </c>
      <c r="DO18" s="336" t="s">
        <v>9954</v>
      </c>
      <c r="DP18" s="336" t="s">
        <v>9955</v>
      </c>
      <c r="DQ18" s="336" t="s">
        <v>9956</v>
      </c>
      <c r="DR18" s="336" t="s">
        <v>9957</v>
      </c>
      <c r="DS18" s="336" t="s">
        <v>9958</v>
      </c>
      <c r="DT18" s="336" t="s">
        <v>9959</v>
      </c>
      <c r="DU18" s="336" t="s">
        <v>9960</v>
      </c>
      <c r="DV18" s="336" t="s">
        <v>9961</v>
      </c>
      <c r="DW18" s="336" t="s">
        <v>9962</v>
      </c>
      <c r="DX18" s="336" t="s">
        <v>9963</v>
      </c>
      <c r="DY18" s="336" t="s">
        <v>9964</v>
      </c>
      <c r="DZ18" s="336" t="s">
        <v>9965</v>
      </c>
      <c r="EA18" s="336" t="s">
        <v>9916</v>
      </c>
      <c r="EB18" s="335" t="s">
        <v>9966</v>
      </c>
      <c r="EC18" s="335" t="s">
        <v>8733</v>
      </c>
      <c r="ED18" s="335" t="s">
        <v>9594</v>
      </c>
      <c r="EE18" s="335" t="s">
        <v>8733</v>
      </c>
      <c r="EF18" s="336" t="s">
        <v>9500</v>
      </c>
      <c r="EG18" s="336" t="s">
        <v>9923</v>
      </c>
      <c r="EH18" s="336" t="s">
        <v>9515</v>
      </c>
      <c r="EI18" s="335" t="s">
        <v>9948</v>
      </c>
      <c r="EJ18" s="335" t="s">
        <v>8733</v>
      </c>
    </row>
    <row r="19" spans="1:140" ht="12.75">
      <c r="A19" s="505">
        <v>8</v>
      </c>
      <c r="B19" s="355" t="s">
        <v>8731</v>
      </c>
      <c r="C19" s="356" t="s">
        <v>8507</v>
      </c>
      <c r="D19" s="356" t="s">
        <v>8507</v>
      </c>
      <c r="E19" s="356" t="s">
        <v>8507</v>
      </c>
      <c r="F19" s="355" t="s">
        <v>8507</v>
      </c>
      <c r="G19" s="355" t="s">
        <v>8731</v>
      </c>
      <c r="H19" s="355" t="s">
        <v>8508</v>
      </c>
      <c r="I19" s="355" t="s">
        <v>8731</v>
      </c>
      <c r="J19" s="356" t="s">
        <v>8506</v>
      </c>
      <c r="K19" s="356" t="s">
        <v>8506</v>
      </c>
      <c r="L19" s="356" t="s">
        <v>8506</v>
      </c>
      <c r="M19" s="356" t="s">
        <v>8506</v>
      </c>
      <c r="N19" s="356" t="s">
        <v>8506</v>
      </c>
      <c r="O19" s="356" t="s">
        <v>8506</v>
      </c>
      <c r="P19" s="356" t="s">
        <v>8506</v>
      </c>
      <c r="Q19" s="356" t="s">
        <v>8506</v>
      </c>
      <c r="R19" s="356" t="s">
        <v>8506</v>
      </c>
      <c r="S19" s="356" t="s">
        <v>8506</v>
      </c>
      <c r="T19" s="356" t="s">
        <v>8506</v>
      </c>
      <c r="U19" s="356" t="s">
        <v>8506</v>
      </c>
      <c r="V19" s="356" t="s">
        <v>8506</v>
      </c>
      <c r="W19" s="356" t="s">
        <v>8506</v>
      </c>
      <c r="X19" s="356" t="s">
        <v>8506</v>
      </c>
      <c r="Y19" s="356" t="s">
        <v>8506</v>
      </c>
      <c r="Z19" s="356" t="s">
        <v>8506</v>
      </c>
      <c r="AA19" s="356" t="s">
        <v>8506</v>
      </c>
      <c r="AB19" s="356" t="s">
        <v>8506</v>
      </c>
      <c r="AC19" s="356" t="s">
        <v>8506</v>
      </c>
      <c r="AD19" s="356" t="s">
        <v>8506</v>
      </c>
      <c r="AE19" s="356" t="s">
        <v>8506</v>
      </c>
      <c r="AF19" s="356" t="s">
        <v>8506</v>
      </c>
      <c r="AG19" s="356" t="s">
        <v>8506</v>
      </c>
      <c r="AH19" s="356" t="s">
        <v>8506</v>
      </c>
      <c r="AI19" s="356" t="s">
        <v>8506</v>
      </c>
      <c r="AJ19" s="356" t="s">
        <v>8506</v>
      </c>
      <c r="AK19" s="356" t="s">
        <v>8506</v>
      </c>
      <c r="AL19" s="356" t="s">
        <v>8506</v>
      </c>
      <c r="AM19" s="356" t="s">
        <v>8506</v>
      </c>
      <c r="AN19" s="356" t="s">
        <v>8506</v>
      </c>
      <c r="AO19" s="356" t="s">
        <v>8506</v>
      </c>
      <c r="AP19" s="356" t="s">
        <v>8506</v>
      </c>
      <c r="AQ19" s="356" t="s">
        <v>8506</v>
      </c>
      <c r="AR19" s="356" t="s">
        <v>8506</v>
      </c>
      <c r="AS19" s="356" t="s">
        <v>8506</v>
      </c>
      <c r="AT19" s="356" t="s">
        <v>8506</v>
      </c>
      <c r="AU19" s="356" t="s">
        <v>8506</v>
      </c>
      <c r="AV19" s="356" t="s">
        <v>8506</v>
      </c>
      <c r="AW19" s="356" t="s">
        <v>8506</v>
      </c>
      <c r="AX19" s="356" t="s">
        <v>8506</v>
      </c>
      <c r="AY19" s="356" t="s">
        <v>8506</v>
      </c>
      <c r="AZ19" s="356" t="s">
        <v>8506</v>
      </c>
      <c r="BA19" s="356" t="s">
        <v>8506</v>
      </c>
      <c r="BB19" s="356" t="s">
        <v>8506</v>
      </c>
      <c r="BC19" s="356" t="s">
        <v>8506</v>
      </c>
      <c r="BD19" s="356" t="s">
        <v>8506</v>
      </c>
      <c r="BE19" s="356" t="s">
        <v>8506</v>
      </c>
      <c r="BF19" s="356" t="s">
        <v>8506</v>
      </c>
      <c r="BG19" s="356" t="s">
        <v>8506</v>
      </c>
      <c r="BH19" s="356" t="s">
        <v>8506</v>
      </c>
      <c r="BI19" s="356" t="s">
        <v>8506</v>
      </c>
      <c r="BJ19" s="356" t="s">
        <v>8506</v>
      </c>
      <c r="BK19" s="356" t="s">
        <v>8506</v>
      </c>
      <c r="BL19" s="356" t="s">
        <v>8506</v>
      </c>
      <c r="BM19" s="356" t="s">
        <v>8506</v>
      </c>
      <c r="BN19" s="356" t="s">
        <v>8506</v>
      </c>
      <c r="BO19" s="356" t="s">
        <v>8506</v>
      </c>
      <c r="BP19" s="356" t="s">
        <v>8506</v>
      </c>
      <c r="BQ19" s="355" t="s">
        <v>8506</v>
      </c>
      <c r="BR19" s="355" t="s">
        <v>8731</v>
      </c>
      <c r="BS19" s="314" t="s">
        <v>8732</v>
      </c>
      <c r="BT19" s="332" t="s">
        <v>8731</v>
      </c>
      <c r="BU19" s="333" t="s">
        <v>8506</v>
      </c>
      <c r="BV19" s="333" t="s">
        <v>8506</v>
      </c>
      <c r="BW19" s="333" t="s">
        <v>8506</v>
      </c>
      <c r="BX19" s="333" t="s">
        <v>8506</v>
      </c>
      <c r="BY19" s="333" t="s">
        <v>8506</v>
      </c>
      <c r="BZ19" s="333" t="s">
        <v>8506</v>
      </c>
      <c r="CA19" s="333" t="s">
        <v>8506</v>
      </c>
      <c r="CB19" s="333" t="s">
        <v>8506</v>
      </c>
      <c r="CC19" s="333" t="s">
        <v>8506</v>
      </c>
      <c r="CD19" s="333" t="s">
        <v>8506</v>
      </c>
      <c r="CE19" s="333" t="s">
        <v>8506</v>
      </c>
      <c r="CF19" s="333" t="s">
        <v>8506</v>
      </c>
      <c r="CG19" s="333" t="s">
        <v>8506</v>
      </c>
      <c r="CH19" s="333" t="s">
        <v>8506</v>
      </c>
      <c r="CI19" s="333" t="s">
        <v>8506</v>
      </c>
      <c r="CJ19" s="333" t="s">
        <v>8506</v>
      </c>
      <c r="CK19" s="333" t="s">
        <v>8506</v>
      </c>
      <c r="CL19" s="333" t="s">
        <v>8506</v>
      </c>
      <c r="CM19" s="333" t="s">
        <v>8506</v>
      </c>
      <c r="CN19" s="333" t="s">
        <v>8506</v>
      </c>
      <c r="CO19" s="333" t="s">
        <v>8506</v>
      </c>
      <c r="CP19" s="333" t="s">
        <v>8506</v>
      </c>
      <c r="CQ19" s="333" t="s">
        <v>8506</v>
      </c>
      <c r="CR19" s="333" t="s">
        <v>8506</v>
      </c>
      <c r="CS19" s="333" t="s">
        <v>8506</v>
      </c>
      <c r="CT19" s="333" t="s">
        <v>8506</v>
      </c>
      <c r="CU19" s="333" t="s">
        <v>8506</v>
      </c>
      <c r="CV19" s="333" t="s">
        <v>8506</v>
      </c>
      <c r="CW19" s="333" t="s">
        <v>8506</v>
      </c>
      <c r="CX19" s="333" t="s">
        <v>8506</v>
      </c>
      <c r="CY19" s="333" t="s">
        <v>8506</v>
      </c>
      <c r="CZ19" s="333" t="s">
        <v>8506</v>
      </c>
      <c r="DA19" s="333" t="s">
        <v>8506</v>
      </c>
      <c r="DB19" s="333" t="s">
        <v>8506</v>
      </c>
      <c r="DC19" s="333" t="s">
        <v>8506</v>
      </c>
      <c r="DD19" s="333" t="s">
        <v>8506</v>
      </c>
      <c r="DE19" s="333" t="s">
        <v>8506</v>
      </c>
      <c r="DF19" s="333" t="s">
        <v>8506</v>
      </c>
      <c r="DG19" s="333" t="s">
        <v>8506</v>
      </c>
      <c r="DH19" s="333" t="s">
        <v>8506</v>
      </c>
      <c r="DI19" s="333" t="s">
        <v>8506</v>
      </c>
      <c r="DJ19" s="333" t="s">
        <v>8506</v>
      </c>
      <c r="DK19" s="333" t="s">
        <v>8506</v>
      </c>
      <c r="DL19" s="333" t="s">
        <v>8506</v>
      </c>
      <c r="DM19" s="333" t="s">
        <v>8506</v>
      </c>
      <c r="DN19" s="333" t="s">
        <v>8506</v>
      </c>
      <c r="DO19" s="333" t="s">
        <v>8506</v>
      </c>
      <c r="DP19" s="333" t="s">
        <v>8506</v>
      </c>
      <c r="DQ19" s="333" t="s">
        <v>8506</v>
      </c>
      <c r="DR19" s="333" t="s">
        <v>8506</v>
      </c>
      <c r="DS19" s="333" t="s">
        <v>8506</v>
      </c>
      <c r="DT19" s="333" t="s">
        <v>8506</v>
      </c>
      <c r="DU19" s="333" t="s">
        <v>8506</v>
      </c>
      <c r="DV19" s="333" t="s">
        <v>8506</v>
      </c>
      <c r="DW19" s="333" t="s">
        <v>8506</v>
      </c>
      <c r="DX19" s="333" t="s">
        <v>8506</v>
      </c>
      <c r="DY19" s="333" t="s">
        <v>8506</v>
      </c>
      <c r="DZ19" s="333" t="s">
        <v>8506</v>
      </c>
      <c r="EA19" s="333" t="s">
        <v>8506</v>
      </c>
      <c r="EB19" s="332" t="s">
        <v>8506</v>
      </c>
      <c r="EC19" s="332" t="s">
        <v>8731</v>
      </c>
      <c r="ED19" s="332" t="s">
        <v>8508</v>
      </c>
      <c r="EE19" s="332" t="s">
        <v>8731</v>
      </c>
      <c r="EF19" s="333" t="s">
        <v>8507</v>
      </c>
      <c r="EG19" s="333" t="s">
        <v>8507</v>
      </c>
      <c r="EH19" s="333" t="s">
        <v>8507</v>
      </c>
      <c r="EI19" s="332" t="s">
        <v>8507</v>
      </c>
      <c r="EJ19" s="332" t="s">
        <v>8731</v>
      </c>
    </row>
    <row r="20" spans="1:140" ht="13.5" thickBot="1">
      <c r="A20" s="506"/>
      <c r="B20" s="351" t="s">
        <v>8733</v>
      </c>
      <c r="C20" s="352" t="s">
        <v>8857</v>
      </c>
      <c r="D20" s="352" t="s">
        <v>8858</v>
      </c>
      <c r="E20" s="352" t="s">
        <v>8859</v>
      </c>
      <c r="F20" s="351" t="s">
        <v>8860</v>
      </c>
      <c r="G20" s="351" t="s">
        <v>8733</v>
      </c>
      <c r="H20" s="360" t="s">
        <v>8734</v>
      </c>
      <c r="I20" s="351" t="s">
        <v>8733</v>
      </c>
      <c r="J20" s="352" t="s">
        <v>8861</v>
      </c>
      <c r="K20" s="352" t="s">
        <v>8862</v>
      </c>
      <c r="L20" s="352" t="s">
        <v>8863</v>
      </c>
      <c r="M20" s="352" t="s">
        <v>8864</v>
      </c>
      <c r="N20" s="352" t="s">
        <v>8865</v>
      </c>
      <c r="O20" s="352" t="s">
        <v>8866</v>
      </c>
      <c r="P20" s="352" t="s">
        <v>8867</v>
      </c>
      <c r="Q20" s="352" t="s">
        <v>8868</v>
      </c>
      <c r="R20" s="352" t="s">
        <v>8869</v>
      </c>
      <c r="S20" s="352" t="s">
        <v>8870</v>
      </c>
      <c r="T20" s="352" t="s">
        <v>8871</v>
      </c>
      <c r="U20" s="352" t="s">
        <v>8872</v>
      </c>
      <c r="V20" s="352" t="s">
        <v>8767</v>
      </c>
      <c r="W20" s="352" t="s">
        <v>8873</v>
      </c>
      <c r="X20" s="352" t="s">
        <v>8874</v>
      </c>
      <c r="Y20" s="352" t="s">
        <v>8826</v>
      </c>
      <c r="Z20" s="352" t="s">
        <v>8875</v>
      </c>
      <c r="AA20" s="352" t="s">
        <v>8876</v>
      </c>
      <c r="AB20" s="352" t="s">
        <v>8877</v>
      </c>
      <c r="AC20" s="352" t="s">
        <v>8878</v>
      </c>
      <c r="AD20" s="352" t="s">
        <v>8857</v>
      </c>
      <c r="AE20" s="352" t="s">
        <v>8879</v>
      </c>
      <c r="AF20" s="352" t="s">
        <v>8880</v>
      </c>
      <c r="AG20" s="352" t="s">
        <v>8881</v>
      </c>
      <c r="AH20" s="352" t="s">
        <v>8882</v>
      </c>
      <c r="AI20" s="352" t="s">
        <v>8737</v>
      </c>
      <c r="AJ20" s="352" t="s">
        <v>8883</v>
      </c>
      <c r="AK20" s="352" t="s">
        <v>9208</v>
      </c>
      <c r="AL20" s="352" t="s">
        <v>9209</v>
      </c>
      <c r="AM20" s="352" t="s">
        <v>9210</v>
      </c>
      <c r="AN20" s="352" t="s">
        <v>9211</v>
      </c>
      <c r="AO20" s="352" t="s">
        <v>9212</v>
      </c>
      <c r="AP20" s="352" t="s">
        <v>9213</v>
      </c>
      <c r="AQ20" s="352" t="s">
        <v>9214</v>
      </c>
      <c r="AR20" s="352" t="s">
        <v>9215</v>
      </c>
      <c r="AS20" s="352" t="s">
        <v>9216</v>
      </c>
      <c r="AT20" s="352" t="s">
        <v>9217</v>
      </c>
      <c r="AU20" s="352" t="s">
        <v>9218</v>
      </c>
      <c r="AV20" s="352" t="s">
        <v>9219</v>
      </c>
      <c r="AW20" s="352" t="s">
        <v>9220</v>
      </c>
      <c r="AX20" s="352" t="s">
        <v>9221</v>
      </c>
      <c r="AY20" s="352" t="s">
        <v>9222</v>
      </c>
      <c r="AZ20" s="352" t="s">
        <v>9223</v>
      </c>
      <c r="BA20" s="352" t="s">
        <v>8769</v>
      </c>
      <c r="BB20" s="352" t="s">
        <v>9224</v>
      </c>
      <c r="BC20" s="352" t="s">
        <v>9225</v>
      </c>
      <c r="BD20" s="352" t="s">
        <v>8830</v>
      </c>
      <c r="BE20" s="352" t="s">
        <v>9226</v>
      </c>
      <c r="BF20" s="352" t="s">
        <v>9227</v>
      </c>
      <c r="BG20" s="352" t="s">
        <v>9228</v>
      </c>
      <c r="BH20" s="352" t="s">
        <v>9229</v>
      </c>
      <c r="BI20" s="352" t="s">
        <v>9230</v>
      </c>
      <c r="BJ20" s="352" t="s">
        <v>9231</v>
      </c>
      <c r="BK20" s="352" t="s">
        <v>9232</v>
      </c>
      <c r="BL20" s="352" t="s">
        <v>9233</v>
      </c>
      <c r="BM20" s="352" t="s">
        <v>9234</v>
      </c>
      <c r="BN20" s="352" t="s">
        <v>9235</v>
      </c>
      <c r="BO20" s="352" t="s">
        <v>9236</v>
      </c>
      <c r="BP20" s="352" t="s">
        <v>9237</v>
      </c>
      <c r="BQ20" s="351" t="s">
        <v>9238</v>
      </c>
      <c r="BR20" s="351" t="s">
        <v>8733</v>
      </c>
      <c r="BS20" s="317" t="s">
        <v>8738</v>
      </c>
      <c r="BT20" s="335" t="s">
        <v>8733</v>
      </c>
      <c r="BU20" s="336" t="s">
        <v>9590</v>
      </c>
      <c r="BV20" s="336" t="s">
        <v>9591</v>
      </c>
      <c r="BW20" s="336" t="s">
        <v>9592</v>
      </c>
      <c r="BX20" s="336" t="s">
        <v>9593</v>
      </c>
      <c r="BY20" s="336" t="s">
        <v>9594</v>
      </c>
      <c r="BZ20" s="336" t="s">
        <v>9595</v>
      </c>
      <c r="CA20" s="336" t="s">
        <v>9596</v>
      </c>
      <c r="CB20" s="336" t="s">
        <v>9597</v>
      </c>
      <c r="CC20" s="336" t="s">
        <v>9598</v>
      </c>
      <c r="CD20" s="336" t="s">
        <v>9599</v>
      </c>
      <c r="CE20" s="336" t="s">
        <v>9600</v>
      </c>
      <c r="CF20" s="336" t="s">
        <v>9601</v>
      </c>
      <c r="CG20" s="336" t="s">
        <v>9602</v>
      </c>
      <c r="CH20" s="336" t="s">
        <v>9603</v>
      </c>
      <c r="CI20" s="336" t="s">
        <v>9604</v>
      </c>
      <c r="CJ20" s="336" t="s">
        <v>9605</v>
      </c>
      <c r="CK20" s="336" t="s">
        <v>9606</v>
      </c>
      <c r="CL20" s="336" t="s">
        <v>9607</v>
      </c>
      <c r="CM20" s="336" t="s">
        <v>9608</v>
      </c>
      <c r="CN20" s="336" t="s">
        <v>9609</v>
      </c>
      <c r="CO20" s="336" t="s">
        <v>9610</v>
      </c>
      <c r="CP20" s="336" t="s">
        <v>9611</v>
      </c>
      <c r="CQ20" s="336" t="s">
        <v>9612</v>
      </c>
      <c r="CR20" s="336" t="s">
        <v>9613</v>
      </c>
      <c r="CS20" s="336" t="s">
        <v>9614</v>
      </c>
      <c r="CT20" s="336" t="s">
        <v>9615</v>
      </c>
      <c r="CU20" s="336" t="s">
        <v>9616</v>
      </c>
      <c r="CV20" s="336" t="s">
        <v>9617</v>
      </c>
      <c r="CW20" s="336" t="s">
        <v>9618</v>
      </c>
      <c r="CX20" s="336" t="s">
        <v>9619</v>
      </c>
      <c r="CY20" s="336" t="s">
        <v>9620</v>
      </c>
      <c r="CZ20" s="336" t="s">
        <v>9621</v>
      </c>
      <c r="DA20" s="336" t="s">
        <v>9622</v>
      </c>
      <c r="DB20" s="336" t="s">
        <v>9623</v>
      </c>
      <c r="DC20" s="336" t="s">
        <v>9967</v>
      </c>
      <c r="DD20" s="336" t="s">
        <v>9968</v>
      </c>
      <c r="DE20" s="336" t="s">
        <v>9969</v>
      </c>
      <c r="DF20" s="336" t="s">
        <v>9970</v>
      </c>
      <c r="DG20" s="336" t="s">
        <v>9971</v>
      </c>
      <c r="DH20" s="336" t="s">
        <v>9972</v>
      </c>
      <c r="DI20" s="336" t="s">
        <v>9973</v>
      </c>
      <c r="DJ20" s="336" t="s">
        <v>9974</v>
      </c>
      <c r="DK20" s="336" t="s">
        <v>9975</v>
      </c>
      <c r="DL20" s="336" t="s">
        <v>9976</v>
      </c>
      <c r="DM20" s="336" t="s">
        <v>9977</v>
      </c>
      <c r="DN20" s="336" t="s">
        <v>9978</v>
      </c>
      <c r="DO20" s="336" t="s">
        <v>9888</v>
      </c>
      <c r="DP20" s="336" t="s">
        <v>9979</v>
      </c>
      <c r="DQ20" s="336" t="s">
        <v>9980</v>
      </c>
      <c r="DR20" s="336" t="s">
        <v>9981</v>
      </c>
      <c r="DS20" s="336" t="s">
        <v>9982</v>
      </c>
      <c r="DT20" s="336" t="s">
        <v>9983</v>
      </c>
      <c r="DU20" s="336" t="s">
        <v>9984</v>
      </c>
      <c r="DV20" s="336" t="s">
        <v>9985</v>
      </c>
      <c r="DW20" s="336" t="s">
        <v>9986</v>
      </c>
      <c r="DX20" s="336" t="s">
        <v>9987</v>
      </c>
      <c r="DY20" s="336" t="s">
        <v>9988</v>
      </c>
      <c r="DZ20" s="336" t="s">
        <v>9989</v>
      </c>
      <c r="EA20" s="336" t="s">
        <v>9990</v>
      </c>
      <c r="EB20" s="335" t="s">
        <v>9991</v>
      </c>
      <c r="EC20" s="335" t="s">
        <v>8733</v>
      </c>
      <c r="ED20" s="340" t="s">
        <v>9631</v>
      </c>
      <c r="EE20" s="335" t="s">
        <v>8733</v>
      </c>
      <c r="EF20" s="336" t="s">
        <v>9594</v>
      </c>
      <c r="EG20" s="336" t="s">
        <v>9587</v>
      </c>
      <c r="EH20" s="336" t="s">
        <v>9530</v>
      </c>
      <c r="EI20" s="335" t="s">
        <v>9621</v>
      </c>
      <c r="EJ20" s="335" t="s">
        <v>8733</v>
      </c>
    </row>
    <row r="21" spans="1:140" ht="12.75">
      <c r="A21" s="505">
        <v>7</v>
      </c>
      <c r="B21" s="355" t="s">
        <v>8731</v>
      </c>
      <c r="C21" s="356" t="s">
        <v>8507</v>
      </c>
      <c r="D21" s="356" t="s">
        <v>8507</v>
      </c>
      <c r="E21" s="356" t="s">
        <v>8507</v>
      </c>
      <c r="F21" s="355" t="s">
        <v>8507</v>
      </c>
      <c r="G21" s="355" t="s">
        <v>8731</v>
      </c>
      <c r="H21" s="361" t="s">
        <v>8732</v>
      </c>
      <c r="I21" s="355" t="s">
        <v>8731</v>
      </c>
      <c r="J21" s="356" t="s">
        <v>8506</v>
      </c>
      <c r="K21" s="356" t="s">
        <v>8506</v>
      </c>
      <c r="L21" s="356" t="s">
        <v>8506</v>
      </c>
      <c r="M21" s="356" t="s">
        <v>8506</v>
      </c>
      <c r="N21" s="356" t="s">
        <v>8506</v>
      </c>
      <c r="O21" s="356" t="s">
        <v>8506</v>
      </c>
      <c r="P21" s="356" t="s">
        <v>8506</v>
      </c>
      <c r="Q21" s="356" t="s">
        <v>8506</v>
      </c>
      <c r="R21" s="356" t="s">
        <v>8506</v>
      </c>
      <c r="S21" s="356" t="s">
        <v>8506</v>
      </c>
      <c r="T21" s="356" t="s">
        <v>8506</v>
      </c>
      <c r="U21" s="356" t="s">
        <v>8506</v>
      </c>
      <c r="V21" s="356" t="s">
        <v>8506</v>
      </c>
      <c r="W21" s="356" t="s">
        <v>8506</v>
      </c>
      <c r="X21" s="356" t="s">
        <v>8506</v>
      </c>
      <c r="Y21" s="356" t="s">
        <v>8506</v>
      </c>
      <c r="Z21" s="356" t="s">
        <v>8506</v>
      </c>
      <c r="AA21" s="356" t="s">
        <v>8506</v>
      </c>
      <c r="AB21" s="356" t="s">
        <v>8506</v>
      </c>
      <c r="AC21" s="356" t="s">
        <v>8506</v>
      </c>
      <c r="AD21" s="356" t="s">
        <v>8506</v>
      </c>
      <c r="AE21" s="356" t="s">
        <v>8506</v>
      </c>
      <c r="AF21" s="356" t="s">
        <v>8506</v>
      </c>
      <c r="AG21" s="356" t="s">
        <v>8506</v>
      </c>
      <c r="AH21" s="356" t="s">
        <v>8506</v>
      </c>
      <c r="AI21" s="356" t="s">
        <v>8506</v>
      </c>
      <c r="AJ21" s="356" t="s">
        <v>8506</v>
      </c>
      <c r="AK21" s="356" t="s">
        <v>8506</v>
      </c>
      <c r="AL21" s="356" t="s">
        <v>8506</v>
      </c>
      <c r="AM21" s="356" t="s">
        <v>8506</v>
      </c>
      <c r="AN21" s="356" t="s">
        <v>8506</v>
      </c>
      <c r="AO21" s="356" t="s">
        <v>8506</v>
      </c>
      <c r="AP21" s="356" t="s">
        <v>8506</v>
      </c>
      <c r="AQ21" s="356" t="s">
        <v>8506</v>
      </c>
      <c r="AR21" s="356" t="s">
        <v>8506</v>
      </c>
      <c r="AS21" s="356" t="s">
        <v>8506</v>
      </c>
      <c r="AT21" s="356" t="s">
        <v>8506</v>
      </c>
      <c r="AU21" s="356" t="s">
        <v>8506</v>
      </c>
      <c r="AV21" s="356" t="s">
        <v>8506</v>
      </c>
      <c r="AW21" s="356" t="s">
        <v>8506</v>
      </c>
      <c r="AX21" s="356" t="s">
        <v>8506</v>
      </c>
      <c r="AY21" s="356" t="s">
        <v>8506</v>
      </c>
      <c r="AZ21" s="356" t="s">
        <v>8506</v>
      </c>
      <c r="BA21" s="356" t="s">
        <v>8506</v>
      </c>
      <c r="BB21" s="356" t="s">
        <v>8506</v>
      </c>
      <c r="BC21" s="356" t="s">
        <v>8506</v>
      </c>
      <c r="BD21" s="356" t="s">
        <v>8506</v>
      </c>
      <c r="BE21" s="356" t="s">
        <v>8506</v>
      </c>
      <c r="BF21" s="356" t="s">
        <v>8506</v>
      </c>
      <c r="BG21" s="356" t="s">
        <v>8506</v>
      </c>
      <c r="BH21" s="356" t="s">
        <v>8506</v>
      </c>
      <c r="BI21" s="356" t="s">
        <v>8506</v>
      </c>
      <c r="BJ21" s="356" t="s">
        <v>8506</v>
      </c>
      <c r="BK21" s="356" t="s">
        <v>8506</v>
      </c>
      <c r="BL21" s="356" t="s">
        <v>8506</v>
      </c>
      <c r="BM21" s="356" t="s">
        <v>8506</v>
      </c>
      <c r="BN21" s="356" t="s">
        <v>8506</v>
      </c>
      <c r="BO21" s="356" t="s">
        <v>8506</v>
      </c>
      <c r="BP21" s="356" t="s">
        <v>8506</v>
      </c>
      <c r="BQ21" s="355" t="s">
        <v>8506</v>
      </c>
      <c r="BR21" s="355" t="s">
        <v>8731</v>
      </c>
      <c r="BS21" s="314" t="s">
        <v>8732</v>
      </c>
      <c r="BT21" s="332" t="s">
        <v>8731</v>
      </c>
      <c r="BU21" s="333" t="s">
        <v>8506</v>
      </c>
      <c r="BV21" s="333" t="s">
        <v>8506</v>
      </c>
      <c r="BW21" s="333" t="s">
        <v>8506</v>
      </c>
      <c r="BX21" s="333" t="s">
        <v>8506</v>
      </c>
      <c r="BY21" s="333" t="s">
        <v>8506</v>
      </c>
      <c r="BZ21" s="333" t="s">
        <v>8506</v>
      </c>
      <c r="CA21" s="333" t="s">
        <v>8506</v>
      </c>
      <c r="CB21" s="333" t="s">
        <v>8506</v>
      </c>
      <c r="CC21" s="333" t="s">
        <v>8506</v>
      </c>
      <c r="CD21" s="333" t="s">
        <v>8506</v>
      </c>
      <c r="CE21" s="333" t="s">
        <v>8506</v>
      </c>
      <c r="CF21" s="338" t="s">
        <v>8506</v>
      </c>
      <c r="CG21" s="333" t="s">
        <v>8506</v>
      </c>
      <c r="CH21" s="333" t="s">
        <v>8506</v>
      </c>
      <c r="CI21" s="333" t="s">
        <v>8506</v>
      </c>
      <c r="CJ21" s="333" t="s">
        <v>8506</v>
      </c>
      <c r="CK21" s="333" t="s">
        <v>8506</v>
      </c>
      <c r="CL21" s="333" t="s">
        <v>8506</v>
      </c>
      <c r="CM21" s="333" t="s">
        <v>8506</v>
      </c>
      <c r="CN21" s="333" t="s">
        <v>8506</v>
      </c>
      <c r="CO21" s="333" t="s">
        <v>8506</v>
      </c>
      <c r="CP21" s="333" t="s">
        <v>8506</v>
      </c>
      <c r="CQ21" s="333" t="s">
        <v>8506</v>
      </c>
      <c r="CR21" s="333" t="s">
        <v>8506</v>
      </c>
      <c r="CS21" s="333" t="s">
        <v>8506</v>
      </c>
      <c r="CT21" s="333" t="s">
        <v>8506</v>
      </c>
      <c r="CU21" s="333" t="s">
        <v>8506</v>
      </c>
      <c r="CV21" s="333" t="s">
        <v>8506</v>
      </c>
      <c r="CW21" s="333" t="s">
        <v>8506</v>
      </c>
      <c r="CX21" s="333" t="s">
        <v>8506</v>
      </c>
      <c r="CY21" s="333" t="s">
        <v>8506</v>
      </c>
      <c r="CZ21" s="333" t="s">
        <v>8506</v>
      </c>
      <c r="DA21" s="333" t="s">
        <v>8506</v>
      </c>
      <c r="DB21" s="333" t="s">
        <v>8506</v>
      </c>
      <c r="DC21" s="333" t="s">
        <v>8506</v>
      </c>
      <c r="DD21" s="333" t="s">
        <v>8506</v>
      </c>
      <c r="DE21" s="333" t="s">
        <v>8506</v>
      </c>
      <c r="DF21" s="333" t="s">
        <v>8506</v>
      </c>
      <c r="DG21" s="333" t="s">
        <v>8506</v>
      </c>
      <c r="DH21" s="333" t="s">
        <v>8506</v>
      </c>
      <c r="DI21" s="333" t="s">
        <v>8506</v>
      </c>
      <c r="DJ21" s="333" t="s">
        <v>8506</v>
      </c>
      <c r="DK21" s="333" t="s">
        <v>8506</v>
      </c>
      <c r="DL21" s="333" t="s">
        <v>8506</v>
      </c>
      <c r="DM21" s="333" t="s">
        <v>8506</v>
      </c>
      <c r="DN21" s="333" t="s">
        <v>8506</v>
      </c>
      <c r="DO21" s="333" t="s">
        <v>8506</v>
      </c>
      <c r="DP21" s="333" t="s">
        <v>8506</v>
      </c>
      <c r="DQ21" s="333" t="s">
        <v>8506</v>
      </c>
      <c r="DR21" s="333" t="s">
        <v>8506</v>
      </c>
      <c r="DS21" s="333" t="s">
        <v>8506</v>
      </c>
      <c r="DT21" s="333" t="s">
        <v>8506</v>
      </c>
      <c r="DU21" s="333" t="s">
        <v>8506</v>
      </c>
      <c r="DV21" s="333" t="s">
        <v>8506</v>
      </c>
      <c r="DW21" s="333" t="s">
        <v>8506</v>
      </c>
      <c r="DX21" s="333" t="s">
        <v>8506</v>
      </c>
      <c r="DY21" s="333" t="s">
        <v>8506</v>
      </c>
      <c r="DZ21" s="333" t="s">
        <v>8506</v>
      </c>
      <c r="EA21" s="333" t="s">
        <v>8506</v>
      </c>
      <c r="EB21" s="332" t="s">
        <v>8506</v>
      </c>
      <c r="EC21" s="332" t="s">
        <v>8731</v>
      </c>
      <c r="ED21" s="334" t="s">
        <v>8732</v>
      </c>
      <c r="EE21" s="332" t="s">
        <v>8731</v>
      </c>
      <c r="EF21" s="333" t="s">
        <v>8507</v>
      </c>
      <c r="EG21" s="333" t="s">
        <v>8507</v>
      </c>
      <c r="EH21" s="333" t="s">
        <v>8507</v>
      </c>
      <c r="EI21" s="332" t="s">
        <v>8507</v>
      </c>
      <c r="EJ21" s="332" t="s">
        <v>8731</v>
      </c>
    </row>
    <row r="22" spans="1:140" ht="13.5" thickBot="1">
      <c r="A22" s="506"/>
      <c r="B22" s="351" t="s">
        <v>8733</v>
      </c>
      <c r="C22" s="362" t="s">
        <v>8884</v>
      </c>
      <c r="D22" s="362" t="s">
        <v>8885</v>
      </c>
      <c r="E22" s="362" t="s">
        <v>8830</v>
      </c>
      <c r="F22" s="360" t="s">
        <v>8886</v>
      </c>
      <c r="G22" s="351" t="s">
        <v>8733</v>
      </c>
      <c r="H22" s="353" t="s">
        <v>8738</v>
      </c>
      <c r="I22" s="351" t="s">
        <v>8733</v>
      </c>
      <c r="J22" s="362" t="s">
        <v>8887</v>
      </c>
      <c r="K22" s="362" t="s">
        <v>8888</v>
      </c>
      <c r="L22" s="362" t="s">
        <v>8889</v>
      </c>
      <c r="M22" s="362" t="s">
        <v>8890</v>
      </c>
      <c r="N22" s="362" t="s">
        <v>8891</v>
      </c>
      <c r="O22" s="362" t="s">
        <v>8892</v>
      </c>
      <c r="P22" s="362" t="s">
        <v>8893</v>
      </c>
      <c r="Q22" s="362" t="s">
        <v>8894</v>
      </c>
      <c r="R22" s="362" t="s">
        <v>8860</v>
      </c>
      <c r="S22" s="362" t="s">
        <v>8895</v>
      </c>
      <c r="T22" s="362" t="s">
        <v>8896</v>
      </c>
      <c r="U22" s="362" t="s">
        <v>8897</v>
      </c>
      <c r="V22" s="362" t="s">
        <v>8898</v>
      </c>
      <c r="W22" s="362" t="s">
        <v>8829</v>
      </c>
      <c r="X22" s="362" t="s">
        <v>8899</v>
      </c>
      <c r="Y22" s="362" t="s">
        <v>8900</v>
      </c>
      <c r="Z22" s="362" t="s">
        <v>8827</v>
      </c>
      <c r="AA22" s="362" t="s">
        <v>8901</v>
      </c>
      <c r="AB22" s="362" t="s">
        <v>8902</v>
      </c>
      <c r="AC22" s="362" t="s">
        <v>8903</v>
      </c>
      <c r="AD22" s="362" t="s">
        <v>8904</v>
      </c>
      <c r="AE22" s="362" t="s">
        <v>8905</v>
      </c>
      <c r="AF22" s="362" t="s">
        <v>8906</v>
      </c>
      <c r="AG22" s="362" t="s">
        <v>8907</v>
      </c>
      <c r="AH22" s="362" t="s">
        <v>8908</v>
      </c>
      <c r="AI22" s="362" t="s">
        <v>8909</v>
      </c>
      <c r="AJ22" s="362" t="s">
        <v>8910</v>
      </c>
      <c r="AK22" s="362" t="s">
        <v>9239</v>
      </c>
      <c r="AL22" s="362" t="s">
        <v>9240</v>
      </c>
      <c r="AM22" s="362" t="s">
        <v>9241</v>
      </c>
      <c r="AN22" s="362" t="s">
        <v>8885</v>
      </c>
      <c r="AO22" s="362" t="s">
        <v>9242</v>
      </c>
      <c r="AP22" s="362" t="s">
        <v>9243</v>
      </c>
      <c r="AQ22" s="362" t="s">
        <v>9244</v>
      </c>
      <c r="AR22" s="362" t="s">
        <v>9245</v>
      </c>
      <c r="AS22" s="362" t="s">
        <v>9246</v>
      </c>
      <c r="AT22" s="362" t="s">
        <v>9247</v>
      </c>
      <c r="AU22" s="362" t="s">
        <v>9248</v>
      </c>
      <c r="AV22" s="362" t="s">
        <v>9249</v>
      </c>
      <c r="AW22" s="362" t="s">
        <v>9250</v>
      </c>
      <c r="AX22" s="362" t="s">
        <v>9251</v>
      </c>
      <c r="AY22" s="362" t="s">
        <v>9252</v>
      </c>
      <c r="AZ22" s="362" t="s">
        <v>9253</v>
      </c>
      <c r="BA22" s="362" t="s">
        <v>8768</v>
      </c>
      <c r="BB22" s="362" t="s">
        <v>9254</v>
      </c>
      <c r="BC22" s="362" t="s">
        <v>9255</v>
      </c>
      <c r="BD22" s="362" t="s">
        <v>9256</v>
      </c>
      <c r="BE22" s="362" t="s">
        <v>9257</v>
      </c>
      <c r="BF22" s="362" t="s">
        <v>9258</v>
      </c>
      <c r="BG22" s="362" t="s">
        <v>9259</v>
      </c>
      <c r="BH22" s="362" t="s">
        <v>9260</v>
      </c>
      <c r="BI22" s="362" t="s">
        <v>9261</v>
      </c>
      <c r="BJ22" s="362" t="s">
        <v>9262</v>
      </c>
      <c r="BK22" s="362" t="s">
        <v>9263</v>
      </c>
      <c r="BL22" s="362" t="s">
        <v>9264</v>
      </c>
      <c r="BM22" s="362" t="s">
        <v>9265</v>
      </c>
      <c r="BN22" s="362" t="s">
        <v>9266</v>
      </c>
      <c r="BO22" s="362" t="s">
        <v>8884</v>
      </c>
      <c r="BP22" s="362" t="s">
        <v>9267</v>
      </c>
      <c r="BQ22" s="360" t="s">
        <v>9268</v>
      </c>
      <c r="BR22" s="351" t="s">
        <v>8733</v>
      </c>
      <c r="BS22" s="317" t="s">
        <v>8738</v>
      </c>
      <c r="BT22" s="335" t="s">
        <v>8733</v>
      </c>
      <c r="BU22" s="341" t="s">
        <v>9624</v>
      </c>
      <c r="BV22" s="341" t="s">
        <v>9625</v>
      </c>
      <c r="BW22" s="341" t="s">
        <v>9626</v>
      </c>
      <c r="BX22" s="341" t="s">
        <v>9627</v>
      </c>
      <c r="BY22" s="341" t="s">
        <v>9628</v>
      </c>
      <c r="BZ22" s="341" t="s">
        <v>9629</v>
      </c>
      <c r="CA22" s="341" t="s">
        <v>9630</v>
      </c>
      <c r="CB22" s="341" t="s">
        <v>9631</v>
      </c>
      <c r="CC22" s="341" t="s">
        <v>9632</v>
      </c>
      <c r="CD22" s="341" t="s">
        <v>9633</v>
      </c>
      <c r="CE22" s="341" t="s">
        <v>9634</v>
      </c>
      <c r="CF22" s="342" t="s">
        <v>9635</v>
      </c>
      <c r="CG22" s="341" t="s">
        <v>9636</v>
      </c>
      <c r="CH22" s="341" t="s">
        <v>9637</v>
      </c>
      <c r="CI22" s="341" t="s">
        <v>9638</v>
      </c>
      <c r="CJ22" s="341" t="s">
        <v>9639</v>
      </c>
      <c r="CK22" s="341" t="s">
        <v>9640</v>
      </c>
      <c r="CL22" s="341" t="s">
        <v>9641</v>
      </c>
      <c r="CM22" s="341" t="s">
        <v>9642</v>
      </c>
      <c r="CN22" s="341" t="s">
        <v>9643</v>
      </c>
      <c r="CO22" s="341" t="s">
        <v>9644</v>
      </c>
      <c r="CP22" s="341" t="s">
        <v>9645</v>
      </c>
      <c r="CQ22" s="341" t="s">
        <v>9646</v>
      </c>
      <c r="CR22" s="341" t="s">
        <v>9647</v>
      </c>
      <c r="CS22" s="341" t="s">
        <v>9648</v>
      </c>
      <c r="CT22" s="341" t="s">
        <v>9649</v>
      </c>
      <c r="CU22" s="341" t="s">
        <v>9650</v>
      </c>
      <c r="CV22" s="341" t="s">
        <v>9651</v>
      </c>
      <c r="CW22" s="341" t="s">
        <v>9652</v>
      </c>
      <c r="CX22" s="341" t="s">
        <v>9653</v>
      </c>
      <c r="CY22" s="341" t="s">
        <v>9654</v>
      </c>
      <c r="CZ22" s="341" t="s">
        <v>9655</v>
      </c>
      <c r="DA22" s="341" t="s">
        <v>9656</v>
      </c>
      <c r="DB22" s="341" t="s">
        <v>9657</v>
      </c>
      <c r="DC22" s="341" t="s">
        <v>9992</v>
      </c>
      <c r="DD22" s="341" t="s">
        <v>9993</v>
      </c>
      <c r="DE22" s="341" t="s">
        <v>9994</v>
      </c>
      <c r="DF22" s="341" t="s">
        <v>9995</v>
      </c>
      <c r="DG22" s="341" t="s">
        <v>9996</v>
      </c>
      <c r="DH22" s="341" t="s">
        <v>9997</v>
      </c>
      <c r="DI22" s="341" t="s">
        <v>9998</v>
      </c>
      <c r="DJ22" s="341" t="s">
        <v>9999</v>
      </c>
      <c r="DK22" s="341" t="s">
        <v>10000</v>
      </c>
      <c r="DL22" s="341" t="s">
        <v>10001</v>
      </c>
      <c r="DM22" s="341" t="s">
        <v>10002</v>
      </c>
      <c r="DN22" s="341" t="s">
        <v>10003</v>
      </c>
      <c r="DO22" s="341" t="s">
        <v>10004</v>
      </c>
      <c r="DP22" s="341" t="s">
        <v>10005</v>
      </c>
      <c r="DQ22" s="341" t="s">
        <v>10006</v>
      </c>
      <c r="DR22" s="341" t="s">
        <v>10007</v>
      </c>
      <c r="DS22" s="341" t="s">
        <v>10008</v>
      </c>
      <c r="DT22" s="341" t="s">
        <v>10009</v>
      </c>
      <c r="DU22" s="341" t="s">
        <v>10010</v>
      </c>
      <c r="DV22" s="341" t="s">
        <v>10011</v>
      </c>
      <c r="DW22" s="341" t="s">
        <v>10012</v>
      </c>
      <c r="DX22" s="341" t="s">
        <v>10013</v>
      </c>
      <c r="DY22" s="341" t="s">
        <v>10014</v>
      </c>
      <c r="DZ22" s="341" t="s">
        <v>10015</v>
      </c>
      <c r="EA22" s="341" t="s">
        <v>10016</v>
      </c>
      <c r="EB22" s="340" t="s">
        <v>10017</v>
      </c>
      <c r="EC22" s="335" t="s">
        <v>8733</v>
      </c>
      <c r="ED22" s="337" t="s">
        <v>8738</v>
      </c>
      <c r="EE22" s="335" t="s">
        <v>8733</v>
      </c>
      <c r="EF22" s="341" t="s">
        <v>9582</v>
      </c>
      <c r="EG22" s="341" t="s">
        <v>9649</v>
      </c>
      <c r="EH22" s="341" t="s">
        <v>9584</v>
      </c>
      <c r="EI22" s="340" t="s">
        <v>9954</v>
      </c>
      <c r="EJ22" s="335" t="s">
        <v>8733</v>
      </c>
    </row>
    <row r="23" spans="1:140" ht="12.75">
      <c r="A23" s="505">
        <v>6</v>
      </c>
      <c r="B23" s="332" t="s">
        <v>8731</v>
      </c>
      <c r="C23" s="333" t="s">
        <v>8507</v>
      </c>
      <c r="D23" s="333" t="s">
        <v>8507</v>
      </c>
      <c r="E23" s="333" t="s">
        <v>8507</v>
      </c>
      <c r="F23" s="332" t="s">
        <v>8507</v>
      </c>
      <c r="G23" s="332" t="s">
        <v>8731</v>
      </c>
      <c r="H23" s="334" t="s">
        <v>8732</v>
      </c>
      <c r="I23" s="332" t="s">
        <v>8731</v>
      </c>
      <c r="J23" s="333" t="s">
        <v>8506</v>
      </c>
      <c r="K23" s="333" t="s">
        <v>8506</v>
      </c>
      <c r="L23" s="333" t="s">
        <v>8506</v>
      </c>
      <c r="M23" s="333" t="s">
        <v>8506</v>
      </c>
      <c r="N23" s="333" t="s">
        <v>8506</v>
      </c>
      <c r="O23" s="333" t="s">
        <v>8506</v>
      </c>
      <c r="P23" s="333" t="s">
        <v>8506</v>
      </c>
      <c r="Q23" s="333" t="s">
        <v>8506</v>
      </c>
      <c r="R23" s="333" t="s">
        <v>8506</v>
      </c>
      <c r="S23" s="333" t="s">
        <v>8506</v>
      </c>
      <c r="T23" s="333" t="s">
        <v>8506</v>
      </c>
      <c r="U23" s="333" t="s">
        <v>8506</v>
      </c>
      <c r="V23" s="333" t="s">
        <v>8506</v>
      </c>
      <c r="W23" s="333" t="s">
        <v>8506</v>
      </c>
      <c r="X23" s="333" t="s">
        <v>8506</v>
      </c>
      <c r="Y23" s="333" t="s">
        <v>8506</v>
      </c>
      <c r="Z23" s="333" t="s">
        <v>8506</v>
      </c>
      <c r="AA23" s="333" t="s">
        <v>8506</v>
      </c>
      <c r="AB23" s="333" t="s">
        <v>8506</v>
      </c>
      <c r="AC23" s="333" t="s">
        <v>8506</v>
      </c>
      <c r="AD23" s="333" t="s">
        <v>8506</v>
      </c>
      <c r="AE23" s="333" t="s">
        <v>8506</v>
      </c>
      <c r="AF23" s="333" t="s">
        <v>8506</v>
      </c>
      <c r="AG23" s="333" t="s">
        <v>8506</v>
      </c>
      <c r="AH23" s="333" t="s">
        <v>8506</v>
      </c>
      <c r="AI23" s="333" t="s">
        <v>8506</v>
      </c>
      <c r="AJ23" s="333" t="s">
        <v>8506</v>
      </c>
      <c r="AK23" s="333" t="s">
        <v>8506</v>
      </c>
      <c r="AL23" s="333" t="s">
        <v>8506</v>
      </c>
      <c r="AM23" s="333" t="s">
        <v>8506</v>
      </c>
      <c r="AN23" s="333" t="s">
        <v>8506</v>
      </c>
      <c r="AO23" s="333" t="s">
        <v>8506</v>
      </c>
      <c r="AP23" s="333" t="s">
        <v>8506</v>
      </c>
      <c r="AQ23" s="333" t="s">
        <v>8506</v>
      </c>
      <c r="AR23" s="333" t="s">
        <v>8506</v>
      </c>
      <c r="AS23" s="333" t="s">
        <v>8506</v>
      </c>
      <c r="AT23" s="333" t="s">
        <v>8506</v>
      </c>
      <c r="AU23" s="333" t="s">
        <v>8506</v>
      </c>
      <c r="AV23" s="333" t="s">
        <v>8506</v>
      </c>
      <c r="AW23" s="333" t="s">
        <v>8506</v>
      </c>
      <c r="AX23" s="333" t="s">
        <v>8506</v>
      </c>
      <c r="AY23" s="333" t="s">
        <v>8506</v>
      </c>
      <c r="AZ23" s="333" t="s">
        <v>8506</v>
      </c>
      <c r="BA23" s="333" t="s">
        <v>8506</v>
      </c>
      <c r="BB23" s="333" t="s">
        <v>8506</v>
      </c>
      <c r="BC23" s="333" t="s">
        <v>8506</v>
      </c>
      <c r="BD23" s="333" t="s">
        <v>8506</v>
      </c>
      <c r="BE23" s="333" t="s">
        <v>8506</v>
      </c>
      <c r="BF23" s="333" t="s">
        <v>8506</v>
      </c>
      <c r="BG23" s="333" t="s">
        <v>8506</v>
      </c>
      <c r="BH23" s="333" t="s">
        <v>8506</v>
      </c>
      <c r="BI23" s="333" t="s">
        <v>8506</v>
      </c>
      <c r="BJ23" s="333" t="s">
        <v>8506</v>
      </c>
      <c r="BK23" s="333" t="s">
        <v>8506</v>
      </c>
      <c r="BL23" s="333" t="s">
        <v>8506</v>
      </c>
      <c r="BM23" s="333" t="s">
        <v>8506</v>
      </c>
      <c r="BN23" s="333" t="s">
        <v>8506</v>
      </c>
      <c r="BO23" s="333" t="s">
        <v>8506</v>
      </c>
      <c r="BP23" s="333" t="s">
        <v>8506</v>
      </c>
      <c r="BQ23" s="332" t="s">
        <v>8506</v>
      </c>
      <c r="BR23" s="332" t="s">
        <v>8731</v>
      </c>
      <c r="BS23" s="314" t="s">
        <v>8732</v>
      </c>
      <c r="BT23" s="355" t="s">
        <v>8731</v>
      </c>
      <c r="BU23" s="356" t="s">
        <v>8506</v>
      </c>
      <c r="BV23" s="356" t="s">
        <v>8506</v>
      </c>
      <c r="BW23" s="356" t="s">
        <v>8506</v>
      </c>
      <c r="BX23" s="356" t="s">
        <v>8506</v>
      </c>
      <c r="BY23" s="356" t="s">
        <v>8506</v>
      </c>
      <c r="BZ23" s="356" t="s">
        <v>8506</v>
      </c>
      <c r="CA23" s="356" t="s">
        <v>8506</v>
      </c>
      <c r="CB23" s="356" t="s">
        <v>8506</v>
      </c>
      <c r="CC23" s="356" t="s">
        <v>8506</v>
      </c>
      <c r="CD23" s="356" t="s">
        <v>8506</v>
      </c>
      <c r="CE23" s="356" t="s">
        <v>8506</v>
      </c>
      <c r="CF23" s="356" t="s">
        <v>8506</v>
      </c>
      <c r="CG23" s="356" t="s">
        <v>8506</v>
      </c>
      <c r="CH23" s="356" t="s">
        <v>8506</v>
      </c>
      <c r="CI23" s="356" t="s">
        <v>8506</v>
      </c>
      <c r="CJ23" s="358" t="s">
        <v>8506</v>
      </c>
      <c r="CK23" s="356" t="s">
        <v>8506</v>
      </c>
      <c r="CL23" s="356" t="s">
        <v>8506</v>
      </c>
      <c r="CM23" s="356" t="s">
        <v>8506</v>
      </c>
      <c r="CN23" s="358" t="s">
        <v>8506</v>
      </c>
      <c r="CO23" s="358" t="s">
        <v>8506</v>
      </c>
      <c r="CP23" s="356" t="s">
        <v>8506</v>
      </c>
      <c r="CQ23" s="356" t="s">
        <v>8506</v>
      </c>
      <c r="CR23" s="356" t="s">
        <v>8506</v>
      </c>
      <c r="CS23" s="356" t="s">
        <v>8506</v>
      </c>
      <c r="CT23" s="356" t="s">
        <v>8506</v>
      </c>
      <c r="CU23" s="356" t="s">
        <v>8506</v>
      </c>
      <c r="CV23" s="356" t="s">
        <v>8506</v>
      </c>
      <c r="CW23" s="356" t="s">
        <v>8506</v>
      </c>
      <c r="CX23" s="356" t="s">
        <v>8506</v>
      </c>
      <c r="CY23" s="356" t="s">
        <v>8506</v>
      </c>
      <c r="CZ23" s="356" t="s">
        <v>8506</v>
      </c>
      <c r="DA23" s="356" t="s">
        <v>8506</v>
      </c>
      <c r="DB23" s="356" t="s">
        <v>8506</v>
      </c>
      <c r="DC23" s="356" t="s">
        <v>8506</v>
      </c>
      <c r="DD23" s="356" t="s">
        <v>8506</v>
      </c>
      <c r="DE23" s="356" t="s">
        <v>8506</v>
      </c>
      <c r="DF23" s="356" t="s">
        <v>8506</v>
      </c>
      <c r="DG23" s="356" t="s">
        <v>8506</v>
      </c>
      <c r="DH23" s="356" t="s">
        <v>8506</v>
      </c>
      <c r="DI23" s="356" t="s">
        <v>8506</v>
      </c>
      <c r="DJ23" s="356" t="s">
        <v>8506</v>
      </c>
      <c r="DK23" s="356" t="s">
        <v>8506</v>
      </c>
      <c r="DL23" s="356" t="s">
        <v>8506</v>
      </c>
      <c r="DM23" s="356" t="s">
        <v>8506</v>
      </c>
      <c r="DN23" s="356" t="s">
        <v>8506</v>
      </c>
      <c r="DO23" s="356" t="s">
        <v>8506</v>
      </c>
      <c r="DP23" s="356" t="s">
        <v>8506</v>
      </c>
      <c r="DQ23" s="356" t="s">
        <v>8506</v>
      </c>
      <c r="DR23" s="356" t="s">
        <v>8506</v>
      </c>
      <c r="DS23" s="356" t="s">
        <v>8506</v>
      </c>
      <c r="DT23" s="356" t="s">
        <v>8506</v>
      </c>
      <c r="DU23" s="356" t="s">
        <v>8506</v>
      </c>
      <c r="DV23" s="356" t="s">
        <v>8506</v>
      </c>
      <c r="DW23" s="356" t="s">
        <v>8506</v>
      </c>
      <c r="DX23" s="356" t="s">
        <v>8506</v>
      </c>
      <c r="DY23" s="356" t="s">
        <v>8506</v>
      </c>
      <c r="DZ23" s="356" t="s">
        <v>8506</v>
      </c>
      <c r="EA23" s="356" t="s">
        <v>8506</v>
      </c>
      <c r="EB23" s="355" t="s">
        <v>8506</v>
      </c>
      <c r="EC23" s="355" t="s">
        <v>8731</v>
      </c>
      <c r="ED23" s="361" t="s">
        <v>8732</v>
      </c>
      <c r="EE23" s="355" t="s">
        <v>8731</v>
      </c>
      <c r="EF23" s="356" t="s">
        <v>8507</v>
      </c>
      <c r="EG23" s="356" t="s">
        <v>8507</v>
      </c>
      <c r="EH23" s="356" t="s">
        <v>8507</v>
      </c>
      <c r="EI23" s="355" t="s">
        <v>8507</v>
      </c>
      <c r="EJ23" s="355" t="s">
        <v>8731</v>
      </c>
    </row>
    <row r="24" spans="1:140" ht="13.5" thickBot="1">
      <c r="A24" s="506"/>
      <c r="B24" s="335" t="s">
        <v>8733</v>
      </c>
      <c r="C24" s="336" t="s">
        <v>8911</v>
      </c>
      <c r="D24" s="336" t="s">
        <v>8912</v>
      </c>
      <c r="E24" s="336" t="s">
        <v>8913</v>
      </c>
      <c r="F24" s="335" t="s">
        <v>8914</v>
      </c>
      <c r="G24" s="335" t="s">
        <v>8733</v>
      </c>
      <c r="H24" s="337" t="s">
        <v>8738</v>
      </c>
      <c r="I24" s="335" t="s">
        <v>8733</v>
      </c>
      <c r="J24" s="336" t="s">
        <v>8915</v>
      </c>
      <c r="K24" s="336" t="s">
        <v>8916</v>
      </c>
      <c r="L24" s="336" t="s">
        <v>8917</v>
      </c>
      <c r="M24" s="336" t="s">
        <v>8918</v>
      </c>
      <c r="N24" s="336" t="s">
        <v>8919</v>
      </c>
      <c r="O24" s="336" t="s">
        <v>8920</v>
      </c>
      <c r="P24" s="336" t="s">
        <v>8921</v>
      </c>
      <c r="Q24" s="336" t="s">
        <v>8922</v>
      </c>
      <c r="R24" s="336" t="s">
        <v>8923</v>
      </c>
      <c r="S24" s="336" t="s">
        <v>8924</v>
      </c>
      <c r="T24" s="336" t="s">
        <v>8925</v>
      </c>
      <c r="U24" s="336" t="s">
        <v>8926</v>
      </c>
      <c r="V24" s="336" t="s">
        <v>8927</v>
      </c>
      <c r="W24" s="336" t="s">
        <v>8928</v>
      </c>
      <c r="X24" s="336" t="s">
        <v>8929</v>
      </c>
      <c r="Y24" s="336" t="s">
        <v>8930</v>
      </c>
      <c r="Z24" s="336" t="s">
        <v>8931</v>
      </c>
      <c r="AA24" s="336" t="s">
        <v>8932</v>
      </c>
      <c r="AB24" s="336" t="s">
        <v>8933</v>
      </c>
      <c r="AC24" s="336" t="s">
        <v>8934</v>
      </c>
      <c r="AD24" s="336" t="s">
        <v>8935</v>
      </c>
      <c r="AE24" s="336" t="s">
        <v>8936</v>
      </c>
      <c r="AF24" s="336" t="s">
        <v>8937</v>
      </c>
      <c r="AG24" s="336" t="s">
        <v>8938</v>
      </c>
      <c r="AH24" s="336" t="s">
        <v>8939</v>
      </c>
      <c r="AI24" s="336" t="s">
        <v>8940</v>
      </c>
      <c r="AJ24" s="336" t="s">
        <v>8941</v>
      </c>
      <c r="AK24" s="336" t="s">
        <v>9269</v>
      </c>
      <c r="AL24" s="336" t="s">
        <v>9270</v>
      </c>
      <c r="AM24" s="336" t="s">
        <v>9271</v>
      </c>
      <c r="AN24" s="336" t="s">
        <v>8942</v>
      </c>
      <c r="AO24" s="336" t="s">
        <v>9272</v>
      </c>
      <c r="AP24" s="336" t="s">
        <v>9273</v>
      </c>
      <c r="AQ24" s="336" t="s">
        <v>9274</v>
      </c>
      <c r="AR24" s="336" t="s">
        <v>9275</v>
      </c>
      <c r="AS24" s="336" t="s">
        <v>9276</v>
      </c>
      <c r="AT24" s="336" t="s">
        <v>9277</v>
      </c>
      <c r="AU24" s="336" t="s">
        <v>9278</v>
      </c>
      <c r="AV24" s="336" t="s">
        <v>9279</v>
      </c>
      <c r="AW24" s="336" t="s">
        <v>9280</v>
      </c>
      <c r="AX24" s="336" t="s">
        <v>8974</v>
      </c>
      <c r="AY24" s="336" t="s">
        <v>9281</v>
      </c>
      <c r="AZ24" s="336" t="s">
        <v>9282</v>
      </c>
      <c r="BA24" s="336" t="s">
        <v>9283</v>
      </c>
      <c r="BB24" s="336" t="s">
        <v>9284</v>
      </c>
      <c r="BC24" s="336" t="s">
        <v>8944</v>
      </c>
      <c r="BD24" s="336" t="s">
        <v>9285</v>
      </c>
      <c r="BE24" s="336" t="s">
        <v>9286</v>
      </c>
      <c r="BF24" s="336" t="s">
        <v>9287</v>
      </c>
      <c r="BG24" s="336" t="s">
        <v>9288</v>
      </c>
      <c r="BH24" s="336" t="s">
        <v>9289</v>
      </c>
      <c r="BI24" s="336" t="s">
        <v>9290</v>
      </c>
      <c r="BJ24" s="336" t="s">
        <v>9291</v>
      </c>
      <c r="BK24" s="336" t="s">
        <v>9292</v>
      </c>
      <c r="BL24" s="336" t="s">
        <v>9293</v>
      </c>
      <c r="BM24" s="336" t="s">
        <v>9294</v>
      </c>
      <c r="BN24" s="336" t="s">
        <v>9295</v>
      </c>
      <c r="BO24" s="336" t="s">
        <v>9296</v>
      </c>
      <c r="BP24" s="336" t="s">
        <v>9297</v>
      </c>
      <c r="BQ24" s="335" t="s">
        <v>9298</v>
      </c>
      <c r="BR24" s="335" t="s">
        <v>8733</v>
      </c>
      <c r="BS24" s="317" t="s">
        <v>8738</v>
      </c>
      <c r="BT24" s="351" t="s">
        <v>8733</v>
      </c>
      <c r="BU24" s="352" t="s">
        <v>9658</v>
      </c>
      <c r="BV24" s="352" t="s">
        <v>9659</v>
      </c>
      <c r="BW24" s="352" t="s">
        <v>9660</v>
      </c>
      <c r="BX24" s="352" t="s">
        <v>9661</v>
      </c>
      <c r="BY24" s="352" t="s">
        <v>9662</v>
      </c>
      <c r="BZ24" s="352" t="s">
        <v>9663</v>
      </c>
      <c r="CA24" s="352" t="s">
        <v>9664</v>
      </c>
      <c r="CB24" s="352" t="s">
        <v>9665</v>
      </c>
      <c r="CC24" s="352" t="s">
        <v>9666</v>
      </c>
      <c r="CD24" s="352" t="s">
        <v>9667</v>
      </c>
      <c r="CE24" s="352" t="s">
        <v>9668</v>
      </c>
      <c r="CF24" s="352" t="s">
        <v>9669</v>
      </c>
      <c r="CG24" s="352" t="s">
        <v>9670</v>
      </c>
      <c r="CH24" s="352" t="s">
        <v>9671</v>
      </c>
      <c r="CI24" s="352" t="s">
        <v>9672</v>
      </c>
      <c r="CJ24" s="354" t="s">
        <v>9673</v>
      </c>
      <c r="CK24" s="352" t="s">
        <v>9674</v>
      </c>
      <c r="CL24" s="352" t="s">
        <v>9675</v>
      </c>
      <c r="CM24" s="352" t="s">
        <v>9676</v>
      </c>
      <c r="CN24" s="354" t="s">
        <v>9677</v>
      </c>
      <c r="CO24" s="354" t="s">
        <v>9678</v>
      </c>
      <c r="CP24" s="352" t="s">
        <v>9679</v>
      </c>
      <c r="CQ24" s="352" t="s">
        <v>9680</v>
      </c>
      <c r="CR24" s="352" t="s">
        <v>9681</v>
      </c>
      <c r="CS24" s="352" t="s">
        <v>9682</v>
      </c>
      <c r="CT24" s="352" t="s">
        <v>9683</v>
      </c>
      <c r="CU24" s="352" t="s">
        <v>9684</v>
      </c>
      <c r="CV24" s="352" t="s">
        <v>9685</v>
      </c>
      <c r="CW24" s="352" t="s">
        <v>9686</v>
      </c>
      <c r="CX24" s="352" t="s">
        <v>9687</v>
      </c>
      <c r="CY24" s="352" t="s">
        <v>9688</v>
      </c>
      <c r="CZ24" s="352" t="s">
        <v>9689</v>
      </c>
      <c r="DA24" s="352" t="s">
        <v>9690</v>
      </c>
      <c r="DB24" s="352" t="s">
        <v>9691</v>
      </c>
      <c r="DC24" s="352" t="s">
        <v>10018</v>
      </c>
      <c r="DD24" s="352" t="s">
        <v>10019</v>
      </c>
      <c r="DE24" s="352" t="s">
        <v>10020</v>
      </c>
      <c r="DF24" s="352" t="s">
        <v>10021</v>
      </c>
      <c r="DG24" s="352" t="s">
        <v>10022</v>
      </c>
      <c r="DH24" s="352" t="s">
        <v>10023</v>
      </c>
      <c r="DI24" s="352" t="s">
        <v>10024</v>
      </c>
      <c r="DJ24" s="352" t="s">
        <v>10025</v>
      </c>
      <c r="DK24" s="352" t="s">
        <v>10026</v>
      </c>
      <c r="DL24" s="352" t="s">
        <v>10027</v>
      </c>
      <c r="DM24" s="352" t="s">
        <v>10028</v>
      </c>
      <c r="DN24" s="352" t="s">
        <v>10029</v>
      </c>
      <c r="DO24" s="352" t="s">
        <v>10030</v>
      </c>
      <c r="DP24" s="352" t="s">
        <v>10031</v>
      </c>
      <c r="DQ24" s="352" t="s">
        <v>10032</v>
      </c>
      <c r="DR24" s="352" t="s">
        <v>10033</v>
      </c>
      <c r="DS24" s="352" t="s">
        <v>10034</v>
      </c>
      <c r="DT24" s="352" t="s">
        <v>10035</v>
      </c>
      <c r="DU24" s="352" t="s">
        <v>10036</v>
      </c>
      <c r="DV24" s="352" t="s">
        <v>10037</v>
      </c>
      <c r="DW24" s="352" t="s">
        <v>10038</v>
      </c>
      <c r="DX24" s="352" t="s">
        <v>10039</v>
      </c>
      <c r="DY24" s="352" t="s">
        <v>10040</v>
      </c>
      <c r="DZ24" s="352" t="s">
        <v>10041</v>
      </c>
      <c r="EA24" s="352" t="s">
        <v>10042</v>
      </c>
      <c r="EB24" s="351" t="s">
        <v>10043</v>
      </c>
      <c r="EC24" s="351" t="s">
        <v>8733</v>
      </c>
      <c r="ED24" s="353" t="s">
        <v>8738</v>
      </c>
      <c r="EE24" s="351" t="s">
        <v>8733</v>
      </c>
      <c r="EF24" s="352" t="s">
        <v>10044</v>
      </c>
      <c r="EG24" s="352" t="s">
        <v>10045</v>
      </c>
      <c r="EH24" s="352" t="s">
        <v>10046</v>
      </c>
      <c r="EI24" s="351" t="s">
        <v>10047</v>
      </c>
      <c r="EJ24" s="351" t="s">
        <v>8733</v>
      </c>
    </row>
    <row r="25" spans="1:140" ht="12.75">
      <c r="A25" s="505">
        <v>5</v>
      </c>
      <c r="B25" s="332" t="s">
        <v>8731</v>
      </c>
      <c r="C25" s="333" t="s">
        <v>8507</v>
      </c>
      <c r="D25" s="333" t="s">
        <v>8507</v>
      </c>
      <c r="E25" s="333" t="s">
        <v>8507</v>
      </c>
      <c r="F25" s="332" t="s">
        <v>8507</v>
      </c>
      <c r="G25" s="332" t="s">
        <v>8731</v>
      </c>
      <c r="H25" s="332" t="s">
        <v>8508</v>
      </c>
      <c r="I25" s="332" t="s">
        <v>8731</v>
      </c>
      <c r="J25" s="333" t="s">
        <v>8506</v>
      </c>
      <c r="K25" s="333" t="s">
        <v>8506</v>
      </c>
      <c r="L25" s="333" t="s">
        <v>8506</v>
      </c>
      <c r="M25" s="333" t="s">
        <v>8506</v>
      </c>
      <c r="N25" s="333" t="s">
        <v>8506</v>
      </c>
      <c r="O25" s="333" t="s">
        <v>8506</v>
      </c>
      <c r="P25" s="333" t="s">
        <v>8506</v>
      </c>
      <c r="Q25" s="333" t="s">
        <v>8506</v>
      </c>
      <c r="R25" s="333" t="s">
        <v>8506</v>
      </c>
      <c r="S25" s="333" t="s">
        <v>8506</v>
      </c>
      <c r="T25" s="333" t="s">
        <v>8506</v>
      </c>
      <c r="U25" s="333" t="s">
        <v>8506</v>
      </c>
      <c r="V25" s="333" t="s">
        <v>8506</v>
      </c>
      <c r="W25" s="333" t="s">
        <v>8506</v>
      </c>
      <c r="X25" s="333" t="s">
        <v>8506</v>
      </c>
      <c r="Y25" s="333" t="s">
        <v>8506</v>
      </c>
      <c r="Z25" s="333" t="s">
        <v>8506</v>
      </c>
      <c r="AA25" s="333" t="s">
        <v>8506</v>
      </c>
      <c r="AB25" s="333" t="s">
        <v>8506</v>
      </c>
      <c r="AC25" s="333" t="s">
        <v>8506</v>
      </c>
      <c r="AD25" s="333" t="s">
        <v>8506</v>
      </c>
      <c r="AE25" s="333" t="s">
        <v>8506</v>
      </c>
      <c r="AF25" s="333" t="s">
        <v>8506</v>
      </c>
      <c r="AG25" s="333" t="s">
        <v>8506</v>
      </c>
      <c r="AH25" s="333" t="s">
        <v>8506</v>
      </c>
      <c r="AI25" s="333" t="s">
        <v>8506</v>
      </c>
      <c r="AJ25" s="333" t="s">
        <v>8506</v>
      </c>
      <c r="AK25" s="333" t="s">
        <v>8506</v>
      </c>
      <c r="AL25" s="333" t="s">
        <v>8506</v>
      </c>
      <c r="AM25" s="333" t="s">
        <v>8506</v>
      </c>
      <c r="AN25" s="333" t="s">
        <v>8506</v>
      </c>
      <c r="AO25" s="333" t="s">
        <v>8506</v>
      </c>
      <c r="AP25" s="333" t="s">
        <v>8506</v>
      </c>
      <c r="AQ25" s="333" t="s">
        <v>8506</v>
      </c>
      <c r="AR25" s="333" t="s">
        <v>8506</v>
      </c>
      <c r="AS25" s="333" t="s">
        <v>8506</v>
      </c>
      <c r="AT25" s="333" t="s">
        <v>8506</v>
      </c>
      <c r="AU25" s="333" t="s">
        <v>8506</v>
      </c>
      <c r="AV25" s="333" t="s">
        <v>8506</v>
      </c>
      <c r="AW25" s="333" t="s">
        <v>8506</v>
      </c>
      <c r="AX25" s="333" t="s">
        <v>8506</v>
      </c>
      <c r="AY25" s="338" t="s">
        <v>8506</v>
      </c>
      <c r="AZ25" s="333" t="s">
        <v>8506</v>
      </c>
      <c r="BA25" s="333" t="s">
        <v>8506</v>
      </c>
      <c r="BB25" s="333" t="s">
        <v>8506</v>
      </c>
      <c r="BC25" s="333" t="s">
        <v>8506</v>
      </c>
      <c r="BD25" s="333" t="s">
        <v>8506</v>
      </c>
      <c r="BE25" s="333" t="s">
        <v>8506</v>
      </c>
      <c r="BF25" s="333" t="s">
        <v>8506</v>
      </c>
      <c r="BG25" s="333" t="s">
        <v>8506</v>
      </c>
      <c r="BH25" s="333" t="s">
        <v>8506</v>
      </c>
      <c r="BI25" s="333" t="s">
        <v>8506</v>
      </c>
      <c r="BJ25" s="333" t="s">
        <v>8506</v>
      </c>
      <c r="BK25" s="333" t="s">
        <v>8506</v>
      </c>
      <c r="BL25" s="333" t="s">
        <v>8506</v>
      </c>
      <c r="BM25" s="333" t="s">
        <v>8506</v>
      </c>
      <c r="BN25" s="333" t="s">
        <v>8506</v>
      </c>
      <c r="BO25" s="333" t="s">
        <v>8506</v>
      </c>
      <c r="BP25" s="333" t="s">
        <v>8506</v>
      </c>
      <c r="BQ25" s="332" t="s">
        <v>8506</v>
      </c>
      <c r="BR25" s="332" t="s">
        <v>8731</v>
      </c>
      <c r="BS25" s="314" t="s">
        <v>8732</v>
      </c>
      <c r="BT25" s="355" t="s">
        <v>8731</v>
      </c>
      <c r="BU25" s="356" t="s">
        <v>8506</v>
      </c>
      <c r="BV25" s="356" t="s">
        <v>8506</v>
      </c>
      <c r="BW25" s="356" t="s">
        <v>8506</v>
      </c>
      <c r="BX25" s="356" t="s">
        <v>8506</v>
      </c>
      <c r="BY25" s="356" t="s">
        <v>8506</v>
      </c>
      <c r="BZ25" s="356" t="s">
        <v>8506</v>
      </c>
      <c r="CA25" s="356" t="s">
        <v>8506</v>
      </c>
      <c r="CB25" s="356" t="s">
        <v>8506</v>
      </c>
      <c r="CC25" s="356" t="s">
        <v>8506</v>
      </c>
      <c r="CD25" s="356" t="s">
        <v>8506</v>
      </c>
      <c r="CE25" s="356" t="s">
        <v>8506</v>
      </c>
      <c r="CF25" s="356" t="s">
        <v>8506</v>
      </c>
      <c r="CG25" s="356" t="s">
        <v>8506</v>
      </c>
      <c r="CH25" s="356" t="s">
        <v>8506</v>
      </c>
      <c r="CI25" s="356" t="s">
        <v>8506</v>
      </c>
      <c r="CJ25" s="356" t="s">
        <v>8506</v>
      </c>
      <c r="CK25" s="356" t="s">
        <v>8506</v>
      </c>
      <c r="CL25" s="356" t="s">
        <v>8506</v>
      </c>
      <c r="CM25" s="356" t="s">
        <v>8506</v>
      </c>
      <c r="CN25" s="356" t="s">
        <v>8506</v>
      </c>
      <c r="CO25" s="356" t="s">
        <v>8506</v>
      </c>
      <c r="CP25" s="356" t="s">
        <v>8506</v>
      </c>
      <c r="CQ25" s="356" t="s">
        <v>8506</v>
      </c>
      <c r="CR25" s="356" t="s">
        <v>8506</v>
      </c>
      <c r="CS25" s="356" t="s">
        <v>8506</v>
      </c>
      <c r="CT25" s="356" t="s">
        <v>8506</v>
      </c>
      <c r="CU25" s="356" t="s">
        <v>8506</v>
      </c>
      <c r="CV25" s="356" t="s">
        <v>8506</v>
      </c>
      <c r="CW25" s="356" t="s">
        <v>8506</v>
      </c>
      <c r="CX25" s="356" t="s">
        <v>8506</v>
      </c>
      <c r="CY25" s="356" t="s">
        <v>8506</v>
      </c>
      <c r="CZ25" s="356" t="s">
        <v>8506</v>
      </c>
      <c r="DA25" s="356" t="s">
        <v>8506</v>
      </c>
      <c r="DB25" s="356" t="s">
        <v>8506</v>
      </c>
      <c r="DC25" s="356" t="s">
        <v>8506</v>
      </c>
      <c r="DD25" s="356" t="s">
        <v>8506</v>
      </c>
      <c r="DE25" s="356" t="s">
        <v>8506</v>
      </c>
      <c r="DF25" s="356" t="s">
        <v>8506</v>
      </c>
      <c r="DG25" s="356" t="s">
        <v>8506</v>
      </c>
      <c r="DH25" s="356" t="s">
        <v>8506</v>
      </c>
      <c r="DI25" s="356" t="s">
        <v>8506</v>
      </c>
      <c r="DJ25" s="356" t="s">
        <v>8506</v>
      </c>
      <c r="DK25" s="356" t="s">
        <v>8506</v>
      </c>
      <c r="DL25" s="356" t="s">
        <v>8506</v>
      </c>
      <c r="DM25" s="356" t="s">
        <v>8506</v>
      </c>
      <c r="DN25" s="356" t="s">
        <v>8506</v>
      </c>
      <c r="DO25" s="356" t="s">
        <v>8506</v>
      </c>
      <c r="DP25" s="356" t="s">
        <v>8506</v>
      </c>
      <c r="DQ25" s="356" t="s">
        <v>8506</v>
      </c>
      <c r="DR25" s="356" t="s">
        <v>8506</v>
      </c>
      <c r="DS25" s="356" t="s">
        <v>8506</v>
      </c>
      <c r="DT25" s="356" t="s">
        <v>8506</v>
      </c>
      <c r="DU25" s="356" t="s">
        <v>8506</v>
      </c>
      <c r="DV25" s="356" t="s">
        <v>8506</v>
      </c>
      <c r="DW25" s="356" t="s">
        <v>8506</v>
      </c>
      <c r="DX25" s="356" t="s">
        <v>8506</v>
      </c>
      <c r="DY25" s="356" t="s">
        <v>8506</v>
      </c>
      <c r="DZ25" s="356" t="s">
        <v>8506</v>
      </c>
      <c r="EA25" s="356" t="s">
        <v>8506</v>
      </c>
      <c r="EB25" s="355" t="s">
        <v>8506</v>
      </c>
      <c r="EC25" s="355" t="s">
        <v>8731</v>
      </c>
      <c r="ED25" s="355" t="s">
        <v>8508</v>
      </c>
      <c r="EE25" s="355" t="s">
        <v>8731</v>
      </c>
      <c r="EF25" s="356" t="s">
        <v>8507</v>
      </c>
      <c r="EG25" s="356" t="s">
        <v>8507</v>
      </c>
      <c r="EH25" s="356" t="s">
        <v>8507</v>
      </c>
      <c r="EI25" s="355" t="s">
        <v>8507</v>
      </c>
      <c r="EJ25" s="355" t="s">
        <v>8731</v>
      </c>
    </row>
    <row r="26" spans="1:140" ht="12.75">
      <c r="A26" s="506"/>
      <c r="B26" s="335" t="s">
        <v>8733</v>
      </c>
      <c r="C26" s="336" t="s">
        <v>8942</v>
      </c>
      <c r="D26" s="336" t="s">
        <v>8943</v>
      </c>
      <c r="E26" s="336" t="s">
        <v>8939</v>
      </c>
      <c r="F26" s="335" t="s">
        <v>8944</v>
      </c>
      <c r="G26" s="335" t="s">
        <v>8733</v>
      </c>
      <c r="H26" s="335" t="s">
        <v>8945</v>
      </c>
      <c r="I26" s="335" t="s">
        <v>8733</v>
      </c>
      <c r="J26" s="336" t="s">
        <v>8946</v>
      </c>
      <c r="K26" s="336" t="s">
        <v>8947</v>
      </c>
      <c r="L26" s="336" t="s">
        <v>8948</v>
      </c>
      <c r="M26" s="336" t="s">
        <v>8949</v>
      </c>
      <c r="N26" s="336" t="s">
        <v>8950</v>
      </c>
      <c r="O26" s="336" t="s">
        <v>8951</v>
      </c>
      <c r="P26" s="336" t="s">
        <v>8952</v>
      </c>
      <c r="Q26" s="336" t="s">
        <v>8953</v>
      </c>
      <c r="R26" s="336" t="s">
        <v>8914</v>
      </c>
      <c r="S26" s="336" t="s">
        <v>8954</v>
      </c>
      <c r="T26" s="336" t="s">
        <v>8955</v>
      </c>
      <c r="U26" s="336" t="s">
        <v>8956</v>
      </c>
      <c r="V26" s="336" t="s">
        <v>8957</v>
      </c>
      <c r="W26" s="336" t="s">
        <v>8958</v>
      </c>
      <c r="X26" s="336" t="s">
        <v>8959</v>
      </c>
      <c r="Y26" s="336" t="s">
        <v>8960</v>
      </c>
      <c r="Z26" s="336" t="s">
        <v>8961</v>
      </c>
      <c r="AA26" s="336" t="s">
        <v>8962</v>
      </c>
      <c r="AB26" s="336" t="s">
        <v>8963</v>
      </c>
      <c r="AC26" s="336" t="s">
        <v>8964</v>
      </c>
      <c r="AD26" s="336" t="s">
        <v>8965</v>
      </c>
      <c r="AE26" s="336" t="s">
        <v>8966</v>
      </c>
      <c r="AF26" s="336" t="s">
        <v>8967</v>
      </c>
      <c r="AG26" s="336" t="s">
        <v>8968</v>
      </c>
      <c r="AH26" s="336" t="s">
        <v>8969</v>
      </c>
      <c r="AI26" s="336" t="s">
        <v>8970</v>
      </c>
      <c r="AJ26" s="336" t="s">
        <v>8971</v>
      </c>
      <c r="AK26" s="336" t="s">
        <v>9299</v>
      </c>
      <c r="AL26" s="336" t="s">
        <v>9300</v>
      </c>
      <c r="AM26" s="336" t="s">
        <v>9003</v>
      </c>
      <c r="AN26" s="336" t="s">
        <v>9301</v>
      </c>
      <c r="AO26" s="336" t="s">
        <v>9302</v>
      </c>
      <c r="AP26" s="336" t="s">
        <v>9303</v>
      </c>
      <c r="AQ26" s="336" t="s">
        <v>9304</v>
      </c>
      <c r="AR26" s="336" t="s">
        <v>9305</v>
      </c>
      <c r="AS26" s="336" t="s">
        <v>9306</v>
      </c>
      <c r="AT26" s="336" t="s">
        <v>9307</v>
      </c>
      <c r="AU26" s="336" t="s">
        <v>9308</v>
      </c>
      <c r="AV26" s="336" t="s">
        <v>9309</v>
      </c>
      <c r="AW26" s="336" t="s">
        <v>9005</v>
      </c>
      <c r="AX26" s="336" t="s">
        <v>9310</v>
      </c>
      <c r="AY26" s="339" t="s">
        <v>9311</v>
      </c>
      <c r="AZ26" s="336" t="s">
        <v>9312</v>
      </c>
      <c r="BA26" s="336" t="s">
        <v>9313</v>
      </c>
      <c r="BB26" s="336" t="s">
        <v>9314</v>
      </c>
      <c r="BC26" s="336" t="s">
        <v>9315</v>
      </c>
      <c r="BD26" s="336" t="s">
        <v>9316</v>
      </c>
      <c r="BE26" s="336" t="s">
        <v>9317</v>
      </c>
      <c r="BF26" s="336" t="s">
        <v>9318</v>
      </c>
      <c r="BG26" s="336" t="s">
        <v>9319</v>
      </c>
      <c r="BH26" s="336" t="s">
        <v>9320</v>
      </c>
      <c r="BI26" s="336" t="s">
        <v>9321</v>
      </c>
      <c r="BJ26" s="336" t="s">
        <v>9322</v>
      </c>
      <c r="BK26" s="336" t="s">
        <v>9323</v>
      </c>
      <c r="BL26" s="336" t="s">
        <v>9324</v>
      </c>
      <c r="BM26" s="336" t="s">
        <v>9325</v>
      </c>
      <c r="BN26" s="336" t="s">
        <v>9326</v>
      </c>
      <c r="BO26" s="336" t="s">
        <v>9327</v>
      </c>
      <c r="BP26" s="336" t="s">
        <v>9328</v>
      </c>
      <c r="BQ26" s="335" t="s">
        <v>9329</v>
      </c>
      <c r="BR26" s="335" t="s">
        <v>8733</v>
      </c>
      <c r="BS26" s="317" t="s">
        <v>8738</v>
      </c>
      <c r="BT26" s="351" t="s">
        <v>8733</v>
      </c>
      <c r="BU26" s="352" t="s">
        <v>9692</v>
      </c>
      <c r="BV26" s="352" t="s">
        <v>9693</v>
      </c>
      <c r="BW26" s="352" t="s">
        <v>9694</v>
      </c>
      <c r="BX26" s="352" t="s">
        <v>9695</v>
      </c>
      <c r="BY26" s="352" t="s">
        <v>9696</v>
      </c>
      <c r="BZ26" s="352" t="s">
        <v>9697</v>
      </c>
      <c r="CA26" s="352" t="s">
        <v>9698</v>
      </c>
      <c r="CB26" s="352" t="s">
        <v>9699</v>
      </c>
      <c r="CC26" s="352" t="s">
        <v>9700</v>
      </c>
      <c r="CD26" s="352" t="s">
        <v>9701</v>
      </c>
      <c r="CE26" s="352" t="s">
        <v>9702</v>
      </c>
      <c r="CF26" s="352" t="s">
        <v>9703</v>
      </c>
      <c r="CG26" s="352" t="s">
        <v>9704</v>
      </c>
      <c r="CH26" s="352" t="s">
        <v>9705</v>
      </c>
      <c r="CI26" s="352" t="s">
        <v>9706</v>
      </c>
      <c r="CJ26" s="352" t="s">
        <v>9707</v>
      </c>
      <c r="CK26" s="352" t="s">
        <v>9708</v>
      </c>
      <c r="CL26" s="352" t="s">
        <v>9709</v>
      </c>
      <c r="CM26" s="352" t="s">
        <v>9710</v>
      </c>
      <c r="CN26" s="352" t="s">
        <v>9711</v>
      </c>
      <c r="CO26" s="352" t="s">
        <v>9712</v>
      </c>
      <c r="CP26" s="352" t="s">
        <v>9713</v>
      </c>
      <c r="CQ26" s="352" t="s">
        <v>9714</v>
      </c>
      <c r="CR26" s="352" t="s">
        <v>9715</v>
      </c>
      <c r="CS26" s="352" t="s">
        <v>9716</v>
      </c>
      <c r="CT26" s="352" t="s">
        <v>9717</v>
      </c>
      <c r="CU26" s="352" t="s">
        <v>9718</v>
      </c>
      <c r="CV26" s="352" t="s">
        <v>9719</v>
      </c>
      <c r="CW26" s="352" t="s">
        <v>9720</v>
      </c>
      <c r="CX26" s="352" t="s">
        <v>9721</v>
      </c>
      <c r="CY26" s="352" t="s">
        <v>9722</v>
      </c>
      <c r="CZ26" s="352" t="s">
        <v>9723</v>
      </c>
      <c r="DA26" s="352" t="s">
        <v>9724</v>
      </c>
      <c r="DB26" s="352" t="s">
        <v>9725</v>
      </c>
      <c r="DC26" s="352" t="s">
        <v>10048</v>
      </c>
      <c r="DD26" s="352" t="s">
        <v>10046</v>
      </c>
      <c r="DE26" s="352" t="s">
        <v>10049</v>
      </c>
      <c r="DF26" s="352" t="s">
        <v>10050</v>
      </c>
      <c r="DG26" s="352" t="s">
        <v>10051</v>
      </c>
      <c r="DH26" s="352" t="s">
        <v>10052</v>
      </c>
      <c r="DI26" s="352" t="s">
        <v>10053</v>
      </c>
      <c r="DJ26" s="352" t="s">
        <v>10054</v>
      </c>
      <c r="DK26" s="352" t="s">
        <v>10055</v>
      </c>
      <c r="DL26" s="352" t="s">
        <v>10056</v>
      </c>
      <c r="DM26" s="352" t="s">
        <v>10057</v>
      </c>
      <c r="DN26" s="352" t="s">
        <v>10058</v>
      </c>
      <c r="DO26" s="352" t="s">
        <v>10059</v>
      </c>
      <c r="DP26" s="352" t="s">
        <v>10045</v>
      </c>
      <c r="DQ26" s="352" t="s">
        <v>10060</v>
      </c>
      <c r="DR26" s="352" t="s">
        <v>10061</v>
      </c>
      <c r="DS26" s="352" t="s">
        <v>10062</v>
      </c>
      <c r="DT26" s="352" t="s">
        <v>10063</v>
      </c>
      <c r="DU26" s="352" t="s">
        <v>10064</v>
      </c>
      <c r="DV26" s="352" t="s">
        <v>10065</v>
      </c>
      <c r="DW26" s="352" t="s">
        <v>10066</v>
      </c>
      <c r="DX26" s="352" t="s">
        <v>10067</v>
      </c>
      <c r="DY26" s="352" t="s">
        <v>10068</v>
      </c>
      <c r="DZ26" s="352" t="s">
        <v>10069</v>
      </c>
      <c r="EA26" s="352" t="s">
        <v>10070</v>
      </c>
      <c r="EB26" s="351" t="s">
        <v>10071</v>
      </c>
      <c r="EC26" s="351" t="s">
        <v>8733</v>
      </c>
      <c r="ED26" s="351" t="s">
        <v>10072</v>
      </c>
      <c r="EE26" s="351" t="s">
        <v>8733</v>
      </c>
      <c r="EF26" s="352" t="s">
        <v>9851</v>
      </c>
      <c r="EG26" s="352" t="s">
        <v>9747</v>
      </c>
      <c r="EH26" s="352" t="s">
        <v>9797</v>
      </c>
      <c r="EI26" s="351" t="s">
        <v>10019</v>
      </c>
      <c r="EJ26" s="351" t="s">
        <v>8733</v>
      </c>
    </row>
    <row r="27" spans="1:140" ht="12.75">
      <c r="A27" s="505">
        <v>4</v>
      </c>
      <c r="B27" s="332" t="s">
        <v>8731</v>
      </c>
      <c r="C27" s="333" t="s">
        <v>8507</v>
      </c>
      <c r="D27" s="333" t="s">
        <v>8507</v>
      </c>
      <c r="E27" s="333" t="s">
        <v>8507</v>
      </c>
      <c r="F27" s="332" t="s">
        <v>8507</v>
      </c>
      <c r="G27" s="332" t="s">
        <v>8731</v>
      </c>
      <c r="H27" s="332" t="s">
        <v>8508</v>
      </c>
      <c r="I27" s="332" t="s">
        <v>8731</v>
      </c>
      <c r="J27" s="333" t="s">
        <v>8506</v>
      </c>
      <c r="K27" s="333" t="s">
        <v>8506</v>
      </c>
      <c r="L27" s="333" t="s">
        <v>8506</v>
      </c>
      <c r="M27" s="333" t="s">
        <v>8506</v>
      </c>
      <c r="N27" s="333" t="s">
        <v>8506</v>
      </c>
      <c r="O27" s="333" t="s">
        <v>8506</v>
      </c>
      <c r="P27" s="333" t="s">
        <v>8506</v>
      </c>
      <c r="Q27" s="333" t="s">
        <v>8506</v>
      </c>
      <c r="R27" s="338" t="s">
        <v>8506</v>
      </c>
      <c r="S27" s="333" t="s">
        <v>8506</v>
      </c>
      <c r="T27" s="333" t="s">
        <v>8506</v>
      </c>
      <c r="U27" s="333" t="s">
        <v>8506</v>
      </c>
      <c r="V27" s="333" t="s">
        <v>8506</v>
      </c>
      <c r="W27" s="333" t="s">
        <v>8506</v>
      </c>
      <c r="X27" s="333" t="s">
        <v>8506</v>
      </c>
      <c r="Y27" s="333" t="s">
        <v>8506</v>
      </c>
      <c r="Z27" s="333" t="s">
        <v>8506</v>
      </c>
      <c r="AA27" s="333" t="s">
        <v>8506</v>
      </c>
      <c r="AB27" s="333" t="s">
        <v>8506</v>
      </c>
      <c r="AC27" s="333" t="s">
        <v>8506</v>
      </c>
      <c r="AD27" s="333" t="s">
        <v>8506</v>
      </c>
      <c r="AE27" s="333" t="s">
        <v>8506</v>
      </c>
      <c r="AF27" s="333" t="s">
        <v>8506</v>
      </c>
      <c r="AG27" s="333" t="s">
        <v>8506</v>
      </c>
      <c r="AH27" s="333" t="s">
        <v>8506</v>
      </c>
      <c r="AI27" s="333" t="s">
        <v>8506</v>
      </c>
      <c r="AJ27" s="333" t="s">
        <v>8506</v>
      </c>
      <c r="AK27" s="333" t="s">
        <v>8506</v>
      </c>
      <c r="AL27" s="333" t="s">
        <v>8506</v>
      </c>
      <c r="AM27" s="333" t="s">
        <v>8506</v>
      </c>
      <c r="AN27" s="333" t="s">
        <v>8506</v>
      </c>
      <c r="AO27" s="333" t="s">
        <v>8506</v>
      </c>
      <c r="AP27" s="333" t="s">
        <v>8506</v>
      </c>
      <c r="AQ27" s="333" t="s">
        <v>8506</v>
      </c>
      <c r="AR27" s="333" t="s">
        <v>8506</v>
      </c>
      <c r="AS27" s="333" t="s">
        <v>8506</v>
      </c>
      <c r="AT27" s="333" t="s">
        <v>8506</v>
      </c>
      <c r="AU27" s="333" t="s">
        <v>8506</v>
      </c>
      <c r="AV27" s="333" t="s">
        <v>8506</v>
      </c>
      <c r="AW27" s="333" t="s">
        <v>8506</v>
      </c>
      <c r="AX27" s="333" t="s">
        <v>8506</v>
      </c>
      <c r="AY27" s="333" t="s">
        <v>8506</v>
      </c>
      <c r="AZ27" s="333" t="s">
        <v>8506</v>
      </c>
      <c r="BA27" s="333" t="s">
        <v>8506</v>
      </c>
      <c r="BB27" s="333" t="s">
        <v>8506</v>
      </c>
      <c r="BC27" s="333" t="s">
        <v>8506</v>
      </c>
      <c r="BD27" s="333" t="s">
        <v>8506</v>
      </c>
      <c r="BE27" s="333" t="s">
        <v>8506</v>
      </c>
      <c r="BF27" s="333" t="s">
        <v>8506</v>
      </c>
      <c r="BG27" s="333" t="s">
        <v>8506</v>
      </c>
      <c r="BH27" s="333" t="s">
        <v>8506</v>
      </c>
      <c r="BI27" s="333" t="s">
        <v>8506</v>
      </c>
      <c r="BJ27" s="333" t="s">
        <v>8506</v>
      </c>
      <c r="BK27" s="333" t="s">
        <v>8506</v>
      </c>
      <c r="BL27" s="333" t="s">
        <v>8506</v>
      </c>
      <c r="BM27" s="333" t="s">
        <v>8506</v>
      </c>
      <c r="BN27" s="333" t="s">
        <v>8506</v>
      </c>
      <c r="BO27" s="333" t="s">
        <v>8506</v>
      </c>
      <c r="BP27" s="333" t="s">
        <v>8506</v>
      </c>
      <c r="BQ27" s="332" t="s">
        <v>8506</v>
      </c>
      <c r="BR27" s="332" t="s">
        <v>8731</v>
      </c>
      <c r="BS27" s="314" t="s">
        <v>8732</v>
      </c>
      <c r="BT27" s="355" t="s">
        <v>8731</v>
      </c>
      <c r="BU27" s="356" t="s">
        <v>8506</v>
      </c>
      <c r="BV27" s="356" t="s">
        <v>8506</v>
      </c>
      <c r="BW27" s="356" t="s">
        <v>8506</v>
      </c>
      <c r="BX27" s="356" t="s">
        <v>8506</v>
      </c>
      <c r="BY27" s="356" t="s">
        <v>8506</v>
      </c>
      <c r="BZ27" s="356" t="s">
        <v>8506</v>
      </c>
      <c r="CA27" s="356" t="s">
        <v>8506</v>
      </c>
      <c r="CB27" s="356" t="s">
        <v>8506</v>
      </c>
      <c r="CC27" s="356" t="s">
        <v>8506</v>
      </c>
      <c r="CD27" s="358" t="s">
        <v>8506</v>
      </c>
      <c r="CE27" s="356" t="s">
        <v>8506</v>
      </c>
      <c r="CF27" s="356" t="s">
        <v>8506</v>
      </c>
      <c r="CG27" s="356" t="s">
        <v>8506</v>
      </c>
      <c r="CH27" s="356" t="s">
        <v>8506</v>
      </c>
      <c r="CI27" s="356" t="s">
        <v>8506</v>
      </c>
      <c r="CJ27" s="356" t="s">
        <v>8506</v>
      </c>
      <c r="CK27" s="356" t="s">
        <v>8506</v>
      </c>
      <c r="CL27" s="356" t="s">
        <v>8506</v>
      </c>
      <c r="CM27" s="356" t="s">
        <v>8506</v>
      </c>
      <c r="CN27" s="356" t="s">
        <v>8506</v>
      </c>
      <c r="CO27" s="356" t="s">
        <v>8506</v>
      </c>
      <c r="CP27" s="356" t="s">
        <v>8506</v>
      </c>
      <c r="CQ27" s="356" t="s">
        <v>8506</v>
      </c>
      <c r="CR27" s="356" t="s">
        <v>8506</v>
      </c>
      <c r="CS27" s="356" t="s">
        <v>8506</v>
      </c>
      <c r="CT27" s="356" t="s">
        <v>8506</v>
      </c>
      <c r="CU27" s="356" t="s">
        <v>8506</v>
      </c>
      <c r="CV27" s="358" t="s">
        <v>8506</v>
      </c>
      <c r="CW27" s="356" t="s">
        <v>8506</v>
      </c>
      <c r="CX27" s="356" t="s">
        <v>8506</v>
      </c>
      <c r="CY27" s="356" t="s">
        <v>8506</v>
      </c>
      <c r="CZ27" s="356" t="s">
        <v>8506</v>
      </c>
      <c r="DA27" s="356" t="s">
        <v>8506</v>
      </c>
      <c r="DB27" s="358" t="s">
        <v>8506</v>
      </c>
      <c r="DC27" s="356" t="s">
        <v>8506</v>
      </c>
      <c r="DD27" s="356" t="s">
        <v>8506</v>
      </c>
      <c r="DE27" s="356" t="s">
        <v>8506</v>
      </c>
      <c r="DF27" s="356" t="s">
        <v>8506</v>
      </c>
      <c r="DG27" s="356" t="s">
        <v>8506</v>
      </c>
      <c r="DH27" s="356" t="s">
        <v>8506</v>
      </c>
      <c r="DI27" s="356" t="s">
        <v>8506</v>
      </c>
      <c r="DJ27" s="356" t="s">
        <v>8506</v>
      </c>
      <c r="DK27" s="356" t="s">
        <v>8506</v>
      </c>
      <c r="DL27" s="356" t="s">
        <v>8506</v>
      </c>
      <c r="DM27" s="356" t="s">
        <v>8506</v>
      </c>
      <c r="DN27" s="356" t="s">
        <v>8506</v>
      </c>
      <c r="DO27" s="356" t="s">
        <v>8506</v>
      </c>
      <c r="DP27" s="356" t="s">
        <v>8506</v>
      </c>
      <c r="DQ27" s="356" t="s">
        <v>8506</v>
      </c>
      <c r="DR27" s="356" t="s">
        <v>8506</v>
      </c>
      <c r="DS27" s="356" t="s">
        <v>8506</v>
      </c>
      <c r="DT27" s="356" t="s">
        <v>8506</v>
      </c>
      <c r="DU27" s="356" t="s">
        <v>8506</v>
      </c>
      <c r="DV27" s="356" t="s">
        <v>8506</v>
      </c>
      <c r="DW27" s="356" t="s">
        <v>8506</v>
      </c>
      <c r="DX27" s="356" t="s">
        <v>8506</v>
      </c>
      <c r="DY27" s="356" t="s">
        <v>8506</v>
      </c>
      <c r="DZ27" s="356" t="s">
        <v>8506</v>
      </c>
      <c r="EA27" s="356" t="s">
        <v>8506</v>
      </c>
      <c r="EB27" s="355" t="s">
        <v>8506</v>
      </c>
      <c r="EC27" s="355" t="s">
        <v>8731</v>
      </c>
      <c r="ED27" s="355" t="s">
        <v>8508</v>
      </c>
      <c r="EE27" s="355" t="s">
        <v>8731</v>
      </c>
      <c r="EF27" s="356" t="s">
        <v>8507</v>
      </c>
      <c r="EG27" s="356" t="s">
        <v>8507</v>
      </c>
      <c r="EH27" s="356" t="s">
        <v>8507</v>
      </c>
      <c r="EI27" s="355" t="s">
        <v>8507</v>
      </c>
      <c r="EJ27" s="355" t="s">
        <v>8731</v>
      </c>
    </row>
    <row r="28" spans="1:140" ht="12.75">
      <c r="A28" s="506"/>
      <c r="B28" s="335" t="s">
        <v>8733</v>
      </c>
      <c r="C28" s="336" t="s">
        <v>8972</v>
      </c>
      <c r="D28" s="336" t="s">
        <v>8973</v>
      </c>
      <c r="E28" s="336" t="s">
        <v>8974</v>
      </c>
      <c r="F28" s="335" t="s">
        <v>8975</v>
      </c>
      <c r="G28" s="335" t="s">
        <v>8733</v>
      </c>
      <c r="H28" s="335" t="s">
        <v>8939</v>
      </c>
      <c r="I28" s="335" t="s">
        <v>8733</v>
      </c>
      <c r="J28" s="336" t="s">
        <v>8976</v>
      </c>
      <c r="K28" s="336" t="s">
        <v>8977</v>
      </c>
      <c r="L28" s="336" t="s">
        <v>8978</v>
      </c>
      <c r="M28" s="336" t="s">
        <v>8979</v>
      </c>
      <c r="N28" s="336" t="s">
        <v>8980</v>
      </c>
      <c r="O28" s="336" t="s">
        <v>8981</v>
      </c>
      <c r="P28" s="336" t="s">
        <v>8982</v>
      </c>
      <c r="Q28" s="336" t="s">
        <v>8983</v>
      </c>
      <c r="R28" s="339" t="s">
        <v>8984</v>
      </c>
      <c r="S28" s="336" t="s">
        <v>8985</v>
      </c>
      <c r="T28" s="336" t="s">
        <v>8986</v>
      </c>
      <c r="U28" s="336" t="s">
        <v>8987</v>
      </c>
      <c r="V28" s="336" t="s">
        <v>8988</v>
      </c>
      <c r="W28" s="336" t="s">
        <v>8989</v>
      </c>
      <c r="X28" s="336" t="s">
        <v>8990</v>
      </c>
      <c r="Y28" s="336" t="s">
        <v>8991</v>
      </c>
      <c r="Z28" s="336" t="s">
        <v>8992</v>
      </c>
      <c r="AA28" s="336" t="s">
        <v>8993</v>
      </c>
      <c r="AB28" s="336" t="s">
        <v>8994</v>
      </c>
      <c r="AC28" s="336" t="s">
        <v>8995</v>
      </c>
      <c r="AD28" s="336" t="s">
        <v>8943</v>
      </c>
      <c r="AE28" s="336" t="s">
        <v>8996</v>
      </c>
      <c r="AF28" s="336" t="s">
        <v>8997</v>
      </c>
      <c r="AG28" s="336" t="s">
        <v>8998</v>
      </c>
      <c r="AH28" s="336" t="s">
        <v>8999</v>
      </c>
      <c r="AI28" s="336" t="s">
        <v>9000</v>
      </c>
      <c r="AJ28" s="336" t="s">
        <v>9001</v>
      </c>
      <c r="AK28" s="336" t="s">
        <v>9330</v>
      </c>
      <c r="AL28" s="336" t="s">
        <v>9331</v>
      </c>
      <c r="AM28" s="336" t="s">
        <v>9332</v>
      </c>
      <c r="AN28" s="336" t="s">
        <v>9333</v>
      </c>
      <c r="AO28" s="336" t="s">
        <v>9334</v>
      </c>
      <c r="AP28" s="336" t="s">
        <v>9335</v>
      </c>
      <c r="AQ28" s="336" t="s">
        <v>9336</v>
      </c>
      <c r="AR28" s="336" t="s">
        <v>9337</v>
      </c>
      <c r="AS28" s="336" t="s">
        <v>9338</v>
      </c>
      <c r="AT28" s="336" t="s">
        <v>9339</v>
      </c>
      <c r="AU28" s="336" t="s">
        <v>9340</v>
      </c>
      <c r="AV28" s="336" t="s">
        <v>9341</v>
      </c>
      <c r="AW28" s="336" t="s">
        <v>9342</v>
      </c>
      <c r="AX28" s="336" t="s">
        <v>9343</v>
      </c>
      <c r="AY28" s="336" t="s">
        <v>9344</v>
      </c>
      <c r="AZ28" s="336" t="s">
        <v>9345</v>
      </c>
      <c r="BA28" s="336" t="s">
        <v>8912</v>
      </c>
      <c r="BB28" s="336" t="s">
        <v>9346</v>
      </c>
      <c r="BC28" s="336" t="s">
        <v>9347</v>
      </c>
      <c r="BD28" s="336" t="s">
        <v>9348</v>
      </c>
      <c r="BE28" s="336" t="s">
        <v>9349</v>
      </c>
      <c r="BF28" s="336" t="s">
        <v>9350</v>
      </c>
      <c r="BG28" s="336" t="s">
        <v>9351</v>
      </c>
      <c r="BH28" s="336" t="s">
        <v>9352</v>
      </c>
      <c r="BI28" s="336" t="s">
        <v>9353</v>
      </c>
      <c r="BJ28" s="336" t="s">
        <v>9354</v>
      </c>
      <c r="BK28" s="336" t="s">
        <v>9355</v>
      </c>
      <c r="BL28" s="336" t="s">
        <v>9356</v>
      </c>
      <c r="BM28" s="336" t="s">
        <v>9357</v>
      </c>
      <c r="BN28" s="336" t="s">
        <v>9358</v>
      </c>
      <c r="BO28" s="336" t="s">
        <v>9359</v>
      </c>
      <c r="BP28" s="336" t="s">
        <v>9360</v>
      </c>
      <c r="BQ28" s="335" t="s">
        <v>9361</v>
      </c>
      <c r="BR28" s="335" t="s">
        <v>8733</v>
      </c>
      <c r="BS28" s="317" t="s">
        <v>8738</v>
      </c>
      <c r="BT28" s="351" t="s">
        <v>8733</v>
      </c>
      <c r="BU28" s="352" t="s">
        <v>9726</v>
      </c>
      <c r="BV28" s="352" t="s">
        <v>9727</v>
      </c>
      <c r="BW28" s="352" t="s">
        <v>9728</v>
      </c>
      <c r="BX28" s="352" t="s">
        <v>9729</v>
      </c>
      <c r="BY28" s="352" t="s">
        <v>9730</v>
      </c>
      <c r="BZ28" s="352" t="s">
        <v>9731</v>
      </c>
      <c r="CA28" s="352" t="s">
        <v>9732</v>
      </c>
      <c r="CB28" s="352" t="s">
        <v>9733</v>
      </c>
      <c r="CC28" s="352" t="s">
        <v>9734</v>
      </c>
      <c r="CD28" s="354" t="s">
        <v>9735</v>
      </c>
      <c r="CE28" s="352" t="s">
        <v>9736</v>
      </c>
      <c r="CF28" s="352" t="s">
        <v>9737</v>
      </c>
      <c r="CG28" s="352" t="s">
        <v>9738</v>
      </c>
      <c r="CH28" s="352" t="s">
        <v>9739</v>
      </c>
      <c r="CI28" s="352" t="s">
        <v>9740</v>
      </c>
      <c r="CJ28" s="352" t="s">
        <v>9741</v>
      </c>
      <c r="CK28" s="352" t="s">
        <v>9742</v>
      </c>
      <c r="CL28" s="352" t="s">
        <v>9743</v>
      </c>
      <c r="CM28" s="352" t="s">
        <v>9744</v>
      </c>
      <c r="CN28" s="352" t="s">
        <v>9745</v>
      </c>
      <c r="CO28" s="352" t="s">
        <v>9746</v>
      </c>
      <c r="CP28" s="352" t="s">
        <v>9747</v>
      </c>
      <c r="CQ28" s="352" t="s">
        <v>9748</v>
      </c>
      <c r="CR28" s="352" t="s">
        <v>9749</v>
      </c>
      <c r="CS28" s="352" t="s">
        <v>9750</v>
      </c>
      <c r="CT28" s="352" t="s">
        <v>9751</v>
      </c>
      <c r="CU28" s="352" t="s">
        <v>9752</v>
      </c>
      <c r="CV28" s="354" t="s">
        <v>9753</v>
      </c>
      <c r="CW28" s="352" t="s">
        <v>9754</v>
      </c>
      <c r="CX28" s="352" t="s">
        <v>9755</v>
      </c>
      <c r="CY28" s="352" t="s">
        <v>9756</v>
      </c>
      <c r="CZ28" s="352" t="s">
        <v>9757</v>
      </c>
      <c r="DA28" s="352" t="s">
        <v>9758</v>
      </c>
      <c r="DB28" s="354" t="s">
        <v>9759</v>
      </c>
      <c r="DC28" s="352" t="s">
        <v>10073</v>
      </c>
      <c r="DD28" s="352" t="s">
        <v>10074</v>
      </c>
      <c r="DE28" s="352" t="s">
        <v>10075</v>
      </c>
      <c r="DF28" s="352" t="s">
        <v>10076</v>
      </c>
      <c r="DG28" s="352" t="s">
        <v>10077</v>
      </c>
      <c r="DH28" s="352" t="s">
        <v>10078</v>
      </c>
      <c r="DI28" s="352" t="s">
        <v>10079</v>
      </c>
      <c r="DJ28" s="352" t="s">
        <v>10080</v>
      </c>
      <c r="DK28" s="352" t="s">
        <v>10081</v>
      </c>
      <c r="DL28" s="352" t="s">
        <v>10082</v>
      </c>
      <c r="DM28" s="352" t="s">
        <v>10083</v>
      </c>
      <c r="DN28" s="352" t="s">
        <v>10084</v>
      </c>
      <c r="DO28" s="352" t="s">
        <v>10085</v>
      </c>
      <c r="DP28" s="352" t="s">
        <v>10086</v>
      </c>
      <c r="DQ28" s="352" t="s">
        <v>10087</v>
      </c>
      <c r="DR28" s="352" t="s">
        <v>10088</v>
      </c>
      <c r="DS28" s="352" t="s">
        <v>10089</v>
      </c>
      <c r="DT28" s="352" t="s">
        <v>10090</v>
      </c>
      <c r="DU28" s="352" t="s">
        <v>10091</v>
      </c>
      <c r="DV28" s="352" t="s">
        <v>10092</v>
      </c>
      <c r="DW28" s="352" t="s">
        <v>10093</v>
      </c>
      <c r="DX28" s="352" t="s">
        <v>10094</v>
      </c>
      <c r="DY28" s="352" t="s">
        <v>10095</v>
      </c>
      <c r="DZ28" s="352" t="s">
        <v>10096</v>
      </c>
      <c r="EA28" s="352" t="s">
        <v>10097</v>
      </c>
      <c r="EB28" s="351" t="s">
        <v>10098</v>
      </c>
      <c r="EC28" s="351" t="s">
        <v>8733</v>
      </c>
      <c r="ED28" s="351" t="s">
        <v>10099</v>
      </c>
      <c r="EE28" s="351" t="s">
        <v>8733</v>
      </c>
      <c r="EF28" s="352" t="s">
        <v>10096</v>
      </c>
      <c r="EG28" s="352" t="s">
        <v>10026</v>
      </c>
      <c r="EH28" s="352" t="s">
        <v>9736</v>
      </c>
      <c r="EI28" s="351" t="s">
        <v>9704</v>
      </c>
      <c r="EJ28" s="351" t="s">
        <v>8733</v>
      </c>
    </row>
    <row r="29" spans="1:140" ht="12.75">
      <c r="A29" s="505">
        <v>3</v>
      </c>
      <c r="B29" s="332" t="s">
        <v>8731</v>
      </c>
      <c r="C29" s="333" t="s">
        <v>8507</v>
      </c>
      <c r="D29" s="333" t="s">
        <v>8507</v>
      </c>
      <c r="E29" s="333" t="s">
        <v>8507</v>
      </c>
      <c r="F29" s="332" t="s">
        <v>8507</v>
      </c>
      <c r="G29" s="332" t="s">
        <v>8731</v>
      </c>
      <c r="H29" s="332" t="s">
        <v>8508</v>
      </c>
      <c r="I29" s="332" t="s">
        <v>8731</v>
      </c>
      <c r="J29" s="333" t="s">
        <v>8506</v>
      </c>
      <c r="K29" s="333" t="s">
        <v>8506</v>
      </c>
      <c r="L29" s="333" t="s">
        <v>8506</v>
      </c>
      <c r="M29" s="333" t="s">
        <v>8506</v>
      </c>
      <c r="N29" s="333" t="s">
        <v>8506</v>
      </c>
      <c r="O29" s="333" t="s">
        <v>8506</v>
      </c>
      <c r="P29" s="333" t="s">
        <v>8506</v>
      </c>
      <c r="Q29" s="333" t="s">
        <v>8506</v>
      </c>
      <c r="R29" s="333" t="s">
        <v>8506</v>
      </c>
      <c r="S29" s="333" t="s">
        <v>8506</v>
      </c>
      <c r="T29" s="333" t="s">
        <v>8506</v>
      </c>
      <c r="U29" s="333" t="s">
        <v>8506</v>
      </c>
      <c r="V29" s="333" t="s">
        <v>8506</v>
      </c>
      <c r="W29" s="333" t="s">
        <v>8506</v>
      </c>
      <c r="X29" s="333" t="s">
        <v>8506</v>
      </c>
      <c r="Y29" s="333" t="s">
        <v>8506</v>
      </c>
      <c r="Z29" s="333" t="s">
        <v>8506</v>
      </c>
      <c r="AA29" s="333" t="s">
        <v>8506</v>
      </c>
      <c r="AB29" s="333" t="s">
        <v>8506</v>
      </c>
      <c r="AC29" s="333" t="s">
        <v>8506</v>
      </c>
      <c r="AD29" s="333" t="s">
        <v>8506</v>
      </c>
      <c r="AE29" s="333" t="s">
        <v>8506</v>
      </c>
      <c r="AF29" s="333" t="s">
        <v>8506</v>
      </c>
      <c r="AG29" s="333" t="s">
        <v>8506</v>
      </c>
      <c r="AH29" s="333" t="s">
        <v>8506</v>
      </c>
      <c r="AI29" s="333" t="s">
        <v>8506</v>
      </c>
      <c r="AJ29" s="333" t="s">
        <v>8506</v>
      </c>
      <c r="AK29" s="333" t="s">
        <v>8506</v>
      </c>
      <c r="AL29" s="333" t="s">
        <v>8506</v>
      </c>
      <c r="AM29" s="333" t="s">
        <v>8506</v>
      </c>
      <c r="AN29" s="333" t="s">
        <v>8506</v>
      </c>
      <c r="AO29" s="333" t="s">
        <v>8506</v>
      </c>
      <c r="AP29" s="333" t="s">
        <v>8506</v>
      </c>
      <c r="AQ29" s="333" t="s">
        <v>8506</v>
      </c>
      <c r="AR29" s="333" t="s">
        <v>8506</v>
      </c>
      <c r="AS29" s="333" t="s">
        <v>8506</v>
      </c>
      <c r="AT29" s="333" t="s">
        <v>8506</v>
      </c>
      <c r="AU29" s="338" t="s">
        <v>8506</v>
      </c>
      <c r="AV29" s="333" t="s">
        <v>8506</v>
      </c>
      <c r="AW29" s="333" t="s">
        <v>8506</v>
      </c>
      <c r="AX29" s="333" t="s">
        <v>8506</v>
      </c>
      <c r="AY29" s="333" t="s">
        <v>8506</v>
      </c>
      <c r="AZ29" s="333" t="s">
        <v>8506</v>
      </c>
      <c r="BA29" s="333" t="s">
        <v>8506</v>
      </c>
      <c r="BB29" s="333" t="s">
        <v>8506</v>
      </c>
      <c r="BC29" s="333" t="s">
        <v>8506</v>
      </c>
      <c r="BD29" s="333" t="s">
        <v>8506</v>
      </c>
      <c r="BE29" s="333" t="s">
        <v>8506</v>
      </c>
      <c r="BF29" s="333" t="s">
        <v>8506</v>
      </c>
      <c r="BG29" s="333" t="s">
        <v>8506</v>
      </c>
      <c r="BH29" s="333" t="s">
        <v>8506</v>
      </c>
      <c r="BI29" s="333" t="s">
        <v>8506</v>
      </c>
      <c r="BJ29" s="333" t="s">
        <v>8506</v>
      </c>
      <c r="BK29" s="333" t="s">
        <v>8506</v>
      </c>
      <c r="BL29" s="333" t="s">
        <v>8506</v>
      </c>
      <c r="BM29" s="333" t="s">
        <v>8506</v>
      </c>
      <c r="BN29" s="333" t="s">
        <v>8506</v>
      </c>
      <c r="BO29" s="333" t="s">
        <v>8506</v>
      </c>
      <c r="BP29" s="333" t="s">
        <v>8506</v>
      </c>
      <c r="BQ29" s="332" t="s">
        <v>8506</v>
      </c>
      <c r="BR29" s="332" t="s">
        <v>8731</v>
      </c>
      <c r="BS29" s="314" t="s">
        <v>8732</v>
      </c>
      <c r="BT29" s="355" t="s">
        <v>8731</v>
      </c>
      <c r="BU29" s="356" t="s">
        <v>8506</v>
      </c>
      <c r="BV29" s="356" t="s">
        <v>8506</v>
      </c>
      <c r="BW29" s="356" t="s">
        <v>8506</v>
      </c>
      <c r="BX29" s="356" t="s">
        <v>8506</v>
      </c>
      <c r="BY29" s="356" t="s">
        <v>8506</v>
      </c>
      <c r="BZ29" s="356" t="s">
        <v>8506</v>
      </c>
      <c r="CA29" s="356" t="s">
        <v>8506</v>
      </c>
      <c r="CB29" s="356" t="s">
        <v>8506</v>
      </c>
      <c r="CC29" s="356" t="s">
        <v>8506</v>
      </c>
      <c r="CD29" s="356" t="s">
        <v>8506</v>
      </c>
      <c r="CE29" s="356" t="s">
        <v>8506</v>
      </c>
      <c r="CF29" s="356" t="s">
        <v>8506</v>
      </c>
      <c r="CG29" s="356" t="s">
        <v>8506</v>
      </c>
      <c r="CH29" s="356" t="s">
        <v>8506</v>
      </c>
      <c r="CI29" s="356" t="s">
        <v>8506</v>
      </c>
      <c r="CJ29" s="356" t="s">
        <v>8506</v>
      </c>
      <c r="CK29" s="356" t="s">
        <v>8506</v>
      </c>
      <c r="CL29" s="356" t="s">
        <v>8506</v>
      </c>
      <c r="CM29" s="356" t="s">
        <v>8506</v>
      </c>
      <c r="CN29" s="356" t="s">
        <v>8506</v>
      </c>
      <c r="CO29" s="356" t="s">
        <v>8506</v>
      </c>
      <c r="CP29" s="356" t="s">
        <v>8506</v>
      </c>
      <c r="CQ29" s="356" t="s">
        <v>8506</v>
      </c>
      <c r="CR29" s="356" t="s">
        <v>8506</v>
      </c>
      <c r="CS29" s="356" t="s">
        <v>8506</v>
      </c>
      <c r="CT29" s="356" t="s">
        <v>8506</v>
      </c>
      <c r="CU29" s="356" t="s">
        <v>8506</v>
      </c>
      <c r="CV29" s="356" t="s">
        <v>8506</v>
      </c>
      <c r="CW29" s="356" t="s">
        <v>8506</v>
      </c>
      <c r="CX29" s="356" t="s">
        <v>8506</v>
      </c>
      <c r="CY29" s="356" t="s">
        <v>8506</v>
      </c>
      <c r="CZ29" s="356" t="s">
        <v>8506</v>
      </c>
      <c r="DA29" s="356" t="s">
        <v>8506</v>
      </c>
      <c r="DB29" s="356" t="s">
        <v>8506</v>
      </c>
      <c r="DC29" s="356" t="s">
        <v>8506</v>
      </c>
      <c r="DD29" s="356" t="s">
        <v>8506</v>
      </c>
      <c r="DE29" s="356" t="s">
        <v>8506</v>
      </c>
      <c r="DF29" s="356" t="s">
        <v>8506</v>
      </c>
      <c r="DG29" s="356" t="s">
        <v>8506</v>
      </c>
      <c r="DH29" s="356" t="s">
        <v>8506</v>
      </c>
      <c r="DI29" s="356" t="s">
        <v>8506</v>
      </c>
      <c r="DJ29" s="356" t="s">
        <v>8506</v>
      </c>
      <c r="DK29" s="356" t="s">
        <v>8506</v>
      </c>
      <c r="DL29" s="356" t="s">
        <v>8506</v>
      </c>
      <c r="DM29" s="356" t="s">
        <v>8506</v>
      </c>
      <c r="DN29" s="356" t="s">
        <v>8506</v>
      </c>
      <c r="DO29" s="356" t="s">
        <v>8506</v>
      </c>
      <c r="DP29" s="356" t="s">
        <v>8506</v>
      </c>
      <c r="DQ29" s="356" t="s">
        <v>8506</v>
      </c>
      <c r="DR29" s="356" t="s">
        <v>8506</v>
      </c>
      <c r="DS29" s="356" t="s">
        <v>8506</v>
      </c>
      <c r="DT29" s="356" t="s">
        <v>8506</v>
      </c>
      <c r="DU29" s="356" t="s">
        <v>8506</v>
      </c>
      <c r="DV29" s="356" t="s">
        <v>8506</v>
      </c>
      <c r="DW29" s="356" t="s">
        <v>8506</v>
      </c>
      <c r="DX29" s="356" t="s">
        <v>8506</v>
      </c>
      <c r="DY29" s="356" t="s">
        <v>8506</v>
      </c>
      <c r="DZ29" s="356" t="s">
        <v>8506</v>
      </c>
      <c r="EA29" s="356" t="s">
        <v>8506</v>
      </c>
      <c r="EB29" s="355" t="s">
        <v>8506</v>
      </c>
      <c r="EC29" s="355" t="s">
        <v>8731</v>
      </c>
      <c r="ED29" s="355" t="s">
        <v>8508</v>
      </c>
      <c r="EE29" s="355" t="s">
        <v>8731</v>
      </c>
      <c r="EF29" s="356" t="s">
        <v>8507</v>
      </c>
      <c r="EG29" s="356" t="s">
        <v>8507</v>
      </c>
      <c r="EH29" s="356" t="s">
        <v>8507</v>
      </c>
      <c r="EI29" s="355" t="s">
        <v>8507</v>
      </c>
      <c r="EJ29" s="355" t="s">
        <v>8731</v>
      </c>
    </row>
    <row r="30" spans="1:140" ht="12.75">
      <c r="A30" s="506"/>
      <c r="B30" s="335" t="s">
        <v>8733</v>
      </c>
      <c r="C30" s="336" t="s">
        <v>9002</v>
      </c>
      <c r="D30" s="336" t="s">
        <v>9003</v>
      </c>
      <c r="E30" s="336" t="s">
        <v>9004</v>
      </c>
      <c r="F30" s="335" t="s">
        <v>9005</v>
      </c>
      <c r="G30" s="335" t="s">
        <v>8733</v>
      </c>
      <c r="H30" s="335" t="s">
        <v>9004</v>
      </c>
      <c r="I30" s="335" t="s">
        <v>8733</v>
      </c>
      <c r="J30" s="336" t="s">
        <v>9006</v>
      </c>
      <c r="K30" s="336" t="s">
        <v>9007</v>
      </c>
      <c r="L30" s="336" t="s">
        <v>9008</v>
      </c>
      <c r="M30" s="336" t="s">
        <v>9009</v>
      </c>
      <c r="N30" s="336" t="s">
        <v>9010</v>
      </c>
      <c r="O30" s="336" t="s">
        <v>9011</v>
      </c>
      <c r="P30" s="336" t="s">
        <v>9012</v>
      </c>
      <c r="Q30" s="336" t="s">
        <v>9013</v>
      </c>
      <c r="R30" s="336" t="s">
        <v>9014</v>
      </c>
      <c r="S30" s="336" t="s">
        <v>9015</v>
      </c>
      <c r="T30" s="336" t="s">
        <v>9016</v>
      </c>
      <c r="U30" s="336" t="s">
        <v>9017</v>
      </c>
      <c r="V30" s="336" t="s">
        <v>9018</v>
      </c>
      <c r="W30" s="336" t="s">
        <v>9019</v>
      </c>
      <c r="X30" s="336" t="s">
        <v>9020</v>
      </c>
      <c r="Y30" s="336" t="s">
        <v>9021</v>
      </c>
      <c r="Z30" s="336" t="s">
        <v>9022</v>
      </c>
      <c r="AA30" s="336" t="s">
        <v>9023</v>
      </c>
      <c r="AB30" s="336" t="s">
        <v>9024</v>
      </c>
      <c r="AC30" s="336" t="s">
        <v>9025</v>
      </c>
      <c r="AD30" s="336" t="s">
        <v>9026</v>
      </c>
      <c r="AE30" s="336" t="s">
        <v>9002</v>
      </c>
      <c r="AF30" s="336" t="s">
        <v>9004</v>
      </c>
      <c r="AG30" s="336" t="s">
        <v>9027</v>
      </c>
      <c r="AH30" s="336" t="s">
        <v>9028</v>
      </c>
      <c r="AI30" s="336" t="s">
        <v>9029</v>
      </c>
      <c r="AJ30" s="336" t="s">
        <v>9030</v>
      </c>
      <c r="AK30" s="336" t="s">
        <v>8975</v>
      </c>
      <c r="AL30" s="336" t="s">
        <v>9362</v>
      </c>
      <c r="AM30" s="336" t="s">
        <v>9363</v>
      </c>
      <c r="AN30" s="336" t="s">
        <v>9364</v>
      </c>
      <c r="AO30" s="336" t="s">
        <v>9365</v>
      </c>
      <c r="AP30" s="336" t="s">
        <v>9366</v>
      </c>
      <c r="AQ30" s="336" t="s">
        <v>9367</v>
      </c>
      <c r="AR30" s="336" t="s">
        <v>9368</v>
      </c>
      <c r="AS30" s="336" t="s">
        <v>9369</v>
      </c>
      <c r="AT30" s="336" t="s">
        <v>9033</v>
      </c>
      <c r="AU30" s="339" t="s">
        <v>9370</v>
      </c>
      <c r="AV30" s="336" t="s">
        <v>9371</v>
      </c>
      <c r="AW30" s="336" t="s">
        <v>9372</v>
      </c>
      <c r="AX30" s="336" t="s">
        <v>9373</v>
      </c>
      <c r="AY30" s="336" t="s">
        <v>9374</v>
      </c>
      <c r="AZ30" s="336" t="s">
        <v>9375</v>
      </c>
      <c r="BA30" s="336" t="s">
        <v>9376</v>
      </c>
      <c r="BB30" s="336" t="s">
        <v>9377</v>
      </c>
      <c r="BC30" s="336" t="s">
        <v>9378</v>
      </c>
      <c r="BD30" s="336" t="s">
        <v>9379</v>
      </c>
      <c r="BE30" s="336" t="s">
        <v>9380</v>
      </c>
      <c r="BF30" s="336" t="s">
        <v>9381</v>
      </c>
      <c r="BG30" s="336" t="s">
        <v>9382</v>
      </c>
      <c r="BH30" s="336" t="s">
        <v>9383</v>
      </c>
      <c r="BI30" s="336" t="s">
        <v>9384</v>
      </c>
      <c r="BJ30" s="336" t="s">
        <v>9385</v>
      </c>
      <c r="BK30" s="336" t="s">
        <v>9386</v>
      </c>
      <c r="BL30" s="336" t="s">
        <v>9387</v>
      </c>
      <c r="BM30" s="336" t="s">
        <v>9388</v>
      </c>
      <c r="BN30" s="336" t="s">
        <v>9389</v>
      </c>
      <c r="BO30" s="336" t="s">
        <v>9390</v>
      </c>
      <c r="BP30" s="336" t="s">
        <v>9391</v>
      </c>
      <c r="BQ30" s="335" t="s">
        <v>9392</v>
      </c>
      <c r="BR30" s="335" t="s">
        <v>8733</v>
      </c>
      <c r="BS30" s="317" t="s">
        <v>8738</v>
      </c>
      <c r="BT30" s="351" t="s">
        <v>8733</v>
      </c>
      <c r="BU30" s="352" t="s">
        <v>9760</v>
      </c>
      <c r="BV30" s="352" t="s">
        <v>9761</v>
      </c>
      <c r="BW30" s="352" t="s">
        <v>9762</v>
      </c>
      <c r="BX30" s="352" t="s">
        <v>9763</v>
      </c>
      <c r="BY30" s="352" t="s">
        <v>9764</v>
      </c>
      <c r="BZ30" s="352" t="s">
        <v>9765</v>
      </c>
      <c r="CA30" s="352" t="s">
        <v>9766</v>
      </c>
      <c r="CB30" s="352" t="s">
        <v>9767</v>
      </c>
      <c r="CC30" s="352" t="s">
        <v>9768</v>
      </c>
      <c r="CD30" s="352" t="s">
        <v>9769</v>
      </c>
      <c r="CE30" s="352" t="s">
        <v>9770</v>
      </c>
      <c r="CF30" s="352" t="s">
        <v>9771</v>
      </c>
      <c r="CG30" s="352" t="s">
        <v>9772</v>
      </c>
      <c r="CH30" s="352" t="s">
        <v>9773</v>
      </c>
      <c r="CI30" s="352" t="s">
        <v>9774</v>
      </c>
      <c r="CJ30" s="352" t="s">
        <v>9775</v>
      </c>
      <c r="CK30" s="352" t="s">
        <v>9776</v>
      </c>
      <c r="CL30" s="352" t="s">
        <v>9777</v>
      </c>
      <c r="CM30" s="352" t="s">
        <v>9778</v>
      </c>
      <c r="CN30" s="352" t="s">
        <v>9779</v>
      </c>
      <c r="CO30" s="352" t="s">
        <v>9780</v>
      </c>
      <c r="CP30" s="352" t="s">
        <v>9781</v>
      </c>
      <c r="CQ30" s="352" t="s">
        <v>9782</v>
      </c>
      <c r="CR30" s="352" t="s">
        <v>9783</v>
      </c>
      <c r="CS30" s="352" t="s">
        <v>9784</v>
      </c>
      <c r="CT30" s="352" t="s">
        <v>9785</v>
      </c>
      <c r="CU30" s="352" t="s">
        <v>9786</v>
      </c>
      <c r="CV30" s="352" t="s">
        <v>9787</v>
      </c>
      <c r="CW30" s="352" t="s">
        <v>9788</v>
      </c>
      <c r="CX30" s="352" t="s">
        <v>9789</v>
      </c>
      <c r="CY30" s="352" t="s">
        <v>9790</v>
      </c>
      <c r="CZ30" s="352" t="s">
        <v>9791</v>
      </c>
      <c r="DA30" s="352" t="s">
        <v>9792</v>
      </c>
      <c r="DB30" s="352" t="s">
        <v>9793</v>
      </c>
      <c r="DC30" s="352" t="s">
        <v>10100</v>
      </c>
      <c r="DD30" s="352" t="s">
        <v>10101</v>
      </c>
      <c r="DE30" s="352" t="s">
        <v>10072</v>
      </c>
      <c r="DF30" s="352" t="s">
        <v>10102</v>
      </c>
      <c r="DG30" s="352" t="s">
        <v>10103</v>
      </c>
      <c r="DH30" s="352" t="s">
        <v>10104</v>
      </c>
      <c r="DI30" s="352" t="s">
        <v>10105</v>
      </c>
      <c r="DJ30" s="352" t="s">
        <v>10106</v>
      </c>
      <c r="DK30" s="352" t="s">
        <v>10107</v>
      </c>
      <c r="DL30" s="352" t="s">
        <v>10108</v>
      </c>
      <c r="DM30" s="352" t="s">
        <v>10109</v>
      </c>
      <c r="DN30" s="352" t="s">
        <v>10099</v>
      </c>
      <c r="DO30" s="352" t="s">
        <v>10110</v>
      </c>
      <c r="DP30" s="352" t="s">
        <v>10111</v>
      </c>
      <c r="DQ30" s="352" t="s">
        <v>10112</v>
      </c>
      <c r="DR30" s="352" t="s">
        <v>10113</v>
      </c>
      <c r="DS30" s="352" t="s">
        <v>10114</v>
      </c>
      <c r="DT30" s="352" t="s">
        <v>10115</v>
      </c>
      <c r="DU30" s="352" t="s">
        <v>10116</v>
      </c>
      <c r="DV30" s="352" t="s">
        <v>10117</v>
      </c>
      <c r="DW30" s="352" t="s">
        <v>10118</v>
      </c>
      <c r="DX30" s="352" t="s">
        <v>10119</v>
      </c>
      <c r="DY30" s="352" t="s">
        <v>10120</v>
      </c>
      <c r="DZ30" s="352" t="s">
        <v>10121</v>
      </c>
      <c r="EA30" s="352" t="s">
        <v>10122</v>
      </c>
      <c r="EB30" s="351" t="s">
        <v>10123</v>
      </c>
      <c r="EC30" s="351" t="s">
        <v>8733</v>
      </c>
      <c r="ED30" s="351" t="s">
        <v>9702</v>
      </c>
      <c r="EE30" s="351" t="s">
        <v>8733</v>
      </c>
      <c r="EF30" s="352" t="s">
        <v>10099</v>
      </c>
      <c r="EG30" s="352" t="s">
        <v>10083</v>
      </c>
      <c r="EH30" s="352" t="s">
        <v>10060</v>
      </c>
      <c r="EI30" s="351" t="s">
        <v>9672</v>
      </c>
      <c r="EJ30" s="351" t="s">
        <v>8733</v>
      </c>
    </row>
    <row r="31" spans="1:140" ht="12.75">
      <c r="A31" s="505">
        <v>2</v>
      </c>
      <c r="B31" s="332" t="s">
        <v>8731</v>
      </c>
      <c r="C31" s="333" t="s">
        <v>8507</v>
      </c>
      <c r="D31" s="333" t="s">
        <v>8507</v>
      </c>
      <c r="E31" s="333" t="s">
        <v>8507</v>
      </c>
      <c r="F31" s="332" t="s">
        <v>8507</v>
      </c>
      <c r="G31" s="332" t="s">
        <v>8731</v>
      </c>
      <c r="H31" s="332" t="s">
        <v>8508</v>
      </c>
      <c r="I31" s="332" t="s">
        <v>8731</v>
      </c>
      <c r="J31" s="333" t="s">
        <v>8506</v>
      </c>
      <c r="K31" s="333" t="s">
        <v>8506</v>
      </c>
      <c r="L31" s="333" t="s">
        <v>8506</v>
      </c>
      <c r="M31" s="333" t="s">
        <v>8506</v>
      </c>
      <c r="N31" s="333" t="s">
        <v>8506</v>
      </c>
      <c r="O31" s="333" t="s">
        <v>8506</v>
      </c>
      <c r="P31" s="333" t="s">
        <v>8506</v>
      </c>
      <c r="Q31" s="333" t="s">
        <v>8506</v>
      </c>
      <c r="R31" s="333" t="s">
        <v>8506</v>
      </c>
      <c r="S31" s="333" t="s">
        <v>8506</v>
      </c>
      <c r="T31" s="333" t="s">
        <v>8506</v>
      </c>
      <c r="U31" s="333" t="s">
        <v>8506</v>
      </c>
      <c r="V31" s="333" t="s">
        <v>8506</v>
      </c>
      <c r="W31" s="333" t="s">
        <v>8506</v>
      </c>
      <c r="X31" s="333" t="s">
        <v>8506</v>
      </c>
      <c r="Y31" s="333" t="s">
        <v>8506</v>
      </c>
      <c r="Z31" s="333" t="s">
        <v>8506</v>
      </c>
      <c r="AA31" s="333" t="s">
        <v>8506</v>
      </c>
      <c r="AB31" s="333" t="s">
        <v>8506</v>
      </c>
      <c r="AC31" s="333" t="s">
        <v>8506</v>
      </c>
      <c r="AD31" s="333" t="s">
        <v>8506</v>
      </c>
      <c r="AE31" s="333" t="s">
        <v>8506</v>
      </c>
      <c r="AF31" s="333" t="s">
        <v>8506</v>
      </c>
      <c r="AG31" s="333" t="s">
        <v>8506</v>
      </c>
      <c r="AH31" s="338" t="s">
        <v>8506</v>
      </c>
      <c r="AI31" s="338" t="s">
        <v>8506</v>
      </c>
      <c r="AJ31" s="333" t="s">
        <v>8506</v>
      </c>
      <c r="AK31" s="333" t="s">
        <v>8506</v>
      </c>
      <c r="AL31" s="333" t="s">
        <v>8506</v>
      </c>
      <c r="AM31" s="333" t="s">
        <v>8506</v>
      </c>
      <c r="AN31" s="333" t="s">
        <v>8506</v>
      </c>
      <c r="AO31" s="333" t="s">
        <v>8506</v>
      </c>
      <c r="AP31" s="333" t="s">
        <v>8506</v>
      </c>
      <c r="AQ31" s="333" t="s">
        <v>8506</v>
      </c>
      <c r="AR31" s="333" t="s">
        <v>8506</v>
      </c>
      <c r="AS31" s="333" t="s">
        <v>8506</v>
      </c>
      <c r="AT31" s="338" t="s">
        <v>8506</v>
      </c>
      <c r="AU31" s="333" t="s">
        <v>8506</v>
      </c>
      <c r="AV31" s="333" t="s">
        <v>8506</v>
      </c>
      <c r="AW31" s="333" t="s">
        <v>8506</v>
      </c>
      <c r="AX31" s="333" t="s">
        <v>8506</v>
      </c>
      <c r="AY31" s="333" t="s">
        <v>8506</v>
      </c>
      <c r="AZ31" s="333" t="s">
        <v>8506</v>
      </c>
      <c r="BA31" s="333" t="s">
        <v>8506</v>
      </c>
      <c r="BB31" s="333" t="s">
        <v>8506</v>
      </c>
      <c r="BC31" s="333" t="s">
        <v>8506</v>
      </c>
      <c r="BD31" s="333" t="s">
        <v>8506</v>
      </c>
      <c r="BE31" s="333" t="s">
        <v>8506</v>
      </c>
      <c r="BF31" s="333" t="s">
        <v>8506</v>
      </c>
      <c r="BG31" s="333" t="s">
        <v>8506</v>
      </c>
      <c r="BH31" s="333" t="s">
        <v>8506</v>
      </c>
      <c r="BI31" s="333" t="s">
        <v>8506</v>
      </c>
      <c r="BJ31" s="333" t="s">
        <v>8506</v>
      </c>
      <c r="BK31" s="333" t="s">
        <v>8506</v>
      </c>
      <c r="BL31" s="333" t="s">
        <v>8506</v>
      </c>
      <c r="BM31" s="333" t="s">
        <v>8506</v>
      </c>
      <c r="BN31" s="333" t="s">
        <v>8506</v>
      </c>
      <c r="BO31" s="333" t="s">
        <v>8506</v>
      </c>
      <c r="BP31" s="333" t="s">
        <v>8506</v>
      </c>
      <c r="BQ31" s="332" t="s">
        <v>8506</v>
      </c>
      <c r="BR31" s="332" t="s">
        <v>8731</v>
      </c>
      <c r="BS31" s="314" t="s">
        <v>8732</v>
      </c>
      <c r="BT31" s="355" t="s">
        <v>8731</v>
      </c>
      <c r="BU31" s="356" t="s">
        <v>8506</v>
      </c>
      <c r="BV31" s="356" t="s">
        <v>8506</v>
      </c>
      <c r="BW31" s="356" t="s">
        <v>8506</v>
      </c>
      <c r="BX31" s="356" t="s">
        <v>8506</v>
      </c>
      <c r="BY31" s="356" t="s">
        <v>8506</v>
      </c>
      <c r="BZ31" s="356" t="s">
        <v>8506</v>
      </c>
      <c r="CA31" s="356" t="s">
        <v>8506</v>
      </c>
      <c r="CB31" s="356" t="s">
        <v>8506</v>
      </c>
      <c r="CC31" s="356" t="s">
        <v>8506</v>
      </c>
      <c r="CD31" s="356" t="s">
        <v>8506</v>
      </c>
      <c r="CE31" s="356" t="s">
        <v>8506</v>
      </c>
      <c r="CF31" s="356" t="s">
        <v>8506</v>
      </c>
      <c r="CG31" s="356" t="s">
        <v>8506</v>
      </c>
      <c r="CH31" s="356" t="s">
        <v>8506</v>
      </c>
      <c r="CI31" s="356" t="s">
        <v>8506</v>
      </c>
      <c r="CJ31" s="356" t="s">
        <v>8506</v>
      </c>
      <c r="CK31" s="356" t="s">
        <v>8506</v>
      </c>
      <c r="CL31" s="356" t="s">
        <v>8506</v>
      </c>
      <c r="CM31" s="356" t="s">
        <v>8506</v>
      </c>
      <c r="CN31" s="356" t="s">
        <v>8506</v>
      </c>
      <c r="CO31" s="356" t="s">
        <v>8506</v>
      </c>
      <c r="CP31" s="356" t="s">
        <v>8506</v>
      </c>
      <c r="CQ31" s="356" t="s">
        <v>8506</v>
      </c>
      <c r="CR31" s="356" t="s">
        <v>8506</v>
      </c>
      <c r="CS31" s="356" t="s">
        <v>8506</v>
      </c>
      <c r="CT31" s="356" t="s">
        <v>8506</v>
      </c>
      <c r="CU31" s="356" t="s">
        <v>8506</v>
      </c>
      <c r="CV31" s="356" t="s">
        <v>8506</v>
      </c>
      <c r="CW31" s="356" t="s">
        <v>8506</v>
      </c>
      <c r="CX31" s="356" t="s">
        <v>8506</v>
      </c>
      <c r="CY31" s="356" t="s">
        <v>8506</v>
      </c>
      <c r="CZ31" s="358" t="s">
        <v>8506</v>
      </c>
      <c r="DA31" s="356" t="s">
        <v>8506</v>
      </c>
      <c r="DB31" s="356" t="s">
        <v>8506</v>
      </c>
      <c r="DC31" s="356" t="s">
        <v>8506</v>
      </c>
      <c r="DD31" s="356" t="s">
        <v>8506</v>
      </c>
      <c r="DE31" s="356" t="s">
        <v>8506</v>
      </c>
      <c r="DF31" s="356" t="s">
        <v>8506</v>
      </c>
      <c r="DG31" s="356" t="s">
        <v>8506</v>
      </c>
      <c r="DH31" s="356" t="s">
        <v>8506</v>
      </c>
      <c r="DI31" s="356" t="s">
        <v>8506</v>
      </c>
      <c r="DJ31" s="356" t="s">
        <v>8506</v>
      </c>
      <c r="DK31" s="356" t="s">
        <v>8506</v>
      </c>
      <c r="DL31" s="356" t="s">
        <v>8506</v>
      </c>
      <c r="DM31" s="356" t="s">
        <v>8506</v>
      </c>
      <c r="DN31" s="356" t="s">
        <v>8506</v>
      </c>
      <c r="DO31" s="356" t="s">
        <v>8506</v>
      </c>
      <c r="DP31" s="356" t="s">
        <v>8506</v>
      </c>
      <c r="DQ31" s="356" t="s">
        <v>8506</v>
      </c>
      <c r="DR31" s="356" t="s">
        <v>8506</v>
      </c>
      <c r="DS31" s="356" t="s">
        <v>8506</v>
      </c>
      <c r="DT31" s="356" t="s">
        <v>8506</v>
      </c>
      <c r="DU31" s="356" t="s">
        <v>8506</v>
      </c>
      <c r="DV31" s="356" t="s">
        <v>8506</v>
      </c>
      <c r="DW31" s="356" t="s">
        <v>8506</v>
      </c>
      <c r="DX31" s="356" t="s">
        <v>8506</v>
      </c>
      <c r="DY31" s="356" t="s">
        <v>8506</v>
      </c>
      <c r="DZ31" s="356" t="s">
        <v>8506</v>
      </c>
      <c r="EA31" s="356" t="s">
        <v>8506</v>
      </c>
      <c r="EB31" s="355" t="s">
        <v>8506</v>
      </c>
      <c r="EC31" s="355" t="s">
        <v>8731</v>
      </c>
      <c r="ED31" s="355" t="s">
        <v>8508</v>
      </c>
      <c r="EE31" s="355" t="s">
        <v>8731</v>
      </c>
      <c r="EF31" s="356" t="s">
        <v>8507</v>
      </c>
      <c r="EG31" s="356" t="s">
        <v>8507</v>
      </c>
      <c r="EH31" s="356" t="s">
        <v>8507</v>
      </c>
      <c r="EI31" s="355" t="s">
        <v>8507</v>
      </c>
      <c r="EJ31" s="355" t="s">
        <v>8731</v>
      </c>
    </row>
    <row r="32" spans="1:140" ht="13.5" thickBot="1">
      <c r="A32" s="506"/>
      <c r="B32" s="335" t="s">
        <v>8733</v>
      </c>
      <c r="C32" s="336" t="s">
        <v>8733</v>
      </c>
      <c r="D32" s="336" t="s">
        <v>9031</v>
      </c>
      <c r="E32" s="336" t="s">
        <v>9032</v>
      </c>
      <c r="F32" s="335" t="s">
        <v>9033</v>
      </c>
      <c r="G32" s="335" t="s">
        <v>8733</v>
      </c>
      <c r="H32" s="340" t="s">
        <v>8733</v>
      </c>
      <c r="I32" s="335" t="s">
        <v>8733</v>
      </c>
      <c r="J32" s="336" t="s">
        <v>9034</v>
      </c>
      <c r="K32" s="336" t="s">
        <v>9035</v>
      </c>
      <c r="L32" s="336" t="s">
        <v>9036</v>
      </c>
      <c r="M32" s="336" t="s">
        <v>9037</v>
      </c>
      <c r="N32" s="336" t="s">
        <v>9038</v>
      </c>
      <c r="O32" s="336" t="s">
        <v>9039</v>
      </c>
      <c r="P32" s="336" t="s">
        <v>9040</v>
      </c>
      <c r="Q32" s="336" t="s">
        <v>9041</v>
      </c>
      <c r="R32" s="336" t="s">
        <v>8945</v>
      </c>
      <c r="S32" s="336" t="s">
        <v>9042</v>
      </c>
      <c r="T32" s="336" t="s">
        <v>9043</v>
      </c>
      <c r="U32" s="336" t="s">
        <v>9044</v>
      </c>
      <c r="V32" s="336" t="s">
        <v>9045</v>
      </c>
      <c r="W32" s="336" t="s">
        <v>9046</v>
      </c>
      <c r="X32" s="336" t="s">
        <v>9047</v>
      </c>
      <c r="Y32" s="336" t="s">
        <v>9048</v>
      </c>
      <c r="Z32" s="336" t="s">
        <v>9049</v>
      </c>
      <c r="AA32" s="336" t="s">
        <v>9050</v>
      </c>
      <c r="AB32" s="336" t="s">
        <v>9051</v>
      </c>
      <c r="AC32" s="336" t="s">
        <v>9052</v>
      </c>
      <c r="AD32" s="336" t="s">
        <v>9053</v>
      </c>
      <c r="AE32" s="336" t="s">
        <v>9054</v>
      </c>
      <c r="AF32" s="336" t="s">
        <v>9055</v>
      </c>
      <c r="AG32" s="336" t="s">
        <v>9056</v>
      </c>
      <c r="AH32" s="339" t="s">
        <v>9057</v>
      </c>
      <c r="AI32" s="339" t="s">
        <v>9058</v>
      </c>
      <c r="AJ32" s="336" t="s">
        <v>9059</v>
      </c>
      <c r="AK32" s="336" t="s">
        <v>9393</v>
      </c>
      <c r="AL32" s="336" t="s">
        <v>9394</v>
      </c>
      <c r="AM32" s="336" t="s">
        <v>9395</v>
      </c>
      <c r="AN32" s="336" t="s">
        <v>9396</v>
      </c>
      <c r="AO32" s="336" t="s">
        <v>9397</v>
      </c>
      <c r="AP32" s="336" t="s">
        <v>9398</v>
      </c>
      <c r="AQ32" s="336" t="s">
        <v>9399</v>
      </c>
      <c r="AR32" s="336" t="s">
        <v>9400</v>
      </c>
      <c r="AS32" s="336" t="s">
        <v>9401</v>
      </c>
      <c r="AT32" s="339" t="s">
        <v>9402</v>
      </c>
      <c r="AU32" s="336" t="s">
        <v>9403</v>
      </c>
      <c r="AV32" s="336" t="s">
        <v>9404</v>
      </c>
      <c r="AW32" s="336" t="s">
        <v>8973</v>
      </c>
      <c r="AX32" s="336" t="s">
        <v>9405</v>
      </c>
      <c r="AY32" s="336" t="s">
        <v>8972</v>
      </c>
      <c r="AZ32" s="336" t="s">
        <v>9406</v>
      </c>
      <c r="BA32" s="336" t="s">
        <v>9407</v>
      </c>
      <c r="BB32" s="336" t="s">
        <v>9408</v>
      </c>
      <c r="BC32" s="336" t="s">
        <v>9409</v>
      </c>
      <c r="BD32" s="336" t="s">
        <v>9410</v>
      </c>
      <c r="BE32" s="336" t="s">
        <v>9411</v>
      </c>
      <c r="BF32" s="336" t="s">
        <v>9412</v>
      </c>
      <c r="BG32" s="336" t="s">
        <v>9413</v>
      </c>
      <c r="BH32" s="336" t="s">
        <v>9414</v>
      </c>
      <c r="BI32" s="336" t="s">
        <v>9415</v>
      </c>
      <c r="BJ32" s="336" t="s">
        <v>9416</v>
      </c>
      <c r="BK32" s="336" t="s">
        <v>9417</v>
      </c>
      <c r="BL32" s="336" t="s">
        <v>9418</v>
      </c>
      <c r="BM32" s="336" t="s">
        <v>9419</v>
      </c>
      <c r="BN32" s="336" t="s">
        <v>9420</v>
      </c>
      <c r="BO32" s="336" t="s">
        <v>9421</v>
      </c>
      <c r="BP32" s="336" t="s">
        <v>9422</v>
      </c>
      <c r="BQ32" s="335" t="s">
        <v>9423</v>
      </c>
      <c r="BR32" s="335" t="s">
        <v>8733</v>
      </c>
      <c r="BS32" s="317" t="s">
        <v>8738</v>
      </c>
      <c r="BT32" s="351" t="s">
        <v>8733</v>
      </c>
      <c r="BU32" s="352" t="s">
        <v>9794</v>
      </c>
      <c r="BV32" s="352" t="s">
        <v>9795</v>
      </c>
      <c r="BW32" s="352" t="s">
        <v>9796</v>
      </c>
      <c r="BX32" s="352" t="s">
        <v>9797</v>
      </c>
      <c r="BY32" s="352" t="s">
        <v>9798</v>
      </c>
      <c r="BZ32" s="352" t="s">
        <v>9799</v>
      </c>
      <c r="CA32" s="352" t="s">
        <v>9800</v>
      </c>
      <c r="CB32" s="352" t="s">
        <v>9801</v>
      </c>
      <c r="CC32" s="352" t="s">
        <v>9802</v>
      </c>
      <c r="CD32" s="352" t="s">
        <v>9803</v>
      </c>
      <c r="CE32" s="352" t="s">
        <v>9804</v>
      </c>
      <c r="CF32" s="352" t="s">
        <v>9805</v>
      </c>
      <c r="CG32" s="352" t="s">
        <v>9806</v>
      </c>
      <c r="CH32" s="352" t="s">
        <v>9807</v>
      </c>
      <c r="CI32" s="352" t="s">
        <v>9808</v>
      </c>
      <c r="CJ32" s="352" t="s">
        <v>9809</v>
      </c>
      <c r="CK32" s="352" t="s">
        <v>9810</v>
      </c>
      <c r="CL32" s="352" t="s">
        <v>9811</v>
      </c>
      <c r="CM32" s="352" t="s">
        <v>9812</v>
      </c>
      <c r="CN32" s="352" t="s">
        <v>9813</v>
      </c>
      <c r="CO32" s="352" t="s">
        <v>9814</v>
      </c>
      <c r="CP32" s="352" t="s">
        <v>9815</v>
      </c>
      <c r="CQ32" s="352" t="s">
        <v>9816</v>
      </c>
      <c r="CR32" s="352" t="s">
        <v>9817</v>
      </c>
      <c r="CS32" s="352" t="s">
        <v>9818</v>
      </c>
      <c r="CT32" s="352" t="s">
        <v>9819</v>
      </c>
      <c r="CU32" s="352" t="s">
        <v>9820</v>
      </c>
      <c r="CV32" s="352" t="s">
        <v>9821</v>
      </c>
      <c r="CW32" s="352" t="s">
        <v>9822</v>
      </c>
      <c r="CX32" s="352" t="s">
        <v>9823</v>
      </c>
      <c r="CY32" s="352" t="s">
        <v>9824</v>
      </c>
      <c r="CZ32" s="354" t="s">
        <v>9825</v>
      </c>
      <c r="DA32" s="352" t="s">
        <v>9826</v>
      </c>
      <c r="DB32" s="352" t="s">
        <v>9827</v>
      </c>
      <c r="DC32" s="352" t="s">
        <v>10124</v>
      </c>
      <c r="DD32" s="352" t="s">
        <v>10125</v>
      </c>
      <c r="DE32" s="352" t="s">
        <v>10126</v>
      </c>
      <c r="DF32" s="352" t="s">
        <v>10127</v>
      </c>
      <c r="DG32" s="352" t="s">
        <v>10128</v>
      </c>
      <c r="DH32" s="352" t="s">
        <v>10129</v>
      </c>
      <c r="DI32" s="352" t="s">
        <v>10130</v>
      </c>
      <c r="DJ32" s="352" t="s">
        <v>10131</v>
      </c>
      <c r="DK32" s="352" t="s">
        <v>10132</v>
      </c>
      <c r="DL32" s="352" t="s">
        <v>10133</v>
      </c>
      <c r="DM32" s="352" t="s">
        <v>10134</v>
      </c>
      <c r="DN32" s="352" t="s">
        <v>10135</v>
      </c>
      <c r="DO32" s="352" t="s">
        <v>10136</v>
      </c>
      <c r="DP32" s="352" t="s">
        <v>10137</v>
      </c>
      <c r="DQ32" s="352" t="s">
        <v>10138</v>
      </c>
      <c r="DR32" s="352" t="s">
        <v>10139</v>
      </c>
      <c r="DS32" s="352" t="s">
        <v>10140</v>
      </c>
      <c r="DT32" s="352" t="s">
        <v>10141</v>
      </c>
      <c r="DU32" s="352" t="s">
        <v>10142</v>
      </c>
      <c r="DV32" s="352" t="s">
        <v>10143</v>
      </c>
      <c r="DW32" s="352" t="s">
        <v>10144</v>
      </c>
      <c r="DX32" s="352" t="s">
        <v>10145</v>
      </c>
      <c r="DY32" s="352" t="s">
        <v>10146</v>
      </c>
      <c r="DZ32" s="352" t="s">
        <v>10147</v>
      </c>
      <c r="EA32" s="352" t="s">
        <v>10148</v>
      </c>
      <c r="EB32" s="351" t="s">
        <v>10149</v>
      </c>
      <c r="EC32" s="351" t="s">
        <v>8733</v>
      </c>
      <c r="ED32" s="360" t="s">
        <v>10047</v>
      </c>
      <c r="EE32" s="351" t="s">
        <v>8733</v>
      </c>
      <c r="EF32" s="352" t="s">
        <v>10103</v>
      </c>
      <c r="EG32" s="352" t="s">
        <v>10072</v>
      </c>
      <c r="EH32" s="352" t="s">
        <v>9800</v>
      </c>
      <c r="EI32" s="351" t="s">
        <v>9702</v>
      </c>
      <c r="EJ32" s="351" t="s">
        <v>8733</v>
      </c>
    </row>
    <row r="33" spans="1:140" ht="12.75">
      <c r="A33" s="505">
        <v>1</v>
      </c>
      <c r="B33" s="332" t="s">
        <v>8731</v>
      </c>
      <c r="C33" s="333" t="s">
        <v>8507</v>
      </c>
      <c r="D33" s="333" t="s">
        <v>8507</v>
      </c>
      <c r="E33" s="338" t="s">
        <v>8507</v>
      </c>
      <c r="F33" s="332" t="s">
        <v>8507</v>
      </c>
      <c r="G33" s="332" t="s">
        <v>8731</v>
      </c>
      <c r="H33" s="334" t="s">
        <v>8732</v>
      </c>
      <c r="I33" s="332" t="s">
        <v>8731</v>
      </c>
      <c r="J33" s="333" t="s">
        <v>8506</v>
      </c>
      <c r="K33" s="333" t="s">
        <v>8506</v>
      </c>
      <c r="L33" s="333" t="s">
        <v>8506</v>
      </c>
      <c r="M33" s="333" t="s">
        <v>8506</v>
      </c>
      <c r="N33" s="333" t="s">
        <v>8506</v>
      </c>
      <c r="O33" s="333" t="s">
        <v>8506</v>
      </c>
      <c r="P33" s="333" t="s">
        <v>8506</v>
      </c>
      <c r="Q33" s="333" t="s">
        <v>8506</v>
      </c>
      <c r="R33" s="333" t="s">
        <v>8506</v>
      </c>
      <c r="S33" s="333" t="s">
        <v>8506</v>
      </c>
      <c r="T33" s="333" t="s">
        <v>8506</v>
      </c>
      <c r="U33" s="333" t="s">
        <v>8506</v>
      </c>
      <c r="V33" s="333" t="s">
        <v>8506</v>
      </c>
      <c r="W33" s="333" t="s">
        <v>8506</v>
      </c>
      <c r="X33" s="333" t="s">
        <v>8506</v>
      </c>
      <c r="Y33" s="333" t="s">
        <v>8506</v>
      </c>
      <c r="Z33" s="333" t="s">
        <v>8506</v>
      </c>
      <c r="AA33" s="333" t="s">
        <v>8506</v>
      </c>
      <c r="AB33" s="333" t="s">
        <v>8506</v>
      </c>
      <c r="AC33" s="333" t="s">
        <v>8506</v>
      </c>
      <c r="AD33" s="333" t="s">
        <v>8506</v>
      </c>
      <c r="AE33" s="338" t="s">
        <v>8506</v>
      </c>
      <c r="AF33" s="333" t="s">
        <v>8506</v>
      </c>
      <c r="AG33" s="333" t="s">
        <v>8506</v>
      </c>
      <c r="AH33" s="333" t="s">
        <v>8506</v>
      </c>
      <c r="AI33" s="333" t="s">
        <v>8506</v>
      </c>
      <c r="AJ33" s="333" t="s">
        <v>8506</v>
      </c>
      <c r="AK33" s="333" t="s">
        <v>8506</v>
      </c>
      <c r="AL33" s="333" t="s">
        <v>8506</v>
      </c>
      <c r="AM33" s="333" t="s">
        <v>8506</v>
      </c>
      <c r="AN33" s="333" t="s">
        <v>8506</v>
      </c>
      <c r="AO33" s="333" t="s">
        <v>8506</v>
      </c>
      <c r="AP33" s="333" t="s">
        <v>8506</v>
      </c>
      <c r="AQ33" s="333" t="s">
        <v>8506</v>
      </c>
      <c r="AR33" s="333" t="s">
        <v>8506</v>
      </c>
      <c r="AS33" s="333" t="s">
        <v>8506</v>
      </c>
      <c r="AT33" s="333" t="s">
        <v>8506</v>
      </c>
      <c r="AU33" s="333" t="s">
        <v>8506</v>
      </c>
      <c r="AV33" s="333" t="s">
        <v>8506</v>
      </c>
      <c r="AW33" s="333" t="s">
        <v>8506</v>
      </c>
      <c r="AX33" s="333" t="s">
        <v>8506</v>
      </c>
      <c r="AY33" s="333" t="s">
        <v>8506</v>
      </c>
      <c r="AZ33" s="333" t="s">
        <v>8506</v>
      </c>
      <c r="BA33" s="333" t="s">
        <v>8506</v>
      </c>
      <c r="BB33" s="333" t="s">
        <v>8506</v>
      </c>
      <c r="BC33" s="333" t="s">
        <v>8506</v>
      </c>
      <c r="BD33" s="333" t="s">
        <v>8506</v>
      </c>
      <c r="BE33" s="333" t="s">
        <v>8506</v>
      </c>
      <c r="BF33" s="333" t="s">
        <v>8506</v>
      </c>
      <c r="BG33" s="333" t="s">
        <v>8506</v>
      </c>
      <c r="BH33" s="333" t="s">
        <v>8506</v>
      </c>
      <c r="BI33" s="333" t="s">
        <v>8506</v>
      </c>
      <c r="BJ33" s="333" t="s">
        <v>8506</v>
      </c>
      <c r="BK33" s="333" t="s">
        <v>8506</v>
      </c>
      <c r="BL33" s="333" t="s">
        <v>8506</v>
      </c>
      <c r="BM33" s="333" t="s">
        <v>8506</v>
      </c>
      <c r="BN33" s="333" t="s">
        <v>8506</v>
      </c>
      <c r="BO33" s="333" t="s">
        <v>8506</v>
      </c>
      <c r="BP33" s="333" t="s">
        <v>8506</v>
      </c>
      <c r="BQ33" s="332" t="s">
        <v>8506</v>
      </c>
      <c r="BR33" s="332" t="s">
        <v>8731</v>
      </c>
      <c r="BS33" s="314" t="s">
        <v>8732</v>
      </c>
      <c r="BT33" s="355" t="s">
        <v>8731</v>
      </c>
      <c r="BU33" s="356" t="s">
        <v>8506</v>
      </c>
      <c r="BV33" s="356" t="s">
        <v>8506</v>
      </c>
      <c r="BW33" s="356" t="s">
        <v>8506</v>
      </c>
      <c r="BX33" s="356" t="s">
        <v>8506</v>
      </c>
      <c r="BY33" s="356" t="s">
        <v>8506</v>
      </c>
      <c r="BZ33" s="356" t="s">
        <v>8506</v>
      </c>
      <c r="CA33" s="356" t="s">
        <v>8506</v>
      </c>
      <c r="CB33" s="356" t="s">
        <v>8506</v>
      </c>
      <c r="CC33" s="356" t="s">
        <v>8506</v>
      </c>
      <c r="CD33" s="356" t="s">
        <v>8506</v>
      </c>
      <c r="CE33" s="356" t="s">
        <v>8506</v>
      </c>
      <c r="CF33" s="356" t="s">
        <v>8506</v>
      </c>
      <c r="CG33" s="356" t="s">
        <v>8506</v>
      </c>
      <c r="CH33" s="356" t="s">
        <v>8506</v>
      </c>
      <c r="CI33" s="356" t="s">
        <v>8506</v>
      </c>
      <c r="CJ33" s="356" t="s">
        <v>8506</v>
      </c>
      <c r="CK33" s="356" t="s">
        <v>8506</v>
      </c>
      <c r="CL33" s="356" t="s">
        <v>8506</v>
      </c>
      <c r="CM33" s="356" t="s">
        <v>8506</v>
      </c>
      <c r="CN33" s="356" t="s">
        <v>8506</v>
      </c>
      <c r="CO33" s="356" t="s">
        <v>8506</v>
      </c>
      <c r="CP33" s="356" t="s">
        <v>8506</v>
      </c>
      <c r="CQ33" s="356" t="s">
        <v>8506</v>
      </c>
      <c r="CR33" s="356" t="s">
        <v>8506</v>
      </c>
      <c r="CS33" s="356" t="s">
        <v>8506</v>
      </c>
      <c r="CT33" s="356" t="s">
        <v>8506</v>
      </c>
      <c r="CU33" s="356" t="s">
        <v>8506</v>
      </c>
      <c r="CV33" s="356" t="s">
        <v>8506</v>
      </c>
      <c r="CW33" s="356" t="s">
        <v>8506</v>
      </c>
      <c r="CX33" s="356" t="s">
        <v>8506</v>
      </c>
      <c r="CY33" s="356" t="s">
        <v>8506</v>
      </c>
      <c r="CZ33" s="356" t="s">
        <v>8506</v>
      </c>
      <c r="DA33" s="356" t="s">
        <v>8506</v>
      </c>
      <c r="DB33" s="356" t="s">
        <v>8506</v>
      </c>
      <c r="DC33" s="356" t="s">
        <v>8506</v>
      </c>
      <c r="DD33" s="356" t="s">
        <v>8506</v>
      </c>
      <c r="DE33" s="356" t="s">
        <v>8506</v>
      </c>
      <c r="DF33" s="356" t="s">
        <v>8506</v>
      </c>
      <c r="DG33" s="356" t="s">
        <v>8506</v>
      </c>
      <c r="DH33" s="356" t="s">
        <v>8506</v>
      </c>
      <c r="DI33" s="356" t="s">
        <v>8506</v>
      </c>
      <c r="DJ33" s="356" t="s">
        <v>8506</v>
      </c>
      <c r="DK33" s="356" t="s">
        <v>8506</v>
      </c>
      <c r="DL33" s="356" t="s">
        <v>8506</v>
      </c>
      <c r="DM33" s="356" t="s">
        <v>8506</v>
      </c>
      <c r="DN33" s="356" t="s">
        <v>8506</v>
      </c>
      <c r="DO33" s="356" t="s">
        <v>8506</v>
      </c>
      <c r="DP33" s="356" t="s">
        <v>8506</v>
      </c>
      <c r="DQ33" s="356" t="s">
        <v>8506</v>
      </c>
      <c r="DR33" s="356" t="s">
        <v>8506</v>
      </c>
      <c r="DS33" s="356" t="s">
        <v>8506</v>
      </c>
      <c r="DT33" s="356" t="s">
        <v>8506</v>
      </c>
      <c r="DU33" s="356" t="s">
        <v>8506</v>
      </c>
      <c r="DV33" s="356" t="s">
        <v>8506</v>
      </c>
      <c r="DW33" s="356" t="s">
        <v>8506</v>
      </c>
      <c r="DX33" s="356" t="s">
        <v>8506</v>
      </c>
      <c r="DY33" s="356" t="s">
        <v>8506</v>
      </c>
      <c r="DZ33" s="356" t="s">
        <v>8506</v>
      </c>
      <c r="EA33" s="356" t="s">
        <v>8506</v>
      </c>
      <c r="EB33" s="355" t="s">
        <v>8506</v>
      </c>
      <c r="EC33" s="355" t="s">
        <v>8731</v>
      </c>
      <c r="ED33" s="361" t="s">
        <v>8732</v>
      </c>
      <c r="EE33" s="355" t="s">
        <v>8731</v>
      </c>
      <c r="EF33" s="356" t="s">
        <v>8507</v>
      </c>
      <c r="EG33" s="356" t="s">
        <v>8507</v>
      </c>
      <c r="EH33" s="358" t="s">
        <v>8507</v>
      </c>
      <c r="EI33" s="355" t="s">
        <v>8507</v>
      </c>
      <c r="EJ33" s="355" t="s">
        <v>8731</v>
      </c>
    </row>
    <row r="34" spans="1:140" ht="13.5" thickBot="1">
      <c r="A34" s="506"/>
      <c r="B34" s="340" t="s">
        <v>8733</v>
      </c>
      <c r="C34" s="341" t="s">
        <v>8945</v>
      </c>
      <c r="D34" s="341" t="s">
        <v>9060</v>
      </c>
      <c r="E34" s="342" t="s">
        <v>8980</v>
      </c>
      <c r="F34" s="340" t="s">
        <v>9020</v>
      </c>
      <c r="G34" s="340" t="s">
        <v>8733</v>
      </c>
      <c r="H34" s="337" t="s">
        <v>8738</v>
      </c>
      <c r="I34" s="340" t="s">
        <v>8733</v>
      </c>
      <c r="J34" s="341" t="s">
        <v>9061</v>
      </c>
      <c r="K34" s="341" t="s">
        <v>9062</v>
      </c>
      <c r="L34" s="341" t="s">
        <v>9063</v>
      </c>
      <c r="M34" s="341" t="s">
        <v>9064</v>
      </c>
      <c r="N34" s="341" t="s">
        <v>9032</v>
      </c>
      <c r="O34" s="341" t="s">
        <v>9065</v>
      </c>
      <c r="P34" s="341" t="s">
        <v>9060</v>
      </c>
      <c r="Q34" s="341" t="s">
        <v>9066</v>
      </c>
      <c r="R34" s="341" t="s">
        <v>9067</v>
      </c>
      <c r="S34" s="341" t="s">
        <v>9068</v>
      </c>
      <c r="T34" s="341" t="s">
        <v>9069</v>
      </c>
      <c r="U34" s="341" t="s">
        <v>9070</v>
      </c>
      <c r="V34" s="341" t="s">
        <v>8913</v>
      </c>
      <c r="W34" s="341" t="s">
        <v>9071</v>
      </c>
      <c r="X34" s="341" t="s">
        <v>9072</v>
      </c>
      <c r="Y34" s="341" t="s">
        <v>9073</v>
      </c>
      <c r="Z34" s="341" t="s">
        <v>9074</v>
      </c>
      <c r="AA34" s="341" t="s">
        <v>9075</v>
      </c>
      <c r="AB34" s="341" t="s">
        <v>9076</v>
      </c>
      <c r="AC34" s="341" t="s">
        <v>9077</v>
      </c>
      <c r="AD34" s="341" t="s">
        <v>9078</v>
      </c>
      <c r="AE34" s="342" t="s">
        <v>9079</v>
      </c>
      <c r="AF34" s="341" t="s">
        <v>9080</v>
      </c>
      <c r="AG34" s="341" t="s">
        <v>9081</v>
      </c>
      <c r="AH34" s="341" t="s">
        <v>9082</v>
      </c>
      <c r="AI34" s="341" t="s">
        <v>9083</v>
      </c>
      <c r="AJ34" s="341" t="s">
        <v>9084</v>
      </c>
      <c r="AK34" s="341" t="s">
        <v>9424</v>
      </c>
      <c r="AL34" s="341" t="s">
        <v>8911</v>
      </c>
      <c r="AM34" s="341" t="s">
        <v>9425</v>
      </c>
      <c r="AN34" s="341" t="s">
        <v>9426</v>
      </c>
      <c r="AO34" s="341" t="s">
        <v>9427</v>
      </c>
      <c r="AP34" s="341" t="s">
        <v>9428</v>
      </c>
      <c r="AQ34" s="341" t="s">
        <v>9429</v>
      </c>
      <c r="AR34" s="341" t="s">
        <v>9430</v>
      </c>
      <c r="AS34" s="341" t="s">
        <v>9431</v>
      </c>
      <c r="AT34" s="341" t="s">
        <v>9432</v>
      </c>
      <c r="AU34" s="341" t="s">
        <v>9433</v>
      </c>
      <c r="AV34" s="341" t="s">
        <v>9434</v>
      </c>
      <c r="AW34" s="341" t="s">
        <v>9435</v>
      </c>
      <c r="AX34" s="341" t="s">
        <v>9031</v>
      </c>
      <c r="AY34" s="341" t="s">
        <v>9436</v>
      </c>
      <c r="AZ34" s="341" t="s">
        <v>9437</v>
      </c>
      <c r="BA34" s="341" t="s">
        <v>9438</v>
      </c>
      <c r="BB34" s="341" t="s">
        <v>9439</v>
      </c>
      <c r="BC34" s="341" t="s">
        <v>9440</v>
      </c>
      <c r="BD34" s="341" t="s">
        <v>9441</v>
      </c>
      <c r="BE34" s="341" t="s">
        <v>9442</v>
      </c>
      <c r="BF34" s="341" t="s">
        <v>9443</v>
      </c>
      <c r="BG34" s="341" t="s">
        <v>9444</v>
      </c>
      <c r="BH34" s="341" t="s">
        <v>8733</v>
      </c>
      <c r="BI34" s="341" t="s">
        <v>9445</v>
      </c>
      <c r="BJ34" s="341" t="s">
        <v>9446</v>
      </c>
      <c r="BK34" s="341" t="s">
        <v>9447</v>
      </c>
      <c r="BL34" s="341" t="s">
        <v>9448</v>
      </c>
      <c r="BM34" s="341" t="s">
        <v>9449</v>
      </c>
      <c r="BN34" s="341" t="s">
        <v>9450</v>
      </c>
      <c r="BO34" s="341" t="s">
        <v>9451</v>
      </c>
      <c r="BP34" s="341" t="s">
        <v>9452</v>
      </c>
      <c r="BQ34" s="340" t="s">
        <v>9453</v>
      </c>
      <c r="BR34" s="340" t="s">
        <v>8733</v>
      </c>
      <c r="BS34" s="313" t="s">
        <v>8738</v>
      </c>
      <c r="BT34" s="360" t="s">
        <v>8733</v>
      </c>
      <c r="BU34" s="362" t="s">
        <v>9828</v>
      </c>
      <c r="BV34" s="362" t="s">
        <v>9829</v>
      </c>
      <c r="BW34" s="362" t="s">
        <v>9830</v>
      </c>
      <c r="BX34" s="362" t="s">
        <v>9831</v>
      </c>
      <c r="BY34" s="362" t="s">
        <v>9832</v>
      </c>
      <c r="BZ34" s="362" t="s">
        <v>9833</v>
      </c>
      <c r="CA34" s="362" t="s">
        <v>9834</v>
      </c>
      <c r="CB34" s="362" t="s">
        <v>9835</v>
      </c>
      <c r="CC34" s="362" t="s">
        <v>9836</v>
      </c>
      <c r="CD34" s="362" t="s">
        <v>9837</v>
      </c>
      <c r="CE34" s="362" t="s">
        <v>9838</v>
      </c>
      <c r="CF34" s="362" t="s">
        <v>9839</v>
      </c>
      <c r="CG34" s="362" t="s">
        <v>9840</v>
      </c>
      <c r="CH34" s="362" t="s">
        <v>9841</v>
      </c>
      <c r="CI34" s="362" t="s">
        <v>9842</v>
      </c>
      <c r="CJ34" s="362" t="s">
        <v>9843</v>
      </c>
      <c r="CK34" s="362" t="s">
        <v>9844</v>
      </c>
      <c r="CL34" s="362" t="s">
        <v>9845</v>
      </c>
      <c r="CM34" s="362" t="s">
        <v>9846</v>
      </c>
      <c r="CN34" s="362" t="s">
        <v>9847</v>
      </c>
      <c r="CO34" s="362" t="s">
        <v>9848</v>
      </c>
      <c r="CP34" s="362" t="s">
        <v>9849</v>
      </c>
      <c r="CQ34" s="362" t="s">
        <v>9850</v>
      </c>
      <c r="CR34" s="362" t="s">
        <v>9851</v>
      </c>
      <c r="CS34" s="362" t="s">
        <v>9852</v>
      </c>
      <c r="CT34" s="362" t="s">
        <v>9853</v>
      </c>
      <c r="CU34" s="362" t="s">
        <v>9854</v>
      </c>
      <c r="CV34" s="362" t="s">
        <v>9855</v>
      </c>
      <c r="CW34" s="362" t="s">
        <v>9856</v>
      </c>
      <c r="CX34" s="362" t="s">
        <v>9857</v>
      </c>
      <c r="CY34" s="362" t="s">
        <v>9858</v>
      </c>
      <c r="CZ34" s="362" t="s">
        <v>9859</v>
      </c>
      <c r="DA34" s="362" t="s">
        <v>9860</v>
      </c>
      <c r="DB34" s="362" t="s">
        <v>9861</v>
      </c>
      <c r="DC34" s="362" t="s">
        <v>10150</v>
      </c>
      <c r="DD34" s="362" t="s">
        <v>10047</v>
      </c>
      <c r="DE34" s="362" t="s">
        <v>10151</v>
      </c>
      <c r="DF34" s="362" t="s">
        <v>10152</v>
      </c>
      <c r="DG34" s="362" t="s">
        <v>10153</v>
      </c>
      <c r="DH34" s="362" t="s">
        <v>10154</v>
      </c>
      <c r="DI34" s="362" t="s">
        <v>10155</v>
      </c>
      <c r="DJ34" s="362" t="s">
        <v>10156</v>
      </c>
      <c r="DK34" s="362" t="s">
        <v>10157</v>
      </c>
      <c r="DL34" s="362" t="s">
        <v>10158</v>
      </c>
      <c r="DM34" s="362" t="s">
        <v>10159</v>
      </c>
      <c r="DN34" s="362" t="s">
        <v>10160</v>
      </c>
      <c r="DO34" s="362" t="s">
        <v>10161</v>
      </c>
      <c r="DP34" s="362" t="s">
        <v>10162</v>
      </c>
      <c r="DQ34" s="362" t="s">
        <v>10163</v>
      </c>
      <c r="DR34" s="362" t="s">
        <v>10164</v>
      </c>
      <c r="DS34" s="362" t="s">
        <v>10165</v>
      </c>
      <c r="DT34" s="362" t="s">
        <v>10166</v>
      </c>
      <c r="DU34" s="362" t="s">
        <v>10167</v>
      </c>
      <c r="DV34" s="362" t="s">
        <v>10168</v>
      </c>
      <c r="DW34" s="362" t="s">
        <v>10169</v>
      </c>
      <c r="DX34" s="362" t="s">
        <v>10170</v>
      </c>
      <c r="DY34" s="362" t="s">
        <v>10171</v>
      </c>
      <c r="DZ34" s="362" t="s">
        <v>10044</v>
      </c>
      <c r="EA34" s="362" t="s">
        <v>10172</v>
      </c>
      <c r="EB34" s="360" t="s">
        <v>10173</v>
      </c>
      <c r="EC34" s="360" t="s">
        <v>8733</v>
      </c>
      <c r="ED34" s="353" t="s">
        <v>8738</v>
      </c>
      <c r="EE34" s="360" t="s">
        <v>8733</v>
      </c>
      <c r="EF34" s="362" t="s">
        <v>9744</v>
      </c>
      <c r="EG34" s="362" t="s">
        <v>9787</v>
      </c>
      <c r="EH34" s="363" t="s">
        <v>10128</v>
      </c>
      <c r="EI34" s="360" t="s">
        <v>10024</v>
      </c>
      <c r="EJ34" s="360" t="s">
        <v>8733</v>
      </c>
    </row>
    <row r="35" spans="1:140">
      <c r="A35" s="510"/>
      <c r="B35" s="508">
        <v>1</v>
      </c>
      <c r="C35" s="508">
        <v>2</v>
      </c>
      <c r="D35" s="508">
        <v>3</v>
      </c>
      <c r="E35" s="508">
        <v>4</v>
      </c>
      <c r="F35" s="508">
        <v>5</v>
      </c>
      <c r="G35" s="508">
        <v>6</v>
      </c>
      <c r="H35" s="508">
        <v>7</v>
      </c>
      <c r="I35" s="508">
        <v>8</v>
      </c>
      <c r="J35" s="508">
        <v>9</v>
      </c>
      <c r="K35" s="508">
        <v>10</v>
      </c>
      <c r="L35" s="508">
        <v>11</v>
      </c>
      <c r="M35" s="508">
        <v>12</v>
      </c>
      <c r="N35" s="508">
        <v>13</v>
      </c>
      <c r="O35" s="508">
        <v>14</v>
      </c>
      <c r="P35" s="508">
        <v>15</v>
      </c>
      <c r="Q35" s="508">
        <v>16</v>
      </c>
      <c r="R35" s="508">
        <v>17</v>
      </c>
      <c r="S35" s="508">
        <v>18</v>
      </c>
      <c r="T35" s="508">
        <v>19</v>
      </c>
      <c r="U35" s="508">
        <v>20</v>
      </c>
      <c r="V35" s="508">
        <v>21</v>
      </c>
      <c r="W35" s="508">
        <v>22</v>
      </c>
      <c r="X35" s="508">
        <v>23</v>
      </c>
      <c r="Y35" s="508">
        <v>24</v>
      </c>
      <c r="Z35" s="508">
        <v>25</v>
      </c>
      <c r="AA35" s="508">
        <v>26</v>
      </c>
      <c r="AB35" s="508">
        <v>27</v>
      </c>
      <c r="AC35" s="508">
        <v>28</v>
      </c>
      <c r="AD35" s="508">
        <v>29</v>
      </c>
      <c r="AE35" s="508">
        <v>30</v>
      </c>
      <c r="AF35" s="508">
        <v>31</v>
      </c>
      <c r="AG35" s="508">
        <v>32</v>
      </c>
      <c r="AH35" s="508">
        <v>33</v>
      </c>
      <c r="AI35" s="508">
        <v>34</v>
      </c>
      <c r="AJ35" s="508">
        <v>35</v>
      </c>
      <c r="AK35" s="508">
        <v>36</v>
      </c>
      <c r="AL35" s="508">
        <v>37</v>
      </c>
      <c r="AM35" s="508">
        <v>38</v>
      </c>
      <c r="AN35" s="508">
        <v>39</v>
      </c>
      <c r="AO35" s="508">
        <v>40</v>
      </c>
      <c r="AP35" s="508">
        <v>41</v>
      </c>
      <c r="AQ35" s="508">
        <v>42</v>
      </c>
      <c r="AR35" s="508">
        <v>43</v>
      </c>
      <c r="AS35" s="508">
        <v>44</v>
      </c>
      <c r="AT35" s="508">
        <v>45</v>
      </c>
      <c r="AU35" s="508">
        <v>46</v>
      </c>
      <c r="AV35" s="508">
        <v>47</v>
      </c>
      <c r="AW35" s="508">
        <v>48</v>
      </c>
      <c r="AX35" s="508">
        <v>49</v>
      </c>
      <c r="AY35" s="508">
        <v>50</v>
      </c>
      <c r="AZ35" s="508">
        <v>51</v>
      </c>
      <c r="BA35" s="508">
        <v>52</v>
      </c>
      <c r="BB35" s="508">
        <v>53</v>
      </c>
      <c r="BC35" s="508">
        <v>54</v>
      </c>
      <c r="BD35" s="508">
        <v>55</v>
      </c>
      <c r="BE35" s="508">
        <v>56</v>
      </c>
      <c r="BF35" s="508">
        <v>57</v>
      </c>
      <c r="BG35" s="508">
        <v>58</v>
      </c>
      <c r="BH35" s="508">
        <v>59</v>
      </c>
      <c r="BI35" s="508">
        <v>60</v>
      </c>
      <c r="BJ35" s="508">
        <v>61</v>
      </c>
      <c r="BK35" s="508">
        <v>62</v>
      </c>
      <c r="BL35" s="508">
        <v>63</v>
      </c>
      <c r="BM35" s="508">
        <v>64</v>
      </c>
      <c r="BN35" s="508">
        <v>65</v>
      </c>
      <c r="BO35" s="508">
        <v>66</v>
      </c>
      <c r="BP35" s="508">
        <v>67</v>
      </c>
      <c r="BQ35" s="508">
        <v>68</v>
      </c>
      <c r="BR35" s="508">
        <v>69</v>
      </c>
      <c r="BS35" s="508">
        <v>70</v>
      </c>
      <c r="BT35" s="508">
        <v>71</v>
      </c>
      <c r="BU35" s="508">
        <v>72</v>
      </c>
      <c r="BV35" s="508">
        <v>73</v>
      </c>
      <c r="BW35" s="508">
        <v>74</v>
      </c>
      <c r="BX35" s="508">
        <v>75</v>
      </c>
      <c r="BY35" s="508">
        <v>76</v>
      </c>
      <c r="BZ35" s="508">
        <v>77</v>
      </c>
      <c r="CA35" s="508">
        <v>78</v>
      </c>
      <c r="CB35" s="508">
        <v>79</v>
      </c>
      <c r="CC35" s="508">
        <v>80</v>
      </c>
      <c r="CD35" s="508">
        <v>81</v>
      </c>
      <c r="CE35" s="508">
        <v>82</v>
      </c>
      <c r="CF35" s="508">
        <v>83</v>
      </c>
      <c r="CG35" s="508">
        <v>84</v>
      </c>
      <c r="CH35" s="508">
        <v>85</v>
      </c>
      <c r="CI35" s="508">
        <v>86</v>
      </c>
      <c r="CJ35" s="508">
        <v>87</v>
      </c>
      <c r="CK35" s="508">
        <v>88</v>
      </c>
      <c r="CL35" s="508">
        <v>89</v>
      </c>
      <c r="CM35" s="508">
        <v>90</v>
      </c>
      <c r="CN35" s="508">
        <v>91</v>
      </c>
      <c r="CO35" s="508">
        <v>92</v>
      </c>
      <c r="CP35" s="508">
        <v>93</v>
      </c>
      <c r="CQ35" s="508">
        <v>94</v>
      </c>
      <c r="CR35" s="508">
        <v>95</v>
      </c>
      <c r="CS35" s="508">
        <v>96</v>
      </c>
      <c r="CT35" s="508">
        <v>97</v>
      </c>
      <c r="CU35" s="508">
        <v>98</v>
      </c>
      <c r="CV35" s="508">
        <v>99</v>
      </c>
      <c r="CW35" s="508">
        <v>100</v>
      </c>
      <c r="CX35" s="508">
        <v>101</v>
      </c>
      <c r="CY35" s="508">
        <v>102</v>
      </c>
      <c r="CZ35" s="508">
        <v>103</v>
      </c>
      <c r="DA35" s="508">
        <v>104</v>
      </c>
      <c r="DB35" s="508">
        <v>105</v>
      </c>
      <c r="DC35" s="508">
        <v>106</v>
      </c>
      <c r="DD35" s="508">
        <v>107</v>
      </c>
      <c r="DE35" s="508">
        <v>108</v>
      </c>
      <c r="DF35" s="508">
        <v>109</v>
      </c>
      <c r="DG35" s="508">
        <v>110</v>
      </c>
      <c r="DH35" s="508">
        <v>111</v>
      </c>
      <c r="DI35" s="508">
        <v>112</v>
      </c>
      <c r="DJ35" s="508">
        <v>113</v>
      </c>
      <c r="DK35" s="508">
        <v>114</v>
      </c>
      <c r="DL35" s="508">
        <v>115</v>
      </c>
      <c r="DM35" s="508">
        <v>116</v>
      </c>
      <c r="DN35" s="508">
        <v>117</v>
      </c>
      <c r="DO35" s="508">
        <v>118</v>
      </c>
      <c r="DP35" s="508">
        <v>119</v>
      </c>
      <c r="DQ35" s="508">
        <v>120</v>
      </c>
      <c r="DR35" s="508">
        <v>121</v>
      </c>
      <c r="DS35" s="508">
        <v>122</v>
      </c>
      <c r="DT35" s="508">
        <v>123</v>
      </c>
      <c r="DU35" s="508">
        <v>124</v>
      </c>
      <c r="DV35" s="508">
        <v>125</v>
      </c>
      <c r="DW35" s="508">
        <v>126</v>
      </c>
      <c r="DX35" s="508">
        <v>127</v>
      </c>
      <c r="DY35" s="508">
        <v>128</v>
      </c>
      <c r="DZ35" s="508">
        <v>129</v>
      </c>
      <c r="EA35" s="508">
        <v>130</v>
      </c>
      <c r="EB35" s="508">
        <v>131</v>
      </c>
      <c r="EC35" s="508">
        <v>132</v>
      </c>
      <c r="ED35" s="508">
        <v>133</v>
      </c>
      <c r="EE35" s="508">
        <v>134</v>
      </c>
      <c r="EF35" s="508">
        <v>135</v>
      </c>
      <c r="EG35" s="508">
        <v>136</v>
      </c>
      <c r="EH35" s="508">
        <v>137</v>
      </c>
      <c r="EI35" s="508">
        <v>138</v>
      </c>
      <c r="EJ35" s="508">
        <v>139</v>
      </c>
    </row>
    <row r="36" spans="1:140">
      <c r="A36" s="511"/>
      <c r="B36" s="509"/>
      <c r="C36" s="509"/>
      <c r="D36" s="509"/>
      <c r="E36" s="509"/>
      <c r="F36" s="509"/>
      <c r="G36" s="509"/>
      <c r="H36" s="509"/>
      <c r="I36" s="509"/>
      <c r="J36" s="509"/>
      <c r="K36" s="509"/>
      <c r="L36" s="509"/>
      <c r="M36" s="509"/>
      <c r="N36" s="509"/>
      <c r="O36" s="509"/>
      <c r="P36" s="509"/>
      <c r="Q36" s="509"/>
      <c r="R36" s="509"/>
      <c r="S36" s="509"/>
      <c r="T36" s="509"/>
      <c r="U36" s="509"/>
      <c r="V36" s="509"/>
      <c r="W36" s="509"/>
      <c r="X36" s="509"/>
      <c r="Y36" s="509"/>
      <c r="Z36" s="509"/>
      <c r="AA36" s="509"/>
      <c r="AB36" s="509"/>
      <c r="AC36" s="509"/>
      <c r="AD36" s="509"/>
      <c r="AE36" s="509"/>
      <c r="AF36" s="509"/>
      <c r="AG36" s="509"/>
      <c r="AH36" s="509"/>
      <c r="AI36" s="509"/>
      <c r="AJ36" s="509"/>
      <c r="AK36" s="509"/>
      <c r="AL36" s="509"/>
      <c r="AM36" s="509"/>
      <c r="AN36" s="509"/>
      <c r="AO36" s="509"/>
      <c r="AP36" s="509"/>
      <c r="AQ36" s="509"/>
      <c r="AR36" s="509"/>
      <c r="AS36" s="509"/>
      <c r="AT36" s="509"/>
      <c r="AU36" s="509"/>
      <c r="AV36" s="509"/>
      <c r="AW36" s="509"/>
      <c r="AX36" s="509"/>
      <c r="AY36" s="509"/>
      <c r="AZ36" s="509"/>
      <c r="BA36" s="509"/>
      <c r="BB36" s="509"/>
      <c r="BC36" s="509"/>
      <c r="BD36" s="509"/>
      <c r="BE36" s="509"/>
      <c r="BF36" s="509"/>
      <c r="BG36" s="509"/>
      <c r="BH36" s="509"/>
      <c r="BI36" s="509"/>
      <c r="BJ36" s="509"/>
      <c r="BK36" s="509"/>
      <c r="BL36" s="509"/>
      <c r="BM36" s="509"/>
      <c r="BN36" s="509"/>
      <c r="BO36" s="509"/>
      <c r="BP36" s="509"/>
      <c r="BQ36" s="509"/>
      <c r="BR36" s="509"/>
      <c r="BS36" s="509"/>
      <c r="BT36" s="509"/>
      <c r="BU36" s="509"/>
      <c r="BV36" s="509"/>
      <c r="BW36" s="509"/>
      <c r="BX36" s="509"/>
      <c r="BY36" s="509"/>
      <c r="BZ36" s="509"/>
      <c r="CA36" s="509"/>
      <c r="CB36" s="509"/>
      <c r="CC36" s="509"/>
      <c r="CD36" s="509"/>
      <c r="CE36" s="509"/>
      <c r="CF36" s="509"/>
      <c r="CG36" s="509"/>
      <c r="CH36" s="509"/>
      <c r="CI36" s="509"/>
      <c r="CJ36" s="509"/>
      <c r="CK36" s="509"/>
      <c r="CL36" s="509"/>
      <c r="CM36" s="509"/>
      <c r="CN36" s="509"/>
      <c r="CO36" s="509"/>
      <c r="CP36" s="509"/>
      <c r="CQ36" s="509"/>
      <c r="CR36" s="509"/>
      <c r="CS36" s="509"/>
      <c r="CT36" s="509"/>
      <c r="CU36" s="509"/>
      <c r="CV36" s="509"/>
      <c r="CW36" s="509"/>
      <c r="CX36" s="509"/>
      <c r="CY36" s="509"/>
      <c r="CZ36" s="509"/>
      <c r="DA36" s="509"/>
      <c r="DB36" s="509"/>
      <c r="DC36" s="509"/>
      <c r="DD36" s="509"/>
      <c r="DE36" s="509"/>
      <c r="DF36" s="509"/>
      <c r="DG36" s="509"/>
      <c r="DH36" s="509"/>
      <c r="DI36" s="509"/>
      <c r="DJ36" s="509"/>
      <c r="DK36" s="509"/>
      <c r="DL36" s="509"/>
      <c r="DM36" s="509"/>
      <c r="DN36" s="509"/>
      <c r="DO36" s="509"/>
      <c r="DP36" s="509"/>
      <c r="DQ36" s="509"/>
      <c r="DR36" s="509"/>
      <c r="DS36" s="509"/>
      <c r="DT36" s="509"/>
      <c r="DU36" s="509"/>
      <c r="DV36" s="509"/>
      <c r="DW36" s="509"/>
      <c r="DX36" s="509"/>
      <c r="DY36" s="509"/>
      <c r="DZ36" s="509"/>
      <c r="EA36" s="509"/>
      <c r="EB36" s="509"/>
      <c r="EC36" s="509"/>
      <c r="ED36" s="509"/>
      <c r="EE36" s="509"/>
      <c r="EF36" s="509"/>
      <c r="EG36" s="509"/>
      <c r="EH36" s="509"/>
      <c r="EI36" s="509"/>
      <c r="EJ36" s="509"/>
    </row>
    <row r="37" spans="1:140" ht="12.75">
      <c r="A37" s="315"/>
      <c r="B37" s="315"/>
      <c r="C37" s="315"/>
      <c r="D37" s="315"/>
      <c r="E37" s="315"/>
      <c r="F37" s="315"/>
      <c r="G37" s="315"/>
      <c r="H37" s="315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Y37" s="315"/>
      <c r="Z37" s="315"/>
      <c r="AA37" s="315"/>
      <c r="AB37" s="315"/>
      <c r="AC37" s="315"/>
      <c r="AD37" s="315"/>
      <c r="AE37" s="315"/>
      <c r="AF37" s="315"/>
      <c r="AG37" s="315"/>
      <c r="AH37" s="315"/>
      <c r="AI37" s="315"/>
      <c r="AJ37" s="315"/>
    </row>
    <row r="38" spans="1:140" ht="12.75">
      <c r="A38" s="315"/>
      <c r="B38" s="315"/>
      <c r="C38" s="315"/>
      <c r="D38" s="315"/>
      <c r="E38" s="315"/>
      <c r="F38" s="315"/>
      <c r="G38" s="315"/>
      <c r="H38" s="315"/>
      <c r="I38" s="315"/>
      <c r="J38" s="315"/>
      <c r="K38" s="315"/>
      <c r="L38" s="315"/>
      <c r="M38" s="315"/>
      <c r="N38" s="315"/>
      <c r="O38" s="315"/>
      <c r="P38" s="315"/>
      <c r="Q38" s="315"/>
      <c r="R38" s="315"/>
      <c r="S38" s="315"/>
      <c r="T38" s="315"/>
      <c r="U38" s="315"/>
      <c r="V38" s="315"/>
      <c r="W38" s="315"/>
      <c r="X38" s="315"/>
      <c r="Y38" s="315"/>
      <c r="Z38" s="315"/>
      <c r="AA38" s="315"/>
      <c r="AB38" s="315"/>
      <c r="AC38" s="315"/>
      <c r="AD38" s="315"/>
      <c r="AE38" s="315"/>
      <c r="AF38" s="315"/>
      <c r="AG38" s="315"/>
      <c r="AH38" s="315"/>
      <c r="AI38" s="315"/>
    </row>
    <row r="39" spans="1:140" ht="13.5" thickBot="1">
      <c r="A39" s="316"/>
      <c r="B39" s="316"/>
      <c r="C39" s="316"/>
      <c r="D39" s="316"/>
      <c r="E39" s="316"/>
      <c r="F39" s="316"/>
      <c r="G39" s="316"/>
      <c r="H39" s="316"/>
      <c r="I39" s="316"/>
      <c r="J39" s="316"/>
      <c r="K39" s="316"/>
      <c r="L39" s="316"/>
      <c r="M39" s="316"/>
      <c r="N39" s="316"/>
      <c r="O39" s="316"/>
      <c r="P39" s="316"/>
      <c r="Q39" s="316"/>
      <c r="R39" s="316"/>
      <c r="S39" s="316"/>
      <c r="T39" s="316"/>
      <c r="U39" s="316"/>
      <c r="V39" s="316"/>
      <c r="W39" s="316"/>
      <c r="X39" s="316"/>
      <c r="Y39" s="316"/>
      <c r="Z39" s="316"/>
      <c r="AA39" s="316"/>
      <c r="AB39" s="316"/>
      <c r="AC39" s="316"/>
      <c r="AD39" s="316"/>
      <c r="AE39" s="316"/>
      <c r="AF39" s="316"/>
      <c r="AG39" s="316"/>
      <c r="AH39" s="316"/>
      <c r="AI39" s="316"/>
    </row>
    <row r="40" spans="1:140" ht="12" customHeight="1">
      <c r="A40" s="514">
        <v>12</v>
      </c>
      <c r="B40" s="364" t="s">
        <v>10200</v>
      </c>
      <c r="C40" s="365" t="s">
        <v>8491</v>
      </c>
      <c r="D40" s="365" t="s">
        <v>8496</v>
      </c>
      <c r="E40" s="365" t="s">
        <v>8498</v>
      </c>
      <c r="F40" s="364" t="s">
        <v>8490</v>
      </c>
      <c r="G40" s="364" t="s">
        <v>10200</v>
      </c>
      <c r="H40" s="364"/>
      <c r="I40" s="364" t="s">
        <v>10200</v>
      </c>
      <c r="J40" s="365" t="s">
        <v>8265</v>
      </c>
      <c r="K40" s="365" t="s">
        <v>8406</v>
      </c>
      <c r="L40" s="365" t="s">
        <v>8264</v>
      </c>
      <c r="M40" s="365" t="s">
        <v>8320</v>
      </c>
      <c r="N40" s="365" t="s">
        <v>8321</v>
      </c>
      <c r="O40" s="365" t="s">
        <v>8212</v>
      </c>
      <c r="P40" s="365" t="s">
        <v>8453</v>
      </c>
      <c r="Q40" s="365" t="s">
        <v>8217</v>
      </c>
      <c r="R40" s="365" t="s">
        <v>8323</v>
      </c>
      <c r="S40" s="365" t="s">
        <v>8390</v>
      </c>
      <c r="T40" s="365" t="s">
        <v>7603</v>
      </c>
      <c r="U40" s="365" t="s">
        <v>8336</v>
      </c>
      <c r="V40" s="365" t="s">
        <v>8259</v>
      </c>
      <c r="W40" s="365" t="s">
        <v>8471</v>
      </c>
      <c r="X40" s="365" t="s">
        <v>8240</v>
      </c>
      <c r="Y40" s="365" t="s">
        <v>8378</v>
      </c>
      <c r="Z40" s="365" t="s">
        <v>8486</v>
      </c>
      <c r="AA40" s="365" t="s">
        <v>8357</v>
      </c>
      <c r="AB40" s="366" t="s">
        <v>8489</v>
      </c>
      <c r="AC40" s="365" t="s">
        <v>8415</v>
      </c>
      <c r="AD40" s="365" t="s">
        <v>8447</v>
      </c>
      <c r="AE40" s="365" t="s">
        <v>8192</v>
      </c>
      <c r="AF40" s="365" t="s">
        <v>8381</v>
      </c>
      <c r="AG40" s="365" t="s">
        <v>8402</v>
      </c>
      <c r="AH40" s="365" t="s">
        <v>8367</v>
      </c>
      <c r="AI40" s="365" t="s">
        <v>8364</v>
      </c>
      <c r="AJ40" s="365" t="s">
        <v>8401</v>
      </c>
      <c r="AK40" s="365" t="s">
        <v>8263</v>
      </c>
      <c r="AL40" s="365" t="s">
        <v>8297</v>
      </c>
      <c r="AM40" s="365" t="s">
        <v>8384</v>
      </c>
      <c r="AN40" s="365" t="s">
        <v>8380</v>
      </c>
      <c r="AO40" s="365" t="s">
        <v>8250</v>
      </c>
      <c r="AP40" s="365" t="s">
        <v>8220</v>
      </c>
      <c r="AQ40" s="365" t="s">
        <v>7575</v>
      </c>
      <c r="AR40" s="365" t="s">
        <v>7577</v>
      </c>
      <c r="AS40" s="365" t="s">
        <v>7596</v>
      </c>
      <c r="AT40" s="365" t="s">
        <v>8485</v>
      </c>
      <c r="AU40" s="365" t="s">
        <v>8418</v>
      </c>
      <c r="AV40" s="366" t="s">
        <v>8299</v>
      </c>
      <c r="AW40" s="365" t="s">
        <v>8189</v>
      </c>
      <c r="AX40" s="365" t="s">
        <v>8435</v>
      </c>
      <c r="AY40" s="365" t="s">
        <v>8348</v>
      </c>
      <c r="AZ40" s="365" t="s">
        <v>7590</v>
      </c>
      <c r="BA40" s="365" t="s">
        <v>8252</v>
      </c>
      <c r="BB40" s="365" t="s">
        <v>8282</v>
      </c>
      <c r="BC40" s="365" t="s">
        <v>8343</v>
      </c>
      <c r="BD40" s="365" t="s">
        <v>8425</v>
      </c>
      <c r="BE40" s="365" t="s">
        <v>8483</v>
      </c>
      <c r="BF40" s="365" t="s">
        <v>8480</v>
      </c>
      <c r="BG40" s="365" t="s">
        <v>8238</v>
      </c>
      <c r="BH40" s="365" t="s">
        <v>8436</v>
      </c>
      <c r="BI40" s="365" t="s">
        <v>8411</v>
      </c>
      <c r="BJ40" s="365" t="s">
        <v>8443</v>
      </c>
      <c r="BK40" s="365" t="s">
        <v>8366</v>
      </c>
      <c r="BL40" s="365" t="s">
        <v>8444</v>
      </c>
      <c r="BM40" s="365" t="s">
        <v>8408</v>
      </c>
      <c r="BN40" s="365" t="s">
        <v>8319</v>
      </c>
      <c r="BO40" s="365" t="s">
        <v>8215</v>
      </c>
      <c r="BP40" s="365" t="s">
        <v>8416</v>
      </c>
      <c r="BQ40" s="364" t="s">
        <v>7595</v>
      </c>
      <c r="BR40" s="364" t="s">
        <v>10200</v>
      </c>
      <c r="BS40" s="328"/>
      <c r="BT40" s="378" t="s">
        <v>10200</v>
      </c>
      <c r="BU40" s="379" t="s">
        <v>7582</v>
      </c>
      <c r="BV40" s="379" t="s">
        <v>8441</v>
      </c>
      <c r="BW40" s="379" t="s">
        <v>7579</v>
      </c>
      <c r="BX40" s="379" t="s">
        <v>8457</v>
      </c>
      <c r="BY40" s="379" t="s">
        <v>8355</v>
      </c>
      <c r="BZ40" s="379" t="s">
        <v>8293</v>
      </c>
      <c r="CA40" s="379" t="s">
        <v>8334</v>
      </c>
      <c r="CB40" s="379" t="s">
        <v>8305</v>
      </c>
      <c r="CC40" s="379" t="s">
        <v>7589</v>
      </c>
      <c r="CD40" s="379" t="s">
        <v>7540</v>
      </c>
      <c r="CE40" s="379" t="s">
        <v>8284</v>
      </c>
      <c r="CF40" s="379" t="s">
        <v>8262</v>
      </c>
      <c r="CG40" s="379" t="s">
        <v>8243</v>
      </c>
      <c r="CH40" s="379" t="s">
        <v>95</v>
      </c>
      <c r="CI40" s="379" t="s">
        <v>8448</v>
      </c>
      <c r="CJ40" s="379" t="s">
        <v>8297</v>
      </c>
      <c r="CK40" s="379" t="s">
        <v>8356</v>
      </c>
      <c r="CL40" s="379" t="s">
        <v>8246</v>
      </c>
      <c r="CM40" s="379" t="s">
        <v>8377</v>
      </c>
      <c r="CN40" s="379" t="s">
        <v>8361</v>
      </c>
      <c r="CO40" s="379" t="s">
        <v>8365</v>
      </c>
      <c r="CP40" s="380" t="s">
        <v>8489</v>
      </c>
      <c r="CQ40" s="379" t="s">
        <v>8267</v>
      </c>
      <c r="CR40" s="379" t="s">
        <v>8420</v>
      </c>
      <c r="CS40" s="379" t="s">
        <v>8281</v>
      </c>
      <c r="CT40" s="379" t="s">
        <v>7603</v>
      </c>
      <c r="CU40" s="379" t="s">
        <v>8256</v>
      </c>
      <c r="CV40" s="379" t="s">
        <v>8472</v>
      </c>
      <c r="CW40" s="379" t="s">
        <v>8279</v>
      </c>
      <c r="CX40" s="379" t="s">
        <v>7599</v>
      </c>
      <c r="CY40" s="379" t="s">
        <v>8435</v>
      </c>
      <c r="CZ40" s="379" t="s">
        <v>8369</v>
      </c>
      <c r="DA40" s="379" t="s">
        <v>8184</v>
      </c>
      <c r="DB40" s="379" t="s">
        <v>8362</v>
      </c>
      <c r="DC40" s="379" t="s">
        <v>7584</v>
      </c>
      <c r="DD40" s="379" t="s">
        <v>8348</v>
      </c>
      <c r="DE40" s="379" t="s">
        <v>7551</v>
      </c>
      <c r="DF40" s="379" t="s">
        <v>8240</v>
      </c>
      <c r="DG40" s="379" t="s">
        <v>8215</v>
      </c>
      <c r="DH40" s="379" t="s">
        <v>8412</v>
      </c>
      <c r="DI40" s="379" t="s">
        <v>8398</v>
      </c>
      <c r="DJ40" s="379" t="s">
        <v>8218</v>
      </c>
      <c r="DK40" s="379" t="s">
        <v>8269</v>
      </c>
      <c r="DL40" s="379" t="s">
        <v>8483</v>
      </c>
      <c r="DM40" s="379" t="s">
        <v>8247</v>
      </c>
      <c r="DN40" s="379" t="s">
        <v>8237</v>
      </c>
      <c r="DO40" s="379" t="s">
        <v>8330</v>
      </c>
      <c r="DP40" s="380" t="s">
        <v>8086</v>
      </c>
      <c r="DQ40" s="379" t="s">
        <v>8324</v>
      </c>
      <c r="DR40" s="379" t="s">
        <v>8357</v>
      </c>
      <c r="DS40" s="379" t="s">
        <v>8303</v>
      </c>
      <c r="DT40" s="379" t="s">
        <v>8210</v>
      </c>
      <c r="DU40" s="379" t="s">
        <v>8227</v>
      </c>
      <c r="DV40" s="379" t="s">
        <v>7573</v>
      </c>
      <c r="DW40" s="379" t="s">
        <v>8209</v>
      </c>
      <c r="DX40" s="379" t="s">
        <v>8321</v>
      </c>
      <c r="DY40" s="379" t="s">
        <v>8318</v>
      </c>
      <c r="DZ40" s="379" t="s">
        <v>8463</v>
      </c>
      <c r="EA40" s="379" t="s">
        <v>8438</v>
      </c>
      <c r="EB40" s="378" t="s">
        <v>8416</v>
      </c>
      <c r="EC40" s="378" t="s">
        <v>10200</v>
      </c>
      <c r="ED40" s="378"/>
      <c r="EE40" s="378" t="s">
        <v>10200</v>
      </c>
      <c r="EF40" s="379" t="s">
        <v>7856</v>
      </c>
      <c r="EG40" s="379" t="s">
        <v>8493</v>
      </c>
      <c r="EH40" s="379" t="s">
        <v>8491</v>
      </c>
      <c r="EI40" s="378" t="s">
        <v>8498</v>
      </c>
      <c r="EJ40" s="378" t="s">
        <v>10200</v>
      </c>
    </row>
    <row r="41" spans="1:140" ht="12" customHeight="1">
      <c r="A41" s="513"/>
      <c r="B41" s="367" t="s">
        <v>10201</v>
      </c>
      <c r="C41" s="368" t="s">
        <v>7609</v>
      </c>
      <c r="D41" s="368" t="s">
        <v>7633</v>
      </c>
      <c r="E41" s="368" t="s">
        <v>7646</v>
      </c>
      <c r="F41" s="367" t="s">
        <v>7607</v>
      </c>
      <c r="G41" s="367" t="s">
        <v>10201</v>
      </c>
      <c r="H41" s="367"/>
      <c r="I41" s="367" t="s">
        <v>10201</v>
      </c>
      <c r="J41" s="368" t="s">
        <v>7703</v>
      </c>
      <c r="K41" s="368" t="s">
        <v>8601</v>
      </c>
      <c r="L41" s="368" t="s">
        <v>7702</v>
      </c>
      <c r="M41" s="368" t="s">
        <v>8515</v>
      </c>
      <c r="N41" s="368" t="s">
        <v>8516</v>
      </c>
      <c r="O41" s="368" t="s">
        <v>7641</v>
      </c>
      <c r="P41" s="368" t="s">
        <v>8648</v>
      </c>
      <c r="Q41" s="368" t="s">
        <v>7648</v>
      </c>
      <c r="R41" s="368" t="s">
        <v>8518</v>
      </c>
      <c r="S41" s="368" t="s">
        <v>8585</v>
      </c>
      <c r="T41" s="368" t="s">
        <v>7806</v>
      </c>
      <c r="U41" s="368" t="s">
        <v>8531</v>
      </c>
      <c r="V41" s="368" t="s">
        <v>7697</v>
      </c>
      <c r="W41" s="368" t="s">
        <v>8666</v>
      </c>
      <c r="X41" s="368" t="s">
        <v>7677</v>
      </c>
      <c r="Y41" s="368" t="s">
        <v>8573</v>
      </c>
      <c r="Z41" s="368" t="s">
        <v>8681</v>
      </c>
      <c r="AA41" s="368" t="s">
        <v>8552</v>
      </c>
      <c r="AB41" s="369" t="s">
        <v>8684</v>
      </c>
      <c r="AC41" s="368" t="s">
        <v>8610</v>
      </c>
      <c r="AD41" s="368" t="s">
        <v>8642</v>
      </c>
      <c r="AE41" s="368" t="s">
        <v>7618</v>
      </c>
      <c r="AF41" s="368" t="s">
        <v>8576</v>
      </c>
      <c r="AG41" s="368" t="s">
        <v>8597</v>
      </c>
      <c r="AH41" s="368" t="s">
        <v>8562</v>
      </c>
      <c r="AI41" s="368" t="s">
        <v>8559</v>
      </c>
      <c r="AJ41" s="368" t="s">
        <v>8596</v>
      </c>
      <c r="AK41" s="368" t="s">
        <v>7701</v>
      </c>
      <c r="AL41" s="368" t="s">
        <v>7751</v>
      </c>
      <c r="AM41" s="368" t="s">
        <v>8579</v>
      </c>
      <c r="AN41" s="368" t="s">
        <v>8575</v>
      </c>
      <c r="AO41" s="368" t="s">
        <v>7688</v>
      </c>
      <c r="AP41" s="368" t="s">
        <v>7653</v>
      </c>
      <c r="AQ41" s="368" t="s">
        <v>7774</v>
      </c>
      <c r="AR41" s="368" t="s">
        <v>7776</v>
      </c>
      <c r="AS41" s="368" t="s">
        <v>7795</v>
      </c>
      <c r="AT41" s="368" t="s">
        <v>8680</v>
      </c>
      <c r="AU41" s="368" t="s">
        <v>8613</v>
      </c>
      <c r="AV41" s="369" t="s">
        <v>8509</v>
      </c>
      <c r="AW41" s="368" t="s">
        <v>7615</v>
      </c>
      <c r="AX41" s="368" t="s">
        <v>8630</v>
      </c>
      <c r="AY41" s="368" t="s">
        <v>8543</v>
      </c>
      <c r="AZ41" s="368" t="s">
        <v>7789</v>
      </c>
      <c r="BA41" s="368" t="s">
        <v>7690</v>
      </c>
      <c r="BB41" s="368" t="s">
        <v>7721</v>
      </c>
      <c r="BC41" s="368" t="s">
        <v>8538</v>
      </c>
      <c r="BD41" s="368" t="s">
        <v>8620</v>
      </c>
      <c r="BE41" s="368" t="s">
        <v>8678</v>
      </c>
      <c r="BF41" s="368" t="s">
        <v>8675</v>
      </c>
      <c r="BG41" s="368" t="s">
        <v>7675</v>
      </c>
      <c r="BH41" s="368" t="s">
        <v>8631</v>
      </c>
      <c r="BI41" s="368" t="s">
        <v>8606</v>
      </c>
      <c r="BJ41" s="368" t="s">
        <v>8638</v>
      </c>
      <c r="BK41" s="368" t="s">
        <v>8561</v>
      </c>
      <c r="BL41" s="368" t="s">
        <v>8639</v>
      </c>
      <c r="BM41" s="368" t="s">
        <v>8603</v>
      </c>
      <c r="BN41" s="368" t="s">
        <v>8514</v>
      </c>
      <c r="BO41" s="368" t="s">
        <v>7644</v>
      </c>
      <c r="BP41" s="368" t="s">
        <v>8611</v>
      </c>
      <c r="BQ41" s="367" t="s">
        <v>7794</v>
      </c>
      <c r="BR41" s="367" t="s">
        <v>10201</v>
      </c>
      <c r="BS41" s="329"/>
      <c r="BT41" s="381" t="s">
        <v>10201</v>
      </c>
      <c r="BU41" s="382" t="s">
        <v>7781</v>
      </c>
      <c r="BV41" s="382" t="s">
        <v>8636</v>
      </c>
      <c r="BW41" s="382" t="s">
        <v>7778</v>
      </c>
      <c r="BX41" s="382" t="s">
        <v>8652</v>
      </c>
      <c r="BY41" s="382" t="s">
        <v>8550</v>
      </c>
      <c r="BZ41" s="382" t="s">
        <v>7738</v>
      </c>
      <c r="CA41" s="382" t="s">
        <v>8529</v>
      </c>
      <c r="CB41" s="382" t="s">
        <v>7762</v>
      </c>
      <c r="CC41" s="382" t="s">
        <v>7788</v>
      </c>
      <c r="CD41" s="382" t="s">
        <v>7713</v>
      </c>
      <c r="CE41" s="382" t="s">
        <v>7723</v>
      </c>
      <c r="CF41" s="382" t="s">
        <v>7700</v>
      </c>
      <c r="CG41" s="382" t="s">
        <v>7681</v>
      </c>
      <c r="CH41" s="382" t="s">
        <v>7678</v>
      </c>
      <c r="CI41" s="382" t="s">
        <v>8643</v>
      </c>
      <c r="CJ41" s="382" t="s">
        <v>7751</v>
      </c>
      <c r="CK41" s="382" t="s">
        <v>8551</v>
      </c>
      <c r="CL41" s="382" t="s">
        <v>7684</v>
      </c>
      <c r="CM41" s="382" t="s">
        <v>8572</v>
      </c>
      <c r="CN41" s="382" t="s">
        <v>8556</v>
      </c>
      <c r="CO41" s="382" t="s">
        <v>8560</v>
      </c>
      <c r="CP41" s="383" t="s">
        <v>8684</v>
      </c>
      <c r="CQ41" s="382" t="s">
        <v>7705</v>
      </c>
      <c r="CR41" s="382" t="s">
        <v>8615</v>
      </c>
      <c r="CS41" s="382" t="s">
        <v>7720</v>
      </c>
      <c r="CT41" s="382" t="s">
        <v>7806</v>
      </c>
      <c r="CU41" s="382" t="s">
        <v>7694</v>
      </c>
      <c r="CV41" s="382" t="s">
        <v>8667</v>
      </c>
      <c r="CW41" s="382" t="s">
        <v>7718</v>
      </c>
      <c r="CX41" s="382" t="s">
        <v>7798</v>
      </c>
      <c r="CY41" s="382" t="s">
        <v>8630</v>
      </c>
      <c r="CZ41" s="382" t="s">
        <v>8564</v>
      </c>
      <c r="DA41" s="382" t="s">
        <v>7606</v>
      </c>
      <c r="DB41" s="382" t="s">
        <v>8557</v>
      </c>
      <c r="DC41" s="382" t="s">
        <v>7783</v>
      </c>
      <c r="DD41" s="382" t="s">
        <v>8543</v>
      </c>
      <c r="DE41" s="382" t="s">
        <v>7725</v>
      </c>
      <c r="DF41" s="382" t="s">
        <v>7677</v>
      </c>
      <c r="DG41" s="382" t="s">
        <v>7644</v>
      </c>
      <c r="DH41" s="382" t="s">
        <v>8607</v>
      </c>
      <c r="DI41" s="382" t="s">
        <v>8593</v>
      </c>
      <c r="DJ41" s="382" t="s">
        <v>7650</v>
      </c>
      <c r="DK41" s="382" t="s">
        <v>7707</v>
      </c>
      <c r="DL41" s="382" t="s">
        <v>8678</v>
      </c>
      <c r="DM41" s="382" t="s">
        <v>7685</v>
      </c>
      <c r="DN41" s="382" t="s">
        <v>7674</v>
      </c>
      <c r="DO41" s="382" t="s">
        <v>8525</v>
      </c>
      <c r="DP41" s="383" t="s">
        <v>8510</v>
      </c>
      <c r="DQ41" s="382" t="s">
        <v>8519</v>
      </c>
      <c r="DR41" s="382" t="s">
        <v>8552</v>
      </c>
      <c r="DS41" s="382" t="s">
        <v>7760</v>
      </c>
      <c r="DT41" s="382" t="s">
        <v>7639</v>
      </c>
      <c r="DU41" s="382" t="s">
        <v>7662</v>
      </c>
      <c r="DV41" s="382" t="s">
        <v>7772</v>
      </c>
      <c r="DW41" s="382" t="s">
        <v>7638</v>
      </c>
      <c r="DX41" s="382" t="s">
        <v>8516</v>
      </c>
      <c r="DY41" s="382" t="s">
        <v>8513</v>
      </c>
      <c r="DZ41" s="382" t="s">
        <v>8658</v>
      </c>
      <c r="EA41" s="382" t="s">
        <v>8633</v>
      </c>
      <c r="EB41" s="381" t="s">
        <v>8611</v>
      </c>
      <c r="EC41" s="381" t="s">
        <v>10201</v>
      </c>
      <c r="ED41" s="381"/>
      <c r="EE41" s="381" t="s">
        <v>10201</v>
      </c>
      <c r="EF41" s="382" t="s">
        <v>7743</v>
      </c>
      <c r="EG41" s="382" t="s">
        <v>7614</v>
      </c>
      <c r="EH41" s="382" t="s">
        <v>7609</v>
      </c>
      <c r="EI41" s="381" t="s">
        <v>7646</v>
      </c>
      <c r="EJ41" s="381" t="s">
        <v>10201</v>
      </c>
    </row>
    <row r="42" spans="1:140" ht="12" customHeight="1">
      <c r="A42" s="513"/>
      <c r="B42" s="367" t="s">
        <v>8731</v>
      </c>
      <c r="C42" s="368" t="s">
        <v>8507</v>
      </c>
      <c r="D42" s="368" t="s">
        <v>8507</v>
      </c>
      <c r="E42" s="368" t="s">
        <v>8507</v>
      </c>
      <c r="F42" s="367" t="s">
        <v>8507</v>
      </c>
      <c r="G42" s="367" t="s">
        <v>8731</v>
      </c>
      <c r="H42" s="367"/>
      <c r="I42" s="367" t="s">
        <v>8731</v>
      </c>
      <c r="J42" s="368" t="s">
        <v>8506</v>
      </c>
      <c r="K42" s="368" t="s">
        <v>8506</v>
      </c>
      <c r="L42" s="368" t="s">
        <v>8506</v>
      </c>
      <c r="M42" s="368" t="s">
        <v>8506</v>
      </c>
      <c r="N42" s="368" t="s">
        <v>8506</v>
      </c>
      <c r="O42" s="368" t="s">
        <v>8506</v>
      </c>
      <c r="P42" s="368" t="s">
        <v>8506</v>
      </c>
      <c r="Q42" s="368" t="s">
        <v>8506</v>
      </c>
      <c r="R42" s="368" t="s">
        <v>8506</v>
      </c>
      <c r="S42" s="368" t="s">
        <v>8506</v>
      </c>
      <c r="T42" s="368" t="s">
        <v>8506</v>
      </c>
      <c r="U42" s="368" t="s">
        <v>8506</v>
      </c>
      <c r="V42" s="368" t="s">
        <v>8506</v>
      </c>
      <c r="W42" s="368" t="s">
        <v>8506</v>
      </c>
      <c r="X42" s="368" t="s">
        <v>8506</v>
      </c>
      <c r="Y42" s="368" t="s">
        <v>8506</v>
      </c>
      <c r="Z42" s="368" t="s">
        <v>8506</v>
      </c>
      <c r="AA42" s="368" t="s">
        <v>8506</v>
      </c>
      <c r="AB42" s="369" t="s">
        <v>8506</v>
      </c>
      <c r="AC42" s="368" t="s">
        <v>8506</v>
      </c>
      <c r="AD42" s="368" t="s">
        <v>8506</v>
      </c>
      <c r="AE42" s="368" t="s">
        <v>8506</v>
      </c>
      <c r="AF42" s="368" t="s">
        <v>8506</v>
      </c>
      <c r="AG42" s="368" t="s">
        <v>8506</v>
      </c>
      <c r="AH42" s="368" t="s">
        <v>8506</v>
      </c>
      <c r="AI42" s="368" t="s">
        <v>8506</v>
      </c>
      <c r="AJ42" s="368" t="s">
        <v>8506</v>
      </c>
      <c r="AK42" s="368" t="s">
        <v>8506</v>
      </c>
      <c r="AL42" s="368" t="s">
        <v>8506</v>
      </c>
      <c r="AM42" s="368" t="s">
        <v>8506</v>
      </c>
      <c r="AN42" s="368" t="s">
        <v>8506</v>
      </c>
      <c r="AO42" s="368" t="s">
        <v>8506</v>
      </c>
      <c r="AP42" s="368" t="s">
        <v>8506</v>
      </c>
      <c r="AQ42" s="368" t="s">
        <v>8506</v>
      </c>
      <c r="AR42" s="368" t="s">
        <v>8506</v>
      </c>
      <c r="AS42" s="368" t="s">
        <v>8506</v>
      </c>
      <c r="AT42" s="368" t="s">
        <v>8506</v>
      </c>
      <c r="AU42" s="368" t="s">
        <v>8506</v>
      </c>
      <c r="AV42" s="369" t="s">
        <v>8506</v>
      </c>
      <c r="AW42" s="368" t="s">
        <v>8506</v>
      </c>
      <c r="AX42" s="368" t="s">
        <v>8506</v>
      </c>
      <c r="AY42" s="368" t="s">
        <v>8506</v>
      </c>
      <c r="AZ42" s="368" t="s">
        <v>8506</v>
      </c>
      <c r="BA42" s="368" t="s">
        <v>8506</v>
      </c>
      <c r="BB42" s="368" t="s">
        <v>8506</v>
      </c>
      <c r="BC42" s="368" t="s">
        <v>8506</v>
      </c>
      <c r="BD42" s="368" t="s">
        <v>8506</v>
      </c>
      <c r="BE42" s="368" t="s">
        <v>8506</v>
      </c>
      <c r="BF42" s="368" t="s">
        <v>8506</v>
      </c>
      <c r="BG42" s="368" t="s">
        <v>8506</v>
      </c>
      <c r="BH42" s="368" t="s">
        <v>8506</v>
      </c>
      <c r="BI42" s="368" t="s">
        <v>8506</v>
      </c>
      <c r="BJ42" s="368" t="s">
        <v>8506</v>
      </c>
      <c r="BK42" s="368" t="s">
        <v>8506</v>
      </c>
      <c r="BL42" s="368" t="s">
        <v>8506</v>
      </c>
      <c r="BM42" s="368" t="s">
        <v>8506</v>
      </c>
      <c r="BN42" s="368" t="s">
        <v>8506</v>
      </c>
      <c r="BO42" s="368" t="s">
        <v>8506</v>
      </c>
      <c r="BP42" s="368" t="s">
        <v>8506</v>
      </c>
      <c r="BQ42" s="367" t="s">
        <v>8506</v>
      </c>
      <c r="BR42" s="367" t="s">
        <v>8731</v>
      </c>
      <c r="BS42" s="329" t="s">
        <v>10274</v>
      </c>
      <c r="BT42" s="381" t="s">
        <v>8731</v>
      </c>
      <c r="BU42" s="382" t="s">
        <v>8506</v>
      </c>
      <c r="BV42" s="382" t="s">
        <v>8506</v>
      </c>
      <c r="BW42" s="382" t="s">
        <v>8506</v>
      </c>
      <c r="BX42" s="382" t="s">
        <v>8506</v>
      </c>
      <c r="BY42" s="382" t="s">
        <v>8506</v>
      </c>
      <c r="BZ42" s="382" t="s">
        <v>8506</v>
      </c>
      <c r="CA42" s="382" t="s">
        <v>8506</v>
      </c>
      <c r="CB42" s="382" t="s">
        <v>8506</v>
      </c>
      <c r="CC42" s="382" t="s">
        <v>8506</v>
      </c>
      <c r="CD42" s="382" t="s">
        <v>8506</v>
      </c>
      <c r="CE42" s="382" t="s">
        <v>8506</v>
      </c>
      <c r="CF42" s="382" t="s">
        <v>8506</v>
      </c>
      <c r="CG42" s="382" t="s">
        <v>8506</v>
      </c>
      <c r="CH42" s="382" t="s">
        <v>8506</v>
      </c>
      <c r="CI42" s="382" t="s">
        <v>8506</v>
      </c>
      <c r="CJ42" s="382" t="s">
        <v>8506</v>
      </c>
      <c r="CK42" s="382" t="s">
        <v>8506</v>
      </c>
      <c r="CL42" s="382" t="s">
        <v>8506</v>
      </c>
      <c r="CM42" s="382" t="s">
        <v>8506</v>
      </c>
      <c r="CN42" s="382" t="s">
        <v>8506</v>
      </c>
      <c r="CO42" s="382" t="s">
        <v>8506</v>
      </c>
      <c r="CP42" s="383" t="s">
        <v>8506</v>
      </c>
      <c r="CQ42" s="382" t="s">
        <v>8506</v>
      </c>
      <c r="CR42" s="382" t="s">
        <v>8506</v>
      </c>
      <c r="CS42" s="382" t="s">
        <v>8506</v>
      </c>
      <c r="CT42" s="382" t="s">
        <v>8506</v>
      </c>
      <c r="CU42" s="382" t="s">
        <v>8506</v>
      </c>
      <c r="CV42" s="382" t="s">
        <v>8506</v>
      </c>
      <c r="CW42" s="382" t="s">
        <v>8506</v>
      </c>
      <c r="CX42" s="382" t="s">
        <v>8506</v>
      </c>
      <c r="CY42" s="382" t="s">
        <v>8506</v>
      </c>
      <c r="CZ42" s="382" t="s">
        <v>8506</v>
      </c>
      <c r="DA42" s="382" t="s">
        <v>8506</v>
      </c>
      <c r="DB42" s="382" t="s">
        <v>8506</v>
      </c>
      <c r="DC42" s="382" t="s">
        <v>8506</v>
      </c>
      <c r="DD42" s="382" t="s">
        <v>8506</v>
      </c>
      <c r="DE42" s="382" t="s">
        <v>8506</v>
      </c>
      <c r="DF42" s="382" t="s">
        <v>8506</v>
      </c>
      <c r="DG42" s="382" t="s">
        <v>8506</v>
      </c>
      <c r="DH42" s="382" t="s">
        <v>8506</v>
      </c>
      <c r="DI42" s="382" t="s">
        <v>8506</v>
      </c>
      <c r="DJ42" s="382" t="s">
        <v>8506</v>
      </c>
      <c r="DK42" s="382" t="s">
        <v>8506</v>
      </c>
      <c r="DL42" s="382" t="s">
        <v>8506</v>
      </c>
      <c r="DM42" s="382" t="s">
        <v>8506</v>
      </c>
      <c r="DN42" s="382" t="s">
        <v>8506</v>
      </c>
      <c r="DO42" s="382" t="s">
        <v>8506</v>
      </c>
      <c r="DP42" s="383" t="s">
        <v>8506</v>
      </c>
      <c r="DQ42" s="382" t="s">
        <v>8506</v>
      </c>
      <c r="DR42" s="382" t="s">
        <v>8506</v>
      </c>
      <c r="DS42" s="382" t="s">
        <v>8506</v>
      </c>
      <c r="DT42" s="382" t="s">
        <v>8506</v>
      </c>
      <c r="DU42" s="382" t="s">
        <v>8506</v>
      </c>
      <c r="DV42" s="382" t="s">
        <v>8506</v>
      </c>
      <c r="DW42" s="382" t="s">
        <v>8506</v>
      </c>
      <c r="DX42" s="382" t="s">
        <v>8506</v>
      </c>
      <c r="DY42" s="382" t="s">
        <v>8506</v>
      </c>
      <c r="DZ42" s="382" t="s">
        <v>8506</v>
      </c>
      <c r="EA42" s="382" t="s">
        <v>8506</v>
      </c>
      <c r="EB42" s="381" t="s">
        <v>8506</v>
      </c>
      <c r="EC42" s="381" t="s">
        <v>8731</v>
      </c>
      <c r="ED42" s="381"/>
      <c r="EE42" s="381" t="s">
        <v>8731</v>
      </c>
      <c r="EF42" s="382" t="s">
        <v>8507</v>
      </c>
      <c r="EG42" s="382" t="s">
        <v>8507</v>
      </c>
      <c r="EH42" s="382" t="s">
        <v>8507</v>
      </c>
      <c r="EI42" s="381" t="s">
        <v>8507</v>
      </c>
      <c r="EJ42" s="381" t="s">
        <v>8731</v>
      </c>
    </row>
    <row r="43" spans="1:140" ht="12" customHeight="1" thickBot="1">
      <c r="A43" s="513"/>
      <c r="B43" s="370" t="s">
        <v>10202</v>
      </c>
      <c r="C43" s="371" t="s">
        <v>10211</v>
      </c>
      <c r="D43" s="371" t="s">
        <v>10207</v>
      </c>
      <c r="E43" s="371" t="s">
        <v>10208</v>
      </c>
      <c r="F43" s="370" t="s">
        <v>10204</v>
      </c>
      <c r="G43" s="370" t="s">
        <v>10202</v>
      </c>
      <c r="H43" s="372"/>
      <c r="I43" s="370" t="s">
        <v>10202</v>
      </c>
      <c r="J43" s="371" t="s">
        <v>10347</v>
      </c>
      <c r="K43" s="371" t="s">
        <v>10348</v>
      </c>
      <c r="L43" s="371" t="s">
        <v>10349</v>
      </c>
      <c r="M43" s="371" t="s">
        <v>10350</v>
      </c>
      <c r="N43" s="371" t="s">
        <v>10351</v>
      </c>
      <c r="O43" s="371" t="s">
        <v>10283</v>
      </c>
      <c r="P43" s="371" t="s">
        <v>10352</v>
      </c>
      <c r="Q43" s="371" t="s">
        <v>10339</v>
      </c>
      <c r="R43" s="371" t="s">
        <v>10353</v>
      </c>
      <c r="S43" s="371" t="s">
        <v>10354</v>
      </c>
      <c r="T43" s="371" t="s">
        <v>10355</v>
      </c>
      <c r="U43" s="371" t="s">
        <v>10356</v>
      </c>
      <c r="V43" s="371" t="s">
        <v>10357</v>
      </c>
      <c r="W43" s="371" t="s">
        <v>10358</v>
      </c>
      <c r="X43" s="371" t="s">
        <v>10359</v>
      </c>
      <c r="Y43" s="371" t="s">
        <v>10360</v>
      </c>
      <c r="Z43" s="371" t="s">
        <v>10361</v>
      </c>
      <c r="AA43" s="371" t="s">
        <v>10362</v>
      </c>
      <c r="AB43" s="373" t="s">
        <v>10363</v>
      </c>
      <c r="AC43" s="371" t="s">
        <v>10364</v>
      </c>
      <c r="AD43" s="371" t="s">
        <v>10365</v>
      </c>
      <c r="AE43" s="371" t="s">
        <v>10208</v>
      </c>
      <c r="AF43" s="371" t="s">
        <v>10366</v>
      </c>
      <c r="AG43" s="371" t="s">
        <v>10367</v>
      </c>
      <c r="AH43" s="371" t="s">
        <v>10368</v>
      </c>
      <c r="AI43" s="371" t="s">
        <v>10369</v>
      </c>
      <c r="AJ43" s="371" t="s">
        <v>10370</v>
      </c>
      <c r="AK43" s="371" t="s">
        <v>10371</v>
      </c>
      <c r="AL43" s="371" t="s">
        <v>10372</v>
      </c>
      <c r="AM43" s="371" t="s">
        <v>10373</v>
      </c>
      <c r="AN43" s="371" t="s">
        <v>10374</v>
      </c>
      <c r="AO43" s="371" t="s">
        <v>10375</v>
      </c>
      <c r="AP43" s="371" t="s">
        <v>10376</v>
      </c>
      <c r="AQ43" s="371" t="s">
        <v>10377</v>
      </c>
      <c r="AR43" s="371" t="s">
        <v>10378</v>
      </c>
      <c r="AS43" s="371" t="s">
        <v>10379</v>
      </c>
      <c r="AT43" s="371" t="s">
        <v>10380</v>
      </c>
      <c r="AU43" s="371" t="s">
        <v>10381</v>
      </c>
      <c r="AV43" s="373" t="s">
        <v>10382</v>
      </c>
      <c r="AW43" s="371" t="s">
        <v>10213</v>
      </c>
      <c r="AX43" s="371" t="s">
        <v>10383</v>
      </c>
      <c r="AY43" s="371" t="s">
        <v>10384</v>
      </c>
      <c r="AZ43" s="371" t="s">
        <v>10385</v>
      </c>
      <c r="BA43" s="371" t="s">
        <v>10386</v>
      </c>
      <c r="BB43" s="371" t="s">
        <v>10387</v>
      </c>
      <c r="BC43" s="371" t="s">
        <v>10388</v>
      </c>
      <c r="BD43" s="371" t="s">
        <v>10389</v>
      </c>
      <c r="BE43" s="371" t="s">
        <v>10390</v>
      </c>
      <c r="BF43" s="371" t="s">
        <v>10391</v>
      </c>
      <c r="BG43" s="371" t="s">
        <v>10392</v>
      </c>
      <c r="BH43" s="371" t="s">
        <v>10393</v>
      </c>
      <c r="BI43" s="371" t="s">
        <v>10394</v>
      </c>
      <c r="BJ43" s="371" t="s">
        <v>10395</v>
      </c>
      <c r="BK43" s="371" t="s">
        <v>10396</v>
      </c>
      <c r="BL43" s="371" t="s">
        <v>10397</v>
      </c>
      <c r="BM43" s="371" t="s">
        <v>10398</v>
      </c>
      <c r="BN43" s="371" t="s">
        <v>10399</v>
      </c>
      <c r="BO43" s="371" t="s">
        <v>10335</v>
      </c>
      <c r="BP43" s="371" t="s">
        <v>10400</v>
      </c>
      <c r="BQ43" s="370" t="s">
        <v>10401</v>
      </c>
      <c r="BR43" s="370" t="s">
        <v>10202</v>
      </c>
      <c r="BS43" s="330"/>
      <c r="BT43" s="384" t="s">
        <v>10202</v>
      </c>
      <c r="BU43" s="385" t="s">
        <v>10402</v>
      </c>
      <c r="BV43" s="385" t="s">
        <v>10403</v>
      </c>
      <c r="BW43" s="385" t="s">
        <v>10404</v>
      </c>
      <c r="BX43" s="385" t="s">
        <v>10405</v>
      </c>
      <c r="BY43" s="385" t="s">
        <v>10406</v>
      </c>
      <c r="BZ43" s="385" t="s">
        <v>10407</v>
      </c>
      <c r="CA43" s="385" t="s">
        <v>10408</v>
      </c>
      <c r="CB43" s="385" t="s">
        <v>10409</v>
      </c>
      <c r="CC43" s="385" t="s">
        <v>10410</v>
      </c>
      <c r="CD43" s="385" t="s">
        <v>10411</v>
      </c>
      <c r="CE43" s="385" t="s">
        <v>10412</v>
      </c>
      <c r="CF43" s="385" t="s">
        <v>10413</v>
      </c>
      <c r="CG43" s="385" t="s">
        <v>10414</v>
      </c>
      <c r="CH43" s="385" t="s">
        <v>10415</v>
      </c>
      <c r="CI43" s="385" t="s">
        <v>10416</v>
      </c>
      <c r="CJ43" s="385" t="s">
        <v>10417</v>
      </c>
      <c r="CK43" s="385" t="s">
        <v>10418</v>
      </c>
      <c r="CL43" s="385" t="s">
        <v>10419</v>
      </c>
      <c r="CM43" s="385" t="s">
        <v>10420</v>
      </c>
      <c r="CN43" s="385" t="s">
        <v>10421</v>
      </c>
      <c r="CO43" s="385" t="s">
        <v>10422</v>
      </c>
      <c r="CP43" s="386" t="s">
        <v>10423</v>
      </c>
      <c r="CQ43" s="385" t="s">
        <v>10424</v>
      </c>
      <c r="CR43" s="385" t="s">
        <v>10425</v>
      </c>
      <c r="CS43" s="385" t="s">
        <v>10426</v>
      </c>
      <c r="CT43" s="385" t="s">
        <v>10427</v>
      </c>
      <c r="CU43" s="385" t="s">
        <v>10428</v>
      </c>
      <c r="CV43" s="385" t="s">
        <v>10429</v>
      </c>
      <c r="CW43" s="385" t="s">
        <v>10430</v>
      </c>
      <c r="CX43" s="385" t="s">
        <v>10431</v>
      </c>
      <c r="CY43" s="385" t="s">
        <v>10432</v>
      </c>
      <c r="CZ43" s="385" t="s">
        <v>10433</v>
      </c>
      <c r="DA43" s="385" t="s">
        <v>10293</v>
      </c>
      <c r="DB43" s="385" t="s">
        <v>10434</v>
      </c>
      <c r="DC43" s="385" t="s">
        <v>10435</v>
      </c>
      <c r="DD43" s="385" t="s">
        <v>10436</v>
      </c>
      <c r="DE43" s="385" t="s">
        <v>10437</v>
      </c>
      <c r="DF43" s="385" t="s">
        <v>10438</v>
      </c>
      <c r="DG43" s="385" t="s">
        <v>10301</v>
      </c>
      <c r="DH43" s="385" t="s">
        <v>10439</v>
      </c>
      <c r="DI43" s="385" t="s">
        <v>10440</v>
      </c>
      <c r="DJ43" s="385" t="s">
        <v>10304</v>
      </c>
      <c r="DK43" s="385" t="s">
        <v>10441</v>
      </c>
      <c r="DL43" s="385" t="s">
        <v>10442</v>
      </c>
      <c r="DM43" s="385" t="s">
        <v>10443</v>
      </c>
      <c r="DN43" s="385" t="s">
        <v>10444</v>
      </c>
      <c r="DO43" s="385" t="s">
        <v>10445</v>
      </c>
      <c r="DP43" s="386" t="s">
        <v>10446</v>
      </c>
      <c r="DQ43" s="385" t="s">
        <v>10447</v>
      </c>
      <c r="DR43" s="385" t="s">
        <v>10448</v>
      </c>
      <c r="DS43" s="385" t="s">
        <v>10449</v>
      </c>
      <c r="DT43" s="385" t="s">
        <v>10323</v>
      </c>
      <c r="DU43" s="385" t="s">
        <v>10450</v>
      </c>
      <c r="DV43" s="385" t="s">
        <v>10451</v>
      </c>
      <c r="DW43" s="385" t="s">
        <v>10298</v>
      </c>
      <c r="DX43" s="385" t="s">
        <v>10452</v>
      </c>
      <c r="DY43" s="385" t="s">
        <v>10453</v>
      </c>
      <c r="DZ43" s="385" t="s">
        <v>10454</v>
      </c>
      <c r="EA43" s="385" t="s">
        <v>10455</v>
      </c>
      <c r="EB43" s="384" t="s">
        <v>10456</v>
      </c>
      <c r="EC43" s="384" t="s">
        <v>10202</v>
      </c>
      <c r="ED43" s="387"/>
      <c r="EE43" s="384" t="s">
        <v>10202</v>
      </c>
      <c r="EF43" s="385" t="s">
        <v>10309</v>
      </c>
      <c r="EG43" s="385" t="s">
        <v>10311</v>
      </c>
      <c r="EH43" s="385" t="s">
        <v>10312</v>
      </c>
      <c r="EI43" s="384" t="s">
        <v>10319</v>
      </c>
      <c r="EJ43" s="384" t="s">
        <v>10202</v>
      </c>
    </row>
    <row r="44" spans="1:140" ht="12" customHeight="1">
      <c r="A44" s="512">
        <v>11</v>
      </c>
      <c r="B44" s="367" t="s">
        <v>10200</v>
      </c>
      <c r="C44" s="368" t="s">
        <v>8502</v>
      </c>
      <c r="D44" s="368" t="s">
        <v>8501</v>
      </c>
      <c r="E44" s="368" t="s">
        <v>7862</v>
      </c>
      <c r="F44" s="374" t="s">
        <v>8299</v>
      </c>
      <c r="G44" s="367" t="s">
        <v>10200</v>
      </c>
      <c r="H44" s="367" t="s">
        <v>8299</v>
      </c>
      <c r="I44" s="367" t="s">
        <v>10200</v>
      </c>
      <c r="J44" s="368" t="s">
        <v>8467</v>
      </c>
      <c r="K44" s="368" t="s">
        <v>7594</v>
      </c>
      <c r="L44" s="368" t="s">
        <v>8448</v>
      </c>
      <c r="M44" s="368" t="s">
        <v>8312</v>
      </c>
      <c r="N44" s="368" t="s">
        <v>8412</v>
      </c>
      <c r="O44" s="368" t="s">
        <v>8275</v>
      </c>
      <c r="P44" s="368" t="s">
        <v>8346</v>
      </c>
      <c r="Q44" s="368" t="s">
        <v>8267</v>
      </c>
      <c r="R44" s="368" t="s">
        <v>8341</v>
      </c>
      <c r="S44" s="368" t="s">
        <v>7604</v>
      </c>
      <c r="T44" s="368" t="s">
        <v>7598</v>
      </c>
      <c r="U44" s="368" t="s">
        <v>8327</v>
      </c>
      <c r="V44" s="368" t="s">
        <v>8387</v>
      </c>
      <c r="W44" s="368" t="s">
        <v>8314</v>
      </c>
      <c r="X44" s="368" t="s">
        <v>7573</v>
      </c>
      <c r="Y44" s="368" t="s">
        <v>8383</v>
      </c>
      <c r="Z44" s="368" t="s">
        <v>8400</v>
      </c>
      <c r="AA44" s="368" t="s">
        <v>8258</v>
      </c>
      <c r="AB44" s="368" t="s">
        <v>8306</v>
      </c>
      <c r="AC44" s="368" t="s">
        <v>8299</v>
      </c>
      <c r="AD44" s="368" t="s">
        <v>8350</v>
      </c>
      <c r="AE44" s="368" t="s">
        <v>7600</v>
      </c>
      <c r="AF44" s="368" t="s">
        <v>8196</v>
      </c>
      <c r="AG44" s="368" t="s">
        <v>8391</v>
      </c>
      <c r="AH44" s="368" t="s">
        <v>7853</v>
      </c>
      <c r="AI44" s="368" t="s">
        <v>8466</v>
      </c>
      <c r="AJ44" s="368" t="s">
        <v>8342</v>
      </c>
      <c r="AK44" s="368" t="s">
        <v>8316</v>
      </c>
      <c r="AL44" s="369" t="s">
        <v>8086</v>
      </c>
      <c r="AM44" s="368" t="s">
        <v>8277</v>
      </c>
      <c r="AN44" s="369" t="s">
        <v>7845</v>
      </c>
      <c r="AO44" s="368" t="s">
        <v>7571</v>
      </c>
      <c r="AP44" s="368" t="s">
        <v>8195</v>
      </c>
      <c r="AQ44" s="368" t="s">
        <v>8362</v>
      </c>
      <c r="AR44" s="368" t="s">
        <v>8260</v>
      </c>
      <c r="AS44" s="368" t="s">
        <v>7569</v>
      </c>
      <c r="AT44" s="368" t="s">
        <v>8337</v>
      </c>
      <c r="AU44" s="368" t="s">
        <v>7578</v>
      </c>
      <c r="AV44" s="368" t="s">
        <v>8227</v>
      </c>
      <c r="AW44" s="368" t="s">
        <v>8273</v>
      </c>
      <c r="AX44" s="369" t="s">
        <v>8086</v>
      </c>
      <c r="AY44" s="368" t="s">
        <v>8226</v>
      </c>
      <c r="AZ44" s="368" t="s">
        <v>7597</v>
      </c>
      <c r="BA44" s="368" t="s">
        <v>8193</v>
      </c>
      <c r="BB44" s="368" t="s">
        <v>8339</v>
      </c>
      <c r="BC44" s="368" t="s">
        <v>8454</v>
      </c>
      <c r="BD44" s="368" t="s">
        <v>8318</v>
      </c>
      <c r="BE44" s="368" t="s">
        <v>7592</v>
      </c>
      <c r="BF44" s="368" t="s">
        <v>8398</v>
      </c>
      <c r="BG44" s="368" t="s">
        <v>8476</v>
      </c>
      <c r="BH44" s="369" t="s">
        <v>8299</v>
      </c>
      <c r="BI44" s="368" t="s">
        <v>8313</v>
      </c>
      <c r="BJ44" s="368" t="s">
        <v>8413</v>
      </c>
      <c r="BK44" s="368" t="s">
        <v>7593</v>
      </c>
      <c r="BL44" s="368" t="s">
        <v>8248</v>
      </c>
      <c r="BM44" s="368" t="s">
        <v>8353</v>
      </c>
      <c r="BN44" s="368" t="s">
        <v>8419</v>
      </c>
      <c r="BO44" s="368" t="s">
        <v>8188</v>
      </c>
      <c r="BP44" s="368" t="s">
        <v>7591</v>
      </c>
      <c r="BQ44" s="367" t="s">
        <v>8427</v>
      </c>
      <c r="BR44" s="367" t="s">
        <v>10200</v>
      </c>
      <c r="BS44" s="329"/>
      <c r="BT44" s="381" t="s">
        <v>10200</v>
      </c>
      <c r="BU44" s="382" t="s">
        <v>8443</v>
      </c>
      <c r="BV44" s="382" t="s">
        <v>8449</v>
      </c>
      <c r="BW44" s="382" t="s">
        <v>7591</v>
      </c>
      <c r="BX44" s="382" t="s">
        <v>8402</v>
      </c>
      <c r="BY44" s="382" t="s">
        <v>8345</v>
      </c>
      <c r="BZ44" s="382" t="s">
        <v>7597</v>
      </c>
      <c r="CA44" s="382" t="s">
        <v>7595</v>
      </c>
      <c r="CB44" s="382" t="s">
        <v>7567</v>
      </c>
      <c r="CC44" s="382" t="s">
        <v>7578</v>
      </c>
      <c r="CD44" s="382" t="s">
        <v>7569</v>
      </c>
      <c r="CE44" s="382" t="s">
        <v>8454</v>
      </c>
      <c r="CF44" s="382" t="s">
        <v>8192</v>
      </c>
      <c r="CG44" s="382" t="s">
        <v>8202</v>
      </c>
      <c r="CH44" s="382" t="s">
        <v>8370</v>
      </c>
      <c r="CI44" s="382" t="s">
        <v>8350</v>
      </c>
      <c r="CJ44" s="382" t="s">
        <v>8234</v>
      </c>
      <c r="CK44" s="382" t="s">
        <v>8230</v>
      </c>
      <c r="CL44" s="382" t="s">
        <v>8426</v>
      </c>
      <c r="CM44" s="382" t="s">
        <v>8190</v>
      </c>
      <c r="CN44" s="382" t="s">
        <v>8439</v>
      </c>
      <c r="CO44" s="382" t="s">
        <v>8257</v>
      </c>
      <c r="CP44" s="382" t="s">
        <v>7576</v>
      </c>
      <c r="CQ44" s="382" t="s">
        <v>7583</v>
      </c>
      <c r="CR44" s="382" t="s">
        <v>8260</v>
      </c>
      <c r="CS44" s="382" t="s">
        <v>7593</v>
      </c>
      <c r="CT44" s="382" t="s">
        <v>8331</v>
      </c>
      <c r="CU44" s="382" t="s">
        <v>7590</v>
      </c>
      <c r="CV44" s="382" t="s">
        <v>8199</v>
      </c>
      <c r="CW44" s="382" t="s">
        <v>8306</v>
      </c>
      <c r="CX44" s="382" t="s">
        <v>8253</v>
      </c>
      <c r="CY44" s="383" t="s">
        <v>8299</v>
      </c>
      <c r="CZ44" s="382" t="s">
        <v>8372</v>
      </c>
      <c r="DA44" s="382" t="s">
        <v>8277</v>
      </c>
      <c r="DB44" s="382" t="s">
        <v>8259</v>
      </c>
      <c r="DC44" s="383" t="s">
        <v>8299</v>
      </c>
      <c r="DD44" s="382" t="s">
        <v>8302</v>
      </c>
      <c r="DE44" s="382" t="s">
        <v>8280</v>
      </c>
      <c r="DF44" s="382" t="s">
        <v>8272</v>
      </c>
      <c r="DG44" s="382" t="s">
        <v>8470</v>
      </c>
      <c r="DH44" s="382" t="s">
        <v>8455</v>
      </c>
      <c r="DI44" s="382" t="s">
        <v>8317</v>
      </c>
      <c r="DJ44" s="382" t="s">
        <v>8484</v>
      </c>
      <c r="DK44" s="382" t="s">
        <v>8291</v>
      </c>
      <c r="DL44" s="382" t="s">
        <v>8460</v>
      </c>
      <c r="DM44" s="382" t="s">
        <v>8384</v>
      </c>
      <c r="DN44" s="382" t="s">
        <v>7505</v>
      </c>
      <c r="DO44" s="382" t="s">
        <v>8309</v>
      </c>
      <c r="DP44" s="383" t="s">
        <v>7845</v>
      </c>
      <c r="DQ44" s="382" t="s">
        <v>8487</v>
      </c>
      <c r="DR44" s="382" t="s">
        <v>8462</v>
      </c>
      <c r="DS44" s="382" t="s">
        <v>8222</v>
      </c>
      <c r="DT44" s="382" t="s">
        <v>8394</v>
      </c>
      <c r="DU44" s="382" t="s">
        <v>8325</v>
      </c>
      <c r="DV44" s="382" t="s">
        <v>8252</v>
      </c>
      <c r="DW44" s="382" t="s">
        <v>8397</v>
      </c>
      <c r="DX44" s="382" t="s">
        <v>8486</v>
      </c>
      <c r="DY44" s="382" t="s">
        <v>7600</v>
      </c>
      <c r="DZ44" s="382" t="s">
        <v>8414</v>
      </c>
      <c r="EA44" s="382" t="s">
        <v>8396</v>
      </c>
      <c r="EB44" s="381" t="s">
        <v>8254</v>
      </c>
      <c r="EC44" s="381" t="s">
        <v>10200</v>
      </c>
      <c r="ED44" s="381" t="s">
        <v>8299</v>
      </c>
      <c r="EE44" s="381" t="s">
        <v>10200</v>
      </c>
      <c r="EF44" s="382" t="s">
        <v>8501</v>
      </c>
      <c r="EG44" s="382" t="s">
        <v>7852</v>
      </c>
      <c r="EH44" s="382" t="s">
        <v>8496</v>
      </c>
      <c r="EI44" s="381" t="s">
        <v>8505</v>
      </c>
      <c r="EJ44" s="381" t="s">
        <v>10200</v>
      </c>
    </row>
    <row r="45" spans="1:140" ht="12" customHeight="1">
      <c r="A45" s="513"/>
      <c r="B45" s="367" t="s">
        <v>10201</v>
      </c>
      <c r="C45" s="368" t="s">
        <v>7667</v>
      </c>
      <c r="D45" s="368" t="s">
        <v>7655</v>
      </c>
      <c r="E45" s="368" t="s">
        <v>7748</v>
      </c>
      <c r="F45" s="374" t="s">
        <v>8685</v>
      </c>
      <c r="G45" s="367" t="s">
        <v>10201</v>
      </c>
      <c r="H45" s="367" t="s">
        <v>8685</v>
      </c>
      <c r="I45" s="367" t="s">
        <v>10201</v>
      </c>
      <c r="J45" s="368" t="s">
        <v>8662</v>
      </c>
      <c r="K45" s="368" t="s">
        <v>7793</v>
      </c>
      <c r="L45" s="368" t="s">
        <v>8643</v>
      </c>
      <c r="M45" s="368" t="s">
        <v>7800</v>
      </c>
      <c r="N45" s="368" t="s">
        <v>8607</v>
      </c>
      <c r="O45" s="368" t="s">
        <v>7714</v>
      </c>
      <c r="P45" s="368" t="s">
        <v>8541</v>
      </c>
      <c r="Q45" s="368" t="s">
        <v>7705</v>
      </c>
      <c r="R45" s="368" t="s">
        <v>8536</v>
      </c>
      <c r="S45" s="368" t="s">
        <v>7807</v>
      </c>
      <c r="T45" s="368" t="s">
        <v>7797</v>
      </c>
      <c r="U45" s="368" t="s">
        <v>8522</v>
      </c>
      <c r="V45" s="368" t="s">
        <v>8582</v>
      </c>
      <c r="W45" s="368" t="s">
        <v>7802</v>
      </c>
      <c r="X45" s="368" t="s">
        <v>7772</v>
      </c>
      <c r="Y45" s="368" t="s">
        <v>8578</v>
      </c>
      <c r="Z45" s="368" t="s">
        <v>8595</v>
      </c>
      <c r="AA45" s="368" t="s">
        <v>7696</v>
      </c>
      <c r="AB45" s="368" t="s">
        <v>7763</v>
      </c>
      <c r="AC45" s="368" t="s">
        <v>7753</v>
      </c>
      <c r="AD45" s="368" t="s">
        <v>8545</v>
      </c>
      <c r="AE45" s="368" t="s">
        <v>7799</v>
      </c>
      <c r="AF45" s="368" t="s">
        <v>7622</v>
      </c>
      <c r="AG45" s="368" t="s">
        <v>8586</v>
      </c>
      <c r="AH45" s="368" t="s">
        <v>7747</v>
      </c>
      <c r="AI45" s="368" t="s">
        <v>8661</v>
      </c>
      <c r="AJ45" s="368" t="s">
        <v>8537</v>
      </c>
      <c r="AK45" s="368" t="s">
        <v>8511</v>
      </c>
      <c r="AL45" s="369" t="s">
        <v>8510</v>
      </c>
      <c r="AM45" s="368" t="s">
        <v>7716</v>
      </c>
      <c r="AN45" s="369" t="s">
        <v>8509</v>
      </c>
      <c r="AO45" s="368" t="s">
        <v>7770</v>
      </c>
      <c r="AP45" s="368" t="s">
        <v>7621</v>
      </c>
      <c r="AQ45" s="368" t="s">
        <v>8557</v>
      </c>
      <c r="AR45" s="368" t="s">
        <v>7698</v>
      </c>
      <c r="AS45" s="368" t="s">
        <v>7764</v>
      </c>
      <c r="AT45" s="368" t="s">
        <v>8532</v>
      </c>
      <c r="AU45" s="368" t="s">
        <v>7777</v>
      </c>
      <c r="AV45" s="368" t="s">
        <v>7662</v>
      </c>
      <c r="AW45" s="368" t="s">
        <v>7711</v>
      </c>
      <c r="AX45" s="369" t="s">
        <v>8509</v>
      </c>
      <c r="AY45" s="368" t="s">
        <v>7661</v>
      </c>
      <c r="AZ45" s="368" t="s">
        <v>7796</v>
      </c>
      <c r="BA45" s="368" t="s">
        <v>7619</v>
      </c>
      <c r="BB45" s="368" t="s">
        <v>8534</v>
      </c>
      <c r="BC45" s="368" t="s">
        <v>8649</v>
      </c>
      <c r="BD45" s="368" t="s">
        <v>8513</v>
      </c>
      <c r="BE45" s="368" t="s">
        <v>7791</v>
      </c>
      <c r="BF45" s="368" t="s">
        <v>8593</v>
      </c>
      <c r="BG45" s="368" t="s">
        <v>8671</v>
      </c>
      <c r="BH45" s="369" t="s">
        <v>8510</v>
      </c>
      <c r="BI45" s="368" t="s">
        <v>7801</v>
      </c>
      <c r="BJ45" s="368" t="s">
        <v>8608</v>
      </c>
      <c r="BK45" s="368" t="s">
        <v>7792</v>
      </c>
      <c r="BL45" s="368" t="s">
        <v>7686</v>
      </c>
      <c r="BM45" s="368" t="s">
        <v>8548</v>
      </c>
      <c r="BN45" s="368" t="s">
        <v>8614</v>
      </c>
      <c r="BO45" s="368" t="s">
        <v>7612</v>
      </c>
      <c r="BP45" s="368" t="s">
        <v>7790</v>
      </c>
      <c r="BQ45" s="367" t="s">
        <v>8622</v>
      </c>
      <c r="BR45" s="367" t="s">
        <v>10201</v>
      </c>
      <c r="BS45" s="329"/>
      <c r="BT45" s="381" t="s">
        <v>10201</v>
      </c>
      <c r="BU45" s="382" t="s">
        <v>8638</v>
      </c>
      <c r="BV45" s="382" t="s">
        <v>8644</v>
      </c>
      <c r="BW45" s="382" t="s">
        <v>7790</v>
      </c>
      <c r="BX45" s="382" t="s">
        <v>8597</v>
      </c>
      <c r="BY45" s="382" t="s">
        <v>8540</v>
      </c>
      <c r="BZ45" s="382" t="s">
        <v>7796</v>
      </c>
      <c r="CA45" s="382" t="s">
        <v>7794</v>
      </c>
      <c r="CB45" s="382" t="s">
        <v>7757</v>
      </c>
      <c r="CC45" s="382" t="s">
        <v>7777</v>
      </c>
      <c r="CD45" s="382" t="s">
        <v>7764</v>
      </c>
      <c r="CE45" s="382" t="s">
        <v>8649</v>
      </c>
      <c r="CF45" s="382" t="s">
        <v>7618</v>
      </c>
      <c r="CG45" s="382" t="s">
        <v>7628</v>
      </c>
      <c r="CH45" s="382" t="s">
        <v>8565</v>
      </c>
      <c r="CI45" s="382" t="s">
        <v>8545</v>
      </c>
      <c r="CJ45" s="382" t="s">
        <v>7670</v>
      </c>
      <c r="CK45" s="382" t="s">
        <v>7665</v>
      </c>
      <c r="CL45" s="382" t="s">
        <v>8621</v>
      </c>
      <c r="CM45" s="382" t="s">
        <v>7616</v>
      </c>
      <c r="CN45" s="382" t="s">
        <v>8634</v>
      </c>
      <c r="CO45" s="382" t="s">
        <v>7695</v>
      </c>
      <c r="CP45" s="382" t="s">
        <v>7775</v>
      </c>
      <c r="CQ45" s="382" t="s">
        <v>7782</v>
      </c>
      <c r="CR45" s="382" t="s">
        <v>7698</v>
      </c>
      <c r="CS45" s="382" t="s">
        <v>7792</v>
      </c>
      <c r="CT45" s="382" t="s">
        <v>8526</v>
      </c>
      <c r="CU45" s="382" t="s">
        <v>7789</v>
      </c>
      <c r="CV45" s="382" t="s">
        <v>7625</v>
      </c>
      <c r="CW45" s="382" t="s">
        <v>7763</v>
      </c>
      <c r="CX45" s="382" t="s">
        <v>7691</v>
      </c>
      <c r="CY45" s="383" t="s">
        <v>8510</v>
      </c>
      <c r="CZ45" s="382" t="s">
        <v>8567</v>
      </c>
      <c r="DA45" s="382" t="s">
        <v>7716</v>
      </c>
      <c r="DB45" s="382" t="s">
        <v>7697</v>
      </c>
      <c r="DC45" s="383" t="s">
        <v>8509</v>
      </c>
      <c r="DD45" s="382" t="s">
        <v>7759</v>
      </c>
      <c r="DE45" s="382" t="s">
        <v>7719</v>
      </c>
      <c r="DF45" s="382" t="s">
        <v>7710</v>
      </c>
      <c r="DG45" s="382" t="s">
        <v>8665</v>
      </c>
      <c r="DH45" s="382" t="s">
        <v>8650</v>
      </c>
      <c r="DI45" s="382" t="s">
        <v>8512</v>
      </c>
      <c r="DJ45" s="382" t="s">
        <v>8679</v>
      </c>
      <c r="DK45" s="382" t="s">
        <v>7733</v>
      </c>
      <c r="DL45" s="382" t="s">
        <v>8655</v>
      </c>
      <c r="DM45" s="382" t="s">
        <v>8579</v>
      </c>
      <c r="DN45" s="382" t="s">
        <v>7673</v>
      </c>
      <c r="DO45" s="382" t="s">
        <v>7767</v>
      </c>
      <c r="DP45" s="383" t="s">
        <v>8509</v>
      </c>
      <c r="DQ45" s="382" t="s">
        <v>8682</v>
      </c>
      <c r="DR45" s="382" t="s">
        <v>8657</v>
      </c>
      <c r="DS45" s="382" t="s">
        <v>7657</v>
      </c>
      <c r="DT45" s="382" t="s">
        <v>8589</v>
      </c>
      <c r="DU45" s="382" t="s">
        <v>8520</v>
      </c>
      <c r="DV45" s="382" t="s">
        <v>7690</v>
      </c>
      <c r="DW45" s="382" t="s">
        <v>8592</v>
      </c>
      <c r="DX45" s="382" t="s">
        <v>8681</v>
      </c>
      <c r="DY45" s="382" t="s">
        <v>7799</v>
      </c>
      <c r="DZ45" s="382" t="s">
        <v>8609</v>
      </c>
      <c r="EA45" s="382" t="s">
        <v>8591</v>
      </c>
      <c r="EB45" s="381" t="s">
        <v>7692</v>
      </c>
      <c r="EC45" s="381" t="s">
        <v>10201</v>
      </c>
      <c r="ED45" s="381" t="s">
        <v>8685</v>
      </c>
      <c r="EE45" s="381" t="s">
        <v>10201</v>
      </c>
      <c r="EF45" s="382" t="s">
        <v>7655</v>
      </c>
      <c r="EG45" s="382" t="s">
        <v>7749</v>
      </c>
      <c r="EH45" s="382" t="s">
        <v>7633</v>
      </c>
      <c r="EI45" s="381" t="s">
        <v>7755</v>
      </c>
      <c r="EJ45" s="381" t="s">
        <v>10201</v>
      </c>
    </row>
    <row r="46" spans="1:140" ht="12" customHeight="1">
      <c r="A46" s="513"/>
      <c r="B46" s="367" t="s">
        <v>8731</v>
      </c>
      <c r="C46" s="368" t="s">
        <v>8507</v>
      </c>
      <c r="D46" s="368" t="s">
        <v>8507</v>
      </c>
      <c r="E46" s="368" t="s">
        <v>8507</v>
      </c>
      <c r="F46" s="374" t="s">
        <v>8507</v>
      </c>
      <c r="G46" s="367" t="s">
        <v>8731</v>
      </c>
      <c r="H46" s="367" t="s">
        <v>8508</v>
      </c>
      <c r="I46" s="367" t="s">
        <v>8731</v>
      </c>
      <c r="J46" s="368" t="s">
        <v>8506</v>
      </c>
      <c r="K46" s="368" t="s">
        <v>8506</v>
      </c>
      <c r="L46" s="368" t="s">
        <v>8506</v>
      </c>
      <c r="M46" s="368" t="s">
        <v>8506</v>
      </c>
      <c r="N46" s="368" t="s">
        <v>8506</v>
      </c>
      <c r="O46" s="368" t="s">
        <v>8506</v>
      </c>
      <c r="P46" s="368" t="s">
        <v>8506</v>
      </c>
      <c r="Q46" s="368" t="s">
        <v>8506</v>
      </c>
      <c r="R46" s="368" t="s">
        <v>8506</v>
      </c>
      <c r="S46" s="368" t="s">
        <v>8506</v>
      </c>
      <c r="T46" s="368" t="s">
        <v>8506</v>
      </c>
      <c r="U46" s="368" t="s">
        <v>8506</v>
      </c>
      <c r="V46" s="368" t="s">
        <v>8506</v>
      </c>
      <c r="W46" s="368" t="s">
        <v>8506</v>
      </c>
      <c r="X46" s="368" t="s">
        <v>8506</v>
      </c>
      <c r="Y46" s="368" t="s">
        <v>8506</v>
      </c>
      <c r="Z46" s="368" t="s">
        <v>8506</v>
      </c>
      <c r="AA46" s="368" t="s">
        <v>8506</v>
      </c>
      <c r="AB46" s="368" t="s">
        <v>8506</v>
      </c>
      <c r="AC46" s="368" t="s">
        <v>8506</v>
      </c>
      <c r="AD46" s="368" t="s">
        <v>8506</v>
      </c>
      <c r="AE46" s="368" t="s">
        <v>8506</v>
      </c>
      <c r="AF46" s="368" t="s">
        <v>8506</v>
      </c>
      <c r="AG46" s="368" t="s">
        <v>8506</v>
      </c>
      <c r="AH46" s="368" t="s">
        <v>8506</v>
      </c>
      <c r="AI46" s="368" t="s">
        <v>8506</v>
      </c>
      <c r="AJ46" s="368" t="s">
        <v>8506</v>
      </c>
      <c r="AK46" s="368" t="s">
        <v>8506</v>
      </c>
      <c r="AL46" s="369" t="s">
        <v>8506</v>
      </c>
      <c r="AM46" s="368" t="s">
        <v>8506</v>
      </c>
      <c r="AN46" s="369" t="s">
        <v>8506</v>
      </c>
      <c r="AO46" s="368" t="s">
        <v>8506</v>
      </c>
      <c r="AP46" s="368" t="s">
        <v>8506</v>
      </c>
      <c r="AQ46" s="368" t="s">
        <v>8506</v>
      </c>
      <c r="AR46" s="368" t="s">
        <v>8506</v>
      </c>
      <c r="AS46" s="368" t="s">
        <v>8506</v>
      </c>
      <c r="AT46" s="368" t="s">
        <v>8506</v>
      </c>
      <c r="AU46" s="368" t="s">
        <v>8506</v>
      </c>
      <c r="AV46" s="368" t="s">
        <v>8506</v>
      </c>
      <c r="AW46" s="368" t="s">
        <v>8506</v>
      </c>
      <c r="AX46" s="369" t="s">
        <v>8506</v>
      </c>
      <c r="AY46" s="368" t="s">
        <v>8506</v>
      </c>
      <c r="AZ46" s="368" t="s">
        <v>8506</v>
      </c>
      <c r="BA46" s="368" t="s">
        <v>8506</v>
      </c>
      <c r="BB46" s="368" t="s">
        <v>8506</v>
      </c>
      <c r="BC46" s="368" t="s">
        <v>8506</v>
      </c>
      <c r="BD46" s="368" t="s">
        <v>8506</v>
      </c>
      <c r="BE46" s="368" t="s">
        <v>8506</v>
      </c>
      <c r="BF46" s="368" t="s">
        <v>8506</v>
      </c>
      <c r="BG46" s="368" t="s">
        <v>8506</v>
      </c>
      <c r="BH46" s="369" t="s">
        <v>8506</v>
      </c>
      <c r="BI46" s="368" t="s">
        <v>8506</v>
      </c>
      <c r="BJ46" s="368" t="s">
        <v>8506</v>
      </c>
      <c r="BK46" s="368" t="s">
        <v>8506</v>
      </c>
      <c r="BL46" s="368" t="s">
        <v>8506</v>
      </c>
      <c r="BM46" s="368" t="s">
        <v>8506</v>
      </c>
      <c r="BN46" s="368" t="s">
        <v>8506</v>
      </c>
      <c r="BO46" s="368" t="s">
        <v>8506</v>
      </c>
      <c r="BP46" s="368" t="s">
        <v>8506</v>
      </c>
      <c r="BQ46" s="367" t="s">
        <v>8506</v>
      </c>
      <c r="BR46" s="367" t="s">
        <v>8731</v>
      </c>
      <c r="BS46" s="329" t="s">
        <v>10274</v>
      </c>
      <c r="BT46" s="381" t="s">
        <v>8731</v>
      </c>
      <c r="BU46" s="382" t="s">
        <v>8506</v>
      </c>
      <c r="BV46" s="382" t="s">
        <v>8506</v>
      </c>
      <c r="BW46" s="382" t="s">
        <v>8506</v>
      </c>
      <c r="BX46" s="382" t="s">
        <v>8506</v>
      </c>
      <c r="BY46" s="382" t="s">
        <v>8506</v>
      </c>
      <c r="BZ46" s="382" t="s">
        <v>8506</v>
      </c>
      <c r="CA46" s="382" t="s">
        <v>8506</v>
      </c>
      <c r="CB46" s="382" t="s">
        <v>8506</v>
      </c>
      <c r="CC46" s="382" t="s">
        <v>8506</v>
      </c>
      <c r="CD46" s="382" t="s">
        <v>8506</v>
      </c>
      <c r="CE46" s="382" t="s">
        <v>8506</v>
      </c>
      <c r="CF46" s="382" t="s">
        <v>8506</v>
      </c>
      <c r="CG46" s="382" t="s">
        <v>8506</v>
      </c>
      <c r="CH46" s="382" t="s">
        <v>8506</v>
      </c>
      <c r="CI46" s="382" t="s">
        <v>8506</v>
      </c>
      <c r="CJ46" s="382" t="s">
        <v>8506</v>
      </c>
      <c r="CK46" s="382" t="s">
        <v>8506</v>
      </c>
      <c r="CL46" s="382" t="s">
        <v>8506</v>
      </c>
      <c r="CM46" s="382" t="s">
        <v>8506</v>
      </c>
      <c r="CN46" s="382" t="s">
        <v>8506</v>
      </c>
      <c r="CO46" s="382" t="s">
        <v>8506</v>
      </c>
      <c r="CP46" s="382" t="s">
        <v>8506</v>
      </c>
      <c r="CQ46" s="382" t="s">
        <v>8506</v>
      </c>
      <c r="CR46" s="382" t="s">
        <v>8506</v>
      </c>
      <c r="CS46" s="382" t="s">
        <v>8506</v>
      </c>
      <c r="CT46" s="382" t="s">
        <v>8506</v>
      </c>
      <c r="CU46" s="382" t="s">
        <v>8506</v>
      </c>
      <c r="CV46" s="382" t="s">
        <v>8506</v>
      </c>
      <c r="CW46" s="382" t="s">
        <v>8506</v>
      </c>
      <c r="CX46" s="382" t="s">
        <v>8506</v>
      </c>
      <c r="CY46" s="383" t="s">
        <v>8506</v>
      </c>
      <c r="CZ46" s="382" t="s">
        <v>8506</v>
      </c>
      <c r="DA46" s="382" t="s">
        <v>8506</v>
      </c>
      <c r="DB46" s="382" t="s">
        <v>8506</v>
      </c>
      <c r="DC46" s="383" t="s">
        <v>8506</v>
      </c>
      <c r="DD46" s="382" t="s">
        <v>8506</v>
      </c>
      <c r="DE46" s="382" t="s">
        <v>8506</v>
      </c>
      <c r="DF46" s="382" t="s">
        <v>8506</v>
      </c>
      <c r="DG46" s="382" t="s">
        <v>8506</v>
      </c>
      <c r="DH46" s="382" t="s">
        <v>8506</v>
      </c>
      <c r="DI46" s="382" t="s">
        <v>8506</v>
      </c>
      <c r="DJ46" s="382" t="s">
        <v>8506</v>
      </c>
      <c r="DK46" s="382" t="s">
        <v>8506</v>
      </c>
      <c r="DL46" s="382" t="s">
        <v>8506</v>
      </c>
      <c r="DM46" s="382" t="s">
        <v>8506</v>
      </c>
      <c r="DN46" s="382" t="s">
        <v>8506</v>
      </c>
      <c r="DO46" s="382" t="s">
        <v>8506</v>
      </c>
      <c r="DP46" s="383" t="s">
        <v>8506</v>
      </c>
      <c r="DQ46" s="382" t="s">
        <v>8506</v>
      </c>
      <c r="DR46" s="382" t="s">
        <v>8506</v>
      </c>
      <c r="DS46" s="382" t="s">
        <v>8506</v>
      </c>
      <c r="DT46" s="382" t="s">
        <v>8506</v>
      </c>
      <c r="DU46" s="382" t="s">
        <v>8506</v>
      </c>
      <c r="DV46" s="382" t="s">
        <v>8506</v>
      </c>
      <c r="DW46" s="382" t="s">
        <v>8506</v>
      </c>
      <c r="DX46" s="382" t="s">
        <v>8506</v>
      </c>
      <c r="DY46" s="382" t="s">
        <v>8506</v>
      </c>
      <c r="DZ46" s="382" t="s">
        <v>8506</v>
      </c>
      <c r="EA46" s="382" t="s">
        <v>8506</v>
      </c>
      <c r="EB46" s="381" t="s">
        <v>8506</v>
      </c>
      <c r="EC46" s="381" t="s">
        <v>8731</v>
      </c>
      <c r="ED46" s="381" t="s">
        <v>8508</v>
      </c>
      <c r="EE46" s="381" t="s">
        <v>8731</v>
      </c>
      <c r="EF46" s="382" t="s">
        <v>8507</v>
      </c>
      <c r="EG46" s="382" t="s">
        <v>8507</v>
      </c>
      <c r="EH46" s="382" t="s">
        <v>8507</v>
      </c>
      <c r="EI46" s="381" t="s">
        <v>8507</v>
      </c>
      <c r="EJ46" s="381" t="s">
        <v>8731</v>
      </c>
    </row>
    <row r="47" spans="1:140" ht="12" customHeight="1">
      <c r="A47" s="513"/>
      <c r="B47" s="370" t="s">
        <v>10202</v>
      </c>
      <c r="C47" s="371" t="s">
        <v>10239</v>
      </c>
      <c r="D47" s="371" t="s">
        <v>10210</v>
      </c>
      <c r="E47" s="371" t="s">
        <v>10243</v>
      </c>
      <c r="F47" s="375" t="s">
        <v>10238</v>
      </c>
      <c r="G47" s="370" t="s">
        <v>10202</v>
      </c>
      <c r="H47" s="370" t="s">
        <v>10212</v>
      </c>
      <c r="I47" s="370" t="s">
        <v>10202</v>
      </c>
      <c r="J47" s="371" t="s">
        <v>10457</v>
      </c>
      <c r="K47" s="371" t="s">
        <v>10458</v>
      </c>
      <c r="L47" s="371" t="s">
        <v>10459</v>
      </c>
      <c r="M47" s="371" t="s">
        <v>10460</v>
      </c>
      <c r="N47" s="371" t="s">
        <v>10461</v>
      </c>
      <c r="O47" s="371" t="s">
        <v>10462</v>
      </c>
      <c r="P47" s="371" t="s">
        <v>10463</v>
      </c>
      <c r="Q47" s="371" t="s">
        <v>10464</v>
      </c>
      <c r="R47" s="371" t="s">
        <v>10465</v>
      </c>
      <c r="S47" s="371" t="s">
        <v>10466</v>
      </c>
      <c r="T47" s="371" t="s">
        <v>10467</v>
      </c>
      <c r="U47" s="371" t="s">
        <v>10468</v>
      </c>
      <c r="V47" s="371" t="s">
        <v>10469</v>
      </c>
      <c r="W47" s="371" t="s">
        <v>10470</v>
      </c>
      <c r="X47" s="371" t="s">
        <v>10471</v>
      </c>
      <c r="Y47" s="371" t="s">
        <v>10472</v>
      </c>
      <c r="Z47" s="371" t="s">
        <v>10473</v>
      </c>
      <c r="AA47" s="371" t="s">
        <v>10474</v>
      </c>
      <c r="AB47" s="371" t="s">
        <v>10475</v>
      </c>
      <c r="AC47" s="371" t="s">
        <v>10476</v>
      </c>
      <c r="AD47" s="371" t="s">
        <v>10477</v>
      </c>
      <c r="AE47" s="371" t="s">
        <v>10478</v>
      </c>
      <c r="AF47" s="371" t="s">
        <v>10239</v>
      </c>
      <c r="AG47" s="371" t="s">
        <v>10479</v>
      </c>
      <c r="AH47" s="371" t="s">
        <v>10480</v>
      </c>
      <c r="AI47" s="371" t="s">
        <v>10481</v>
      </c>
      <c r="AJ47" s="371" t="s">
        <v>10482</v>
      </c>
      <c r="AK47" s="371" t="s">
        <v>10483</v>
      </c>
      <c r="AL47" s="373" t="s">
        <v>10484</v>
      </c>
      <c r="AM47" s="371" t="s">
        <v>10485</v>
      </c>
      <c r="AN47" s="373" t="s">
        <v>10486</v>
      </c>
      <c r="AO47" s="371" t="s">
        <v>10487</v>
      </c>
      <c r="AP47" s="371" t="s">
        <v>10210</v>
      </c>
      <c r="AQ47" s="371" t="s">
        <v>10488</v>
      </c>
      <c r="AR47" s="371" t="s">
        <v>10489</v>
      </c>
      <c r="AS47" s="371" t="s">
        <v>10490</v>
      </c>
      <c r="AT47" s="371" t="s">
        <v>10491</v>
      </c>
      <c r="AU47" s="371" t="s">
        <v>10492</v>
      </c>
      <c r="AV47" s="371" t="s">
        <v>10493</v>
      </c>
      <c r="AW47" s="371" t="s">
        <v>10494</v>
      </c>
      <c r="AX47" s="373" t="s">
        <v>10495</v>
      </c>
      <c r="AY47" s="371" t="s">
        <v>10496</v>
      </c>
      <c r="AZ47" s="371" t="s">
        <v>10497</v>
      </c>
      <c r="BA47" s="371" t="s">
        <v>10209</v>
      </c>
      <c r="BB47" s="371" t="s">
        <v>10498</v>
      </c>
      <c r="BC47" s="371" t="s">
        <v>10499</v>
      </c>
      <c r="BD47" s="371" t="s">
        <v>10500</v>
      </c>
      <c r="BE47" s="371" t="s">
        <v>10501</v>
      </c>
      <c r="BF47" s="371" t="s">
        <v>10502</v>
      </c>
      <c r="BG47" s="371" t="s">
        <v>10503</v>
      </c>
      <c r="BH47" s="373" t="s">
        <v>10504</v>
      </c>
      <c r="BI47" s="371" t="s">
        <v>10505</v>
      </c>
      <c r="BJ47" s="371" t="s">
        <v>10506</v>
      </c>
      <c r="BK47" s="371" t="s">
        <v>10507</v>
      </c>
      <c r="BL47" s="371" t="s">
        <v>10508</v>
      </c>
      <c r="BM47" s="371" t="s">
        <v>10509</v>
      </c>
      <c r="BN47" s="371" t="s">
        <v>10510</v>
      </c>
      <c r="BO47" s="371" t="s">
        <v>10206</v>
      </c>
      <c r="BP47" s="371" t="s">
        <v>10511</v>
      </c>
      <c r="BQ47" s="370" t="s">
        <v>10512</v>
      </c>
      <c r="BR47" s="370" t="s">
        <v>10202</v>
      </c>
      <c r="BS47" s="330"/>
      <c r="BT47" s="384" t="s">
        <v>10202</v>
      </c>
      <c r="BU47" s="385" t="s">
        <v>10513</v>
      </c>
      <c r="BV47" s="385" t="s">
        <v>10514</v>
      </c>
      <c r="BW47" s="385" t="s">
        <v>10515</v>
      </c>
      <c r="BX47" s="385" t="s">
        <v>10516</v>
      </c>
      <c r="BY47" s="385" t="s">
        <v>10517</v>
      </c>
      <c r="BZ47" s="385" t="s">
        <v>10518</v>
      </c>
      <c r="CA47" s="385" t="s">
        <v>10519</v>
      </c>
      <c r="CB47" s="385" t="s">
        <v>10520</v>
      </c>
      <c r="CC47" s="385" t="s">
        <v>10521</v>
      </c>
      <c r="CD47" s="385" t="s">
        <v>10522</v>
      </c>
      <c r="CE47" s="385" t="s">
        <v>10523</v>
      </c>
      <c r="CF47" s="385" t="s">
        <v>10319</v>
      </c>
      <c r="CG47" s="385" t="s">
        <v>10310</v>
      </c>
      <c r="CH47" s="385" t="s">
        <v>10524</v>
      </c>
      <c r="CI47" s="385" t="s">
        <v>10525</v>
      </c>
      <c r="CJ47" s="385" t="s">
        <v>10526</v>
      </c>
      <c r="CK47" s="385" t="s">
        <v>10527</v>
      </c>
      <c r="CL47" s="385" t="s">
        <v>10528</v>
      </c>
      <c r="CM47" s="385" t="s">
        <v>10325</v>
      </c>
      <c r="CN47" s="385" t="s">
        <v>10529</v>
      </c>
      <c r="CO47" s="385" t="s">
        <v>10530</v>
      </c>
      <c r="CP47" s="385" t="s">
        <v>10531</v>
      </c>
      <c r="CQ47" s="385" t="s">
        <v>10532</v>
      </c>
      <c r="CR47" s="385" t="s">
        <v>10533</v>
      </c>
      <c r="CS47" s="385" t="s">
        <v>10534</v>
      </c>
      <c r="CT47" s="385" t="s">
        <v>10535</v>
      </c>
      <c r="CU47" s="385" t="s">
        <v>10536</v>
      </c>
      <c r="CV47" s="385" t="s">
        <v>10295</v>
      </c>
      <c r="CW47" s="385" t="s">
        <v>10537</v>
      </c>
      <c r="CX47" s="385" t="s">
        <v>10538</v>
      </c>
      <c r="CY47" s="386" t="s">
        <v>10539</v>
      </c>
      <c r="CZ47" s="385" t="s">
        <v>10540</v>
      </c>
      <c r="DA47" s="385" t="s">
        <v>10541</v>
      </c>
      <c r="DB47" s="385" t="s">
        <v>10542</v>
      </c>
      <c r="DC47" s="386" t="s">
        <v>10543</v>
      </c>
      <c r="DD47" s="385" t="s">
        <v>10544</v>
      </c>
      <c r="DE47" s="385" t="s">
        <v>10545</v>
      </c>
      <c r="DF47" s="385" t="s">
        <v>10546</v>
      </c>
      <c r="DG47" s="385" t="s">
        <v>10547</v>
      </c>
      <c r="DH47" s="385" t="s">
        <v>10548</v>
      </c>
      <c r="DI47" s="385" t="s">
        <v>10549</v>
      </c>
      <c r="DJ47" s="385" t="s">
        <v>10550</v>
      </c>
      <c r="DK47" s="385" t="s">
        <v>10551</v>
      </c>
      <c r="DL47" s="385" t="s">
        <v>10552</v>
      </c>
      <c r="DM47" s="385" t="s">
        <v>10553</v>
      </c>
      <c r="DN47" s="385" t="s">
        <v>10554</v>
      </c>
      <c r="DO47" s="385" t="s">
        <v>10555</v>
      </c>
      <c r="DP47" s="386" t="s">
        <v>10556</v>
      </c>
      <c r="DQ47" s="385" t="s">
        <v>10557</v>
      </c>
      <c r="DR47" s="385" t="s">
        <v>10558</v>
      </c>
      <c r="DS47" s="385" t="s">
        <v>10559</v>
      </c>
      <c r="DT47" s="385" t="s">
        <v>10560</v>
      </c>
      <c r="DU47" s="385" t="s">
        <v>10561</v>
      </c>
      <c r="DV47" s="385" t="s">
        <v>10562</v>
      </c>
      <c r="DW47" s="385" t="s">
        <v>10563</v>
      </c>
      <c r="DX47" s="385" t="s">
        <v>10564</v>
      </c>
      <c r="DY47" s="385" t="s">
        <v>10565</v>
      </c>
      <c r="DZ47" s="385" t="s">
        <v>10566</v>
      </c>
      <c r="EA47" s="385" t="s">
        <v>10567</v>
      </c>
      <c r="EB47" s="384" t="s">
        <v>10568</v>
      </c>
      <c r="EC47" s="384" t="s">
        <v>10202</v>
      </c>
      <c r="ED47" s="384" t="s">
        <v>10311</v>
      </c>
      <c r="EE47" s="384" t="s">
        <v>10202</v>
      </c>
      <c r="EF47" s="385" t="s">
        <v>10302</v>
      </c>
      <c r="EG47" s="385" t="s">
        <v>10324</v>
      </c>
      <c r="EH47" s="385" t="s">
        <v>10325</v>
      </c>
      <c r="EI47" s="384" t="s">
        <v>10326</v>
      </c>
      <c r="EJ47" s="384" t="s">
        <v>10202</v>
      </c>
    </row>
    <row r="48" spans="1:140" ht="12" customHeight="1">
      <c r="A48" s="512">
        <v>10</v>
      </c>
      <c r="B48" s="367" t="s">
        <v>10200</v>
      </c>
      <c r="C48" s="368" t="s">
        <v>8495</v>
      </c>
      <c r="D48" s="368" t="s">
        <v>8499</v>
      </c>
      <c r="E48" s="368" t="s">
        <v>7855</v>
      </c>
      <c r="F48" s="367" t="s">
        <v>8493</v>
      </c>
      <c r="G48" s="367" t="s">
        <v>10200</v>
      </c>
      <c r="H48" s="367" t="s">
        <v>8299</v>
      </c>
      <c r="I48" s="367" t="s">
        <v>10200</v>
      </c>
      <c r="J48" s="368" t="s">
        <v>8456</v>
      </c>
      <c r="K48" s="368" t="s">
        <v>8301</v>
      </c>
      <c r="L48" s="368" t="s">
        <v>8302</v>
      </c>
      <c r="M48" s="368" t="s">
        <v>7605</v>
      </c>
      <c r="N48" s="368" t="s">
        <v>8345</v>
      </c>
      <c r="O48" s="368" t="s">
        <v>8358</v>
      </c>
      <c r="P48" s="368" t="s">
        <v>8229</v>
      </c>
      <c r="Q48" s="368" t="s">
        <v>8437</v>
      </c>
      <c r="R48" s="368" t="s">
        <v>8452</v>
      </c>
      <c r="S48" s="368" t="s">
        <v>8261</v>
      </c>
      <c r="T48" s="368" t="s">
        <v>8247</v>
      </c>
      <c r="U48" s="369" t="s">
        <v>8299</v>
      </c>
      <c r="V48" s="368" t="s">
        <v>8278</v>
      </c>
      <c r="W48" s="368" t="s">
        <v>8375</v>
      </c>
      <c r="X48" s="368" t="s">
        <v>8465</v>
      </c>
      <c r="Y48" s="368" t="s">
        <v>8276</v>
      </c>
      <c r="Z48" s="368" t="s">
        <v>8262</v>
      </c>
      <c r="AA48" s="368" t="s">
        <v>8399</v>
      </c>
      <c r="AB48" s="368" t="s">
        <v>8338</v>
      </c>
      <c r="AC48" s="368" t="s">
        <v>8484</v>
      </c>
      <c r="AD48" s="368" t="s">
        <v>8295</v>
      </c>
      <c r="AE48" s="368" t="s">
        <v>8237</v>
      </c>
      <c r="AF48" s="368" t="s">
        <v>7579</v>
      </c>
      <c r="AG48" s="368" t="s">
        <v>8228</v>
      </c>
      <c r="AH48" s="368" t="s">
        <v>8216</v>
      </c>
      <c r="AI48" s="368" t="s">
        <v>8365</v>
      </c>
      <c r="AJ48" s="368" t="s">
        <v>8304</v>
      </c>
      <c r="AK48" s="368" t="s">
        <v>8272</v>
      </c>
      <c r="AL48" s="368" t="s">
        <v>8328</v>
      </c>
      <c r="AM48" s="368" t="s">
        <v>8461</v>
      </c>
      <c r="AN48" s="368" t="s">
        <v>8242</v>
      </c>
      <c r="AO48" s="368" t="s">
        <v>8288</v>
      </c>
      <c r="AP48" s="368" t="s">
        <v>8340</v>
      </c>
      <c r="AQ48" s="368" t="s">
        <v>8363</v>
      </c>
      <c r="AR48" s="368" t="s">
        <v>8209</v>
      </c>
      <c r="AS48" s="368" t="s">
        <v>8464</v>
      </c>
      <c r="AT48" s="368" t="s">
        <v>8296</v>
      </c>
      <c r="AU48" s="368" t="s">
        <v>7589</v>
      </c>
      <c r="AV48" s="368" t="s">
        <v>8322</v>
      </c>
      <c r="AW48" s="368" t="s">
        <v>8355</v>
      </c>
      <c r="AX48" s="368" t="s">
        <v>8185</v>
      </c>
      <c r="AY48" s="368" t="s">
        <v>8287</v>
      </c>
      <c r="AZ48" s="368" t="s">
        <v>8331</v>
      </c>
      <c r="BA48" s="368" t="s">
        <v>8397</v>
      </c>
      <c r="BB48" s="368" t="s">
        <v>8269</v>
      </c>
      <c r="BC48" s="368" t="s">
        <v>8232</v>
      </c>
      <c r="BD48" s="368" t="s">
        <v>8481</v>
      </c>
      <c r="BE48" s="368" t="s">
        <v>7581</v>
      </c>
      <c r="BF48" s="368" t="s">
        <v>7585</v>
      </c>
      <c r="BG48" s="368" t="s">
        <v>8219</v>
      </c>
      <c r="BH48" s="368" t="s">
        <v>8377</v>
      </c>
      <c r="BI48" s="368" t="s">
        <v>8422</v>
      </c>
      <c r="BJ48" s="368" t="s">
        <v>8488</v>
      </c>
      <c r="BK48" s="368" t="s">
        <v>8190</v>
      </c>
      <c r="BL48" s="368" t="s">
        <v>8392</v>
      </c>
      <c r="BM48" s="368" t="s">
        <v>8197</v>
      </c>
      <c r="BN48" s="368" t="s">
        <v>8432</v>
      </c>
      <c r="BO48" s="368" t="s">
        <v>8388</v>
      </c>
      <c r="BP48" s="368" t="s">
        <v>8374</v>
      </c>
      <c r="BQ48" s="367" t="s">
        <v>7586</v>
      </c>
      <c r="BR48" s="367" t="s">
        <v>10200</v>
      </c>
      <c r="BS48" s="329"/>
      <c r="BT48" s="381" t="s">
        <v>10200</v>
      </c>
      <c r="BU48" s="382" t="s">
        <v>8446</v>
      </c>
      <c r="BV48" s="382" t="s">
        <v>7594</v>
      </c>
      <c r="BW48" s="382" t="s">
        <v>8471</v>
      </c>
      <c r="BX48" s="382" t="s">
        <v>8212</v>
      </c>
      <c r="BY48" s="382" t="s">
        <v>8337</v>
      </c>
      <c r="BZ48" s="382" t="s">
        <v>8488</v>
      </c>
      <c r="CA48" s="382" t="s">
        <v>8274</v>
      </c>
      <c r="CB48" s="382" t="s">
        <v>8261</v>
      </c>
      <c r="CC48" s="382" t="s">
        <v>8188</v>
      </c>
      <c r="CD48" s="382" t="s">
        <v>8436</v>
      </c>
      <c r="CE48" s="382" t="s">
        <v>8286</v>
      </c>
      <c r="CF48" s="382" t="s">
        <v>8458</v>
      </c>
      <c r="CG48" s="382" t="s">
        <v>8206</v>
      </c>
      <c r="CH48" s="382" t="s">
        <v>8283</v>
      </c>
      <c r="CI48" s="382" t="s">
        <v>8385</v>
      </c>
      <c r="CJ48" s="382" t="s">
        <v>8248</v>
      </c>
      <c r="CK48" s="382" t="s">
        <v>8314</v>
      </c>
      <c r="CL48" s="382" t="s">
        <v>8326</v>
      </c>
      <c r="CM48" s="382" t="s">
        <v>8378</v>
      </c>
      <c r="CN48" s="382" t="s">
        <v>8316</v>
      </c>
      <c r="CO48" s="382" t="s">
        <v>8445</v>
      </c>
      <c r="CP48" s="382" t="s">
        <v>8452</v>
      </c>
      <c r="CQ48" s="382" t="s">
        <v>8465</v>
      </c>
      <c r="CR48" s="382" t="s">
        <v>7587</v>
      </c>
      <c r="CS48" s="382" t="s">
        <v>8421</v>
      </c>
      <c r="CT48" s="382" t="s">
        <v>8313</v>
      </c>
      <c r="CU48" s="382" t="s">
        <v>8437</v>
      </c>
      <c r="CV48" s="382" t="s">
        <v>8419</v>
      </c>
      <c r="CW48" s="382" t="s">
        <v>8312</v>
      </c>
      <c r="CX48" s="382" t="s">
        <v>8469</v>
      </c>
      <c r="CY48" s="382" t="s">
        <v>8466</v>
      </c>
      <c r="CZ48" s="382" t="s">
        <v>8431</v>
      </c>
      <c r="DA48" s="382" t="s">
        <v>8366</v>
      </c>
      <c r="DB48" s="382" t="s">
        <v>8232</v>
      </c>
      <c r="DC48" s="382" t="s">
        <v>8320</v>
      </c>
      <c r="DD48" s="382" t="s">
        <v>8228</v>
      </c>
      <c r="DE48" s="382" t="s">
        <v>8327</v>
      </c>
      <c r="DF48" s="382" t="s">
        <v>7596</v>
      </c>
      <c r="DG48" s="382" t="s">
        <v>8404</v>
      </c>
      <c r="DH48" s="382" t="s">
        <v>8290</v>
      </c>
      <c r="DI48" s="382" t="s">
        <v>8197</v>
      </c>
      <c r="DJ48" s="382" t="s">
        <v>8298</v>
      </c>
      <c r="DK48" s="382" t="s">
        <v>8323</v>
      </c>
      <c r="DL48" s="382" t="s">
        <v>7602</v>
      </c>
      <c r="DM48" s="383" t="s">
        <v>8299</v>
      </c>
      <c r="DN48" s="382" t="s">
        <v>8461</v>
      </c>
      <c r="DO48" s="382" t="s">
        <v>8221</v>
      </c>
      <c r="DP48" s="382" t="s">
        <v>8434</v>
      </c>
      <c r="DQ48" s="382" t="s">
        <v>8295</v>
      </c>
      <c r="DR48" s="382" t="s">
        <v>8203</v>
      </c>
      <c r="DS48" s="382" t="s">
        <v>8410</v>
      </c>
      <c r="DT48" s="382" t="s">
        <v>8406</v>
      </c>
      <c r="DU48" s="382" t="s">
        <v>8418</v>
      </c>
      <c r="DV48" s="382" t="s">
        <v>8440</v>
      </c>
      <c r="DW48" s="382" t="s">
        <v>8427</v>
      </c>
      <c r="DX48" s="382" t="s">
        <v>8382</v>
      </c>
      <c r="DY48" s="382" t="s">
        <v>8328</v>
      </c>
      <c r="DZ48" s="382" t="s">
        <v>8294</v>
      </c>
      <c r="EA48" s="382" t="s">
        <v>7553</v>
      </c>
      <c r="EB48" s="381" t="s">
        <v>8195</v>
      </c>
      <c r="EC48" s="381" t="s">
        <v>10200</v>
      </c>
      <c r="ED48" s="381" t="s">
        <v>8299</v>
      </c>
      <c r="EE48" s="381" t="s">
        <v>10200</v>
      </c>
      <c r="EF48" s="382" t="s">
        <v>8500</v>
      </c>
      <c r="EG48" s="382" t="s">
        <v>7854</v>
      </c>
      <c r="EH48" s="383" t="s">
        <v>8299</v>
      </c>
      <c r="EI48" s="381" t="s">
        <v>8490</v>
      </c>
      <c r="EJ48" s="381" t="s">
        <v>10200</v>
      </c>
    </row>
    <row r="49" spans="1:140" ht="12" customHeight="1">
      <c r="A49" s="513"/>
      <c r="B49" s="367" t="s">
        <v>10201</v>
      </c>
      <c r="C49" s="368" t="s">
        <v>7632</v>
      </c>
      <c r="D49" s="368" t="s">
        <v>7649</v>
      </c>
      <c r="E49" s="368" t="s">
        <v>7744</v>
      </c>
      <c r="F49" s="367" t="s">
        <v>7614</v>
      </c>
      <c r="G49" s="367" t="s">
        <v>10201</v>
      </c>
      <c r="H49" s="367" t="s">
        <v>8510</v>
      </c>
      <c r="I49" s="367" t="s">
        <v>10201</v>
      </c>
      <c r="J49" s="368" t="s">
        <v>8651</v>
      </c>
      <c r="K49" s="368" t="s">
        <v>7758</v>
      </c>
      <c r="L49" s="368" t="s">
        <v>7759</v>
      </c>
      <c r="M49" s="368" t="s">
        <v>7808</v>
      </c>
      <c r="N49" s="368" t="s">
        <v>8540</v>
      </c>
      <c r="O49" s="368" t="s">
        <v>8553</v>
      </c>
      <c r="P49" s="368" t="s">
        <v>7664</v>
      </c>
      <c r="Q49" s="368" t="s">
        <v>8632</v>
      </c>
      <c r="R49" s="368" t="s">
        <v>8647</v>
      </c>
      <c r="S49" s="368" t="s">
        <v>7699</v>
      </c>
      <c r="T49" s="368" t="s">
        <v>7685</v>
      </c>
      <c r="U49" s="369" t="s">
        <v>8686</v>
      </c>
      <c r="V49" s="368" t="s">
        <v>7717</v>
      </c>
      <c r="W49" s="368" t="s">
        <v>8570</v>
      </c>
      <c r="X49" s="368" t="s">
        <v>8660</v>
      </c>
      <c r="Y49" s="368" t="s">
        <v>7715</v>
      </c>
      <c r="Z49" s="368" t="s">
        <v>7700</v>
      </c>
      <c r="AA49" s="368" t="s">
        <v>8594</v>
      </c>
      <c r="AB49" s="368" t="s">
        <v>8533</v>
      </c>
      <c r="AC49" s="368" t="s">
        <v>8679</v>
      </c>
      <c r="AD49" s="368" t="s">
        <v>7742</v>
      </c>
      <c r="AE49" s="368" t="s">
        <v>7674</v>
      </c>
      <c r="AF49" s="368" t="s">
        <v>7778</v>
      </c>
      <c r="AG49" s="368" t="s">
        <v>7663</v>
      </c>
      <c r="AH49" s="368" t="s">
        <v>7647</v>
      </c>
      <c r="AI49" s="368" t="s">
        <v>8560</v>
      </c>
      <c r="AJ49" s="368" t="s">
        <v>7761</v>
      </c>
      <c r="AK49" s="368" t="s">
        <v>7710</v>
      </c>
      <c r="AL49" s="368" t="s">
        <v>8523</v>
      </c>
      <c r="AM49" s="368" t="s">
        <v>8656</v>
      </c>
      <c r="AN49" s="368" t="s">
        <v>7680</v>
      </c>
      <c r="AO49" s="368" t="s">
        <v>7729</v>
      </c>
      <c r="AP49" s="368" t="s">
        <v>8535</v>
      </c>
      <c r="AQ49" s="368" t="s">
        <v>8558</v>
      </c>
      <c r="AR49" s="368" t="s">
        <v>7638</v>
      </c>
      <c r="AS49" s="368" t="s">
        <v>8659</v>
      </c>
      <c r="AT49" s="368" t="s">
        <v>7750</v>
      </c>
      <c r="AU49" s="368" t="s">
        <v>7788</v>
      </c>
      <c r="AV49" s="368" t="s">
        <v>8517</v>
      </c>
      <c r="AW49" s="368" t="s">
        <v>8550</v>
      </c>
      <c r="AX49" s="368" t="s">
        <v>7608</v>
      </c>
      <c r="AY49" s="368" t="s">
        <v>7728</v>
      </c>
      <c r="AZ49" s="368" t="s">
        <v>8526</v>
      </c>
      <c r="BA49" s="368" t="s">
        <v>8592</v>
      </c>
      <c r="BB49" s="368" t="s">
        <v>7707</v>
      </c>
      <c r="BC49" s="368" t="s">
        <v>7668</v>
      </c>
      <c r="BD49" s="368" t="s">
        <v>8676</v>
      </c>
      <c r="BE49" s="368" t="s">
        <v>7780</v>
      </c>
      <c r="BF49" s="368" t="s">
        <v>7784</v>
      </c>
      <c r="BG49" s="368" t="s">
        <v>7652</v>
      </c>
      <c r="BH49" s="368" t="s">
        <v>8572</v>
      </c>
      <c r="BI49" s="368" t="s">
        <v>8617</v>
      </c>
      <c r="BJ49" s="368" t="s">
        <v>8683</v>
      </c>
      <c r="BK49" s="368" t="s">
        <v>7616</v>
      </c>
      <c r="BL49" s="368" t="s">
        <v>8587</v>
      </c>
      <c r="BM49" s="368" t="s">
        <v>7623</v>
      </c>
      <c r="BN49" s="368" t="s">
        <v>8627</v>
      </c>
      <c r="BO49" s="368" t="s">
        <v>8583</v>
      </c>
      <c r="BP49" s="368" t="s">
        <v>8569</v>
      </c>
      <c r="BQ49" s="367" t="s">
        <v>7785</v>
      </c>
      <c r="BR49" s="367" t="s">
        <v>10201</v>
      </c>
      <c r="BS49" s="329"/>
      <c r="BT49" s="381" t="s">
        <v>10201</v>
      </c>
      <c r="BU49" s="382" t="s">
        <v>8641</v>
      </c>
      <c r="BV49" s="382" t="s">
        <v>7793</v>
      </c>
      <c r="BW49" s="382" t="s">
        <v>8666</v>
      </c>
      <c r="BX49" s="382" t="s">
        <v>7641</v>
      </c>
      <c r="BY49" s="382" t="s">
        <v>8532</v>
      </c>
      <c r="BZ49" s="382" t="s">
        <v>8683</v>
      </c>
      <c r="CA49" s="382" t="s">
        <v>7712</v>
      </c>
      <c r="CB49" s="382" t="s">
        <v>7699</v>
      </c>
      <c r="CC49" s="382" t="s">
        <v>7612</v>
      </c>
      <c r="CD49" s="382" t="s">
        <v>8631</v>
      </c>
      <c r="CE49" s="382" t="s">
        <v>7726</v>
      </c>
      <c r="CF49" s="382" t="s">
        <v>8653</v>
      </c>
      <c r="CG49" s="382" t="s">
        <v>7635</v>
      </c>
      <c r="CH49" s="382" t="s">
        <v>7722</v>
      </c>
      <c r="CI49" s="382" t="s">
        <v>8580</v>
      </c>
      <c r="CJ49" s="382" t="s">
        <v>7686</v>
      </c>
      <c r="CK49" s="382" t="s">
        <v>7802</v>
      </c>
      <c r="CL49" s="382" t="s">
        <v>8521</v>
      </c>
      <c r="CM49" s="382" t="s">
        <v>8573</v>
      </c>
      <c r="CN49" s="382" t="s">
        <v>8511</v>
      </c>
      <c r="CO49" s="382" t="s">
        <v>8640</v>
      </c>
      <c r="CP49" s="382" t="s">
        <v>8647</v>
      </c>
      <c r="CQ49" s="382" t="s">
        <v>8660</v>
      </c>
      <c r="CR49" s="382" t="s">
        <v>7786</v>
      </c>
      <c r="CS49" s="382" t="s">
        <v>8616</v>
      </c>
      <c r="CT49" s="382" t="s">
        <v>7801</v>
      </c>
      <c r="CU49" s="382" t="s">
        <v>8632</v>
      </c>
      <c r="CV49" s="382" t="s">
        <v>8614</v>
      </c>
      <c r="CW49" s="382" t="s">
        <v>7800</v>
      </c>
      <c r="CX49" s="382" t="s">
        <v>8664</v>
      </c>
      <c r="CY49" s="382" t="s">
        <v>8661</v>
      </c>
      <c r="CZ49" s="382" t="s">
        <v>8626</v>
      </c>
      <c r="DA49" s="382" t="s">
        <v>8561</v>
      </c>
      <c r="DB49" s="382" t="s">
        <v>7668</v>
      </c>
      <c r="DC49" s="382" t="s">
        <v>8515</v>
      </c>
      <c r="DD49" s="382" t="s">
        <v>7663</v>
      </c>
      <c r="DE49" s="382" t="s">
        <v>8522</v>
      </c>
      <c r="DF49" s="382" t="s">
        <v>7795</v>
      </c>
      <c r="DG49" s="382" t="s">
        <v>8599</v>
      </c>
      <c r="DH49" s="382" t="s">
        <v>7732</v>
      </c>
      <c r="DI49" s="382" t="s">
        <v>7623</v>
      </c>
      <c r="DJ49" s="382" t="s">
        <v>7752</v>
      </c>
      <c r="DK49" s="382" t="s">
        <v>8518</v>
      </c>
      <c r="DL49" s="382" t="s">
        <v>7805</v>
      </c>
      <c r="DM49" s="383" t="s">
        <v>8686</v>
      </c>
      <c r="DN49" s="382" t="s">
        <v>8656</v>
      </c>
      <c r="DO49" s="382" t="s">
        <v>7654</v>
      </c>
      <c r="DP49" s="382" t="s">
        <v>8629</v>
      </c>
      <c r="DQ49" s="382" t="s">
        <v>7742</v>
      </c>
      <c r="DR49" s="382" t="s">
        <v>7630</v>
      </c>
      <c r="DS49" s="382" t="s">
        <v>8605</v>
      </c>
      <c r="DT49" s="382" t="s">
        <v>8601</v>
      </c>
      <c r="DU49" s="382" t="s">
        <v>8613</v>
      </c>
      <c r="DV49" s="382" t="s">
        <v>8635</v>
      </c>
      <c r="DW49" s="382" t="s">
        <v>8622</v>
      </c>
      <c r="DX49" s="382" t="s">
        <v>8577</v>
      </c>
      <c r="DY49" s="382" t="s">
        <v>8523</v>
      </c>
      <c r="DZ49" s="382" t="s">
        <v>7740</v>
      </c>
      <c r="EA49" s="382" t="s">
        <v>7727</v>
      </c>
      <c r="EB49" s="381" t="s">
        <v>7621</v>
      </c>
      <c r="EC49" s="381" t="s">
        <v>10201</v>
      </c>
      <c r="ED49" s="381" t="s">
        <v>8510</v>
      </c>
      <c r="EE49" s="381" t="s">
        <v>10201</v>
      </c>
      <c r="EF49" s="382" t="s">
        <v>7651</v>
      </c>
      <c r="EG49" s="382" t="s">
        <v>7746</v>
      </c>
      <c r="EH49" s="383" t="s">
        <v>8685</v>
      </c>
      <c r="EI49" s="381" t="s">
        <v>7607</v>
      </c>
      <c r="EJ49" s="381" t="s">
        <v>10201</v>
      </c>
    </row>
    <row r="50" spans="1:140" ht="12" customHeight="1">
      <c r="A50" s="513"/>
      <c r="B50" s="367" t="s">
        <v>8731</v>
      </c>
      <c r="C50" s="368" t="s">
        <v>8507</v>
      </c>
      <c r="D50" s="368" t="s">
        <v>8507</v>
      </c>
      <c r="E50" s="368" t="s">
        <v>8507</v>
      </c>
      <c r="F50" s="367" t="s">
        <v>8507</v>
      </c>
      <c r="G50" s="367" t="s">
        <v>8731</v>
      </c>
      <c r="H50" s="367" t="s">
        <v>8508</v>
      </c>
      <c r="I50" s="367" t="s">
        <v>8731</v>
      </c>
      <c r="J50" s="368" t="s">
        <v>8506</v>
      </c>
      <c r="K50" s="368" t="s">
        <v>8506</v>
      </c>
      <c r="L50" s="368" t="s">
        <v>8506</v>
      </c>
      <c r="M50" s="368" t="s">
        <v>8506</v>
      </c>
      <c r="N50" s="368" t="s">
        <v>8506</v>
      </c>
      <c r="O50" s="368" t="s">
        <v>8506</v>
      </c>
      <c r="P50" s="368" t="s">
        <v>8506</v>
      </c>
      <c r="Q50" s="368" t="s">
        <v>8506</v>
      </c>
      <c r="R50" s="368" t="s">
        <v>8506</v>
      </c>
      <c r="S50" s="368" t="s">
        <v>8506</v>
      </c>
      <c r="T50" s="368" t="s">
        <v>8506</v>
      </c>
      <c r="U50" s="369" t="s">
        <v>8506</v>
      </c>
      <c r="V50" s="368" t="s">
        <v>8506</v>
      </c>
      <c r="W50" s="368" t="s">
        <v>8506</v>
      </c>
      <c r="X50" s="368" t="s">
        <v>8506</v>
      </c>
      <c r="Y50" s="368" t="s">
        <v>8506</v>
      </c>
      <c r="Z50" s="368" t="s">
        <v>8506</v>
      </c>
      <c r="AA50" s="368" t="s">
        <v>8506</v>
      </c>
      <c r="AB50" s="368" t="s">
        <v>8506</v>
      </c>
      <c r="AC50" s="368" t="s">
        <v>8506</v>
      </c>
      <c r="AD50" s="368" t="s">
        <v>8506</v>
      </c>
      <c r="AE50" s="368" t="s">
        <v>8506</v>
      </c>
      <c r="AF50" s="368" t="s">
        <v>8506</v>
      </c>
      <c r="AG50" s="368" t="s">
        <v>8506</v>
      </c>
      <c r="AH50" s="368" t="s">
        <v>8506</v>
      </c>
      <c r="AI50" s="368" t="s">
        <v>8506</v>
      </c>
      <c r="AJ50" s="368" t="s">
        <v>8506</v>
      </c>
      <c r="AK50" s="368" t="s">
        <v>8506</v>
      </c>
      <c r="AL50" s="368" t="s">
        <v>8506</v>
      </c>
      <c r="AM50" s="368" t="s">
        <v>8506</v>
      </c>
      <c r="AN50" s="368" t="s">
        <v>8506</v>
      </c>
      <c r="AO50" s="368" t="s">
        <v>8506</v>
      </c>
      <c r="AP50" s="368" t="s">
        <v>8506</v>
      </c>
      <c r="AQ50" s="368" t="s">
        <v>8506</v>
      </c>
      <c r="AR50" s="368" t="s">
        <v>8506</v>
      </c>
      <c r="AS50" s="368" t="s">
        <v>8506</v>
      </c>
      <c r="AT50" s="368" t="s">
        <v>8506</v>
      </c>
      <c r="AU50" s="368" t="s">
        <v>8506</v>
      </c>
      <c r="AV50" s="368" t="s">
        <v>8506</v>
      </c>
      <c r="AW50" s="368" t="s">
        <v>8506</v>
      </c>
      <c r="AX50" s="368" t="s">
        <v>8506</v>
      </c>
      <c r="AY50" s="368" t="s">
        <v>8506</v>
      </c>
      <c r="AZ50" s="368" t="s">
        <v>8506</v>
      </c>
      <c r="BA50" s="368" t="s">
        <v>8506</v>
      </c>
      <c r="BB50" s="368" t="s">
        <v>8506</v>
      </c>
      <c r="BC50" s="368" t="s">
        <v>8506</v>
      </c>
      <c r="BD50" s="368" t="s">
        <v>8506</v>
      </c>
      <c r="BE50" s="368" t="s">
        <v>8506</v>
      </c>
      <c r="BF50" s="368" t="s">
        <v>8506</v>
      </c>
      <c r="BG50" s="368" t="s">
        <v>8506</v>
      </c>
      <c r="BH50" s="368" t="s">
        <v>8506</v>
      </c>
      <c r="BI50" s="368" t="s">
        <v>8506</v>
      </c>
      <c r="BJ50" s="368" t="s">
        <v>8506</v>
      </c>
      <c r="BK50" s="368" t="s">
        <v>8506</v>
      </c>
      <c r="BL50" s="368" t="s">
        <v>8506</v>
      </c>
      <c r="BM50" s="368" t="s">
        <v>8506</v>
      </c>
      <c r="BN50" s="368" t="s">
        <v>8506</v>
      </c>
      <c r="BO50" s="368" t="s">
        <v>8506</v>
      </c>
      <c r="BP50" s="368" t="s">
        <v>8506</v>
      </c>
      <c r="BQ50" s="367" t="s">
        <v>8506</v>
      </c>
      <c r="BR50" s="367" t="s">
        <v>8731</v>
      </c>
      <c r="BS50" s="329" t="s">
        <v>10274</v>
      </c>
      <c r="BT50" s="381" t="s">
        <v>8731</v>
      </c>
      <c r="BU50" s="382" t="s">
        <v>8506</v>
      </c>
      <c r="BV50" s="382" t="s">
        <v>8506</v>
      </c>
      <c r="BW50" s="382" t="s">
        <v>8506</v>
      </c>
      <c r="BX50" s="382" t="s">
        <v>8506</v>
      </c>
      <c r="BY50" s="382" t="s">
        <v>8506</v>
      </c>
      <c r="BZ50" s="382" t="s">
        <v>8506</v>
      </c>
      <c r="CA50" s="382" t="s">
        <v>8506</v>
      </c>
      <c r="CB50" s="382" t="s">
        <v>8506</v>
      </c>
      <c r="CC50" s="382" t="s">
        <v>8506</v>
      </c>
      <c r="CD50" s="382" t="s">
        <v>8506</v>
      </c>
      <c r="CE50" s="382" t="s">
        <v>8506</v>
      </c>
      <c r="CF50" s="382" t="s">
        <v>8506</v>
      </c>
      <c r="CG50" s="382" t="s">
        <v>8506</v>
      </c>
      <c r="CH50" s="382" t="s">
        <v>8506</v>
      </c>
      <c r="CI50" s="382" t="s">
        <v>8506</v>
      </c>
      <c r="CJ50" s="382" t="s">
        <v>8506</v>
      </c>
      <c r="CK50" s="382" t="s">
        <v>8506</v>
      </c>
      <c r="CL50" s="382" t="s">
        <v>8506</v>
      </c>
      <c r="CM50" s="382" t="s">
        <v>8506</v>
      </c>
      <c r="CN50" s="382" t="s">
        <v>8506</v>
      </c>
      <c r="CO50" s="382" t="s">
        <v>8506</v>
      </c>
      <c r="CP50" s="382" t="s">
        <v>8506</v>
      </c>
      <c r="CQ50" s="382" t="s">
        <v>8506</v>
      </c>
      <c r="CR50" s="382" t="s">
        <v>8506</v>
      </c>
      <c r="CS50" s="382" t="s">
        <v>8506</v>
      </c>
      <c r="CT50" s="382" t="s">
        <v>8506</v>
      </c>
      <c r="CU50" s="382" t="s">
        <v>8506</v>
      </c>
      <c r="CV50" s="382" t="s">
        <v>8506</v>
      </c>
      <c r="CW50" s="382" t="s">
        <v>8506</v>
      </c>
      <c r="CX50" s="382" t="s">
        <v>8506</v>
      </c>
      <c r="CY50" s="382" t="s">
        <v>8506</v>
      </c>
      <c r="CZ50" s="382" t="s">
        <v>8506</v>
      </c>
      <c r="DA50" s="382" t="s">
        <v>8506</v>
      </c>
      <c r="DB50" s="382" t="s">
        <v>8506</v>
      </c>
      <c r="DC50" s="382" t="s">
        <v>8506</v>
      </c>
      <c r="DD50" s="382" t="s">
        <v>8506</v>
      </c>
      <c r="DE50" s="382" t="s">
        <v>8506</v>
      </c>
      <c r="DF50" s="382" t="s">
        <v>8506</v>
      </c>
      <c r="DG50" s="382" t="s">
        <v>8506</v>
      </c>
      <c r="DH50" s="382" t="s">
        <v>8506</v>
      </c>
      <c r="DI50" s="382" t="s">
        <v>8506</v>
      </c>
      <c r="DJ50" s="382" t="s">
        <v>8506</v>
      </c>
      <c r="DK50" s="382" t="s">
        <v>8506</v>
      </c>
      <c r="DL50" s="382" t="s">
        <v>8506</v>
      </c>
      <c r="DM50" s="383" t="s">
        <v>8506</v>
      </c>
      <c r="DN50" s="382" t="s">
        <v>8506</v>
      </c>
      <c r="DO50" s="382" t="s">
        <v>8506</v>
      </c>
      <c r="DP50" s="382" t="s">
        <v>8506</v>
      </c>
      <c r="DQ50" s="382" t="s">
        <v>8506</v>
      </c>
      <c r="DR50" s="382" t="s">
        <v>8506</v>
      </c>
      <c r="DS50" s="382" t="s">
        <v>8506</v>
      </c>
      <c r="DT50" s="382" t="s">
        <v>8506</v>
      </c>
      <c r="DU50" s="382" t="s">
        <v>8506</v>
      </c>
      <c r="DV50" s="382" t="s">
        <v>8506</v>
      </c>
      <c r="DW50" s="382" t="s">
        <v>8506</v>
      </c>
      <c r="DX50" s="382" t="s">
        <v>8506</v>
      </c>
      <c r="DY50" s="382" t="s">
        <v>8506</v>
      </c>
      <c r="DZ50" s="382" t="s">
        <v>8506</v>
      </c>
      <c r="EA50" s="382" t="s">
        <v>8506</v>
      </c>
      <c r="EB50" s="381" t="s">
        <v>8506</v>
      </c>
      <c r="EC50" s="381" t="s">
        <v>8731</v>
      </c>
      <c r="ED50" s="381" t="s">
        <v>8508</v>
      </c>
      <c r="EE50" s="381" t="s">
        <v>8731</v>
      </c>
      <c r="EF50" s="382" t="s">
        <v>8507</v>
      </c>
      <c r="EG50" s="382" t="s">
        <v>8507</v>
      </c>
      <c r="EH50" s="383" t="s">
        <v>8507</v>
      </c>
      <c r="EI50" s="381" t="s">
        <v>8507</v>
      </c>
      <c r="EJ50" s="381" t="s">
        <v>8731</v>
      </c>
    </row>
    <row r="51" spans="1:140" ht="12" customHeight="1">
      <c r="A51" s="513"/>
      <c r="B51" s="370" t="s">
        <v>10202</v>
      </c>
      <c r="C51" s="371" t="s">
        <v>10213</v>
      </c>
      <c r="D51" s="371" t="s">
        <v>10209</v>
      </c>
      <c r="E51" s="371" t="s">
        <v>10248</v>
      </c>
      <c r="F51" s="370" t="s">
        <v>10212</v>
      </c>
      <c r="G51" s="370" t="s">
        <v>10202</v>
      </c>
      <c r="H51" s="370" t="s">
        <v>10204</v>
      </c>
      <c r="I51" s="370" t="s">
        <v>10202</v>
      </c>
      <c r="J51" s="371" t="s">
        <v>10569</v>
      </c>
      <c r="K51" s="371" t="s">
        <v>10570</v>
      </c>
      <c r="L51" s="371" t="s">
        <v>10571</v>
      </c>
      <c r="M51" s="371" t="s">
        <v>10572</v>
      </c>
      <c r="N51" s="371" t="s">
        <v>10573</v>
      </c>
      <c r="O51" s="371" t="s">
        <v>10574</v>
      </c>
      <c r="P51" s="371" t="s">
        <v>10575</v>
      </c>
      <c r="Q51" s="371" t="s">
        <v>10576</v>
      </c>
      <c r="R51" s="371" t="s">
        <v>10577</v>
      </c>
      <c r="S51" s="371" t="s">
        <v>10578</v>
      </c>
      <c r="T51" s="371" t="s">
        <v>10579</v>
      </c>
      <c r="U51" s="373" t="s">
        <v>10580</v>
      </c>
      <c r="V51" s="371" t="s">
        <v>10581</v>
      </c>
      <c r="W51" s="371" t="s">
        <v>10582</v>
      </c>
      <c r="X51" s="371" t="s">
        <v>10583</v>
      </c>
      <c r="Y51" s="371" t="s">
        <v>10584</v>
      </c>
      <c r="Z51" s="371" t="s">
        <v>10585</v>
      </c>
      <c r="AA51" s="371" t="s">
        <v>10586</v>
      </c>
      <c r="AB51" s="371" t="s">
        <v>10587</v>
      </c>
      <c r="AC51" s="371" t="s">
        <v>10588</v>
      </c>
      <c r="AD51" s="371" t="s">
        <v>10589</v>
      </c>
      <c r="AE51" s="371" t="s">
        <v>10590</v>
      </c>
      <c r="AF51" s="371" t="s">
        <v>10591</v>
      </c>
      <c r="AG51" s="371" t="s">
        <v>10592</v>
      </c>
      <c r="AH51" s="371" t="s">
        <v>10338</v>
      </c>
      <c r="AI51" s="371" t="s">
        <v>10593</v>
      </c>
      <c r="AJ51" s="371" t="s">
        <v>10594</v>
      </c>
      <c r="AK51" s="371" t="s">
        <v>10595</v>
      </c>
      <c r="AL51" s="371" t="s">
        <v>10596</v>
      </c>
      <c r="AM51" s="371" t="s">
        <v>10597</v>
      </c>
      <c r="AN51" s="371" t="s">
        <v>10598</v>
      </c>
      <c r="AO51" s="371" t="s">
        <v>10599</v>
      </c>
      <c r="AP51" s="371" t="s">
        <v>10600</v>
      </c>
      <c r="AQ51" s="371" t="s">
        <v>10601</v>
      </c>
      <c r="AR51" s="371" t="s">
        <v>10281</v>
      </c>
      <c r="AS51" s="371" t="s">
        <v>10602</v>
      </c>
      <c r="AT51" s="371" t="s">
        <v>10603</v>
      </c>
      <c r="AU51" s="371" t="s">
        <v>10604</v>
      </c>
      <c r="AV51" s="371" t="s">
        <v>10605</v>
      </c>
      <c r="AW51" s="371" t="s">
        <v>10606</v>
      </c>
      <c r="AX51" s="371" t="s">
        <v>10211</v>
      </c>
      <c r="AY51" s="371" t="s">
        <v>10607</v>
      </c>
      <c r="AZ51" s="371" t="s">
        <v>10608</v>
      </c>
      <c r="BA51" s="371" t="s">
        <v>10609</v>
      </c>
      <c r="BB51" s="371" t="s">
        <v>10610</v>
      </c>
      <c r="BC51" s="371" t="s">
        <v>10611</v>
      </c>
      <c r="BD51" s="371" t="s">
        <v>10612</v>
      </c>
      <c r="BE51" s="371" t="s">
        <v>10613</v>
      </c>
      <c r="BF51" s="371" t="s">
        <v>10614</v>
      </c>
      <c r="BG51" s="371" t="s">
        <v>10336</v>
      </c>
      <c r="BH51" s="371" t="s">
        <v>10615</v>
      </c>
      <c r="BI51" s="371" t="s">
        <v>10616</v>
      </c>
      <c r="BJ51" s="371" t="s">
        <v>10617</v>
      </c>
      <c r="BK51" s="371" t="s">
        <v>10207</v>
      </c>
      <c r="BL51" s="371" t="s">
        <v>10618</v>
      </c>
      <c r="BM51" s="371" t="s">
        <v>10240</v>
      </c>
      <c r="BN51" s="371" t="s">
        <v>10619</v>
      </c>
      <c r="BO51" s="371" t="s">
        <v>10620</v>
      </c>
      <c r="BP51" s="371" t="s">
        <v>10621</v>
      </c>
      <c r="BQ51" s="370" t="s">
        <v>10622</v>
      </c>
      <c r="BR51" s="370" t="s">
        <v>10202</v>
      </c>
      <c r="BS51" s="330"/>
      <c r="BT51" s="384" t="s">
        <v>10202</v>
      </c>
      <c r="BU51" s="385" t="s">
        <v>10623</v>
      </c>
      <c r="BV51" s="385" t="s">
        <v>10624</v>
      </c>
      <c r="BW51" s="385" t="s">
        <v>10625</v>
      </c>
      <c r="BX51" s="385" t="s">
        <v>10294</v>
      </c>
      <c r="BY51" s="385" t="s">
        <v>10626</v>
      </c>
      <c r="BZ51" s="385" t="s">
        <v>10627</v>
      </c>
      <c r="CA51" s="385" t="s">
        <v>10628</v>
      </c>
      <c r="CB51" s="385" t="s">
        <v>10629</v>
      </c>
      <c r="CC51" s="385" t="s">
        <v>10305</v>
      </c>
      <c r="CD51" s="385" t="s">
        <v>10630</v>
      </c>
      <c r="CE51" s="385" t="s">
        <v>10631</v>
      </c>
      <c r="CF51" s="385" t="s">
        <v>10632</v>
      </c>
      <c r="CG51" s="385" t="s">
        <v>10326</v>
      </c>
      <c r="CH51" s="385" t="s">
        <v>10633</v>
      </c>
      <c r="CI51" s="385" t="s">
        <v>10634</v>
      </c>
      <c r="CJ51" s="385" t="s">
        <v>10635</v>
      </c>
      <c r="CK51" s="385" t="s">
        <v>10636</v>
      </c>
      <c r="CL51" s="385" t="s">
        <v>10637</v>
      </c>
      <c r="CM51" s="385" t="s">
        <v>10638</v>
      </c>
      <c r="CN51" s="385" t="s">
        <v>10639</v>
      </c>
      <c r="CO51" s="385" t="s">
        <v>10640</v>
      </c>
      <c r="CP51" s="385" t="s">
        <v>10641</v>
      </c>
      <c r="CQ51" s="385" t="s">
        <v>10642</v>
      </c>
      <c r="CR51" s="385" t="s">
        <v>10643</v>
      </c>
      <c r="CS51" s="385" t="s">
        <v>10644</v>
      </c>
      <c r="CT51" s="385" t="s">
        <v>10645</v>
      </c>
      <c r="CU51" s="385" t="s">
        <v>10646</v>
      </c>
      <c r="CV51" s="385" t="s">
        <v>10647</v>
      </c>
      <c r="CW51" s="385" t="s">
        <v>10648</v>
      </c>
      <c r="CX51" s="385" t="s">
        <v>10649</v>
      </c>
      <c r="CY51" s="385" t="s">
        <v>10650</v>
      </c>
      <c r="CZ51" s="385" t="s">
        <v>10651</v>
      </c>
      <c r="DA51" s="385" t="s">
        <v>10652</v>
      </c>
      <c r="DB51" s="385" t="s">
        <v>10653</v>
      </c>
      <c r="DC51" s="385" t="s">
        <v>10654</v>
      </c>
      <c r="DD51" s="385" t="s">
        <v>10655</v>
      </c>
      <c r="DE51" s="385" t="s">
        <v>10656</v>
      </c>
      <c r="DF51" s="385" t="s">
        <v>10657</v>
      </c>
      <c r="DG51" s="385" t="s">
        <v>10658</v>
      </c>
      <c r="DH51" s="385" t="s">
        <v>10659</v>
      </c>
      <c r="DI51" s="385" t="s">
        <v>10318</v>
      </c>
      <c r="DJ51" s="385" t="s">
        <v>10660</v>
      </c>
      <c r="DK51" s="385" t="s">
        <v>10661</v>
      </c>
      <c r="DL51" s="385" t="s">
        <v>10662</v>
      </c>
      <c r="DM51" s="386" t="s">
        <v>10663</v>
      </c>
      <c r="DN51" s="385" t="s">
        <v>10664</v>
      </c>
      <c r="DO51" s="385" t="s">
        <v>10665</v>
      </c>
      <c r="DP51" s="385" t="s">
        <v>10666</v>
      </c>
      <c r="DQ51" s="385" t="s">
        <v>10667</v>
      </c>
      <c r="DR51" s="385" t="s">
        <v>10328</v>
      </c>
      <c r="DS51" s="385" t="s">
        <v>10668</v>
      </c>
      <c r="DT51" s="385" t="s">
        <v>10669</v>
      </c>
      <c r="DU51" s="385" t="s">
        <v>10670</v>
      </c>
      <c r="DV51" s="385" t="s">
        <v>10671</v>
      </c>
      <c r="DW51" s="385" t="s">
        <v>10672</v>
      </c>
      <c r="DX51" s="385" t="s">
        <v>10673</v>
      </c>
      <c r="DY51" s="385" t="s">
        <v>10674</v>
      </c>
      <c r="DZ51" s="385" t="s">
        <v>10675</v>
      </c>
      <c r="EA51" s="385" t="s">
        <v>10676</v>
      </c>
      <c r="EB51" s="384" t="s">
        <v>10302</v>
      </c>
      <c r="EC51" s="384" t="s">
        <v>10202</v>
      </c>
      <c r="ED51" s="384" t="s">
        <v>10293</v>
      </c>
      <c r="EE51" s="384" t="s">
        <v>10202</v>
      </c>
      <c r="EF51" s="385" t="s">
        <v>10317</v>
      </c>
      <c r="EG51" s="385" t="s">
        <v>10328</v>
      </c>
      <c r="EH51" s="386" t="s">
        <v>10308</v>
      </c>
      <c r="EI51" s="384" t="s">
        <v>10293</v>
      </c>
      <c r="EJ51" s="384" t="s">
        <v>10202</v>
      </c>
    </row>
    <row r="52" spans="1:140" ht="12" customHeight="1">
      <c r="A52" s="512">
        <v>9</v>
      </c>
      <c r="B52" s="367" t="s">
        <v>10200</v>
      </c>
      <c r="C52" s="368" t="s">
        <v>8500</v>
      </c>
      <c r="D52" s="368" t="s">
        <v>7861</v>
      </c>
      <c r="E52" s="368" t="s">
        <v>8505</v>
      </c>
      <c r="F52" s="367" t="s">
        <v>8497</v>
      </c>
      <c r="G52" s="367" t="s">
        <v>10200</v>
      </c>
      <c r="H52" s="367" t="s">
        <v>7845</v>
      </c>
      <c r="I52" s="367" t="s">
        <v>10200</v>
      </c>
      <c r="J52" s="368" t="s">
        <v>8243</v>
      </c>
      <c r="K52" s="368" t="s">
        <v>7570</v>
      </c>
      <c r="L52" s="368" t="s">
        <v>8225</v>
      </c>
      <c r="M52" s="368" t="s">
        <v>8298</v>
      </c>
      <c r="N52" s="368" t="s">
        <v>8474</v>
      </c>
      <c r="O52" s="368" t="s">
        <v>8439</v>
      </c>
      <c r="P52" s="368" t="s">
        <v>8303</v>
      </c>
      <c r="Q52" s="368" t="s">
        <v>8460</v>
      </c>
      <c r="R52" s="368" t="s">
        <v>8369</v>
      </c>
      <c r="S52" s="368" t="s">
        <v>8459</v>
      </c>
      <c r="T52" s="368" t="s">
        <v>8315</v>
      </c>
      <c r="U52" s="368" t="s">
        <v>8257</v>
      </c>
      <c r="V52" s="368" t="s">
        <v>8234</v>
      </c>
      <c r="W52" s="368" t="s">
        <v>8410</v>
      </c>
      <c r="X52" s="368" t="s">
        <v>8347</v>
      </c>
      <c r="Y52" s="368" t="s">
        <v>8206</v>
      </c>
      <c r="Z52" s="368" t="s">
        <v>8211</v>
      </c>
      <c r="AA52" s="368" t="s">
        <v>7553</v>
      </c>
      <c r="AB52" s="368" t="s">
        <v>8450</v>
      </c>
      <c r="AC52" s="368" t="s">
        <v>8475</v>
      </c>
      <c r="AD52" s="368" t="s">
        <v>8429</v>
      </c>
      <c r="AE52" s="368" t="s">
        <v>7570</v>
      </c>
      <c r="AF52" s="368" t="s">
        <v>8424</v>
      </c>
      <c r="AG52" s="368" t="s">
        <v>8189</v>
      </c>
      <c r="AH52" s="368" t="s">
        <v>8271</v>
      </c>
      <c r="AI52" s="368" t="s">
        <v>8329</v>
      </c>
      <c r="AJ52" s="368" t="s">
        <v>8417</v>
      </c>
      <c r="AK52" s="368" t="s">
        <v>8455</v>
      </c>
      <c r="AL52" s="368" t="s">
        <v>8463</v>
      </c>
      <c r="AM52" s="368" t="s">
        <v>7587</v>
      </c>
      <c r="AN52" s="368" t="s">
        <v>8430</v>
      </c>
      <c r="AO52" s="368" t="s">
        <v>8236</v>
      </c>
      <c r="AP52" s="368" t="s">
        <v>8360</v>
      </c>
      <c r="AQ52" s="368" t="s">
        <v>8479</v>
      </c>
      <c r="AR52" s="368" t="s">
        <v>8333</v>
      </c>
      <c r="AS52" s="368" t="s">
        <v>8487</v>
      </c>
      <c r="AT52" s="368" t="s">
        <v>8305</v>
      </c>
      <c r="AU52" s="368" t="s">
        <v>8201</v>
      </c>
      <c r="AV52" s="368" t="s">
        <v>8351</v>
      </c>
      <c r="AW52" s="368" t="s">
        <v>8462</v>
      </c>
      <c r="AX52" s="368" t="s">
        <v>8344</v>
      </c>
      <c r="AY52" s="368" t="s">
        <v>8373</v>
      </c>
      <c r="AZ52" s="368" t="s">
        <v>7858</v>
      </c>
      <c r="BA52" s="368" t="s">
        <v>7602</v>
      </c>
      <c r="BB52" s="368" t="s">
        <v>8477</v>
      </c>
      <c r="BC52" s="368" t="s">
        <v>7588</v>
      </c>
      <c r="BD52" s="368" t="s">
        <v>8335</v>
      </c>
      <c r="BE52" s="368" t="s">
        <v>8239</v>
      </c>
      <c r="BF52" s="368" t="s">
        <v>8246</v>
      </c>
      <c r="BG52" s="368" t="s">
        <v>8403</v>
      </c>
      <c r="BH52" s="368" t="s">
        <v>8440</v>
      </c>
      <c r="BI52" s="368" t="s">
        <v>8442</v>
      </c>
      <c r="BJ52" s="368" t="s">
        <v>8281</v>
      </c>
      <c r="BK52" s="368" t="s">
        <v>8324</v>
      </c>
      <c r="BL52" s="368" t="s">
        <v>8446</v>
      </c>
      <c r="BM52" s="368" t="s">
        <v>8289</v>
      </c>
      <c r="BN52" s="368" t="s">
        <v>8200</v>
      </c>
      <c r="BO52" s="368" t="s">
        <v>7599</v>
      </c>
      <c r="BP52" s="368" t="s">
        <v>8394</v>
      </c>
      <c r="BQ52" s="367" t="s">
        <v>8396</v>
      </c>
      <c r="BR52" s="367" t="s">
        <v>10200</v>
      </c>
      <c r="BS52" s="329"/>
      <c r="BT52" s="381" t="s">
        <v>10200</v>
      </c>
      <c r="BU52" s="382" t="s">
        <v>8387</v>
      </c>
      <c r="BV52" s="382" t="s">
        <v>8474</v>
      </c>
      <c r="BW52" s="382" t="s">
        <v>8241</v>
      </c>
      <c r="BX52" s="382" t="s">
        <v>8459</v>
      </c>
      <c r="BY52" s="382" t="s">
        <v>8219</v>
      </c>
      <c r="BZ52" s="382" t="s">
        <v>8383</v>
      </c>
      <c r="CA52" s="382" t="s">
        <v>8339</v>
      </c>
      <c r="CB52" s="382" t="s">
        <v>8322</v>
      </c>
      <c r="CC52" s="382" t="s">
        <v>8450</v>
      </c>
      <c r="CD52" s="382" t="s">
        <v>8475</v>
      </c>
      <c r="CE52" s="382" t="s">
        <v>8288</v>
      </c>
      <c r="CF52" s="382" t="s">
        <v>8403</v>
      </c>
      <c r="CG52" s="382" t="s">
        <v>8386</v>
      </c>
      <c r="CH52" s="382" t="s">
        <v>7570</v>
      </c>
      <c r="CI52" s="382" t="s">
        <v>8343</v>
      </c>
      <c r="CJ52" s="382" t="s">
        <v>8226</v>
      </c>
      <c r="CK52" s="382" t="s">
        <v>8344</v>
      </c>
      <c r="CL52" s="382" t="s">
        <v>7575</v>
      </c>
      <c r="CM52" s="382" t="s">
        <v>8276</v>
      </c>
      <c r="CN52" s="382" t="s">
        <v>8250</v>
      </c>
      <c r="CO52" s="382" t="s">
        <v>8346</v>
      </c>
      <c r="CP52" s="382" t="s">
        <v>8407</v>
      </c>
      <c r="CQ52" s="382" t="s">
        <v>8208</v>
      </c>
      <c r="CR52" s="382" t="s">
        <v>7592</v>
      </c>
      <c r="CS52" s="382" t="s">
        <v>8233</v>
      </c>
      <c r="CT52" s="382" t="s">
        <v>7571</v>
      </c>
      <c r="CU52" s="382" t="s">
        <v>8201</v>
      </c>
      <c r="CV52" s="382" t="s">
        <v>8447</v>
      </c>
      <c r="CW52" s="382" t="s">
        <v>8204</v>
      </c>
      <c r="CX52" s="382" t="s">
        <v>8428</v>
      </c>
      <c r="CY52" s="382" t="s">
        <v>7605</v>
      </c>
      <c r="CZ52" s="382" t="s">
        <v>8193</v>
      </c>
      <c r="DA52" s="382" t="s">
        <v>7859</v>
      </c>
      <c r="DB52" s="382" t="s">
        <v>8417</v>
      </c>
      <c r="DC52" s="382" t="s">
        <v>7572</v>
      </c>
      <c r="DD52" s="382" t="s">
        <v>7858</v>
      </c>
      <c r="DE52" s="382" t="s">
        <v>8433</v>
      </c>
      <c r="DF52" s="382" t="s">
        <v>7570</v>
      </c>
      <c r="DG52" s="382" t="s">
        <v>8278</v>
      </c>
      <c r="DH52" s="382" t="s">
        <v>8216</v>
      </c>
      <c r="DI52" s="382" t="s">
        <v>8196</v>
      </c>
      <c r="DJ52" s="382" t="s">
        <v>8381</v>
      </c>
      <c r="DK52" s="382" t="s">
        <v>8358</v>
      </c>
      <c r="DL52" s="382" t="s">
        <v>8379</v>
      </c>
      <c r="DM52" s="382" t="s">
        <v>8245</v>
      </c>
      <c r="DN52" s="382" t="s">
        <v>8235</v>
      </c>
      <c r="DO52" s="382" t="s">
        <v>8198</v>
      </c>
      <c r="DP52" s="382" t="s">
        <v>8251</v>
      </c>
      <c r="DQ52" s="382" t="s">
        <v>8296</v>
      </c>
      <c r="DR52" s="382" t="s">
        <v>8395</v>
      </c>
      <c r="DS52" s="382" t="s">
        <v>8392</v>
      </c>
      <c r="DT52" s="382" t="s">
        <v>8353</v>
      </c>
      <c r="DU52" s="382" t="s">
        <v>8451</v>
      </c>
      <c r="DV52" s="382" t="s">
        <v>8467</v>
      </c>
      <c r="DW52" s="382" t="s">
        <v>8351</v>
      </c>
      <c r="DX52" s="382" t="s">
        <v>7598</v>
      </c>
      <c r="DY52" s="382" t="s">
        <v>8255</v>
      </c>
      <c r="DZ52" s="382" t="s">
        <v>8341</v>
      </c>
      <c r="EA52" s="382" t="s">
        <v>8205</v>
      </c>
      <c r="EB52" s="381" t="s">
        <v>8368</v>
      </c>
      <c r="EC52" s="381" t="s">
        <v>10200</v>
      </c>
      <c r="ED52" s="381" t="s">
        <v>7845</v>
      </c>
      <c r="EE52" s="381" t="s">
        <v>10200</v>
      </c>
      <c r="EF52" s="382" t="s">
        <v>7861</v>
      </c>
      <c r="EG52" s="382" t="s">
        <v>8503</v>
      </c>
      <c r="EH52" s="382" t="s">
        <v>7857</v>
      </c>
      <c r="EI52" s="381" t="s">
        <v>8502</v>
      </c>
      <c r="EJ52" s="381" t="s">
        <v>10200</v>
      </c>
    </row>
    <row r="53" spans="1:140" ht="12" customHeight="1">
      <c r="A53" s="513"/>
      <c r="B53" s="367" t="s">
        <v>10201</v>
      </c>
      <c r="C53" s="368" t="s">
        <v>7651</v>
      </c>
      <c r="D53" s="368" t="s">
        <v>7745</v>
      </c>
      <c r="E53" s="368" t="s">
        <v>7755</v>
      </c>
      <c r="F53" s="367" t="s">
        <v>7645</v>
      </c>
      <c r="G53" s="367" t="s">
        <v>10201</v>
      </c>
      <c r="H53" s="367" t="s">
        <v>8510</v>
      </c>
      <c r="I53" s="367" t="s">
        <v>10201</v>
      </c>
      <c r="J53" s="368" t="s">
        <v>7681</v>
      </c>
      <c r="K53" s="368" t="s">
        <v>7769</v>
      </c>
      <c r="L53" s="368" t="s">
        <v>7660</v>
      </c>
      <c r="M53" s="368" t="s">
        <v>7752</v>
      </c>
      <c r="N53" s="368" t="s">
        <v>8669</v>
      </c>
      <c r="O53" s="368" t="s">
        <v>8634</v>
      </c>
      <c r="P53" s="368" t="s">
        <v>7760</v>
      </c>
      <c r="Q53" s="368" t="s">
        <v>8655</v>
      </c>
      <c r="R53" s="368" t="s">
        <v>8564</v>
      </c>
      <c r="S53" s="368" t="s">
        <v>8654</v>
      </c>
      <c r="T53" s="368" t="s">
        <v>7803</v>
      </c>
      <c r="U53" s="368" t="s">
        <v>7695</v>
      </c>
      <c r="V53" s="368" t="s">
        <v>7670</v>
      </c>
      <c r="W53" s="368" t="s">
        <v>8605</v>
      </c>
      <c r="X53" s="368" t="s">
        <v>8542</v>
      </c>
      <c r="Y53" s="368" t="s">
        <v>7635</v>
      </c>
      <c r="Z53" s="368" t="s">
        <v>7640</v>
      </c>
      <c r="AA53" s="368" t="s">
        <v>7727</v>
      </c>
      <c r="AB53" s="368" t="s">
        <v>8645</v>
      </c>
      <c r="AC53" s="368" t="s">
        <v>8670</v>
      </c>
      <c r="AD53" s="368" t="s">
        <v>8624</v>
      </c>
      <c r="AE53" s="368" t="s">
        <v>7656</v>
      </c>
      <c r="AF53" s="368" t="s">
        <v>8619</v>
      </c>
      <c r="AG53" s="368" t="s">
        <v>7756</v>
      </c>
      <c r="AH53" s="368" t="s">
        <v>7709</v>
      </c>
      <c r="AI53" s="368" t="s">
        <v>8524</v>
      </c>
      <c r="AJ53" s="368" t="s">
        <v>8612</v>
      </c>
      <c r="AK53" s="368" t="s">
        <v>8650</v>
      </c>
      <c r="AL53" s="368" t="s">
        <v>8658</v>
      </c>
      <c r="AM53" s="368" t="s">
        <v>7786</v>
      </c>
      <c r="AN53" s="368" t="s">
        <v>8625</v>
      </c>
      <c r="AO53" s="368" t="s">
        <v>7672</v>
      </c>
      <c r="AP53" s="368" t="s">
        <v>8555</v>
      </c>
      <c r="AQ53" s="368" t="s">
        <v>8674</v>
      </c>
      <c r="AR53" s="368" t="s">
        <v>8528</v>
      </c>
      <c r="AS53" s="368" t="s">
        <v>8682</v>
      </c>
      <c r="AT53" s="368" t="s">
        <v>7762</v>
      </c>
      <c r="AU53" s="368" t="s">
        <v>7627</v>
      </c>
      <c r="AV53" s="368" t="s">
        <v>8546</v>
      </c>
      <c r="AW53" s="368" t="s">
        <v>8657</v>
      </c>
      <c r="AX53" s="368" t="s">
        <v>8539</v>
      </c>
      <c r="AY53" s="368" t="s">
        <v>8568</v>
      </c>
      <c r="AZ53" s="368" t="s">
        <v>7737</v>
      </c>
      <c r="BA53" s="368" t="s">
        <v>7805</v>
      </c>
      <c r="BB53" s="368" t="s">
        <v>8672</v>
      </c>
      <c r="BC53" s="368" t="s">
        <v>7787</v>
      </c>
      <c r="BD53" s="368" t="s">
        <v>8530</v>
      </c>
      <c r="BE53" s="368" t="s">
        <v>7676</v>
      </c>
      <c r="BF53" s="368" t="s">
        <v>7684</v>
      </c>
      <c r="BG53" s="368" t="s">
        <v>8598</v>
      </c>
      <c r="BH53" s="368" t="s">
        <v>8635</v>
      </c>
      <c r="BI53" s="368" t="s">
        <v>8637</v>
      </c>
      <c r="BJ53" s="368" t="s">
        <v>7720</v>
      </c>
      <c r="BK53" s="368" t="s">
        <v>8519</v>
      </c>
      <c r="BL53" s="368" t="s">
        <v>8641</v>
      </c>
      <c r="BM53" s="368" t="s">
        <v>7730</v>
      </c>
      <c r="BN53" s="368" t="s">
        <v>7626</v>
      </c>
      <c r="BO53" s="368" t="s">
        <v>7798</v>
      </c>
      <c r="BP53" s="368" t="s">
        <v>8589</v>
      </c>
      <c r="BQ53" s="367" t="s">
        <v>8591</v>
      </c>
      <c r="BR53" s="367" t="s">
        <v>10201</v>
      </c>
      <c r="BS53" s="329"/>
      <c r="BT53" s="381" t="s">
        <v>10201</v>
      </c>
      <c r="BU53" s="382" t="s">
        <v>8582</v>
      </c>
      <c r="BV53" s="382" t="s">
        <v>8669</v>
      </c>
      <c r="BW53" s="382" t="s">
        <v>7679</v>
      </c>
      <c r="BX53" s="382" t="s">
        <v>8654</v>
      </c>
      <c r="BY53" s="382" t="s">
        <v>7652</v>
      </c>
      <c r="BZ53" s="382" t="s">
        <v>8578</v>
      </c>
      <c r="CA53" s="382" t="s">
        <v>8534</v>
      </c>
      <c r="CB53" s="382" t="s">
        <v>8517</v>
      </c>
      <c r="CC53" s="382" t="s">
        <v>8645</v>
      </c>
      <c r="CD53" s="382" t="s">
        <v>8670</v>
      </c>
      <c r="CE53" s="382" t="s">
        <v>7729</v>
      </c>
      <c r="CF53" s="382" t="s">
        <v>8598</v>
      </c>
      <c r="CG53" s="382" t="s">
        <v>8581</v>
      </c>
      <c r="CH53" s="382" t="s">
        <v>7656</v>
      </c>
      <c r="CI53" s="382" t="s">
        <v>8538</v>
      </c>
      <c r="CJ53" s="382" t="s">
        <v>7661</v>
      </c>
      <c r="CK53" s="382" t="s">
        <v>8539</v>
      </c>
      <c r="CL53" s="382" t="s">
        <v>7774</v>
      </c>
      <c r="CM53" s="382" t="s">
        <v>7715</v>
      </c>
      <c r="CN53" s="382" t="s">
        <v>7688</v>
      </c>
      <c r="CO53" s="382" t="s">
        <v>8541</v>
      </c>
      <c r="CP53" s="382" t="s">
        <v>8602</v>
      </c>
      <c r="CQ53" s="382" t="s">
        <v>7637</v>
      </c>
      <c r="CR53" s="382" t="s">
        <v>7791</v>
      </c>
      <c r="CS53" s="382" t="s">
        <v>7669</v>
      </c>
      <c r="CT53" s="382" t="s">
        <v>7770</v>
      </c>
      <c r="CU53" s="382" t="s">
        <v>7627</v>
      </c>
      <c r="CV53" s="382" t="s">
        <v>8642</v>
      </c>
      <c r="CW53" s="382" t="s">
        <v>7631</v>
      </c>
      <c r="CX53" s="382" t="s">
        <v>8623</v>
      </c>
      <c r="CY53" s="382" t="s">
        <v>7808</v>
      </c>
      <c r="CZ53" s="382" t="s">
        <v>7619</v>
      </c>
      <c r="DA53" s="382" t="s">
        <v>7736</v>
      </c>
      <c r="DB53" s="382" t="s">
        <v>8612</v>
      </c>
      <c r="DC53" s="382" t="s">
        <v>7771</v>
      </c>
      <c r="DD53" s="382" t="s">
        <v>7737</v>
      </c>
      <c r="DE53" s="382" t="s">
        <v>8628</v>
      </c>
      <c r="DF53" s="382" t="s">
        <v>7769</v>
      </c>
      <c r="DG53" s="382" t="s">
        <v>7717</v>
      </c>
      <c r="DH53" s="382" t="s">
        <v>7647</v>
      </c>
      <c r="DI53" s="382" t="s">
        <v>7622</v>
      </c>
      <c r="DJ53" s="382" t="s">
        <v>8576</v>
      </c>
      <c r="DK53" s="382" t="s">
        <v>8553</v>
      </c>
      <c r="DL53" s="382" t="s">
        <v>8574</v>
      </c>
      <c r="DM53" s="382" t="s">
        <v>7683</v>
      </c>
      <c r="DN53" s="382" t="s">
        <v>7671</v>
      </c>
      <c r="DO53" s="382" t="s">
        <v>7624</v>
      </c>
      <c r="DP53" s="382" t="s">
        <v>7689</v>
      </c>
      <c r="DQ53" s="382" t="s">
        <v>7750</v>
      </c>
      <c r="DR53" s="382" t="s">
        <v>8590</v>
      </c>
      <c r="DS53" s="382" t="s">
        <v>8587</v>
      </c>
      <c r="DT53" s="382" t="s">
        <v>8548</v>
      </c>
      <c r="DU53" s="382" t="s">
        <v>8646</v>
      </c>
      <c r="DV53" s="382" t="s">
        <v>8662</v>
      </c>
      <c r="DW53" s="382" t="s">
        <v>8546</v>
      </c>
      <c r="DX53" s="382" t="s">
        <v>7797</v>
      </c>
      <c r="DY53" s="382" t="s">
        <v>7693</v>
      </c>
      <c r="DZ53" s="382" t="s">
        <v>8536</v>
      </c>
      <c r="EA53" s="382" t="s">
        <v>7634</v>
      </c>
      <c r="EB53" s="381" t="s">
        <v>8563</v>
      </c>
      <c r="EC53" s="381" t="s">
        <v>10201</v>
      </c>
      <c r="ED53" s="381" t="s">
        <v>8510</v>
      </c>
      <c r="EE53" s="381" t="s">
        <v>10201</v>
      </c>
      <c r="EF53" s="382" t="s">
        <v>7745</v>
      </c>
      <c r="EG53" s="382" t="s">
        <v>7731</v>
      </c>
      <c r="EH53" s="382" t="s">
        <v>7741</v>
      </c>
      <c r="EI53" s="381" t="s">
        <v>7667</v>
      </c>
      <c r="EJ53" s="381" t="s">
        <v>10201</v>
      </c>
    </row>
    <row r="54" spans="1:140" ht="12" customHeight="1">
      <c r="A54" s="513"/>
      <c r="B54" s="367" t="s">
        <v>8731</v>
      </c>
      <c r="C54" s="368" t="s">
        <v>8507</v>
      </c>
      <c r="D54" s="368" t="s">
        <v>8507</v>
      </c>
      <c r="E54" s="368" t="s">
        <v>8507</v>
      </c>
      <c r="F54" s="367" t="s">
        <v>8507</v>
      </c>
      <c r="G54" s="367" t="s">
        <v>8731</v>
      </c>
      <c r="H54" s="367" t="s">
        <v>8508</v>
      </c>
      <c r="I54" s="367" t="s">
        <v>8731</v>
      </c>
      <c r="J54" s="368" t="s">
        <v>8506</v>
      </c>
      <c r="K54" s="368" t="s">
        <v>8506</v>
      </c>
      <c r="L54" s="368" t="s">
        <v>8506</v>
      </c>
      <c r="M54" s="368" t="s">
        <v>8506</v>
      </c>
      <c r="N54" s="368" t="s">
        <v>8506</v>
      </c>
      <c r="O54" s="368" t="s">
        <v>8506</v>
      </c>
      <c r="P54" s="368" t="s">
        <v>8506</v>
      </c>
      <c r="Q54" s="368" t="s">
        <v>8506</v>
      </c>
      <c r="R54" s="368" t="s">
        <v>8506</v>
      </c>
      <c r="S54" s="368" t="s">
        <v>8506</v>
      </c>
      <c r="T54" s="368" t="s">
        <v>8506</v>
      </c>
      <c r="U54" s="368" t="s">
        <v>8506</v>
      </c>
      <c r="V54" s="368" t="s">
        <v>8506</v>
      </c>
      <c r="W54" s="368" t="s">
        <v>8506</v>
      </c>
      <c r="X54" s="368" t="s">
        <v>8506</v>
      </c>
      <c r="Y54" s="368" t="s">
        <v>8506</v>
      </c>
      <c r="Z54" s="368" t="s">
        <v>8506</v>
      </c>
      <c r="AA54" s="368" t="s">
        <v>8506</v>
      </c>
      <c r="AB54" s="368" t="s">
        <v>8506</v>
      </c>
      <c r="AC54" s="368" t="s">
        <v>8506</v>
      </c>
      <c r="AD54" s="368" t="s">
        <v>8506</v>
      </c>
      <c r="AE54" s="368" t="s">
        <v>8506</v>
      </c>
      <c r="AF54" s="368" t="s">
        <v>8506</v>
      </c>
      <c r="AG54" s="368" t="s">
        <v>8506</v>
      </c>
      <c r="AH54" s="368" t="s">
        <v>8506</v>
      </c>
      <c r="AI54" s="368" t="s">
        <v>8506</v>
      </c>
      <c r="AJ54" s="368" t="s">
        <v>8506</v>
      </c>
      <c r="AK54" s="368" t="s">
        <v>8506</v>
      </c>
      <c r="AL54" s="368" t="s">
        <v>8506</v>
      </c>
      <c r="AM54" s="368" t="s">
        <v>8506</v>
      </c>
      <c r="AN54" s="368" t="s">
        <v>8506</v>
      </c>
      <c r="AO54" s="368" t="s">
        <v>8506</v>
      </c>
      <c r="AP54" s="368" t="s">
        <v>8506</v>
      </c>
      <c r="AQ54" s="368" t="s">
        <v>8506</v>
      </c>
      <c r="AR54" s="368" t="s">
        <v>8506</v>
      </c>
      <c r="AS54" s="368" t="s">
        <v>8506</v>
      </c>
      <c r="AT54" s="368" t="s">
        <v>8506</v>
      </c>
      <c r="AU54" s="368" t="s">
        <v>8506</v>
      </c>
      <c r="AV54" s="368" t="s">
        <v>8506</v>
      </c>
      <c r="AW54" s="368" t="s">
        <v>8506</v>
      </c>
      <c r="AX54" s="368" t="s">
        <v>8506</v>
      </c>
      <c r="AY54" s="368" t="s">
        <v>8506</v>
      </c>
      <c r="AZ54" s="368" t="s">
        <v>8506</v>
      </c>
      <c r="BA54" s="368" t="s">
        <v>8506</v>
      </c>
      <c r="BB54" s="368" t="s">
        <v>8506</v>
      </c>
      <c r="BC54" s="368" t="s">
        <v>8506</v>
      </c>
      <c r="BD54" s="368" t="s">
        <v>8506</v>
      </c>
      <c r="BE54" s="368" t="s">
        <v>8506</v>
      </c>
      <c r="BF54" s="368" t="s">
        <v>8506</v>
      </c>
      <c r="BG54" s="368" t="s">
        <v>8506</v>
      </c>
      <c r="BH54" s="368" t="s">
        <v>8506</v>
      </c>
      <c r="BI54" s="368" t="s">
        <v>8506</v>
      </c>
      <c r="BJ54" s="368" t="s">
        <v>8506</v>
      </c>
      <c r="BK54" s="368" t="s">
        <v>8506</v>
      </c>
      <c r="BL54" s="368" t="s">
        <v>8506</v>
      </c>
      <c r="BM54" s="368" t="s">
        <v>8506</v>
      </c>
      <c r="BN54" s="368" t="s">
        <v>8506</v>
      </c>
      <c r="BO54" s="368" t="s">
        <v>8506</v>
      </c>
      <c r="BP54" s="368" t="s">
        <v>8506</v>
      </c>
      <c r="BQ54" s="367" t="s">
        <v>8506</v>
      </c>
      <c r="BR54" s="367" t="s">
        <v>8731</v>
      </c>
      <c r="BS54" s="329" t="s">
        <v>10274</v>
      </c>
      <c r="BT54" s="381" t="s">
        <v>8731</v>
      </c>
      <c r="BU54" s="382" t="s">
        <v>8506</v>
      </c>
      <c r="BV54" s="382" t="s">
        <v>8506</v>
      </c>
      <c r="BW54" s="382" t="s">
        <v>8506</v>
      </c>
      <c r="BX54" s="382" t="s">
        <v>8506</v>
      </c>
      <c r="BY54" s="382" t="s">
        <v>8506</v>
      </c>
      <c r="BZ54" s="382" t="s">
        <v>8506</v>
      </c>
      <c r="CA54" s="382" t="s">
        <v>8506</v>
      </c>
      <c r="CB54" s="382" t="s">
        <v>8506</v>
      </c>
      <c r="CC54" s="382" t="s">
        <v>8506</v>
      </c>
      <c r="CD54" s="382" t="s">
        <v>8506</v>
      </c>
      <c r="CE54" s="382" t="s">
        <v>8506</v>
      </c>
      <c r="CF54" s="382" t="s">
        <v>8506</v>
      </c>
      <c r="CG54" s="382" t="s">
        <v>8506</v>
      </c>
      <c r="CH54" s="382" t="s">
        <v>8506</v>
      </c>
      <c r="CI54" s="382" t="s">
        <v>8506</v>
      </c>
      <c r="CJ54" s="382" t="s">
        <v>8506</v>
      </c>
      <c r="CK54" s="382" t="s">
        <v>8506</v>
      </c>
      <c r="CL54" s="382" t="s">
        <v>8506</v>
      </c>
      <c r="CM54" s="382" t="s">
        <v>8506</v>
      </c>
      <c r="CN54" s="382" t="s">
        <v>8506</v>
      </c>
      <c r="CO54" s="382" t="s">
        <v>8506</v>
      </c>
      <c r="CP54" s="382" t="s">
        <v>8506</v>
      </c>
      <c r="CQ54" s="382" t="s">
        <v>8506</v>
      </c>
      <c r="CR54" s="382" t="s">
        <v>8506</v>
      </c>
      <c r="CS54" s="382" t="s">
        <v>8506</v>
      </c>
      <c r="CT54" s="382" t="s">
        <v>8506</v>
      </c>
      <c r="CU54" s="382" t="s">
        <v>8506</v>
      </c>
      <c r="CV54" s="382" t="s">
        <v>8506</v>
      </c>
      <c r="CW54" s="382" t="s">
        <v>8506</v>
      </c>
      <c r="CX54" s="382" t="s">
        <v>8506</v>
      </c>
      <c r="CY54" s="382" t="s">
        <v>8506</v>
      </c>
      <c r="CZ54" s="382" t="s">
        <v>8506</v>
      </c>
      <c r="DA54" s="382" t="s">
        <v>8506</v>
      </c>
      <c r="DB54" s="382" t="s">
        <v>8506</v>
      </c>
      <c r="DC54" s="382" t="s">
        <v>8506</v>
      </c>
      <c r="DD54" s="382" t="s">
        <v>8506</v>
      </c>
      <c r="DE54" s="382" t="s">
        <v>8506</v>
      </c>
      <c r="DF54" s="382" t="s">
        <v>8506</v>
      </c>
      <c r="DG54" s="382" t="s">
        <v>8506</v>
      </c>
      <c r="DH54" s="382" t="s">
        <v>8506</v>
      </c>
      <c r="DI54" s="382" t="s">
        <v>8506</v>
      </c>
      <c r="DJ54" s="382" t="s">
        <v>8506</v>
      </c>
      <c r="DK54" s="382" t="s">
        <v>8506</v>
      </c>
      <c r="DL54" s="382" t="s">
        <v>8506</v>
      </c>
      <c r="DM54" s="382" t="s">
        <v>8506</v>
      </c>
      <c r="DN54" s="382" t="s">
        <v>8506</v>
      </c>
      <c r="DO54" s="382" t="s">
        <v>8506</v>
      </c>
      <c r="DP54" s="382" t="s">
        <v>8506</v>
      </c>
      <c r="DQ54" s="382" t="s">
        <v>8506</v>
      </c>
      <c r="DR54" s="382" t="s">
        <v>8506</v>
      </c>
      <c r="DS54" s="382" t="s">
        <v>8506</v>
      </c>
      <c r="DT54" s="382" t="s">
        <v>8506</v>
      </c>
      <c r="DU54" s="382" t="s">
        <v>8506</v>
      </c>
      <c r="DV54" s="382" t="s">
        <v>8506</v>
      </c>
      <c r="DW54" s="382" t="s">
        <v>8506</v>
      </c>
      <c r="DX54" s="382" t="s">
        <v>8506</v>
      </c>
      <c r="DY54" s="382" t="s">
        <v>8506</v>
      </c>
      <c r="DZ54" s="382" t="s">
        <v>8506</v>
      </c>
      <c r="EA54" s="382" t="s">
        <v>8506</v>
      </c>
      <c r="EB54" s="381" t="s">
        <v>8506</v>
      </c>
      <c r="EC54" s="381" t="s">
        <v>8731</v>
      </c>
      <c r="ED54" s="381" t="s">
        <v>8508</v>
      </c>
      <c r="EE54" s="381" t="s">
        <v>8731</v>
      </c>
      <c r="EF54" s="382" t="s">
        <v>8507</v>
      </c>
      <c r="EG54" s="382" t="s">
        <v>8507</v>
      </c>
      <c r="EH54" s="382" t="s">
        <v>8507</v>
      </c>
      <c r="EI54" s="381" t="s">
        <v>8507</v>
      </c>
      <c r="EJ54" s="381" t="s">
        <v>8731</v>
      </c>
    </row>
    <row r="55" spans="1:140" ht="12" customHeight="1">
      <c r="A55" s="513"/>
      <c r="B55" s="370" t="s">
        <v>10202</v>
      </c>
      <c r="C55" s="371" t="s">
        <v>10214</v>
      </c>
      <c r="D55" s="371" t="s">
        <v>10241</v>
      </c>
      <c r="E55" s="371" t="s">
        <v>10249</v>
      </c>
      <c r="F55" s="370" t="s">
        <v>10203</v>
      </c>
      <c r="G55" s="370" t="s">
        <v>10202</v>
      </c>
      <c r="H55" s="370" t="s">
        <v>10205</v>
      </c>
      <c r="I55" s="370" t="s">
        <v>10202</v>
      </c>
      <c r="J55" s="371" t="s">
        <v>10677</v>
      </c>
      <c r="K55" s="371" t="s">
        <v>10678</v>
      </c>
      <c r="L55" s="371" t="s">
        <v>10679</v>
      </c>
      <c r="M55" s="371" t="s">
        <v>10680</v>
      </c>
      <c r="N55" s="371" t="s">
        <v>10681</v>
      </c>
      <c r="O55" s="371" t="s">
        <v>10682</v>
      </c>
      <c r="P55" s="371" t="s">
        <v>10683</v>
      </c>
      <c r="Q55" s="371" t="s">
        <v>10684</v>
      </c>
      <c r="R55" s="371" t="s">
        <v>10685</v>
      </c>
      <c r="S55" s="371" t="s">
        <v>10686</v>
      </c>
      <c r="T55" s="371" t="s">
        <v>10687</v>
      </c>
      <c r="U55" s="371" t="s">
        <v>10688</v>
      </c>
      <c r="V55" s="371" t="s">
        <v>10689</v>
      </c>
      <c r="W55" s="371" t="s">
        <v>10690</v>
      </c>
      <c r="X55" s="371" t="s">
        <v>10691</v>
      </c>
      <c r="Y55" s="371" t="s">
        <v>10249</v>
      </c>
      <c r="Z55" s="371" t="s">
        <v>10284</v>
      </c>
      <c r="AA55" s="371" t="s">
        <v>10692</v>
      </c>
      <c r="AB55" s="371" t="s">
        <v>10693</v>
      </c>
      <c r="AC55" s="371" t="s">
        <v>10694</v>
      </c>
      <c r="AD55" s="371" t="s">
        <v>10695</v>
      </c>
      <c r="AE55" s="371" t="s">
        <v>10696</v>
      </c>
      <c r="AF55" s="371" t="s">
        <v>10697</v>
      </c>
      <c r="AG55" s="371" t="s">
        <v>10698</v>
      </c>
      <c r="AH55" s="371" t="s">
        <v>10699</v>
      </c>
      <c r="AI55" s="371" t="s">
        <v>10700</v>
      </c>
      <c r="AJ55" s="371" t="s">
        <v>10701</v>
      </c>
      <c r="AK55" s="371" t="s">
        <v>10702</v>
      </c>
      <c r="AL55" s="371" t="s">
        <v>10703</v>
      </c>
      <c r="AM55" s="371" t="s">
        <v>10704</v>
      </c>
      <c r="AN55" s="371" t="s">
        <v>10705</v>
      </c>
      <c r="AO55" s="371" t="s">
        <v>10706</v>
      </c>
      <c r="AP55" s="371" t="s">
        <v>10707</v>
      </c>
      <c r="AQ55" s="371" t="s">
        <v>10708</v>
      </c>
      <c r="AR55" s="371" t="s">
        <v>10709</v>
      </c>
      <c r="AS55" s="371" t="s">
        <v>10710</v>
      </c>
      <c r="AT55" s="371" t="s">
        <v>10711</v>
      </c>
      <c r="AU55" s="371" t="s">
        <v>10248</v>
      </c>
      <c r="AV55" s="371" t="s">
        <v>10712</v>
      </c>
      <c r="AW55" s="371" t="s">
        <v>10713</v>
      </c>
      <c r="AX55" s="371" t="s">
        <v>10714</v>
      </c>
      <c r="AY55" s="371" t="s">
        <v>10715</v>
      </c>
      <c r="AZ55" s="371" t="s">
        <v>10716</v>
      </c>
      <c r="BA55" s="371" t="s">
        <v>10717</v>
      </c>
      <c r="BB55" s="371" t="s">
        <v>10718</v>
      </c>
      <c r="BC55" s="371" t="s">
        <v>10719</v>
      </c>
      <c r="BD55" s="371" t="s">
        <v>10720</v>
      </c>
      <c r="BE55" s="371" t="s">
        <v>10721</v>
      </c>
      <c r="BF55" s="371" t="s">
        <v>10722</v>
      </c>
      <c r="BG55" s="371" t="s">
        <v>10723</v>
      </c>
      <c r="BH55" s="371" t="s">
        <v>10724</v>
      </c>
      <c r="BI55" s="371" t="s">
        <v>10725</v>
      </c>
      <c r="BJ55" s="371" t="s">
        <v>10726</v>
      </c>
      <c r="BK55" s="371" t="s">
        <v>10727</v>
      </c>
      <c r="BL55" s="371" t="s">
        <v>10728</v>
      </c>
      <c r="BM55" s="371" t="s">
        <v>10729</v>
      </c>
      <c r="BN55" s="371" t="s">
        <v>10247</v>
      </c>
      <c r="BO55" s="371" t="s">
        <v>10730</v>
      </c>
      <c r="BP55" s="371" t="s">
        <v>10731</v>
      </c>
      <c r="BQ55" s="370" t="s">
        <v>10732</v>
      </c>
      <c r="BR55" s="370" t="s">
        <v>10202</v>
      </c>
      <c r="BS55" s="330"/>
      <c r="BT55" s="384" t="s">
        <v>10202</v>
      </c>
      <c r="BU55" s="385" t="s">
        <v>10733</v>
      </c>
      <c r="BV55" s="385" t="s">
        <v>10734</v>
      </c>
      <c r="BW55" s="385" t="s">
        <v>10735</v>
      </c>
      <c r="BX55" s="385" t="s">
        <v>10736</v>
      </c>
      <c r="BY55" s="385" t="s">
        <v>10299</v>
      </c>
      <c r="BZ55" s="385" t="s">
        <v>10737</v>
      </c>
      <c r="CA55" s="385" t="s">
        <v>10738</v>
      </c>
      <c r="CB55" s="385" t="s">
        <v>10739</v>
      </c>
      <c r="CC55" s="385" t="s">
        <v>10740</v>
      </c>
      <c r="CD55" s="385" t="s">
        <v>10741</v>
      </c>
      <c r="CE55" s="385" t="s">
        <v>10742</v>
      </c>
      <c r="CF55" s="385" t="s">
        <v>10743</v>
      </c>
      <c r="CG55" s="385" t="s">
        <v>10744</v>
      </c>
      <c r="CH55" s="385" t="s">
        <v>10745</v>
      </c>
      <c r="CI55" s="385" t="s">
        <v>10746</v>
      </c>
      <c r="CJ55" s="385" t="s">
        <v>10747</v>
      </c>
      <c r="CK55" s="385" t="s">
        <v>10748</v>
      </c>
      <c r="CL55" s="385" t="s">
        <v>10749</v>
      </c>
      <c r="CM55" s="385" t="s">
        <v>10750</v>
      </c>
      <c r="CN55" s="385" t="s">
        <v>10751</v>
      </c>
      <c r="CO55" s="385" t="s">
        <v>10752</v>
      </c>
      <c r="CP55" s="385" t="s">
        <v>10753</v>
      </c>
      <c r="CQ55" s="385" t="s">
        <v>10296</v>
      </c>
      <c r="CR55" s="385" t="s">
        <v>10754</v>
      </c>
      <c r="CS55" s="385" t="s">
        <v>10755</v>
      </c>
      <c r="CT55" s="385" t="s">
        <v>10756</v>
      </c>
      <c r="CU55" s="385" t="s">
        <v>10316</v>
      </c>
      <c r="CV55" s="385" t="s">
        <v>10757</v>
      </c>
      <c r="CW55" s="385" t="s">
        <v>10313</v>
      </c>
      <c r="CX55" s="385" t="s">
        <v>10758</v>
      </c>
      <c r="CY55" s="385" t="s">
        <v>10759</v>
      </c>
      <c r="CZ55" s="385" t="s">
        <v>10320</v>
      </c>
      <c r="DA55" s="385" t="s">
        <v>10760</v>
      </c>
      <c r="DB55" s="385" t="s">
        <v>10761</v>
      </c>
      <c r="DC55" s="385" t="s">
        <v>10762</v>
      </c>
      <c r="DD55" s="385" t="s">
        <v>10763</v>
      </c>
      <c r="DE55" s="385" t="s">
        <v>10764</v>
      </c>
      <c r="DF55" s="385" t="s">
        <v>10765</v>
      </c>
      <c r="DG55" s="385" t="s">
        <v>10766</v>
      </c>
      <c r="DH55" s="385" t="s">
        <v>10321</v>
      </c>
      <c r="DI55" s="385" t="s">
        <v>10307</v>
      </c>
      <c r="DJ55" s="385" t="s">
        <v>10767</v>
      </c>
      <c r="DK55" s="385" t="s">
        <v>10768</v>
      </c>
      <c r="DL55" s="385" t="s">
        <v>10769</v>
      </c>
      <c r="DM55" s="385" t="s">
        <v>10770</v>
      </c>
      <c r="DN55" s="385" t="s">
        <v>10771</v>
      </c>
      <c r="DO55" s="385" t="s">
        <v>10306</v>
      </c>
      <c r="DP55" s="385" t="s">
        <v>10772</v>
      </c>
      <c r="DQ55" s="385" t="s">
        <v>10773</v>
      </c>
      <c r="DR55" s="385" t="s">
        <v>10774</v>
      </c>
      <c r="DS55" s="385" t="s">
        <v>10775</v>
      </c>
      <c r="DT55" s="385" t="s">
        <v>10776</v>
      </c>
      <c r="DU55" s="385" t="s">
        <v>10777</v>
      </c>
      <c r="DV55" s="385" t="s">
        <v>10778</v>
      </c>
      <c r="DW55" s="385" t="s">
        <v>10779</v>
      </c>
      <c r="DX55" s="385" t="s">
        <v>10780</v>
      </c>
      <c r="DY55" s="385" t="s">
        <v>10781</v>
      </c>
      <c r="DZ55" s="385" t="s">
        <v>10782</v>
      </c>
      <c r="EA55" s="385" t="s">
        <v>10324</v>
      </c>
      <c r="EB55" s="384" t="s">
        <v>10783</v>
      </c>
      <c r="EC55" s="384" t="s">
        <v>10202</v>
      </c>
      <c r="ED55" s="384" t="s">
        <v>10322</v>
      </c>
      <c r="EE55" s="384" t="s">
        <v>10202</v>
      </c>
      <c r="EF55" s="385" t="s">
        <v>10310</v>
      </c>
      <c r="EG55" s="385" t="s">
        <v>10318</v>
      </c>
      <c r="EH55" s="385" t="s">
        <v>10295</v>
      </c>
      <c r="EI55" s="384" t="s">
        <v>10307</v>
      </c>
      <c r="EJ55" s="384" t="s">
        <v>10202</v>
      </c>
    </row>
    <row r="56" spans="1:140" ht="12" customHeight="1">
      <c r="A56" s="512">
        <v>8</v>
      </c>
      <c r="B56" s="367" t="s">
        <v>10200</v>
      </c>
      <c r="C56" s="368" t="s">
        <v>7852</v>
      </c>
      <c r="D56" s="368" t="s">
        <v>8503</v>
      </c>
      <c r="E56" s="368" t="s">
        <v>7856</v>
      </c>
      <c r="F56" s="367" t="s">
        <v>7854</v>
      </c>
      <c r="G56" s="367" t="s">
        <v>10200</v>
      </c>
      <c r="H56" s="367" t="s">
        <v>8269</v>
      </c>
      <c r="I56" s="367" t="s">
        <v>10200</v>
      </c>
      <c r="J56" s="368" t="s">
        <v>8221</v>
      </c>
      <c r="K56" s="368" t="s">
        <v>8293</v>
      </c>
      <c r="L56" s="368" t="s">
        <v>8371</v>
      </c>
      <c r="M56" s="368" t="s">
        <v>8292</v>
      </c>
      <c r="N56" s="368" t="s">
        <v>7551</v>
      </c>
      <c r="O56" s="368" t="s">
        <v>7859</v>
      </c>
      <c r="P56" s="368" t="s">
        <v>8210</v>
      </c>
      <c r="Q56" s="368" t="s">
        <v>8291</v>
      </c>
      <c r="R56" s="368" t="s">
        <v>7574</v>
      </c>
      <c r="S56" s="368" t="s">
        <v>7860</v>
      </c>
      <c r="T56" s="368" t="s">
        <v>7582</v>
      </c>
      <c r="U56" s="368" t="s">
        <v>8249</v>
      </c>
      <c r="V56" s="368" t="s">
        <v>8204</v>
      </c>
      <c r="W56" s="368" t="s">
        <v>8230</v>
      </c>
      <c r="X56" s="368" t="s">
        <v>8349</v>
      </c>
      <c r="Y56" s="368" t="s">
        <v>8194</v>
      </c>
      <c r="Z56" s="368" t="s">
        <v>8368</v>
      </c>
      <c r="AA56" s="368" t="s">
        <v>8376</v>
      </c>
      <c r="AB56" s="368" t="s">
        <v>8222</v>
      </c>
      <c r="AC56" s="368" t="s">
        <v>8385</v>
      </c>
      <c r="AD56" s="368" t="s">
        <v>8205</v>
      </c>
      <c r="AE56" s="368" t="s">
        <v>8469</v>
      </c>
      <c r="AF56" s="368" t="s">
        <v>7567</v>
      </c>
      <c r="AG56" s="368" t="s">
        <v>8470</v>
      </c>
      <c r="AH56" s="368" t="s">
        <v>8300</v>
      </c>
      <c r="AI56" s="368" t="s">
        <v>8184</v>
      </c>
      <c r="AJ56" s="368" t="s">
        <v>8457</v>
      </c>
      <c r="AK56" s="368" t="s">
        <v>8307</v>
      </c>
      <c r="AL56" s="368" t="s">
        <v>8255</v>
      </c>
      <c r="AM56" s="368" t="s">
        <v>8372</v>
      </c>
      <c r="AN56" s="368" t="s">
        <v>8359</v>
      </c>
      <c r="AO56" s="368" t="s">
        <v>7601</v>
      </c>
      <c r="AP56" s="368" t="s">
        <v>8208</v>
      </c>
      <c r="AQ56" s="368" t="s">
        <v>8309</v>
      </c>
      <c r="AR56" s="368" t="s">
        <v>8393</v>
      </c>
      <c r="AS56" s="368" t="s">
        <v>8280</v>
      </c>
      <c r="AT56" s="368" t="s">
        <v>8266</v>
      </c>
      <c r="AU56" s="368" t="s">
        <v>8283</v>
      </c>
      <c r="AV56" s="368" t="s">
        <v>8286</v>
      </c>
      <c r="AW56" s="368" t="s">
        <v>8223</v>
      </c>
      <c r="AX56" s="368" t="s">
        <v>8370</v>
      </c>
      <c r="AY56" s="368" t="s">
        <v>8405</v>
      </c>
      <c r="AZ56" s="368" t="s">
        <v>8330</v>
      </c>
      <c r="BA56" s="368" t="s">
        <v>8187</v>
      </c>
      <c r="BB56" s="368" t="s">
        <v>8214</v>
      </c>
      <c r="BC56" s="368" t="s">
        <v>8407</v>
      </c>
      <c r="BD56" s="368" t="s">
        <v>8186</v>
      </c>
      <c r="BE56" s="368" t="s">
        <v>8241</v>
      </c>
      <c r="BF56" s="368" t="s">
        <v>8458</v>
      </c>
      <c r="BG56" s="368" t="s">
        <v>8317</v>
      </c>
      <c r="BH56" s="368" t="s">
        <v>8332</v>
      </c>
      <c r="BI56" s="368" t="s">
        <v>8325</v>
      </c>
      <c r="BJ56" s="368" t="s">
        <v>8256</v>
      </c>
      <c r="BK56" s="368" t="s">
        <v>8482</v>
      </c>
      <c r="BL56" s="368" t="s">
        <v>8251</v>
      </c>
      <c r="BM56" s="368" t="s">
        <v>8279</v>
      </c>
      <c r="BN56" s="368" t="s">
        <v>8423</v>
      </c>
      <c r="BO56" s="368" t="s">
        <v>8434</v>
      </c>
      <c r="BP56" s="368" t="s">
        <v>8356</v>
      </c>
      <c r="BQ56" s="367" t="s">
        <v>95</v>
      </c>
      <c r="BR56" s="367" t="s">
        <v>10200</v>
      </c>
      <c r="BS56" s="329"/>
      <c r="BT56" s="381" t="s">
        <v>10200</v>
      </c>
      <c r="BU56" s="382" t="s">
        <v>8213</v>
      </c>
      <c r="BV56" s="382" t="s">
        <v>8347</v>
      </c>
      <c r="BW56" s="382" t="s">
        <v>8376</v>
      </c>
      <c r="BX56" s="382" t="s">
        <v>8239</v>
      </c>
      <c r="BY56" s="382" t="s">
        <v>8186</v>
      </c>
      <c r="BZ56" s="382" t="s">
        <v>8389</v>
      </c>
      <c r="CA56" s="382" t="s">
        <v>8338</v>
      </c>
      <c r="CB56" s="382" t="s">
        <v>8231</v>
      </c>
      <c r="CC56" s="382" t="s">
        <v>7574</v>
      </c>
      <c r="CD56" s="382" t="s">
        <v>8359</v>
      </c>
      <c r="CE56" s="382" t="s">
        <v>8229</v>
      </c>
      <c r="CF56" s="382" t="s">
        <v>8380</v>
      </c>
      <c r="CG56" s="382" t="s">
        <v>7586</v>
      </c>
      <c r="CH56" s="382" t="s">
        <v>8473</v>
      </c>
      <c r="CI56" s="382" t="s">
        <v>8411</v>
      </c>
      <c r="CJ56" s="382" t="s">
        <v>8187</v>
      </c>
      <c r="CK56" s="382" t="s">
        <v>8413</v>
      </c>
      <c r="CL56" s="382" t="s">
        <v>8363</v>
      </c>
      <c r="CM56" s="382" t="s">
        <v>7585</v>
      </c>
      <c r="CN56" s="382" t="s">
        <v>8401</v>
      </c>
      <c r="CO56" s="382" t="s">
        <v>8391</v>
      </c>
      <c r="CP56" s="382" t="s">
        <v>8422</v>
      </c>
      <c r="CQ56" s="382" t="s">
        <v>8244</v>
      </c>
      <c r="CR56" s="382" t="s">
        <v>8388</v>
      </c>
      <c r="CS56" s="382" t="s">
        <v>8371</v>
      </c>
      <c r="CT56" s="382" t="s">
        <v>8373</v>
      </c>
      <c r="CU56" s="382" t="s">
        <v>8335</v>
      </c>
      <c r="CV56" s="382" t="s">
        <v>8477</v>
      </c>
      <c r="CW56" s="382" t="s">
        <v>8217</v>
      </c>
      <c r="CX56" s="382" t="s">
        <v>8429</v>
      </c>
      <c r="CY56" s="382" t="s">
        <v>8249</v>
      </c>
      <c r="CZ56" s="382" t="s">
        <v>8189</v>
      </c>
      <c r="DA56" s="382" t="s">
        <v>8224</v>
      </c>
      <c r="DB56" s="382" t="s">
        <v>8287</v>
      </c>
      <c r="DC56" s="382" t="s">
        <v>8360</v>
      </c>
      <c r="DD56" s="382" t="s">
        <v>8480</v>
      </c>
      <c r="DE56" s="382" t="s">
        <v>8390</v>
      </c>
      <c r="DF56" s="382" t="s">
        <v>8342</v>
      </c>
      <c r="DG56" s="382" t="s">
        <v>8464</v>
      </c>
      <c r="DH56" s="382" t="s">
        <v>7601</v>
      </c>
      <c r="DI56" s="382" t="s">
        <v>8352</v>
      </c>
      <c r="DJ56" s="382" t="s">
        <v>8242</v>
      </c>
      <c r="DK56" s="382" t="s">
        <v>8307</v>
      </c>
      <c r="DL56" s="382" t="s">
        <v>8336</v>
      </c>
      <c r="DM56" s="382" t="s">
        <v>8444</v>
      </c>
      <c r="DN56" s="382" t="s">
        <v>8289</v>
      </c>
      <c r="DO56" s="382" t="s">
        <v>8200</v>
      </c>
      <c r="DP56" s="382" t="s">
        <v>8211</v>
      </c>
      <c r="DQ56" s="382" t="s">
        <v>8400</v>
      </c>
      <c r="DR56" s="382" t="s">
        <v>8236</v>
      </c>
      <c r="DS56" s="382" t="s">
        <v>8430</v>
      </c>
      <c r="DT56" s="382" t="s">
        <v>8432</v>
      </c>
      <c r="DU56" s="382" t="s">
        <v>8408</v>
      </c>
      <c r="DV56" s="382" t="s">
        <v>7581</v>
      </c>
      <c r="DW56" s="382" t="s">
        <v>8238</v>
      </c>
      <c r="DX56" s="382" t="s">
        <v>8273</v>
      </c>
      <c r="DY56" s="382" t="s">
        <v>8453</v>
      </c>
      <c r="DZ56" s="382" t="s">
        <v>8424</v>
      </c>
      <c r="EA56" s="382" t="s">
        <v>8476</v>
      </c>
      <c r="EB56" s="381" t="s">
        <v>8423</v>
      </c>
      <c r="EC56" s="381" t="s">
        <v>10200</v>
      </c>
      <c r="ED56" s="381" t="s">
        <v>8269</v>
      </c>
      <c r="EE56" s="381" t="s">
        <v>10200</v>
      </c>
      <c r="EF56" s="382" t="s">
        <v>8492</v>
      </c>
      <c r="EG56" s="382" t="s">
        <v>8499</v>
      </c>
      <c r="EH56" s="382" t="s">
        <v>8494</v>
      </c>
      <c r="EI56" s="381" t="s">
        <v>8495</v>
      </c>
      <c r="EJ56" s="381" t="s">
        <v>10200</v>
      </c>
    </row>
    <row r="57" spans="1:140" ht="12" customHeight="1">
      <c r="A57" s="513"/>
      <c r="B57" s="367" t="s">
        <v>10201</v>
      </c>
      <c r="C57" s="368" t="s">
        <v>7749</v>
      </c>
      <c r="D57" s="368" t="s">
        <v>7731</v>
      </c>
      <c r="E57" s="368" t="s">
        <v>7743</v>
      </c>
      <c r="F57" s="367" t="s">
        <v>7746</v>
      </c>
      <c r="G57" s="367" t="s">
        <v>10201</v>
      </c>
      <c r="H57" s="367" t="s">
        <v>7707</v>
      </c>
      <c r="I57" s="367" t="s">
        <v>10201</v>
      </c>
      <c r="J57" s="368" t="s">
        <v>7654</v>
      </c>
      <c r="K57" s="368" t="s">
        <v>7738</v>
      </c>
      <c r="L57" s="368" t="s">
        <v>8566</v>
      </c>
      <c r="M57" s="368" t="s">
        <v>7734</v>
      </c>
      <c r="N57" s="368" t="s">
        <v>7725</v>
      </c>
      <c r="O57" s="368" t="s">
        <v>7736</v>
      </c>
      <c r="P57" s="368" t="s">
        <v>7639</v>
      </c>
      <c r="Q57" s="368" t="s">
        <v>7733</v>
      </c>
      <c r="R57" s="368" t="s">
        <v>7773</v>
      </c>
      <c r="S57" s="368" t="s">
        <v>7735</v>
      </c>
      <c r="T57" s="368" t="s">
        <v>7781</v>
      </c>
      <c r="U57" s="368" t="s">
        <v>7687</v>
      </c>
      <c r="V57" s="368" t="s">
        <v>7631</v>
      </c>
      <c r="W57" s="368" t="s">
        <v>7665</v>
      </c>
      <c r="X57" s="368" t="s">
        <v>8544</v>
      </c>
      <c r="Y57" s="368" t="s">
        <v>7620</v>
      </c>
      <c r="Z57" s="368" t="s">
        <v>8563</v>
      </c>
      <c r="AA57" s="368" t="s">
        <v>8571</v>
      </c>
      <c r="AB57" s="368" t="s">
        <v>7657</v>
      </c>
      <c r="AC57" s="368" t="s">
        <v>8580</v>
      </c>
      <c r="AD57" s="368" t="s">
        <v>7634</v>
      </c>
      <c r="AE57" s="368" t="s">
        <v>8664</v>
      </c>
      <c r="AF57" s="368" t="s">
        <v>7757</v>
      </c>
      <c r="AG57" s="368" t="s">
        <v>8665</v>
      </c>
      <c r="AH57" s="368" t="s">
        <v>7754</v>
      </c>
      <c r="AI57" s="368" t="s">
        <v>7606</v>
      </c>
      <c r="AJ57" s="368" t="s">
        <v>8652</v>
      </c>
      <c r="AK57" s="368" t="s">
        <v>7765</v>
      </c>
      <c r="AL57" s="368" t="s">
        <v>7693</v>
      </c>
      <c r="AM57" s="368" t="s">
        <v>8567</v>
      </c>
      <c r="AN57" s="368" t="s">
        <v>8554</v>
      </c>
      <c r="AO57" s="368" t="s">
        <v>7804</v>
      </c>
      <c r="AP57" s="368" t="s">
        <v>7637</v>
      </c>
      <c r="AQ57" s="368" t="s">
        <v>7767</v>
      </c>
      <c r="AR57" s="368" t="s">
        <v>8588</v>
      </c>
      <c r="AS57" s="368" t="s">
        <v>7719</v>
      </c>
      <c r="AT57" s="368" t="s">
        <v>7704</v>
      </c>
      <c r="AU57" s="368" t="s">
        <v>7722</v>
      </c>
      <c r="AV57" s="368" t="s">
        <v>7726</v>
      </c>
      <c r="AW57" s="368" t="s">
        <v>7658</v>
      </c>
      <c r="AX57" s="368" t="s">
        <v>8565</v>
      </c>
      <c r="AY57" s="368" t="s">
        <v>8600</v>
      </c>
      <c r="AZ57" s="368" t="s">
        <v>8525</v>
      </c>
      <c r="BA57" s="368" t="s">
        <v>7611</v>
      </c>
      <c r="BB57" s="368" t="s">
        <v>7643</v>
      </c>
      <c r="BC57" s="368" t="s">
        <v>8602</v>
      </c>
      <c r="BD57" s="368" t="s">
        <v>7610</v>
      </c>
      <c r="BE57" s="368" t="s">
        <v>7679</v>
      </c>
      <c r="BF57" s="368" t="s">
        <v>8653</v>
      </c>
      <c r="BG57" s="368" t="s">
        <v>8512</v>
      </c>
      <c r="BH57" s="368" t="s">
        <v>8527</v>
      </c>
      <c r="BI57" s="368" t="s">
        <v>8520</v>
      </c>
      <c r="BJ57" s="368" t="s">
        <v>7694</v>
      </c>
      <c r="BK57" s="368" t="s">
        <v>8677</v>
      </c>
      <c r="BL57" s="368" t="s">
        <v>7689</v>
      </c>
      <c r="BM57" s="368" t="s">
        <v>7718</v>
      </c>
      <c r="BN57" s="368" t="s">
        <v>8618</v>
      </c>
      <c r="BO57" s="368" t="s">
        <v>8629</v>
      </c>
      <c r="BP57" s="368" t="s">
        <v>8551</v>
      </c>
      <c r="BQ57" s="367" t="s">
        <v>7678</v>
      </c>
      <c r="BR57" s="367" t="s">
        <v>10201</v>
      </c>
      <c r="BS57" s="329"/>
      <c r="BT57" s="381" t="s">
        <v>10201</v>
      </c>
      <c r="BU57" s="382" t="s">
        <v>7642</v>
      </c>
      <c r="BV57" s="382" t="s">
        <v>8542</v>
      </c>
      <c r="BW57" s="382" t="s">
        <v>8571</v>
      </c>
      <c r="BX57" s="382" t="s">
        <v>7676</v>
      </c>
      <c r="BY57" s="382" t="s">
        <v>7610</v>
      </c>
      <c r="BZ57" s="382" t="s">
        <v>8584</v>
      </c>
      <c r="CA57" s="382" t="s">
        <v>8533</v>
      </c>
      <c r="CB57" s="382" t="s">
        <v>7666</v>
      </c>
      <c r="CC57" s="382" t="s">
        <v>7773</v>
      </c>
      <c r="CD57" s="382" t="s">
        <v>8554</v>
      </c>
      <c r="CE57" s="382" t="s">
        <v>7664</v>
      </c>
      <c r="CF57" s="382" t="s">
        <v>8575</v>
      </c>
      <c r="CG57" s="382" t="s">
        <v>7785</v>
      </c>
      <c r="CH57" s="382" t="s">
        <v>8668</v>
      </c>
      <c r="CI57" s="382" t="s">
        <v>8606</v>
      </c>
      <c r="CJ57" s="382" t="s">
        <v>7611</v>
      </c>
      <c r="CK57" s="382" t="s">
        <v>8608</v>
      </c>
      <c r="CL57" s="382" t="s">
        <v>8558</v>
      </c>
      <c r="CM57" s="382" t="s">
        <v>7784</v>
      </c>
      <c r="CN57" s="382" t="s">
        <v>8596</v>
      </c>
      <c r="CO57" s="382" t="s">
        <v>8586</v>
      </c>
      <c r="CP57" s="382" t="s">
        <v>8617</v>
      </c>
      <c r="CQ57" s="382" t="s">
        <v>7682</v>
      </c>
      <c r="CR57" s="382" t="s">
        <v>8583</v>
      </c>
      <c r="CS57" s="382" t="s">
        <v>8566</v>
      </c>
      <c r="CT57" s="382" t="s">
        <v>8568</v>
      </c>
      <c r="CU57" s="382" t="s">
        <v>8530</v>
      </c>
      <c r="CV57" s="382" t="s">
        <v>8672</v>
      </c>
      <c r="CW57" s="382" t="s">
        <v>7648</v>
      </c>
      <c r="CX57" s="382" t="s">
        <v>8624</v>
      </c>
      <c r="CY57" s="382" t="s">
        <v>7687</v>
      </c>
      <c r="CZ57" s="382" t="s">
        <v>7615</v>
      </c>
      <c r="DA57" s="382" t="s">
        <v>7659</v>
      </c>
      <c r="DB57" s="382" t="s">
        <v>7728</v>
      </c>
      <c r="DC57" s="382" t="s">
        <v>8555</v>
      </c>
      <c r="DD57" s="382" t="s">
        <v>8675</v>
      </c>
      <c r="DE57" s="382" t="s">
        <v>8585</v>
      </c>
      <c r="DF57" s="382" t="s">
        <v>8537</v>
      </c>
      <c r="DG57" s="382" t="s">
        <v>8659</v>
      </c>
      <c r="DH57" s="382" t="s">
        <v>7804</v>
      </c>
      <c r="DI57" s="382" t="s">
        <v>8547</v>
      </c>
      <c r="DJ57" s="382" t="s">
        <v>7680</v>
      </c>
      <c r="DK57" s="382" t="s">
        <v>7765</v>
      </c>
      <c r="DL57" s="382" t="s">
        <v>8531</v>
      </c>
      <c r="DM57" s="382" t="s">
        <v>8639</v>
      </c>
      <c r="DN57" s="382" t="s">
        <v>7730</v>
      </c>
      <c r="DO57" s="382" t="s">
        <v>7626</v>
      </c>
      <c r="DP57" s="382" t="s">
        <v>7640</v>
      </c>
      <c r="DQ57" s="382" t="s">
        <v>8595</v>
      </c>
      <c r="DR57" s="382" t="s">
        <v>7672</v>
      </c>
      <c r="DS57" s="382" t="s">
        <v>8625</v>
      </c>
      <c r="DT57" s="382" t="s">
        <v>8627</v>
      </c>
      <c r="DU57" s="382" t="s">
        <v>8603</v>
      </c>
      <c r="DV57" s="382" t="s">
        <v>7780</v>
      </c>
      <c r="DW57" s="382" t="s">
        <v>7675</v>
      </c>
      <c r="DX57" s="382" t="s">
        <v>7711</v>
      </c>
      <c r="DY57" s="382" t="s">
        <v>8648</v>
      </c>
      <c r="DZ57" s="382" t="s">
        <v>8619</v>
      </c>
      <c r="EA57" s="382" t="s">
        <v>8671</v>
      </c>
      <c r="EB57" s="381" t="s">
        <v>8618</v>
      </c>
      <c r="EC57" s="381" t="s">
        <v>10201</v>
      </c>
      <c r="ED57" s="381" t="s">
        <v>7707</v>
      </c>
      <c r="EE57" s="381" t="s">
        <v>10201</v>
      </c>
      <c r="EF57" s="382" t="s">
        <v>7613</v>
      </c>
      <c r="EG57" s="382" t="s">
        <v>7649</v>
      </c>
      <c r="EH57" s="382" t="s">
        <v>7629</v>
      </c>
      <c r="EI57" s="381" t="s">
        <v>7632</v>
      </c>
      <c r="EJ57" s="381" t="s">
        <v>10201</v>
      </c>
    </row>
    <row r="58" spans="1:140" ht="12" customHeight="1">
      <c r="A58" s="513"/>
      <c r="B58" s="367" t="s">
        <v>8731</v>
      </c>
      <c r="C58" s="368" t="s">
        <v>8507</v>
      </c>
      <c r="D58" s="368" t="s">
        <v>8507</v>
      </c>
      <c r="E58" s="368" t="s">
        <v>8507</v>
      </c>
      <c r="F58" s="367" t="s">
        <v>8507</v>
      </c>
      <c r="G58" s="367" t="s">
        <v>8731</v>
      </c>
      <c r="H58" s="367" t="s">
        <v>8508</v>
      </c>
      <c r="I58" s="367" t="s">
        <v>8731</v>
      </c>
      <c r="J58" s="368" t="s">
        <v>8506</v>
      </c>
      <c r="K58" s="368" t="s">
        <v>8506</v>
      </c>
      <c r="L58" s="368" t="s">
        <v>8506</v>
      </c>
      <c r="M58" s="368" t="s">
        <v>8506</v>
      </c>
      <c r="N58" s="368" t="s">
        <v>8506</v>
      </c>
      <c r="O58" s="368" t="s">
        <v>8506</v>
      </c>
      <c r="P58" s="368" t="s">
        <v>8506</v>
      </c>
      <c r="Q58" s="368" t="s">
        <v>8506</v>
      </c>
      <c r="R58" s="368" t="s">
        <v>8506</v>
      </c>
      <c r="S58" s="368" t="s">
        <v>8506</v>
      </c>
      <c r="T58" s="368" t="s">
        <v>8506</v>
      </c>
      <c r="U58" s="368" t="s">
        <v>8506</v>
      </c>
      <c r="V58" s="368" t="s">
        <v>8506</v>
      </c>
      <c r="W58" s="368" t="s">
        <v>8506</v>
      </c>
      <c r="X58" s="368" t="s">
        <v>8506</v>
      </c>
      <c r="Y58" s="368" t="s">
        <v>8506</v>
      </c>
      <c r="Z58" s="368" t="s">
        <v>8506</v>
      </c>
      <c r="AA58" s="368" t="s">
        <v>8506</v>
      </c>
      <c r="AB58" s="368" t="s">
        <v>8506</v>
      </c>
      <c r="AC58" s="368" t="s">
        <v>8506</v>
      </c>
      <c r="AD58" s="368" t="s">
        <v>8506</v>
      </c>
      <c r="AE58" s="368" t="s">
        <v>8506</v>
      </c>
      <c r="AF58" s="368" t="s">
        <v>8506</v>
      </c>
      <c r="AG58" s="368" t="s">
        <v>8506</v>
      </c>
      <c r="AH58" s="368" t="s">
        <v>8506</v>
      </c>
      <c r="AI58" s="368" t="s">
        <v>8506</v>
      </c>
      <c r="AJ58" s="368" t="s">
        <v>8506</v>
      </c>
      <c r="AK58" s="368" t="s">
        <v>8506</v>
      </c>
      <c r="AL58" s="368" t="s">
        <v>8506</v>
      </c>
      <c r="AM58" s="368" t="s">
        <v>8506</v>
      </c>
      <c r="AN58" s="368" t="s">
        <v>8506</v>
      </c>
      <c r="AO58" s="368" t="s">
        <v>8506</v>
      </c>
      <c r="AP58" s="368" t="s">
        <v>8506</v>
      </c>
      <c r="AQ58" s="368" t="s">
        <v>8506</v>
      </c>
      <c r="AR58" s="368" t="s">
        <v>8506</v>
      </c>
      <c r="AS58" s="368" t="s">
        <v>8506</v>
      </c>
      <c r="AT58" s="368" t="s">
        <v>8506</v>
      </c>
      <c r="AU58" s="368" t="s">
        <v>8506</v>
      </c>
      <c r="AV58" s="368" t="s">
        <v>8506</v>
      </c>
      <c r="AW58" s="368" t="s">
        <v>8506</v>
      </c>
      <c r="AX58" s="368" t="s">
        <v>8506</v>
      </c>
      <c r="AY58" s="368" t="s">
        <v>8506</v>
      </c>
      <c r="AZ58" s="368" t="s">
        <v>8506</v>
      </c>
      <c r="BA58" s="368" t="s">
        <v>8506</v>
      </c>
      <c r="BB58" s="368" t="s">
        <v>8506</v>
      </c>
      <c r="BC58" s="368" t="s">
        <v>8506</v>
      </c>
      <c r="BD58" s="368" t="s">
        <v>8506</v>
      </c>
      <c r="BE58" s="368" t="s">
        <v>8506</v>
      </c>
      <c r="BF58" s="368" t="s">
        <v>8506</v>
      </c>
      <c r="BG58" s="368" t="s">
        <v>8506</v>
      </c>
      <c r="BH58" s="368" t="s">
        <v>8506</v>
      </c>
      <c r="BI58" s="368" t="s">
        <v>8506</v>
      </c>
      <c r="BJ58" s="368" t="s">
        <v>8506</v>
      </c>
      <c r="BK58" s="368" t="s">
        <v>8506</v>
      </c>
      <c r="BL58" s="368" t="s">
        <v>8506</v>
      </c>
      <c r="BM58" s="368" t="s">
        <v>8506</v>
      </c>
      <c r="BN58" s="368" t="s">
        <v>8506</v>
      </c>
      <c r="BO58" s="368" t="s">
        <v>8506</v>
      </c>
      <c r="BP58" s="368" t="s">
        <v>8506</v>
      </c>
      <c r="BQ58" s="367" t="s">
        <v>8506</v>
      </c>
      <c r="BR58" s="367" t="s">
        <v>8731</v>
      </c>
      <c r="BS58" s="329" t="s">
        <v>10274</v>
      </c>
      <c r="BT58" s="381" t="s">
        <v>8731</v>
      </c>
      <c r="BU58" s="382" t="s">
        <v>8506</v>
      </c>
      <c r="BV58" s="382" t="s">
        <v>8506</v>
      </c>
      <c r="BW58" s="382" t="s">
        <v>8506</v>
      </c>
      <c r="BX58" s="382" t="s">
        <v>8506</v>
      </c>
      <c r="BY58" s="382" t="s">
        <v>8506</v>
      </c>
      <c r="BZ58" s="382" t="s">
        <v>8506</v>
      </c>
      <c r="CA58" s="382" t="s">
        <v>8506</v>
      </c>
      <c r="CB58" s="382" t="s">
        <v>8506</v>
      </c>
      <c r="CC58" s="382" t="s">
        <v>8506</v>
      </c>
      <c r="CD58" s="382" t="s">
        <v>8506</v>
      </c>
      <c r="CE58" s="382" t="s">
        <v>8506</v>
      </c>
      <c r="CF58" s="382" t="s">
        <v>8506</v>
      </c>
      <c r="CG58" s="382" t="s">
        <v>8506</v>
      </c>
      <c r="CH58" s="382" t="s">
        <v>8506</v>
      </c>
      <c r="CI58" s="382" t="s">
        <v>8506</v>
      </c>
      <c r="CJ58" s="382" t="s">
        <v>8506</v>
      </c>
      <c r="CK58" s="382" t="s">
        <v>8506</v>
      </c>
      <c r="CL58" s="382" t="s">
        <v>8506</v>
      </c>
      <c r="CM58" s="382" t="s">
        <v>8506</v>
      </c>
      <c r="CN58" s="382" t="s">
        <v>8506</v>
      </c>
      <c r="CO58" s="382" t="s">
        <v>8506</v>
      </c>
      <c r="CP58" s="382" t="s">
        <v>8506</v>
      </c>
      <c r="CQ58" s="382" t="s">
        <v>8506</v>
      </c>
      <c r="CR58" s="382" t="s">
        <v>8506</v>
      </c>
      <c r="CS58" s="382" t="s">
        <v>8506</v>
      </c>
      <c r="CT58" s="382" t="s">
        <v>8506</v>
      </c>
      <c r="CU58" s="382" t="s">
        <v>8506</v>
      </c>
      <c r="CV58" s="382" t="s">
        <v>8506</v>
      </c>
      <c r="CW58" s="382" t="s">
        <v>8506</v>
      </c>
      <c r="CX58" s="382" t="s">
        <v>8506</v>
      </c>
      <c r="CY58" s="382" t="s">
        <v>8506</v>
      </c>
      <c r="CZ58" s="382" t="s">
        <v>8506</v>
      </c>
      <c r="DA58" s="382" t="s">
        <v>8506</v>
      </c>
      <c r="DB58" s="382" t="s">
        <v>8506</v>
      </c>
      <c r="DC58" s="382" t="s">
        <v>8506</v>
      </c>
      <c r="DD58" s="382" t="s">
        <v>8506</v>
      </c>
      <c r="DE58" s="382" t="s">
        <v>8506</v>
      </c>
      <c r="DF58" s="382" t="s">
        <v>8506</v>
      </c>
      <c r="DG58" s="382" t="s">
        <v>8506</v>
      </c>
      <c r="DH58" s="382" t="s">
        <v>8506</v>
      </c>
      <c r="DI58" s="382" t="s">
        <v>8506</v>
      </c>
      <c r="DJ58" s="382" t="s">
        <v>8506</v>
      </c>
      <c r="DK58" s="382" t="s">
        <v>8506</v>
      </c>
      <c r="DL58" s="382" t="s">
        <v>8506</v>
      </c>
      <c r="DM58" s="382" t="s">
        <v>8506</v>
      </c>
      <c r="DN58" s="382" t="s">
        <v>8506</v>
      </c>
      <c r="DO58" s="382" t="s">
        <v>8506</v>
      </c>
      <c r="DP58" s="382" t="s">
        <v>8506</v>
      </c>
      <c r="DQ58" s="382" t="s">
        <v>8506</v>
      </c>
      <c r="DR58" s="382" t="s">
        <v>8506</v>
      </c>
      <c r="DS58" s="382" t="s">
        <v>8506</v>
      </c>
      <c r="DT58" s="382" t="s">
        <v>8506</v>
      </c>
      <c r="DU58" s="382" t="s">
        <v>8506</v>
      </c>
      <c r="DV58" s="382" t="s">
        <v>8506</v>
      </c>
      <c r="DW58" s="382" t="s">
        <v>8506</v>
      </c>
      <c r="DX58" s="382" t="s">
        <v>8506</v>
      </c>
      <c r="DY58" s="382" t="s">
        <v>8506</v>
      </c>
      <c r="DZ58" s="382" t="s">
        <v>8506</v>
      </c>
      <c r="EA58" s="382" t="s">
        <v>8506</v>
      </c>
      <c r="EB58" s="381" t="s">
        <v>8506</v>
      </c>
      <c r="EC58" s="381" t="s">
        <v>8731</v>
      </c>
      <c r="ED58" s="381" t="s">
        <v>8508</v>
      </c>
      <c r="EE58" s="381" t="s">
        <v>8731</v>
      </c>
      <c r="EF58" s="382" t="s">
        <v>8507</v>
      </c>
      <c r="EG58" s="382" t="s">
        <v>8507</v>
      </c>
      <c r="EH58" s="382" t="s">
        <v>8507</v>
      </c>
      <c r="EI58" s="381" t="s">
        <v>8507</v>
      </c>
      <c r="EJ58" s="381" t="s">
        <v>8731</v>
      </c>
    </row>
    <row r="59" spans="1:140" ht="12" customHeight="1" thickBot="1">
      <c r="A59" s="513"/>
      <c r="B59" s="370" t="s">
        <v>10202</v>
      </c>
      <c r="C59" s="371" t="s">
        <v>10244</v>
      </c>
      <c r="D59" s="371" t="s">
        <v>10240</v>
      </c>
      <c r="E59" s="371" t="s">
        <v>10247</v>
      </c>
      <c r="F59" s="370" t="s">
        <v>10242</v>
      </c>
      <c r="G59" s="370" t="s">
        <v>10202</v>
      </c>
      <c r="H59" s="372" t="s">
        <v>10211</v>
      </c>
      <c r="I59" s="370" t="s">
        <v>10202</v>
      </c>
      <c r="J59" s="371" t="s">
        <v>10784</v>
      </c>
      <c r="K59" s="371" t="s">
        <v>10785</v>
      </c>
      <c r="L59" s="371" t="s">
        <v>10786</v>
      </c>
      <c r="M59" s="371" t="s">
        <v>10787</v>
      </c>
      <c r="N59" s="371" t="s">
        <v>10788</v>
      </c>
      <c r="O59" s="371" t="s">
        <v>10789</v>
      </c>
      <c r="P59" s="371" t="s">
        <v>10286</v>
      </c>
      <c r="Q59" s="371" t="s">
        <v>10790</v>
      </c>
      <c r="R59" s="371" t="s">
        <v>10791</v>
      </c>
      <c r="S59" s="371" t="s">
        <v>10792</v>
      </c>
      <c r="T59" s="371" t="s">
        <v>10793</v>
      </c>
      <c r="U59" s="371" t="s">
        <v>10794</v>
      </c>
      <c r="V59" s="371" t="s">
        <v>10243</v>
      </c>
      <c r="W59" s="371" t="s">
        <v>10795</v>
      </c>
      <c r="X59" s="371" t="s">
        <v>10796</v>
      </c>
      <c r="Y59" s="371" t="s">
        <v>10214</v>
      </c>
      <c r="Z59" s="371" t="s">
        <v>10797</v>
      </c>
      <c r="AA59" s="371" t="s">
        <v>10798</v>
      </c>
      <c r="AB59" s="371" t="s">
        <v>10799</v>
      </c>
      <c r="AC59" s="371" t="s">
        <v>10800</v>
      </c>
      <c r="AD59" s="371" t="s">
        <v>10244</v>
      </c>
      <c r="AE59" s="371" t="s">
        <v>10801</v>
      </c>
      <c r="AF59" s="371" t="s">
        <v>10802</v>
      </c>
      <c r="AG59" s="371" t="s">
        <v>10803</v>
      </c>
      <c r="AH59" s="371" t="s">
        <v>10804</v>
      </c>
      <c r="AI59" s="371" t="s">
        <v>10204</v>
      </c>
      <c r="AJ59" s="371" t="s">
        <v>10805</v>
      </c>
      <c r="AK59" s="371" t="s">
        <v>10806</v>
      </c>
      <c r="AL59" s="371" t="s">
        <v>10807</v>
      </c>
      <c r="AM59" s="371" t="s">
        <v>10808</v>
      </c>
      <c r="AN59" s="371" t="s">
        <v>10809</v>
      </c>
      <c r="AO59" s="371" t="s">
        <v>10810</v>
      </c>
      <c r="AP59" s="371" t="s">
        <v>10285</v>
      </c>
      <c r="AQ59" s="371" t="s">
        <v>10811</v>
      </c>
      <c r="AR59" s="371" t="s">
        <v>10812</v>
      </c>
      <c r="AS59" s="371" t="s">
        <v>10813</v>
      </c>
      <c r="AT59" s="371" t="s">
        <v>10814</v>
      </c>
      <c r="AU59" s="371" t="s">
        <v>10815</v>
      </c>
      <c r="AV59" s="371" t="s">
        <v>10816</v>
      </c>
      <c r="AW59" s="371" t="s">
        <v>10817</v>
      </c>
      <c r="AX59" s="371" t="s">
        <v>10818</v>
      </c>
      <c r="AY59" s="371" t="s">
        <v>10819</v>
      </c>
      <c r="AZ59" s="371" t="s">
        <v>10820</v>
      </c>
      <c r="BA59" s="371" t="s">
        <v>10212</v>
      </c>
      <c r="BB59" s="371" t="s">
        <v>10340</v>
      </c>
      <c r="BC59" s="371" t="s">
        <v>10821</v>
      </c>
      <c r="BD59" s="371" t="s">
        <v>10205</v>
      </c>
      <c r="BE59" s="371" t="s">
        <v>10822</v>
      </c>
      <c r="BF59" s="376" t="s">
        <v>10823</v>
      </c>
      <c r="BG59" s="371" t="s">
        <v>10824</v>
      </c>
      <c r="BH59" s="371" t="s">
        <v>10825</v>
      </c>
      <c r="BI59" s="371" t="s">
        <v>10826</v>
      </c>
      <c r="BJ59" s="371" t="s">
        <v>10827</v>
      </c>
      <c r="BK59" s="371" t="s">
        <v>10828</v>
      </c>
      <c r="BL59" s="371" t="s">
        <v>10829</v>
      </c>
      <c r="BM59" s="371" t="s">
        <v>10830</v>
      </c>
      <c r="BN59" s="371" t="s">
        <v>10831</v>
      </c>
      <c r="BO59" s="371" t="s">
        <v>10832</v>
      </c>
      <c r="BP59" s="371" t="s">
        <v>10833</v>
      </c>
      <c r="BQ59" s="370" t="s">
        <v>10834</v>
      </c>
      <c r="BR59" s="370" t="s">
        <v>10202</v>
      </c>
      <c r="BS59" s="330"/>
      <c r="BT59" s="384" t="s">
        <v>10202</v>
      </c>
      <c r="BU59" s="385" t="s">
        <v>10300</v>
      </c>
      <c r="BV59" s="385" t="s">
        <v>10835</v>
      </c>
      <c r="BW59" s="385" t="s">
        <v>10836</v>
      </c>
      <c r="BX59" s="385" t="s">
        <v>10837</v>
      </c>
      <c r="BY59" s="385" t="s">
        <v>10322</v>
      </c>
      <c r="BZ59" s="385" t="s">
        <v>10838</v>
      </c>
      <c r="CA59" s="385" t="s">
        <v>10839</v>
      </c>
      <c r="CB59" s="385" t="s">
        <v>10840</v>
      </c>
      <c r="CC59" s="385" t="s">
        <v>10841</v>
      </c>
      <c r="CD59" s="385" t="s">
        <v>10842</v>
      </c>
      <c r="CE59" s="385" t="s">
        <v>10843</v>
      </c>
      <c r="CF59" s="385" t="s">
        <v>10844</v>
      </c>
      <c r="CG59" s="385" t="s">
        <v>10845</v>
      </c>
      <c r="CH59" s="385" t="s">
        <v>10846</v>
      </c>
      <c r="CI59" s="385" t="s">
        <v>10847</v>
      </c>
      <c r="CJ59" s="385" t="s">
        <v>10311</v>
      </c>
      <c r="CK59" s="385" t="s">
        <v>10848</v>
      </c>
      <c r="CL59" s="385" t="s">
        <v>10849</v>
      </c>
      <c r="CM59" s="385" t="s">
        <v>10850</v>
      </c>
      <c r="CN59" s="385" t="s">
        <v>10851</v>
      </c>
      <c r="CO59" s="385" t="s">
        <v>10852</v>
      </c>
      <c r="CP59" s="385" t="s">
        <v>10853</v>
      </c>
      <c r="CQ59" s="385" t="s">
        <v>10854</v>
      </c>
      <c r="CR59" s="385" t="s">
        <v>10855</v>
      </c>
      <c r="CS59" s="385" t="s">
        <v>10856</v>
      </c>
      <c r="CT59" s="385" t="s">
        <v>10857</v>
      </c>
      <c r="CU59" s="385" t="s">
        <v>10858</v>
      </c>
      <c r="CV59" s="385" t="s">
        <v>10859</v>
      </c>
      <c r="CW59" s="385" t="s">
        <v>10303</v>
      </c>
      <c r="CX59" s="385" t="s">
        <v>10860</v>
      </c>
      <c r="CY59" s="385" t="s">
        <v>10861</v>
      </c>
      <c r="CZ59" s="385" t="s">
        <v>10297</v>
      </c>
      <c r="DA59" s="385" t="s">
        <v>10862</v>
      </c>
      <c r="DB59" s="385" t="s">
        <v>10863</v>
      </c>
      <c r="DC59" s="385" t="s">
        <v>10864</v>
      </c>
      <c r="DD59" s="385" t="s">
        <v>10865</v>
      </c>
      <c r="DE59" s="385" t="s">
        <v>10866</v>
      </c>
      <c r="DF59" s="385" t="s">
        <v>10867</v>
      </c>
      <c r="DG59" s="385" t="s">
        <v>10868</v>
      </c>
      <c r="DH59" s="385" t="s">
        <v>10869</v>
      </c>
      <c r="DI59" s="385" t="s">
        <v>10870</v>
      </c>
      <c r="DJ59" s="385" t="s">
        <v>10871</v>
      </c>
      <c r="DK59" s="385" t="s">
        <v>10872</v>
      </c>
      <c r="DL59" s="385" t="s">
        <v>10873</v>
      </c>
      <c r="DM59" s="385" t="s">
        <v>10874</v>
      </c>
      <c r="DN59" s="385" t="s">
        <v>10875</v>
      </c>
      <c r="DO59" s="385" t="s">
        <v>10309</v>
      </c>
      <c r="DP59" s="385" t="s">
        <v>10315</v>
      </c>
      <c r="DQ59" s="385" t="s">
        <v>10876</v>
      </c>
      <c r="DR59" s="385" t="s">
        <v>10877</v>
      </c>
      <c r="DS59" s="385" t="s">
        <v>10878</v>
      </c>
      <c r="DT59" s="385" t="s">
        <v>10879</v>
      </c>
      <c r="DU59" s="385" t="s">
        <v>10880</v>
      </c>
      <c r="DV59" s="385" t="s">
        <v>10881</v>
      </c>
      <c r="DW59" s="385" t="s">
        <v>10882</v>
      </c>
      <c r="DX59" s="385" t="s">
        <v>10883</v>
      </c>
      <c r="DY59" s="385" t="s">
        <v>10884</v>
      </c>
      <c r="DZ59" s="385" t="s">
        <v>10885</v>
      </c>
      <c r="EA59" s="385" t="s">
        <v>10886</v>
      </c>
      <c r="EB59" s="384" t="s">
        <v>10887</v>
      </c>
      <c r="EC59" s="384" t="s">
        <v>10202</v>
      </c>
      <c r="ED59" s="387" t="s">
        <v>10312</v>
      </c>
      <c r="EE59" s="384" t="s">
        <v>10202</v>
      </c>
      <c r="EF59" s="385" t="s">
        <v>10322</v>
      </c>
      <c r="EG59" s="385" t="s">
        <v>10320</v>
      </c>
      <c r="EH59" s="385" t="s">
        <v>10305</v>
      </c>
      <c r="EI59" s="384" t="s">
        <v>10297</v>
      </c>
      <c r="EJ59" s="384" t="s">
        <v>10202</v>
      </c>
    </row>
    <row r="60" spans="1:140" ht="12" customHeight="1">
      <c r="A60" s="512">
        <v>7</v>
      </c>
      <c r="B60" s="367" t="s">
        <v>10200</v>
      </c>
      <c r="C60" s="368" t="s">
        <v>8504</v>
      </c>
      <c r="D60" s="368" t="s">
        <v>7857</v>
      </c>
      <c r="E60" s="368" t="s">
        <v>8492</v>
      </c>
      <c r="F60" s="367" t="s">
        <v>8494</v>
      </c>
      <c r="G60" s="367" t="s">
        <v>10200</v>
      </c>
      <c r="H60" s="367"/>
      <c r="I60" s="367" t="s">
        <v>10200</v>
      </c>
      <c r="J60" s="368" t="s">
        <v>8426</v>
      </c>
      <c r="K60" s="368" t="s">
        <v>8224</v>
      </c>
      <c r="L60" s="368" t="s">
        <v>8473</v>
      </c>
      <c r="M60" s="368" t="s">
        <v>8308</v>
      </c>
      <c r="N60" s="368" t="s">
        <v>8389</v>
      </c>
      <c r="O60" s="368" t="s">
        <v>7572</v>
      </c>
      <c r="P60" s="368" t="s">
        <v>8285</v>
      </c>
      <c r="Q60" s="368" t="s">
        <v>8441</v>
      </c>
      <c r="R60" s="368" t="s">
        <v>8203</v>
      </c>
      <c r="S60" s="368" t="s">
        <v>8445</v>
      </c>
      <c r="T60" s="368" t="s">
        <v>8421</v>
      </c>
      <c r="U60" s="368" t="s">
        <v>8431</v>
      </c>
      <c r="V60" s="368" t="s">
        <v>7505</v>
      </c>
      <c r="W60" s="368" t="s">
        <v>8191</v>
      </c>
      <c r="X60" s="368" t="s">
        <v>8379</v>
      </c>
      <c r="Y60" s="368" t="s">
        <v>8310</v>
      </c>
      <c r="Z60" s="368" t="s">
        <v>8202</v>
      </c>
      <c r="AA60" s="368" t="s">
        <v>8244</v>
      </c>
      <c r="AB60" s="368" t="s">
        <v>8354</v>
      </c>
      <c r="AC60" s="368" t="s">
        <v>8395</v>
      </c>
      <c r="AD60" s="368" t="s">
        <v>8284</v>
      </c>
      <c r="AE60" s="368" t="s">
        <v>8414</v>
      </c>
      <c r="AF60" s="368" t="s">
        <v>8235</v>
      </c>
      <c r="AG60" s="368" t="s">
        <v>8270</v>
      </c>
      <c r="AH60" s="368" t="s">
        <v>8311</v>
      </c>
      <c r="AI60" s="368" t="s">
        <v>8449</v>
      </c>
      <c r="AJ60" s="368" t="s">
        <v>8386</v>
      </c>
      <c r="AK60" s="368" t="s">
        <v>8253</v>
      </c>
      <c r="AL60" s="368" t="s">
        <v>8326</v>
      </c>
      <c r="AM60" s="368" t="s">
        <v>7576</v>
      </c>
      <c r="AN60" s="368" t="s">
        <v>8199</v>
      </c>
      <c r="AO60" s="368" t="s">
        <v>7583</v>
      </c>
      <c r="AP60" s="368" t="s">
        <v>8451</v>
      </c>
      <c r="AQ60" s="368" t="s">
        <v>8352</v>
      </c>
      <c r="AR60" s="368" t="s">
        <v>8233</v>
      </c>
      <c r="AS60" s="368" t="s">
        <v>8294</v>
      </c>
      <c r="AT60" s="368" t="s">
        <v>8433</v>
      </c>
      <c r="AU60" s="368" t="s">
        <v>7584</v>
      </c>
      <c r="AV60" s="368" t="s">
        <v>8334</v>
      </c>
      <c r="AW60" s="368" t="s">
        <v>8478</v>
      </c>
      <c r="AX60" s="368" t="s">
        <v>8438</v>
      </c>
      <c r="AY60" s="368" t="s">
        <v>7540</v>
      </c>
      <c r="AZ60" s="368" t="s">
        <v>8472</v>
      </c>
      <c r="BA60" s="368" t="s">
        <v>8207</v>
      </c>
      <c r="BB60" s="368" t="s">
        <v>8382</v>
      </c>
      <c r="BC60" s="368" t="s">
        <v>8213</v>
      </c>
      <c r="BD60" s="368" t="s">
        <v>8420</v>
      </c>
      <c r="BE60" s="367" t="s">
        <v>8409</v>
      </c>
      <c r="BF60" s="367" t="s">
        <v>8321</v>
      </c>
      <c r="BG60" s="368" t="s">
        <v>8361</v>
      </c>
      <c r="BH60" s="368" t="s">
        <v>8254</v>
      </c>
      <c r="BI60" s="368" t="s">
        <v>8218</v>
      </c>
      <c r="BJ60" s="368" t="s">
        <v>8231</v>
      </c>
      <c r="BK60" s="368" t="s">
        <v>8404</v>
      </c>
      <c r="BL60" s="368" t="s">
        <v>8274</v>
      </c>
      <c r="BM60" s="368" t="s">
        <v>8468</v>
      </c>
      <c r="BN60" s="368" t="s">
        <v>8245</v>
      </c>
      <c r="BO60" s="368" t="s">
        <v>8198</v>
      </c>
      <c r="BP60" s="368" t="s">
        <v>8268</v>
      </c>
      <c r="BQ60" s="367" t="s">
        <v>8428</v>
      </c>
      <c r="BR60" s="367" t="s">
        <v>10200</v>
      </c>
      <c r="BS60" s="329"/>
      <c r="BT60" s="381" t="s">
        <v>10200</v>
      </c>
      <c r="BU60" s="382" t="s">
        <v>8275</v>
      </c>
      <c r="BV60" s="382" t="s">
        <v>8207</v>
      </c>
      <c r="BW60" s="382" t="s">
        <v>8300</v>
      </c>
      <c r="BX60" s="382" t="s">
        <v>7853</v>
      </c>
      <c r="BY60" s="382" t="s">
        <v>8319</v>
      </c>
      <c r="BZ60" s="382" t="s">
        <v>8393</v>
      </c>
      <c r="CA60" s="382" t="s">
        <v>8405</v>
      </c>
      <c r="CB60" s="382" t="s">
        <v>8185</v>
      </c>
      <c r="CC60" s="382" t="s">
        <v>8456</v>
      </c>
      <c r="CD60" s="382" t="s">
        <v>8482</v>
      </c>
      <c r="CE60" s="382" t="s">
        <v>8375</v>
      </c>
      <c r="CF60" s="383" t="s">
        <v>8086</v>
      </c>
      <c r="CG60" s="382" t="s">
        <v>8214</v>
      </c>
      <c r="CH60" s="382" t="s">
        <v>7860</v>
      </c>
      <c r="CI60" s="382" t="s">
        <v>8479</v>
      </c>
      <c r="CJ60" s="382" t="s">
        <v>8301</v>
      </c>
      <c r="CK60" s="382" t="s">
        <v>8266</v>
      </c>
      <c r="CL60" s="382" t="s">
        <v>8333</v>
      </c>
      <c r="CM60" s="382" t="s">
        <v>8282</v>
      </c>
      <c r="CN60" s="382" t="s">
        <v>8364</v>
      </c>
      <c r="CO60" s="382" t="s">
        <v>8349</v>
      </c>
      <c r="CP60" s="382" t="s">
        <v>8468</v>
      </c>
      <c r="CQ60" s="382" t="s">
        <v>8481</v>
      </c>
      <c r="CR60" s="382" t="s">
        <v>8315</v>
      </c>
      <c r="CS60" s="382" t="s">
        <v>7604</v>
      </c>
      <c r="CT60" s="382" t="s">
        <v>8191</v>
      </c>
      <c r="CU60" s="382" t="s">
        <v>8340</v>
      </c>
      <c r="CV60" s="382" t="s">
        <v>8425</v>
      </c>
      <c r="CW60" s="382" t="s">
        <v>8270</v>
      </c>
      <c r="CX60" s="382" t="s">
        <v>8194</v>
      </c>
      <c r="CY60" s="382" t="s">
        <v>8189</v>
      </c>
      <c r="CZ60" s="382" t="s">
        <v>8478</v>
      </c>
      <c r="DA60" s="382" t="s">
        <v>8310</v>
      </c>
      <c r="DB60" s="382" t="s">
        <v>8374</v>
      </c>
      <c r="DC60" s="382" t="s">
        <v>8311</v>
      </c>
      <c r="DD60" s="382" t="s">
        <v>8415</v>
      </c>
      <c r="DE60" s="382" t="s">
        <v>8225</v>
      </c>
      <c r="DF60" s="382" t="s">
        <v>8271</v>
      </c>
      <c r="DG60" s="382" t="s">
        <v>8223</v>
      </c>
      <c r="DH60" s="382" t="s">
        <v>8409</v>
      </c>
      <c r="DI60" s="382" t="s">
        <v>8329</v>
      </c>
      <c r="DJ60" s="382" t="s">
        <v>8304</v>
      </c>
      <c r="DK60" s="382" t="s">
        <v>8292</v>
      </c>
      <c r="DL60" s="382" t="s">
        <v>8367</v>
      </c>
      <c r="DM60" s="382" t="s">
        <v>8485</v>
      </c>
      <c r="DN60" s="382" t="s">
        <v>8265</v>
      </c>
      <c r="DO60" s="382" t="s">
        <v>8299</v>
      </c>
      <c r="DP60" s="382" t="s">
        <v>8258</v>
      </c>
      <c r="DQ60" s="382" t="s">
        <v>8285</v>
      </c>
      <c r="DR60" s="382" t="s">
        <v>7577</v>
      </c>
      <c r="DS60" s="382" t="s">
        <v>8268</v>
      </c>
      <c r="DT60" s="382" t="s">
        <v>8332</v>
      </c>
      <c r="DU60" s="382" t="s">
        <v>8308</v>
      </c>
      <c r="DV60" s="382" t="s">
        <v>8442</v>
      </c>
      <c r="DW60" s="382" t="s">
        <v>8220</v>
      </c>
      <c r="DX60" s="382" t="s">
        <v>8263</v>
      </c>
      <c r="DY60" s="382" t="s">
        <v>8354</v>
      </c>
      <c r="DZ60" s="382" t="s">
        <v>8264</v>
      </c>
      <c r="EA60" s="382" t="s">
        <v>7588</v>
      </c>
      <c r="EB60" s="381" t="s">
        <v>8399</v>
      </c>
      <c r="EC60" s="381" t="s">
        <v>10200</v>
      </c>
      <c r="ED60" s="381"/>
      <c r="EE60" s="381" t="s">
        <v>10200</v>
      </c>
      <c r="EF60" s="382" t="s">
        <v>7855</v>
      </c>
      <c r="EG60" s="382" t="s">
        <v>8497</v>
      </c>
      <c r="EH60" s="382" t="s">
        <v>7862</v>
      </c>
      <c r="EI60" s="381" t="s">
        <v>8504</v>
      </c>
      <c r="EJ60" s="381" t="s">
        <v>10200</v>
      </c>
    </row>
    <row r="61" spans="1:140" ht="12" customHeight="1">
      <c r="A61" s="513"/>
      <c r="B61" s="367" t="s">
        <v>10201</v>
      </c>
      <c r="C61" s="368" t="s">
        <v>7739</v>
      </c>
      <c r="D61" s="368" t="s">
        <v>7741</v>
      </c>
      <c r="E61" s="368" t="s">
        <v>7613</v>
      </c>
      <c r="F61" s="367" t="s">
        <v>7629</v>
      </c>
      <c r="G61" s="367" t="s">
        <v>10201</v>
      </c>
      <c r="H61" s="367"/>
      <c r="I61" s="367" t="s">
        <v>10201</v>
      </c>
      <c r="J61" s="368" t="s">
        <v>8621</v>
      </c>
      <c r="K61" s="368" t="s">
        <v>7659</v>
      </c>
      <c r="L61" s="368" t="s">
        <v>8668</v>
      </c>
      <c r="M61" s="368" t="s">
        <v>7766</v>
      </c>
      <c r="N61" s="368" t="s">
        <v>8584</v>
      </c>
      <c r="O61" s="368" t="s">
        <v>7771</v>
      </c>
      <c r="P61" s="368" t="s">
        <v>7724</v>
      </c>
      <c r="Q61" s="368" t="s">
        <v>8636</v>
      </c>
      <c r="R61" s="368" t="s">
        <v>7630</v>
      </c>
      <c r="S61" s="368" t="s">
        <v>8640</v>
      </c>
      <c r="T61" s="368" t="s">
        <v>8616</v>
      </c>
      <c r="U61" s="368" t="s">
        <v>8626</v>
      </c>
      <c r="V61" s="368" t="s">
        <v>7673</v>
      </c>
      <c r="W61" s="368" t="s">
        <v>7617</v>
      </c>
      <c r="X61" s="368" t="s">
        <v>8574</v>
      </c>
      <c r="Y61" s="368" t="s">
        <v>7768</v>
      </c>
      <c r="Z61" s="368" t="s">
        <v>7628</v>
      </c>
      <c r="AA61" s="368" t="s">
        <v>7682</v>
      </c>
      <c r="AB61" s="368" t="s">
        <v>8549</v>
      </c>
      <c r="AC61" s="368" t="s">
        <v>8590</v>
      </c>
      <c r="AD61" s="368" t="s">
        <v>7723</v>
      </c>
      <c r="AE61" s="368" t="s">
        <v>8609</v>
      </c>
      <c r="AF61" s="368" t="s">
        <v>7671</v>
      </c>
      <c r="AG61" s="368" t="s">
        <v>7708</v>
      </c>
      <c r="AH61" s="368" t="s">
        <v>7779</v>
      </c>
      <c r="AI61" s="368" t="s">
        <v>8644</v>
      </c>
      <c r="AJ61" s="368" t="s">
        <v>8581</v>
      </c>
      <c r="AK61" s="368" t="s">
        <v>7691</v>
      </c>
      <c r="AL61" s="368" t="s">
        <v>8521</v>
      </c>
      <c r="AM61" s="368" t="s">
        <v>7775</v>
      </c>
      <c r="AN61" s="368" t="s">
        <v>7625</v>
      </c>
      <c r="AO61" s="368" t="s">
        <v>7782</v>
      </c>
      <c r="AP61" s="368" t="s">
        <v>8646</v>
      </c>
      <c r="AQ61" s="368" t="s">
        <v>8547</v>
      </c>
      <c r="AR61" s="368" t="s">
        <v>7669</v>
      </c>
      <c r="AS61" s="368" t="s">
        <v>7740</v>
      </c>
      <c r="AT61" s="368" t="s">
        <v>8628</v>
      </c>
      <c r="AU61" s="368" t="s">
        <v>7783</v>
      </c>
      <c r="AV61" s="368" t="s">
        <v>8529</v>
      </c>
      <c r="AW61" s="368" t="s">
        <v>8673</v>
      </c>
      <c r="AX61" s="368" t="s">
        <v>8633</v>
      </c>
      <c r="AY61" s="368" t="s">
        <v>7713</v>
      </c>
      <c r="AZ61" s="368" t="s">
        <v>8667</v>
      </c>
      <c r="BA61" s="368" t="s">
        <v>7636</v>
      </c>
      <c r="BB61" s="368" t="s">
        <v>8577</v>
      </c>
      <c r="BC61" s="368" t="s">
        <v>7642</v>
      </c>
      <c r="BD61" s="368" t="s">
        <v>8615</v>
      </c>
      <c r="BE61" s="367" t="s">
        <v>8604</v>
      </c>
      <c r="BF61" s="367" t="s">
        <v>8516</v>
      </c>
      <c r="BG61" s="368" t="s">
        <v>8556</v>
      </c>
      <c r="BH61" s="368" t="s">
        <v>7692</v>
      </c>
      <c r="BI61" s="368" t="s">
        <v>7650</v>
      </c>
      <c r="BJ61" s="368" t="s">
        <v>7666</v>
      </c>
      <c r="BK61" s="368" t="s">
        <v>8599</v>
      </c>
      <c r="BL61" s="368" t="s">
        <v>7712</v>
      </c>
      <c r="BM61" s="368" t="s">
        <v>8663</v>
      </c>
      <c r="BN61" s="368" t="s">
        <v>7683</v>
      </c>
      <c r="BO61" s="368" t="s">
        <v>7624</v>
      </c>
      <c r="BP61" s="368" t="s">
        <v>7706</v>
      </c>
      <c r="BQ61" s="367" t="s">
        <v>8623</v>
      </c>
      <c r="BR61" s="367" t="s">
        <v>10201</v>
      </c>
      <c r="BS61" s="329"/>
      <c r="BT61" s="381" t="s">
        <v>10201</v>
      </c>
      <c r="BU61" s="382" t="s">
        <v>7714</v>
      </c>
      <c r="BV61" s="382" t="s">
        <v>7636</v>
      </c>
      <c r="BW61" s="382" t="s">
        <v>7754</v>
      </c>
      <c r="BX61" s="382" t="s">
        <v>7747</v>
      </c>
      <c r="BY61" s="382" t="s">
        <v>8514</v>
      </c>
      <c r="BZ61" s="382" t="s">
        <v>8588</v>
      </c>
      <c r="CA61" s="382" t="s">
        <v>8600</v>
      </c>
      <c r="CB61" s="382" t="s">
        <v>7608</v>
      </c>
      <c r="CC61" s="382" t="s">
        <v>8651</v>
      </c>
      <c r="CD61" s="382" t="s">
        <v>8677</v>
      </c>
      <c r="CE61" s="382" t="s">
        <v>8570</v>
      </c>
      <c r="CF61" s="383" t="s">
        <v>8509</v>
      </c>
      <c r="CG61" s="382" t="s">
        <v>7643</v>
      </c>
      <c r="CH61" s="382" t="s">
        <v>7735</v>
      </c>
      <c r="CI61" s="382" t="s">
        <v>8674</v>
      </c>
      <c r="CJ61" s="382" t="s">
        <v>7758</v>
      </c>
      <c r="CK61" s="382" t="s">
        <v>7704</v>
      </c>
      <c r="CL61" s="382" t="s">
        <v>8528</v>
      </c>
      <c r="CM61" s="382" t="s">
        <v>7721</v>
      </c>
      <c r="CN61" s="382" t="s">
        <v>8559</v>
      </c>
      <c r="CO61" s="382" t="s">
        <v>8544</v>
      </c>
      <c r="CP61" s="382" t="s">
        <v>8663</v>
      </c>
      <c r="CQ61" s="382" t="s">
        <v>8676</v>
      </c>
      <c r="CR61" s="382" t="s">
        <v>7803</v>
      </c>
      <c r="CS61" s="382" t="s">
        <v>7807</v>
      </c>
      <c r="CT61" s="382" t="s">
        <v>7617</v>
      </c>
      <c r="CU61" s="382" t="s">
        <v>8535</v>
      </c>
      <c r="CV61" s="382" t="s">
        <v>8620</v>
      </c>
      <c r="CW61" s="382" t="s">
        <v>7708</v>
      </c>
      <c r="CX61" s="382" t="s">
        <v>7620</v>
      </c>
      <c r="CY61" s="382" t="s">
        <v>7756</v>
      </c>
      <c r="CZ61" s="382" t="s">
        <v>8673</v>
      </c>
      <c r="DA61" s="382" t="s">
        <v>7768</v>
      </c>
      <c r="DB61" s="382" t="s">
        <v>8569</v>
      </c>
      <c r="DC61" s="382" t="s">
        <v>7779</v>
      </c>
      <c r="DD61" s="382" t="s">
        <v>8610</v>
      </c>
      <c r="DE61" s="382" t="s">
        <v>7660</v>
      </c>
      <c r="DF61" s="382" t="s">
        <v>7709</v>
      </c>
      <c r="DG61" s="382" t="s">
        <v>7658</v>
      </c>
      <c r="DH61" s="382" t="s">
        <v>8604</v>
      </c>
      <c r="DI61" s="382" t="s">
        <v>8524</v>
      </c>
      <c r="DJ61" s="382" t="s">
        <v>7761</v>
      </c>
      <c r="DK61" s="382" t="s">
        <v>7734</v>
      </c>
      <c r="DL61" s="382" t="s">
        <v>8562</v>
      </c>
      <c r="DM61" s="382" t="s">
        <v>8680</v>
      </c>
      <c r="DN61" s="382" t="s">
        <v>7703</v>
      </c>
      <c r="DO61" s="382" t="s">
        <v>7753</v>
      </c>
      <c r="DP61" s="382" t="s">
        <v>7696</v>
      </c>
      <c r="DQ61" s="382" t="s">
        <v>7724</v>
      </c>
      <c r="DR61" s="382" t="s">
        <v>7776</v>
      </c>
      <c r="DS61" s="382" t="s">
        <v>7706</v>
      </c>
      <c r="DT61" s="382" t="s">
        <v>8527</v>
      </c>
      <c r="DU61" s="382" t="s">
        <v>7766</v>
      </c>
      <c r="DV61" s="382" t="s">
        <v>8637</v>
      </c>
      <c r="DW61" s="382" t="s">
        <v>7653</v>
      </c>
      <c r="DX61" s="382" t="s">
        <v>7701</v>
      </c>
      <c r="DY61" s="382" t="s">
        <v>8549</v>
      </c>
      <c r="DZ61" s="382" t="s">
        <v>7702</v>
      </c>
      <c r="EA61" s="382" t="s">
        <v>7787</v>
      </c>
      <c r="EB61" s="381" t="s">
        <v>8594</v>
      </c>
      <c r="EC61" s="381" t="s">
        <v>10201</v>
      </c>
      <c r="ED61" s="381"/>
      <c r="EE61" s="381" t="s">
        <v>10201</v>
      </c>
      <c r="EF61" s="382" t="s">
        <v>7744</v>
      </c>
      <c r="EG61" s="382" t="s">
        <v>7645</v>
      </c>
      <c r="EH61" s="382" t="s">
        <v>7748</v>
      </c>
      <c r="EI61" s="381" t="s">
        <v>7739</v>
      </c>
      <c r="EJ61" s="381" t="s">
        <v>10201</v>
      </c>
    </row>
    <row r="62" spans="1:140" ht="12" customHeight="1">
      <c r="A62" s="513"/>
      <c r="B62" s="367" t="s">
        <v>8731</v>
      </c>
      <c r="C62" s="368" t="s">
        <v>8507</v>
      </c>
      <c r="D62" s="368" t="s">
        <v>8507</v>
      </c>
      <c r="E62" s="368" t="s">
        <v>8507</v>
      </c>
      <c r="F62" s="367" t="s">
        <v>8507</v>
      </c>
      <c r="G62" s="367" t="s">
        <v>8731</v>
      </c>
      <c r="H62" s="367"/>
      <c r="I62" s="367" t="s">
        <v>8731</v>
      </c>
      <c r="J62" s="368" t="s">
        <v>8506</v>
      </c>
      <c r="K62" s="368" t="s">
        <v>8506</v>
      </c>
      <c r="L62" s="368" t="s">
        <v>8506</v>
      </c>
      <c r="M62" s="368" t="s">
        <v>8506</v>
      </c>
      <c r="N62" s="368" t="s">
        <v>8506</v>
      </c>
      <c r="O62" s="368" t="s">
        <v>8506</v>
      </c>
      <c r="P62" s="368" t="s">
        <v>8506</v>
      </c>
      <c r="Q62" s="368" t="s">
        <v>8506</v>
      </c>
      <c r="R62" s="368" t="s">
        <v>8506</v>
      </c>
      <c r="S62" s="368" t="s">
        <v>8506</v>
      </c>
      <c r="T62" s="368" t="s">
        <v>8506</v>
      </c>
      <c r="U62" s="368" t="s">
        <v>8506</v>
      </c>
      <c r="V62" s="368" t="s">
        <v>8506</v>
      </c>
      <c r="W62" s="368" t="s">
        <v>8506</v>
      </c>
      <c r="X62" s="368" t="s">
        <v>8506</v>
      </c>
      <c r="Y62" s="368" t="s">
        <v>8506</v>
      </c>
      <c r="Z62" s="368" t="s">
        <v>8506</v>
      </c>
      <c r="AA62" s="368" t="s">
        <v>8506</v>
      </c>
      <c r="AB62" s="368" t="s">
        <v>8506</v>
      </c>
      <c r="AC62" s="368" t="s">
        <v>8506</v>
      </c>
      <c r="AD62" s="368" t="s">
        <v>8506</v>
      </c>
      <c r="AE62" s="368" t="s">
        <v>8506</v>
      </c>
      <c r="AF62" s="368" t="s">
        <v>8506</v>
      </c>
      <c r="AG62" s="368" t="s">
        <v>8506</v>
      </c>
      <c r="AH62" s="368" t="s">
        <v>8506</v>
      </c>
      <c r="AI62" s="368" t="s">
        <v>8506</v>
      </c>
      <c r="AJ62" s="368" t="s">
        <v>8506</v>
      </c>
      <c r="AK62" s="368" t="s">
        <v>8506</v>
      </c>
      <c r="AL62" s="368" t="s">
        <v>8506</v>
      </c>
      <c r="AM62" s="368" t="s">
        <v>8506</v>
      </c>
      <c r="AN62" s="368" t="s">
        <v>8506</v>
      </c>
      <c r="AO62" s="368" t="s">
        <v>8506</v>
      </c>
      <c r="AP62" s="368" t="s">
        <v>8506</v>
      </c>
      <c r="AQ62" s="368" t="s">
        <v>8506</v>
      </c>
      <c r="AR62" s="368" t="s">
        <v>8506</v>
      </c>
      <c r="AS62" s="368" t="s">
        <v>8506</v>
      </c>
      <c r="AT62" s="368" t="s">
        <v>8506</v>
      </c>
      <c r="AU62" s="368" t="s">
        <v>8506</v>
      </c>
      <c r="AV62" s="368" t="s">
        <v>8506</v>
      </c>
      <c r="AW62" s="368" t="s">
        <v>8506</v>
      </c>
      <c r="AX62" s="368" t="s">
        <v>8506</v>
      </c>
      <c r="AY62" s="368" t="s">
        <v>8506</v>
      </c>
      <c r="AZ62" s="368" t="s">
        <v>8506</v>
      </c>
      <c r="BA62" s="368" t="s">
        <v>8506</v>
      </c>
      <c r="BB62" s="368" t="s">
        <v>8506</v>
      </c>
      <c r="BC62" s="368" t="s">
        <v>8506</v>
      </c>
      <c r="BD62" s="368" t="s">
        <v>8506</v>
      </c>
      <c r="BE62" s="367" t="s">
        <v>8506</v>
      </c>
      <c r="BF62" s="367" t="s">
        <v>8506</v>
      </c>
      <c r="BG62" s="368" t="s">
        <v>8506</v>
      </c>
      <c r="BH62" s="368" t="s">
        <v>8506</v>
      </c>
      <c r="BI62" s="368" t="s">
        <v>8506</v>
      </c>
      <c r="BJ62" s="368" t="s">
        <v>8506</v>
      </c>
      <c r="BK62" s="368" t="s">
        <v>8506</v>
      </c>
      <c r="BL62" s="368" t="s">
        <v>8506</v>
      </c>
      <c r="BM62" s="368" t="s">
        <v>8506</v>
      </c>
      <c r="BN62" s="368" t="s">
        <v>8506</v>
      </c>
      <c r="BO62" s="368" t="s">
        <v>8506</v>
      </c>
      <c r="BP62" s="368" t="s">
        <v>8506</v>
      </c>
      <c r="BQ62" s="367" t="s">
        <v>8506</v>
      </c>
      <c r="BR62" s="367" t="s">
        <v>8731</v>
      </c>
      <c r="BS62" s="329" t="s">
        <v>10274</v>
      </c>
      <c r="BT62" s="381" t="s">
        <v>8731</v>
      </c>
      <c r="BU62" s="382" t="s">
        <v>8506</v>
      </c>
      <c r="BV62" s="382" t="s">
        <v>8506</v>
      </c>
      <c r="BW62" s="382" t="s">
        <v>8506</v>
      </c>
      <c r="BX62" s="382" t="s">
        <v>8506</v>
      </c>
      <c r="BY62" s="382" t="s">
        <v>8506</v>
      </c>
      <c r="BZ62" s="382" t="s">
        <v>8506</v>
      </c>
      <c r="CA62" s="382" t="s">
        <v>8506</v>
      </c>
      <c r="CB62" s="382" t="s">
        <v>8506</v>
      </c>
      <c r="CC62" s="382" t="s">
        <v>8506</v>
      </c>
      <c r="CD62" s="382" t="s">
        <v>8506</v>
      </c>
      <c r="CE62" s="382" t="s">
        <v>8506</v>
      </c>
      <c r="CF62" s="383" t="s">
        <v>8506</v>
      </c>
      <c r="CG62" s="382" t="s">
        <v>8506</v>
      </c>
      <c r="CH62" s="382" t="s">
        <v>8506</v>
      </c>
      <c r="CI62" s="382" t="s">
        <v>8506</v>
      </c>
      <c r="CJ62" s="382" t="s">
        <v>8506</v>
      </c>
      <c r="CK62" s="382" t="s">
        <v>8506</v>
      </c>
      <c r="CL62" s="382" t="s">
        <v>8506</v>
      </c>
      <c r="CM62" s="382" t="s">
        <v>8506</v>
      </c>
      <c r="CN62" s="382" t="s">
        <v>8506</v>
      </c>
      <c r="CO62" s="382" t="s">
        <v>8506</v>
      </c>
      <c r="CP62" s="382" t="s">
        <v>8506</v>
      </c>
      <c r="CQ62" s="382" t="s">
        <v>8506</v>
      </c>
      <c r="CR62" s="382" t="s">
        <v>8506</v>
      </c>
      <c r="CS62" s="382" t="s">
        <v>8506</v>
      </c>
      <c r="CT62" s="382" t="s">
        <v>8506</v>
      </c>
      <c r="CU62" s="382" t="s">
        <v>8506</v>
      </c>
      <c r="CV62" s="382" t="s">
        <v>8506</v>
      </c>
      <c r="CW62" s="382" t="s">
        <v>8506</v>
      </c>
      <c r="CX62" s="382" t="s">
        <v>8506</v>
      </c>
      <c r="CY62" s="382" t="s">
        <v>8506</v>
      </c>
      <c r="CZ62" s="382" t="s">
        <v>8506</v>
      </c>
      <c r="DA62" s="382" t="s">
        <v>8506</v>
      </c>
      <c r="DB62" s="382" t="s">
        <v>8506</v>
      </c>
      <c r="DC62" s="382" t="s">
        <v>8506</v>
      </c>
      <c r="DD62" s="382" t="s">
        <v>8506</v>
      </c>
      <c r="DE62" s="382" t="s">
        <v>8506</v>
      </c>
      <c r="DF62" s="382" t="s">
        <v>8506</v>
      </c>
      <c r="DG62" s="382" t="s">
        <v>8506</v>
      </c>
      <c r="DH62" s="382" t="s">
        <v>8506</v>
      </c>
      <c r="DI62" s="382" t="s">
        <v>8506</v>
      </c>
      <c r="DJ62" s="382" t="s">
        <v>8506</v>
      </c>
      <c r="DK62" s="382" t="s">
        <v>8506</v>
      </c>
      <c r="DL62" s="382" t="s">
        <v>8506</v>
      </c>
      <c r="DM62" s="382" t="s">
        <v>8506</v>
      </c>
      <c r="DN62" s="382" t="s">
        <v>8506</v>
      </c>
      <c r="DO62" s="382" t="s">
        <v>8506</v>
      </c>
      <c r="DP62" s="382" t="s">
        <v>8506</v>
      </c>
      <c r="DQ62" s="382" t="s">
        <v>8506</v>
      </c>
      <c r="DR62" s="382" t="s">
        <v>8506</v>
      </c>
      <c r="DS62" s="382" t="s">
        <v>8506</v>
      </c>
      <c r="DT62" s="382" t="s">
        <v>8506</v>
      </c>
      <c r="DU62" s="382" t="s">
        <v>8506</v>
      </c>
      <c r="DV62" s="382" t="s">
        <v>8506</v>
      </c>
      <c r="DW62" s="382" t="s">
        <v>8506</v>
      </c>
      <c r="DX62" s="382" t="s">
        <v>8506</v>
      </c>
      <c r="DY62" s="382" t="s">
        <v>8506</v>
      </c>
      <c r="DZ62" s="382" t="s">
        <v>8506</v>
      </c>
      <c r="EA62" s="382" t="s">
        <v>8506</v>
      </c>
      <c r="EB62" s="381" t="s">
        <v>8506</v>
      </c>
      <c r="EC62" s="381" t="s">
        <v>8731</v>
      </c>
      <c r="ED62" s="381"/>
      <c r="EE62" s="381" t="s">
        <v>8731</v>
      </c>
      <c r="EF62" s="382" t="s">
        <v>8507</v>
      </c>
      <c r="EG62" s="382" t="s">
        <v>8507</v>
      </c>
      <c r="EH62" s="382" t="s">
        <v>8507</v>
      </c>
      <c r="EI62" s="381" t="s">
        <v>8507</v>
      </c>
      <c r="EJ62" s="381" t="s">
        <v>8731</v>
      </c>
    </row>
    <row r="63" spans="1:140" ht="12" customHeight="1" thickBot="1">
      <c r="A63" s="513"/>
      <c r="B63" s="370" t="s">
        <v>10202</v>
      </c>
      <c r="C63" s="376" t="s">
        <v>10246</v>
      </c>
      <c r="D63" s="376" t="s">
        <v>10245</v>
      </c>
      <c r="E63" s="376" t="s">
        <v>10205</v>
      </c>
      <c r="F63" s="372" t="s">
        <v>10206</v>
      </c>
      <c r="G63" s="370" t="s">
        <v>10202</v>
      </c>
      <c r="H63" s="372"/>
      <c r="I63" s="370" t="s">
        <v>10202</v>
      </c>
      <c r="J63" s="376" t="s">
        <v>10888</v>
      </c>
      <c r="K63" s="376" t="s">
        <v>10889</v>
      </c>
      <c r="L63" s="376" t="s">
        <v>10890</v>
      </c>
      <c r="M63" s="376" t="s">
        <v>10891</v>
      </c>
      <c r="N63" s="376" t="s">
        <v>10892</v>
      </c>
      <c r="O63" s="376" t="s">
        <v>10893</v>
      </c>
      <c r="P63" s="376" t="s">
        <v>10894</v>
      </c>
      <c r="Q63" s="376" t="s">
        <v>10895</v>
      </c>
      <c r="R63" s="376" t="s">
        <v>10242</v>
      </c>
      <c r="S63" s="376" t="s">
        <v>10896</v>
      </c>
      <c r="T63" s="376" t="s">
        <v>10897</v>
      </c>
      <c r="U63" s="376" t="s">
        <v>10898</v>
      </c>
      <c r="V63" s="376" t="s">
        <v>10899</v>
      </c>
      <c r="W63" s="376" t="s">
        <v>10203</v>
      </c>
      <c r="X63" s="376" t="s">
        <v>10900</v>
      </c>
      <c r="Y63" s="376" t="s">
        <v>10901</v>
      </c>
      <c r="Z63" s="376" t="s">
        <v>10241</v>
      </c>
      <c r="AA63" s="376" t="s">
        <v>10902</v>
      </c>
      <c r="AB63" s="376" t="s">
        <v>10903</v>
      </c>
      <c r="AC63" s="376" t="s">
        <v>10904</v>
      </c>
      <c r="AD63" s="376" t="s">
        <v>10905</v>
      </c>
      <c r="AE63" s="376" t="s">
        <v>10906</v>
      </c>
      <c r="AF63" s="376" t="s">
        <v>10907</v>
      </c>
      <c r="AG63" s="376" t="s">
        <v>10908</v>
      </c>
      <c r="AH63" s="376" t="s">
        <v>10909</v>
      </c>
      <c r="AI63" s="376" t="s">
        <v>10910</v>
      </c>
      <c r="AJ63" s="376" t="s">
        <v>10911</v>
      </c>
      <c r="AK63" s="376" t="s">
        <v>10912</v>
      </c>
      <c r="AL63" s="376" t="s">
        <v>10913</v>
      </c>
      <c r="AM63" s="376" t="s">
        <v>10914</v>
      </c>
      <c r="AN63" s="376" t="s">
        <v>10245</v>
      </c>
      <c r="AO63" s="376" t="s">
        <v>10915</v>
      </c>
      <c r="AP63" s="376" t="s">
        <v>10916</v>
      </c>
      <c r="AQ63" s="376" t="s">
        <v>10917</v>
      </c>
      <c r="AR63" s="376" t="s">
        <v>10918</v>
      </c>
      <c r="AS63" s="376" t="s">
        <v>10919</v>
      </c>
      <c r="AT63" s="376" t="s">
        <v>10920</v>
      </c>
      <c r="AU63" s="376" t="s">
        <v>10921</v>
      </c>
      <c r="AV63" s="376" t="s">
        <v>10922</v>
      </c>
      <c r="AW63" s="376" t="s">
        <v>10923</v>
      </c>
      <c r="AX63" s="376" t="s">
        <v>10924</v>
      </c>
      <c r="AY63" s="376" t="s">
        <v>10925</v>
      </c>
      <c r="AZ63" s="376" t="s">
        <v>10926</v>
      </c>
      <c r="BA63" s="376" t="s">
        <v>10238</v>
      </c>
      <c r="BB63" s="376" t="s">
        <v>10927</v>
      </c>
      <c r="BC63" s="376" t="s">
        <v>10282</v>
      </c>
      <c r="BD63" s="376" t="s">
        <v>10928</v>
      </c>
      <c r="BE63" s="372" t="s">
        <v>10929</v>
      </c>
      <c r="BF63" s="372" t="s">
        <v>10930</v>
      </c>
      <c r="BG63" s="376" t="s">
        <v>10931</v>
      </c>
      <c r="BH63" s="376" t="s">
        <v>10932</v>
      </c>
      <c r="BI63" s="376" t="s">
        <v>10337</v>
      </c>
      <c r="BJ63" s="376" t="s">
        <v>10933</v>
      </c>
      <c r="BK63" s="376" t="s">
        <v>10934</v>
      </c>
      <c r="BL63" s="376" t="s">
        <v>10935</v>
      </c>
      <c r="BM63" s="376" t="s">
        <v>10936</v>
      </c>
      <c r="BN63" s="376" t="s">
        <v>10937</v>
      </c>
      <c r="BO63" s="376" t="s">
        <v>10246</v>
      </c>
      <c r="BP63" s="376" t="s">
        <v>10938</v>
      </c>
      <c r="BQ63" s="372" t="s">
        <v>10939</v>
      </c>
      <c r="BR63" s="370" t="s">
        <v>10202</v>
      </c>
      <c r="BS63" s="330"/>
      <c r="BT63" s="384" t="s">
        <v>10202</v>
      </c>
      <c r="BU63" s="388" t="s">
        <v>10940</v>
      </c>
      <c r="BV63" s="388" t="s">
        <v>10308</v>
      </c>
      <c r="BW63" s="388" t="s">
        <v>10941</v>
      </c>
      <c r="BX63" s="388" t="s">
        <v>10942</v>
      </c>
      <c r="BY63" s="388" t="s">
        <v>10943</v>
      </c>
      <c r="BZ63" s="388" t="s">
        <v>10944</v>
      </c>
      <c r="CA63" s="388" t="s">
        <v>10945</v>
      </c>
      <c r="CB63" s="388" t="s">
        <v>10312</v>
      </c>
      <c r="CC63" s="388" t="s">
        <v>10946</v>
      </c>
      <c r="CD63" s="388" t="s">
        <v>10947</v>
      </c>
      <c r="CE63" s="388" t="s">
        <v>10948</v>
      </c>
      <c r="CF63" s="389" t="s">
        <v>10949</v>
      </c>
      <c r="CG63" s="388" t="s">
        <v>10314</v>
      </c>
      <c r="CH63" s="388" t="s">
        <v>10950</v>
      </c>
      <c r="CI63" s="388" t="s">
        <v>10951</v>
      </c>
      <c r="CJ63" s="388" t="s">
        <v>10952</v>
      </c>
      <c r="CK63" s="388" t="s">
        <v>10953</v>
      </c>
      <c r="CL63" s="388" t="s">
        <v>10954</v>
      </c>
      <c r="CM63" s="388" t="s">
        <v>10955</v>
      </c>
      <c r="CN63" s="388" t="s">
        <v>10956</v>
      </c>
      <c r="CO63" s="388" t="s">
        <v>10957</v>
      </c>
      <c r="CP63" s="388" t="s">
        <v>10958</v>
      </c>
      <c r="CQ63" s="388" t="s">
        <v>10959</v>
      </c>
      <c r="CR63" s="388" t="s">
        <v>10960</v>
      </c>
      <c r="CS63" s="388" t="s">
        <v>10961</v>
      </c>
      <c r="CT63" s="388" t="s">
        <v>10327</v>
      </c>
      <c r="CU63" s="388" t="s">
        <v>10962</v>
      </c>
      <c r="CV63" s="388" t="s">
        <v>10963</v>
      </c>
      <c r="CW63" s="388" t="s">
        <v>10964</v>
      </c>
      <c r="CX63" s="388" t="s">
        <v>10317</v>
      </c>
      <c r="CY63" s="388" t="s">
        <v>10965</v>
      </c>
      <c r="CZ63" s="388" t="s">
        <v>10966</v>
      </c>
      <c r="DA63" s="388" t="s">
        <v>10967</v>
      </c>
      <c r="DB63" s="388" t="s">
        <v>10968</v>
      </c>
      <c r="DC63" s="388" t="s">
        <v>10969</v>
      </c>
      <c r="DD63" s="388" t="s">
        <v>10970</v>
      </c>
      <c r="DE63" s="388" t="s">
        <v>10971</v>
      </c>
      <c r="DF63" s="388" t="s">
        <v>10972</v>
      </c>
      <c r="DG63" s="388" t="s">
        <v>10973</v>
      </c>
      <c r="DH63" s="388" t="s">
        <v>10974</v>
      </c>
      <c r="DI63" s="388" t="s">
        <v>10975</v>
      </c>
      <c r="DJ63" s="388" t="s">
        <v>10976</v>
      </c>
      <c r="DK63" s="388" t="s">
        <v>10977</v>
      </c>
      <c r="DL63" s="388" t="s">
        <v>10978</v>
      </c>
      <c r="DM63" s="388" t="s">
        <v>10979</v>
      </c>
      <c r="DN63" s="388" t="s">
        <v>10980</v>
      </c>
      <c r="DO63" s="388" t="s">
        <v>10981</v>
      </c>
      <c r="DP63" s="388" t="s">
        <v>10982</v>
      </c>
      <c r="DQ63" s="388" t="s">
        <v>10983</v>
      </c>
      <c r="DR63" s="388" t="s">
        <v>10984</v>
      </c>
      <c r="DS63" s="388" t="s">
        <v>10985</v>
      </c>
      <c r="DT63" s="388" t="s">
        <v>10986</v>
      </c>
      <c r="DU63" s="388" t="s">
        <v>10987</v>
      </c>
      <c r="DV63" s="388" t="s">
        <v>10988</v>
      </c>
      <c r="DW63" s="388" t="s">
        <v>10989</v>
      </c>
      <c r="DX63" s="388" t="s">
        <v>10990</v>
      </c>
      <c r="DY63" s="388" t="s">
        <v>10991</v>
      </c>
      <c r="DZ63" s="388" t="s">
        <v>10992</v>
      </c>
      <c r="EA63" s="388" t="s">
        <v>10993</v>
      </c>
      <c r="EB63" s="387" t="s">
        <v>10994</v>
      </c>
      <c r="EC63" s="384" t="s">
        <v>10202</v>
      </c>
      <c r="ED63" s="387"/>
      <c r="EE63" s="384" t="s">
        <v>10202</v>
      </c>
      <c r="EF63" s="388" t="s">
        <v>10316</v>
      </c>
      <c r="EG63" s="388" t="s">
        <v>10327</v>
      </c>
      <c r="EH63" s="388" t="s">
        <v>10313</v>
      </c>
      <c r="EI63" s="387" t="s">
        <v>10306</v>
      </c>
      <c r="EJ63" s="384" t="s">
        <v>10202</v>
      </c>
    </row>
    <row r="64" spans="1:140" ht="12" customHeight="1">
      <c r="A64" s="512">
        <v>6</v>
      </c>
      <c r="B64" s="381" t="s">
        <v>10200</v>
      </c>
      <c r="C64" s="382" t="s">
        <v>7856</v>
      </c>
      <c r="D64" s="382" t="s">
        <v>8505</v>
      </c>
      <c r="E64" s="382" t="s">
        <v>7857</v>
      </c>
      <c r="F64" s="381" t="s">
        <v>8504</v>
      </c>
      <c r="G64" s="381" t="s">
        <v>10200</v>
      </c>
      <c r="H64" s="381"/>
      <c r="I64" s="381" t="s">
        <v>10200</v>
      </c>
      <c r="J64" s="382" t="s">
        <v>8209</v>
      </c>
      <c r="K64" s="382" t="s">
        <v>7593</v>
      </c>
      <c r="L64" s="382" t="s">
        <v>8351</v>
      </c>
      <c r="M64" s="382" t="s">
        <v>7602</v>
      </c>
      <c r="N64" s="382" t="s">
        <v>8287</v>
      </c>
      <c r="O64" s="382" t="s">
        <v>8340</v>
      </c>
      <c r="P64" s="382" t="s">
        <v>8218</v>
      </c>
      <c r="Q64" s="382" t="s">
        <v>8241</v>
      </c>
      <c r="R64" s="382" t="s">
        <v>8479</v>
      </c>
      <c r="S64" s="382" t="s">
        <v>8213</v>
      </c>
      <c r="T64" s="382" t="s">
        <v>7586</v>
      </c>
      <c r="U64" s="382" t="s">
        <v>8485</v>
      </c>
      <c r="V64" s="382" t="s">
        <v>8248</v>
      </c>
      <c r="W64" s="382" t="s">
        <v>8353</v>
      </c>
      <c r="X64" s="382" t="s">
        <v>8215</v>
      </c>
      <c r="Y64" s="382" t="s">
        <v>7597</v>
      </c>
      <c r="Z64" s="382" t="s">
        <v>8245</v>
      </c>
      <c r="AA64" s="382" t="s">
        <v>8440</v>
      </c>
      <c r="AB64" s="382" t="s">
        <v>7585</v>
      </c>
      <c r="AC64" s="382" t="s">
        <v>8355</v>
      </c>
      <c r="AD64" s="382" t="s">
        <v>8256</v>
      </c>
      <c r="AE64" s="382" t="s">
        <v>8382</v>
      </c>
      <c r="AF64" s="382" t="s">
        <v>8361</v>
      </c>
      <c r="AG64" s="382" t="s">
        <v>8344</v>
      </c>
      <c r="AH64" s="382" t="s">
        <v>8186</v>
      </c>
      <c r="AI64" s="382" t="s">
        <v>8250</v>
      </c>
      <c r="AJ64" s="382" t="s">
        <v>8294</v>
      </c>
      <c r="AK64" s="382" t="s">
        <v>8242</v>
      </c>
      <c r="AL64" s="382" t="s">
        <v>7578</v>
      </c>
      <c r="AM64" s="382" t="s">
        <v>8416</v>
      </c>
      <c r="AN64" s="382" t="s">
        <v>8194</v>
      </c>
      <c r="AO64" s="382" t="s">
        <v>8381</v>
      </c>
      <c r="AP64" s="382" t="s">
        <v>8285</v>
      </c>
      <c r="AQ64" s="382" t="s">
        <v>8297</v>
      </c>
      <c r="AR64" s="382" t="s">
        <v>8371</v>
      </c>
      <c r="AS64" s="382" t="s">
        <v>8217</v>
      </c>
      <c r="AT64" s="382" t="s">
        <v>8221</v>
      </c>
      <c r="AU64" s="382" t="s">
        <v>8469</v>
      </c>
      <c r="AV64" s="382" t="s">
        <v>8457</v>
      </c>
      <c r="AW64" s="382" t="s">
        <v>8358</v>
      </c>
      <c r="AX64" s="382" t="s">
        <v>8191</v>
      </c>
      <c r="AY64" s="382" t="s">
        <v>8323</v>
      </c>
      <c r="AZ64" s="382" t="s">
        <v>8376</v>
      </c>
      <c r="BA64" s="382" t="s">
        <v>8387</v>
      </c>
      <c r="BB64" s="382" t="s">
        <v>8372</v>
      </c>
      <c r="BC64" s="382" t="s">
        <v>8202</v>
      </c>
      <c r="BD64" s="382" t="s">
        <v>8271</v>
      </c>
      <c r="BE64" s="381" t="s">
        <v>8257</v>
      </c>
      <c r="BF64" s="381" t="s">
        <v>8290</v>
      </c>
      <c r="BG64" s="382" t="s">
        <v>8484</v>
      </c>
      <c r="BH64" s="382" t="s">
        <v>8402</v>
      </c>
      <c r="BI64" s="382" t="s">
        <v>8390</v>
      </c>
      <c r="BJ64" s="382" t="s">
        <v>8315</v>
      </c>
      <c r="BK64" s="382" t="s">
        <v>8295</v>
      </c>
      <c r="BL64" s="382" t="s">
        <v>7605</v>
      </c>
      <c r="BM64" s="382" t="s">
        <v>7594</v>
      </c>
      <c r="BN64" s="382" t="s">
        <v>8316</v>
      </c>
      <c r="BO64" s="382" t="s">
        <v>8449</v>
      </c>
      <c r="BP64" s="382" t="s">
        <v>7573</v>
      </c>
      <c r="BQ64" s="381" t="s">
        <v>8306</v>
      </c>
      <c r="BR64" s="381" t="s">
        <v>10200</v>
      </c>
      <c r="BS64" s="329"/>
      <c r="BT64" s="367" t="s">
        <v>10200</v>
      </c>
      <c r="BU64" s="368" t="s">
        <v>8352</v>
      </c>
      <c r="BV64" s="368" t="s">
        <v>8277</v>
      </c>
      <c r="BW64" s="368" t="s">
        <v>8414</v>
      </c>
      <c r="BX64" s="368" t="s">
        <v>8381</v>
      </c>
      <c r="BY64" s="368" t="s">
        <v>8440</v>
      </c>
      <c r="BZ64" s="368" t="s">
        <v>8430</v>
      </c>
      <c r="CA64" s="368" t="s">
        <v>8209</v>
      </c>
      <c r="CB64" s="368" t="s">
        <v>8290</v>
      </c>
      <c r="CC64" s="368" t="s">
        <v>8353</v>
      </c>
      <c r="CD64" s="368" t="s">
        <v>8263</v>
      </c>
      <c r="CE64" s="368" t="s">
        <v>8289</v>
      </c>
      <c r="CF64" s="368" t="s">
        <v>8470</v>
      </c>
      <c r="CG64" s="368" t="s">
        <v>8362</v>
      </c>
      <c r="CH64" s="368" t="s">
        <v>8408</v>
      </c>
      <c r="CI64" s="368" t="s">
        <v>8195</v>
      </c>
      <c r="CJ64" s="369" t="s">
        <v>8086</v>
      </c>
      <c r="CK64" s="368" t="s">
        <v>8395</v>
      </c>
      <c r="CL64" s="368" t="s">
        <v>8336</v>
      </c>
      <c r="CM64" s="368" t="s">
        <v>8240</v>
      </c>
      <c r="CN64" s="369" t="s">
        <v>8299</v>
      </c>
      <c r="CO64" s="369" t="s">
        <v>8299</v>
      </c>
      <c r="CP64" s="368" t="s">
        <v>8369</v>
      </c>
      <c r="CQ64" s="368" t="s">
        <v>7600</v>
      </c>
      <c r="CR64" s="368" t="s">
        <v>7553</v>
      </c>
      <c r="CS64" s="368" t="s">
        <v>8285</v>
      </c>
      <c r="CT64" s="368" t="s">
        <v>8221</v>
      </c>
      <c r="CU64" s="368" t="s">
        <v>7605</v>
      </c>
      <c r="CV64" s="368" t="s">
        <v>8225</v>
      </c>
      <c r="CW64" s="368" t="s">
        <v>8307</v>
      </c>
      <c r="CX64" s="368" t="s">
        <v>8415</v>
      </c>
      <c r="CY64" s="368" t="s">
        <v>8443</v>
      </c>
      <c r="CZ64" s="368" t="s">
        <v>8454</v>
      </c>
      <c r="DA64" s="368" t="s">
        <v>8450</v>
      </c>
      <c r="DB64" s="368" t="s">
        <v>8385</v>
      </c>
      <c r="DC64" s="368" t="s">
        <v>8371</v>
      </c>
      <c r="DD64" s="368" t="s">
        <v>8204</v>
      </c>
      <c r="DE64" s="368" t="s">
        <v>7583</v>
      </c>
      <c r="DF64" s="368" t="s">
        <v>8429</v>
      </c>
      <c r="DG64" s="368" t="s">
        <v>8334</v>
      </c>
      <c r="DH64" s="368" t="s">
        <v>8256</v>
      </c>
      <c r="DI64" s="368" t="s">
        <v>8192</v>
      </c>
      <c r="DJ64" s="368" t="s">
        <v>8300</v>
      </c>
      <c r="DK64" s="368" t="s">
        <v>8191</v>
      </c>
      <c r="DL64" s="368" t="s">
        <v>8319</v>
      </c>
      <c r="DM64" s="368" t="s">
        <v>8248</v>
      </c>
      <c r="DN64" s="368" t="s">
        <v>8386</v>
      </c>
      <c r="DO64" s="368" t="s">
        <v>8472</v>
      </c>
      <c r="DP64" s="368" t="s">
        <v>8361</v>
      </c>
      <c r="DQ64" s="368" t="s">
        <v>8363</v>
      </c>
      <c r="DR64" s="368" t="s">
        <v>8346</v>
      </c>
      <c r="DS64" s="368" t="s">
        <v>8378</v>
      </c>
      <c r="DT64" s="368" t="s">
        <v>8482</v>
      </c>
      <c r="DU64" s="368" t="s">
        <v>7853</v>
      </c>
      <c r="DV64" s="368" t="s">
        <v>7594</v>
      </c>
      <c r="DW64" s="368" t="s">
        <v>8315</v>
      </c>
      <c r="DX64" s="368" t="s">
        <v>8322</v>
      </c>
      <c r="DY64" s="368" t="s">
        <v>8468</v>
      </c>
      <c r="DZ64" s="368" t="s">
        <v>7597</v>
      </c>
      <c r="EA64" s="368" t="s">
        <v>95</v>
      </c>
      <c r="EB64" s="367" t="s">
        <v>8344</v>
      </c>
      <c r="EC64" s="367" t="s">
        <v>10200</v>
      </c>
      <c r="ED64" s="367"/>
      <c r="EE64" s="367" t="s">
        <v>10200</v>
      </c>
      <c r="EF64" s="368" t="s">
        <v>7855</v>
      </c>
      <c r="EG64" s="368" t="s">
        <v>7861</v>
      </c>
      <c r="EH64" s="368" t="s">
        <v>7857</v>
      </c>
      <c r="EI64" s="367" t="s">
        <v>8492</v>
      </c>
      <c r="EJ64" s="367" t="s">
        <v>10200</v>
      </c>
    </row>
    <row r="65" spans="1:140" ht="12" customHeight="1">
      <c r="A65" s="513"/>
      <c r="B65" s="381" t="s">
        <v>10201</v>
      </c>
      <c r="C65" s="382" t="s">
        <v>7743</v>
      </c>
      <c r="D65" s="382" t="s">
        <v>7755</v>
      </c>
      <c r="E65" s="382" t="s">
        <v>7741</v>
      </c>
      <c r="F65" s="381" t="s">
        <v>7739</v>
      </c>
      <c r="G65" s="381" t="s">
        <v>10201</v>
      </c>
      <c r="H65" s="381"/>
      <c r="I65" s="381" t="s">
        <v>10201</v>
      </c>
      <c r="J65" s="382" t="s">
        <v>7638</v>
      </c>
      <c r="K65" s="382" t="s">
        <v>7792</v>
      </c>
      <c r="L65" s="382" t="s">
        <v>8546</v>
      </c>
      <c r="M65" s="382" t="s">
        <v>7805</v>
      </c>
      <c r="N65" s="382" t="s">
        <v>7728</v>
      </c>
      <c r="O65" s="382" t="s">
        <v>8535</v>
      </c>
      <c r="P65" s="382" t="s">
        <v>7650</v>
      </c>
      <c r="Q65" s="382" t="s">
        <v>7679</v>
      </c>
      <c r="R65" s="382" t="s">
        <v>8674</v>
      </c>
      <c r="S65" s="382" t="s">
        <v>7642</v>
      </c>
      <c r="T65" s="382" t="s">
        <v>7785</v>
      </c>
      <c r="U65" s="382" t="s">
        <v>8680</v>
      </c>
      <c r="V65" s="382" t="s">
        <v>7686</v>
      </c>
      <c r="W65" s="382" t="s">
        <v>8548</v>
      </c>
      <c r="X65" s="382" t="s">
        <v>7644</v>
      </c>
      <c r="Y65" s="382" t="s">
        <v>7796</v>
      </c>
      <c r="Z65" s="382" t="s">
        <v>7683</v>
      </c>
      <c r="AA65" s="382" t="s">
        <v>8635</v>
      </c>
      <c r="AB65" s="382" t="s">
        <v>7784</v>
      </c>
      <c r="AC65" s="382" t="s">
        <v>8550</v>
      </c>
      <c r="AD65" s="382" t="s">
        <v>7694</v>
      </c>
      <c r="AE65" s="382" t="s">
        <v>8577</v>
      </c>
      <c r="AF65" s="382" t="s">
        <v>8556</v>
      </c>
      <c r="AG65" s="382" t="s">
        <v>8539</v>
      </c>
      <c r="AH65" s="382" t="s">
        <v>7610</v>
      </c>
      <c r="AI65" s="382" t="s">
        <v>7688</v>
      </c>
      <c r="AJ65" s="382" t="s">
        <v>7740</v>
      </c>
      <c r="AK65" s="382" t="s">
        <v>7680</v>
      </c>
      <c r="AL65" s="382" t="s">
        <v>7777</v>
      </c>
      <c r="AM65" s="382" t="s">
        <v>8611</v>
      </c>
      <c r="AN65" s="382" t="s">
        <v>7620</v>
      </c>
      <c r="AO65" s="382" t="s">
        <v>8576</v>
      </c>
      <c r="AP65" s="382" t="s">
        <v>7724</v>
      </c>
      <c r="AQ65" s="382" t="s">
        <v>7751</v>
      </c>
      <c r="AR65" s="382" t="s">
        <v>8566</v>
      </c>
      <c r="AS65" s="382" t="s">
        <v>7648</v>
      </c>
      <c r="AT65" s="382" t="s">
        <v>7654</v>
      </c>
      <c r="AU65" s="382" t="s">
        <v>8664</v>
      </c>
      <c r="AV65" s="382" t="s">
        <v>8652</v>
      </c>
      <c r="AW65" s="382" t="s">
        <v>8553</v>
      </c>
      <c r="AX65" s="382" t="s">
        <v>7617</v>
      </c>
      <c r="AY65" s="382" t="s">
        <v>8518</v>
      </c>
      <c r="AZ65" s="382" t="s">
        <v>8571</v>
      </c>
      <c r="BA65" s="382" t="s">
        <v>8582</v>
      </c>
      <c r="BB65" s="382" t="s">
        <v>8567</v>
      </c>
      <c r="BC65" s="382" t="s">
        <v>7628</v>
      </c>
      <c r="BD65" s="382" t="s">
        <v>7709</v>
      </c>
      <c r="BE65" s="381" t="s">
        <v>7695</v>
      </c>
      <c r="BF65" s="381" t="s">
        <v>7732</v>
      </c>
      <c r="BG65" s="382" t="s">
        <v>8679</v>
      </c>
      <c r="BH65" s="382" t="s">
        <v>8597</v>
      </c>
      <c r="BI65" s="382" t="s">
        <v>8585</v>
      </c>
      <c r="BJ65" s="382" t="s">
        <v>7803</v>
      </c>
      <c r="BK65" s="382" t="s">
        <v>7742</v>
      </c>
      <c r="BL65" s="382" t="s">
        <v>7808</v>
      </c>
      <c r="BM65" s="382" t="s">
        <v>7793</v>
      </c>
      <c r="BN65" s="382" t="s">
        <v>8511</v>
      </c>
      <c r="BO65" s="382" t="s">
        <v>8644</v>
      </c>
      <c r="BP65" s="382" t="s">
        <v>7772</v>
      </c>
      <c r="BQ65" s="381" t="s">
        <v>7763</v>
      </c>
      <c r="BR65" s="381" t="s">
        <v>10201</v>
      </c>
      <c r="BS65" s="329"/>
      <c r="BT65" s="367" t="s">
        <v>10201</v>
      </c>
      <c r="BU65" s="368" t="s">
        <v>8547</v>
      </c>
      <c r="BV65" s="368" t="s">
        <v>7716</v>
      </c>
      <c r="BW65" s="368" t="s">
        <v>8609</v>
      </c>
      <c r="BX65" s="368" t="s">
        <v>8576</v>
      </c>
      <c r="BY65" s="368" t="s">
        <v>8635</v>
      </c>
      <c r="BZ65" s="368" t="s">
        <v>8625</v>
      </c>
      <c r="CA65" s="368" t="s">
        <v>7638</v>
      </c>
      <c r="CB65" s="368" t="s">
        <v>7732</v>
      </c>
      <c r="CC65" s="368" t="s">
        <v>8548</v>
      </c>
      <c r="CD65" s="368" t="s">
        <v>7701</v>
      </c>
      <c r="CE65" s="368" t="s">
        <v>7730</v>
      </c>
      <c r="CF65" s="368" t="s">
        <v>8665</v>
      </c>
      <c r="CG65" s="368" t="s">
        <v>8557</v>
      </c>
      <c r="CH65" s="368" t="s">
        <v>8603</v>
      </c>
      <c r="CI65" s="368" t="s">
        <v>7621</v>
      </c>
      <c r="CJ65" s="369" t="s">
        <v>8510</v>
      </c>
      <c r="CK65" s="368" t="s">
        <v>8590</v>
      </c>
      <c r="CL65" s="368" t="s">
        <v>8531</v>
      </c>
      <c r="CM65" s="368" t="s">
        <v>7677</v>
      </c>
      <c r="CN65" s="369" t="s">
        <v>8509</v>
      </c>
      <c r="CO65" s="369" t="s">
        <v>8686</v>
      </c>
      <c r="CP65" s="368" t="s">
        <v>8564</v>
      </c>
      <c r="CQ65" s="368" t="s">
        <v>7799</v>
      </c>
      <c r="CR65" s="368" t="s">
        <v>7727</v>
      </c>
      <c r="CS65" s="368" t="s">
        <v>7724</v>
      </c>
      <c r="CT65" s="368" t="s">
        <v>7654</v>
      </c>
      <c r="CU65" s="368" t="s">
        <v>7808</v>
      </c>
      <c r="CV65" s="368" t="s">
        <v>7660</v>
      </c>
      <c r="CW65" s="368" t="s">
        <v>7765</v>
      </c>
      <c r="CX65" s="368" t="s">
        <v>8610</v>
      </c>
      <c r="CY65" s="368" t="s">
        <v>8638</v>
      </c>
      <c r="CZ65" s="368" t="s">
        <v>8649</v>
      </c>
      <c r="DA65" s="368" t="s">
        <v>8645</v>
      </c>
      <c r="DB65" s="368" t="s">
        <v>8580</v>
      </c>
      <c r="DC65" s="368" t="s">
        <v>8566</v>
      </c>
      <c r="DD65" s="368" t="s">
        <v>7631</v>
      </c>
      <c r="DE65" s="368" t="s">
        <v>7782</v>
      </c>
      <c r="DF65" s="368" t="s">
        <v>8624</v>
      </c>
      <c r="DG65" s="368" t="s">
        <v>8529</v>
      </c>
      <c r="DH65" s="368" t="s">
        <v>7694</v>
      </c>
      <c r="DI65" s="368" t="s">
        <v>7618</v>
      </c>
      <c r="DJ65" s="368" t="s">
        <v>7754</v>
      </c>
      <c r="DK65" s="368" t="s">
        <v>7617</v>
      </c>
      <c r="DL65" s="368" t="s">
        <v>8514</v>
      </c>
      <c r="DM65" s="368" t="s">
        <v>7686</v>
      </c>
      <c r="DN65" s="368" t="s">
        <v>8581</v>
      </c>
      <c r="DO65" s="368" t="s">
        <v>8667</v>
      </c>
      <c r="DP65" s="368" t="s">
        <v>8556</v>
      </c>
      <c r="DQ65" s="368" t="s">
        <v>8558</v>
      </c>
      <c r="DR65" s="368" t="s">
        <v>8541</v>
      </c>
      <c r="DS65" s="368" t="s">
        <v>8573</v>
      </c>
      <c r="DT65" s="368" t="s">
        <v>8677</v>
      </c>
      <c r="DU65" s="368" t="s">
        <v>7747</v>
      </c>
      <c r="DV65" s="368" t="s">
        <v>7793</v>
      </c>
      <c r="DW65" s="368" t="s">
        <v>7803</v>
      </c>
      <c r="DX65" s="368" t="s">
        <v>8517</v>
      </c>
      <c r="DY65" s="368" t="s">
        <v>8663</v>
      </c>
      <c r="DZ65" s="368" t="s">
        <v>7796</v>
      </c>
      <c r="EA65" s="368" t="s">
        <v>7678</v>
      </c>
      <c r="EB65" s="367" t="s">
        <v>8539</v>
      </c>
      <c r="EC65" s="367" t="s">
        <v>10201</v>
      </c>
      <c r="ED65" s="367"/>
      <c r="EE65" s="367" t="s">
        <v>10201</v>
      </c>
      <c r="EF65" s="368" t="s">
        <v>7744</v>
      </c>
      <c r="EG65" s="368" t="s">
        <v>7745</v>
      </c>
      <c r="EH65" s="368" t="s">
        <v>7741</v>
      </c>
      <c r="EI65" s="367" t="s">
        <v>7613</v>
      </c>
      <c r="EJ65" s="367" t="s">
        <v>10201</v>
      </c>
    </row>
    <row r="66" spans="1:140">
      <c r="A66" s="513"/>
      <c r="B66" s="381" t="s">
        <v>8731</v>
      </c>
      <c r="C66" s="382" t="s">
        <v>8507</v>
      </c>
      <c r="D66" s="382" t="s">
        <v>8507</v>
      </c>
      <c r="E66" s="382" t="s">
        <v>8507</v>
      </c>
      <c r="F66" s="381" t="s">
        <v>8507</v>
      </c>
      <c r="G66" s="381" t="s">
        <v>8731</v>
      </c>
      <c r="H66" s="381"/>
      <c r="I66" s="381" t="s">
        <v>8731</v>
      </c>
      <c r="J66" s="382" t="s">
        <v>8506</v>
      </c>
      <c r="K66" s="382" t="s">
        <v>8506</v>
      </c>
      <c r="L66" s="382" t="s">
        <v>8506</v>
      </c>
      <c r="M66" s="382" t="s">
        <v>8506</v>
      </c>
      <c r="N66" s="382" t="s">
        <v>8506</v>
      </c>
      <c r="O66" s="382" t="s">
        <v>8506</v>
      </c>
      <c r="P66" s="382" t="s">
        <v>8506</v>
      </c>
      <c r="Q66" s="382" t="s">
        <v>8506</v>
      </c>
      <c r="R66" s="382" t="s">
        <v>8506</v>
      </c>
      <c r="S66" s="382" t="s">
        <v>8506</v>
      </c>
      <c r="T66" s="382" t="s">
        <v>8506</v>
      </c>
      <c r="U66" s="382" t="s">
        <v>8506</v>
      </c>
      <c r="V66" s="382" t="s">
        <v>8506</v>
      </c>
      <c r="W66" s="382" t="s">
        <v>8506</v>
      </c>
      <c r="X66" s="382" t="s">
        <v>8506</v>
      </c>
      <c r="Y66" s="382" t="s">
        <v>8506</v>
      </c>
      <c r="Z66" s="382" t="s">
        <v>8506</v>
      </c>
      <c r="AA66" s="382" t="s">
        <v>8506</v>
      </c>
      <c r="AB66" s="382" t="s">
        <v>8506</v>
      </c>
      <c r="AC66" s="382" t="s">
        <v>8506</v>
      </c>
      <c r="AD66" s="382" t="s">
        <v>8506</v>
      </c>
      <c r="AE66" s="382" t="s">
        <v>8506</v>
      </c>
      <c r="AF66" s="382" t="s">
        <v>8506</v>
      </c>
      <c r="AG66" s="382" t="s">
        <v>8506</v>
      </c>
      <c r="AH66" s="382" t="s">
        <v>8506</v>
      </c>
      <c r="AI66" s="382" t="s">
        <v>8506</v>
      </c>
      <c r="AJ66" s="382" t="s">
        <v>8506</v>
      </c>
      <c r="AK66" s="382" t="s">
        <v>8506</v>
      </c>
      <c r="AL66" s="382" t="s">
        <v>8506</v>
      </c>
      <c r="AM66" s="382" t="s">
        <v>8506</v>
      </c>
      <c r="AN66" s="382" t="s">
        <v>8506</v>
      </c>
      <c r="AO66" s="382" t="s">
        <v>8506</v>
      </c>
      <c r="AP66" s="382" t="s">
        <v>8506</v>
      </c>
      <c r="AQ66" s="382" t="s">
        <v>8506</v>
      </c>
      <c r="AR66" s="382" t="s">
        <v>8506</v>
      </c>
      <c r="AS66" s="382" t="s">
        <v>8506</v>
      </c>
      <c r="AT66" s="382" t="s">
        <v>8506</v>
      </c>
      <c r="AU66" s="382" t="s">
        <v>8506</v>
      </c>
      <c r="AV66" s="382" t="s">
        <v>8506</v>
      </c>
      <c r="AW66" s="382" t="s">
        <v>8506</v>
      </c>
      <c r="AX66" s="382" t="s">
        <v>8506</v>
      </c>
      <c r="AY66" s="382" t="s">
        <v>8506</v>
      </c>
      <c r="AZ66" s="382" t="s">
        <v>8506</v>
      </c>
      <c r="BA66" s="382" t="s">
        <v>8506</v>
      </c>
      <c r="BB66" s="382" t="s">
        <v>8506</v>
      </c>
      <c r="BC66" s="382" t="s">
        <v>8506</v>
      </c>
      <c r="BD66" s="382" t="s">
        <v>8506</v>
      </c>
      <c r="BE66" s="381" t="s">
        <v>8506</v>
      </c>
      <c r="BF66" s="381" t="s">
        <v>8506</v>
      </c>
      <c r="BG66" s="382" t="s">
        <v>8506</v>
      </c>
      <c r="BH66" s="382" t="s">
        <v>8506</v>
      </c>
      <c r="BI66" s="382" t="s">
        <v>8506</v>
      </c>
      <c r="BJ66" s="382" t="s">
        <v>8506</v>
      </c>
      <c r="BK66" s="382" t="s">
        <v>8506</v>
      </c>
      <c r="BL66" s="382" t="s">
        <v>8506</v>
      </c>
      <c r="BM66" s="382" t="s">
        <v>8506</v>
      </c>
      <c r="BN66" s="382" t="s">
        <v>8506</v>
      </c>
      <c r="BO66" s="382" t="s">
        <v>8506</v>
      </c>
      <c r="BP66" s="382" t="s">
        <v>8506</v>
      </c>
      <c r="BQ66" s="381" t="s">
        <v>8506</v>
      </c>
      <c r="BR66" s="381" t="s">
        <v>8731</v>
      </c>
      <c r="BS66" s="329" t="s">
        <v>10274</v>
      </c>
      <c r="BT66" s="367" t="s">
        <v>8731</v>
      </c>
      <c r="BU66" s="368" t="s">
        <v>8506</v>
      </c>
      <c r="BV66" s="368" t="s">
        <v>8506</v>
      </c>
      <c r="BW66" s="368" t="s">
        <v>8506</v>
      </c>
      <c r="BX66" s="368" t="s">
        <v>8506</v>
      </c>
      <c r="BY66" s="368" t="s">
        <v>8506</v>
      </c>
      <c r="BZ66" s="368" t="s">
        <v>8506</v>
      </c>
      <c r="CA66" s="368" t="s">
        <v>8506</v>
      </c>
      <c r="CB66" s="368" t="s">
        <v>8506</v>
      </c>
      <c r="CC66" s="368" t="s">
        <v>8506</v>
      </c>
      <c r="CD66" s="368" t="s">
        <v>8506</v>
      </c>
      <c r="CE66" s="368" t="s">
        <v>8506</v>
      </c>
      <c r="CF66" s="368" t="s">
        <v>8506</v>
      </c>
      <c r="CG66" s="368" t="s">
        <v>8506</v>
      </c>
      <c r="CH66" s="368" t="s">
        <v>8506</v>
      </c>
      <c r="CI66" s="368" t="s">
        <v>8506</v>
      </c>
      <c r="CJ66" s="369" t="s">
        <v>8506</v>
      </c>
      <c r="CK66" s="368" t="s">
        <v>8506</v>
      </c>
      <c r="CL66" s="368" t="s">
        <v>8506</v>
      </c>
      <c r="CM66" s="368" t="s">
        <v>8506</v>
      </c>
      <c r="CN66" s="369" t="s">
        <v>8506</v>
      </c>
      <c r="CO66" s="369" t="s">
        <v>8506</v>
      </c>
      <c r="CP66" s="368" t="s">
        <v>8506</v>
      </c>
      <c r="CQ66" s="368" t="s">
        <v>8506</v>
      </c>
      <c r="CR66" s="368" t="s">
        <v>8506</v>
      </c>
      <c r="CS66" s="368" t="s">
        <v>8506</v>
      </c>
      <c r="CT66" s="368" t="s">
        <v>8506</v>
      </c>
      <c r="CU66" s="368" t="s">
        <v>8506</v>
      </c>
      <c r="CV66" s="368" t="s">
        <v>8506</v>
      </c>
      <c r="CW66" s="368" t="s">
        <v>8506</v>
      </c>
      <c r="CX66" s="368" t="s">
        <v>8506</v>
      </c>
      <c r="CY66" s="368" t="s">
        <v>8506</v>
      </c>
      <c r="CZ66" s="368" t="s">
        <v>8506</v>
      </c>
      <c r="DA66" s="368" t="s">
        <v>8506</v>
      </c>
      <c r="DB66" s="368" t="s">
        <v>8506</v>
      </c>
      <c r="DC66" s="368" t="s">
        <v>8506</v>
      </c>
      <c r="DD66" s="368" t="s">
        <v>8506</v>
      </c>
      <c r="DE66" s="368" t="s">
        <v>8506</v>
      </c>
      <c r="DF66" s="368" t="s">
        <v>8506</v>
      </c>
      <c r="DG66" s="368" t="s">
        <v>8506</v>
      </c>
      <c r="DH66" s="368" t="s">
        <v>8506</v>
      </c>
      <c r="DI66" s="368" t="s">
        <v>8506</v>
      </c>
      <c r="DJ66" s="368" t="s">
        <v>8506</v>
      </c>
      <c r="DK66" s="368" t="s">
        <v>8506</v>
      </c>
      <c r="DL66" s="368" t="s">
        <v>8506</v>
      </c>
      <c r="DM66" s="368" t="s">
        <v>8506</v>
      </c>
      <c r="DN66" s="368" t="s">
        <v>8506</v>
      </c>
      <c r="DO66" s="368" t="s">
        <v>8506</v>
      </c>
      <c r="DP66" s="368" t="s">
        <v>8506</v>
      </c>
      <c r="DQ66" s="368" t="s">
        <v>8506</v>
      </c>
      <c r="DR66" s="368" t="s">
        <v>8506</v>
      </c>
      <c r="DS66" s="368" t="s">
        <v>8506</v>
      </c>
      <c r="DT66" s="368" t="s">
        <v>8506</v>
      </c>
      <c r="DU66" s="368" t="s">
        <v>8506</v>
      </c>
      <c r="DV66" s="368" t="s">
        <v>8506</v>
      </c>
      <c r="DW66" s="368" t="s">
        <v>8506</v>
      </c>
      <c r="DX66" s="368" t="s">
        <v>8506</v>
      </c>
      <c r="DY66" s="368" t="s">
        <v>8506</v>
      </c>
      <c r="DZ66" s="368" t="s">
        <v>8506</v>
      </c>
      <c r="EA66" s="368" t="s">
        <v>8506</v>
      </c>
      <c r="EB66" s="367" t="s">
        <v>8506</v>
      </c>
      <c r="EC66" s="367" t="s">
        <v>8731</v>
      </c>
      <c r="ED66" s="367"/>
      <c r="EE66" s="367" t="s">
        <v>8731</v>
      </c>
      <c r="EF66" s="368" t="s">
        <v>8507</v>
      </c>
      <c r="EG66" s="368" t="s">
        <v>8507</v>
      </c>
      <c r="EH66" s="368" t="s">
        <v>8507</v>
      </c>
      <c r="EI66" s="367" t="s">
        <v>8507</v>
      </c>
      <c r="EJ66" s="367" t="s">
        <v>8731</v>
      </c>
    </row>
    <row r="67" spans="1:140" ht="12.75" thickBot="1">
      <c r="A67" s="513"/>
      <c r="B67" s="384" t="s">
        <v>10202</v>
      </c>
      <c r="C67" s="385" t="s">
        <v>10231</v>
      </c>
      <c r="D67" s="385" t="s">
        <v>10234</v>
      </c>
      <c r="E67" s="385" t="s">
        <v>10230</v>
      </c>
      <c r="F67" s="384" t="s">
        <v>10235</v>
      </c>
      <c r="G67" s="384" t="s">
        <v>10202</v>
      </c>
      <c r="H67" s="387"/>
      <c r="I67" s="384" t="s">
        <v>10202</v>
      </c>
      <c r="J67" s="385" t="s">
        <v>10291</v>
      </c>
      <c r="K67" s="385" t="s">
        <v>10995</v>
      </c>
      <c r="L67" s="385" t="s">
        <v>10996</v>
      </c>
      <c r="M67" s="385" t="s">
        <v>10997</v>
      </c>
      <c r="N67" s="385" t="s">
        <v>10998</v>
      </c>
      <c r="O67" s="385" t="s">
        <v>10999</v>
      </c>
      <c r="P67" s="385" t="s">
        <v>10343</v>
      </c>
      <c r="Q67" s="385" t="s">
        <v>11000</v>
      </c>
      <c r="R67" s="385" t="s">
        <v>11001</v>
      </c>
      <c r="S67" s="385" t="s">
        <v>10289</v>
      </c>
      <c r="T67" s="385" t="s">
        <v>11002</v>
      </c>
      <c r="U67" s="385" t="s">
        <v>11003</v>
      </c>
      <c r="V67" s="385" t="s">
        <v>11004</v>
      </c>
      <c r="W67" s="385" t="s">
        <v>11005</v>
      </c>
      <c r="X67" s="385" t="s">
        <v>10346</v>
      </c>
      <c r="Y67" s="385" t="s">
        <v>11006</v>
      </c>
      <c r="Z67" s="385" t="s">
        <v>11007</v>
      </c>
      <c r="AA67" s="385" t="s">
        <v>11008</v>
      </c>
      <c r="AB67" s="385" t="s">
        <v>11009</v>
      </c>
      <c r="AC67" s="385" t="s">
        <v>11010</v>
      </c>
      <c r="AD67" s="385" t="s">
        <v>11011</v>
      </c>
      <c r="AE67" s="385" t="s">
        <v>11012</v>
      </c>
      <c r="AF67" s="385" t="s">
        <v>11013</v>
      </c>
      <c r="AG67" s="385" t="s">
        <v>11014</v>
      </c>
      <c r="AH67" s="385" t="s">
        <v>10225</v>
      </c>
      <c r="AI67" s="385" t="s">
        <v>11015</v>
      </c>
      <c r="AJ67" s="385" t="s">
        <v>11016</v>
      </c>
      <c r="AK67" s="385" t="s">
        <v>11017</v>
      </c>
      <c r="AL67" s="385" t="s">
        <v>11018</v>
      </c>
      <c r="AM67" s="385" t="s">
        <v>11019</v>
      </c>
      <c r="AN67" s="385" t="s">
        <v>10219</v>
      </c>
      <c r="AO67" s="385" t="s">
        <v>11020</v>
      </c>
      <c r="AP67" s="385" t="s">
        <v>11021</v>
      </c>
      <c r="AQ67" s="385" t="s">
        <v>11022</v>
      </c>
      <c r="AR67" s="385" t="s">
        <v>11023</v>
      </c>
      <c r="AS67" s="385" t="s">
        <v>10344</v>
      </c>
      <c r="AT67" s="385" t="s">
        <v>11024</v>
      </c>
      <c r="AU67" s="385" t="s">
        <v>11025</v>
      </c>
      <c r="AV67" s="385" t="s">
        <v>11026</v>
      </c>
      <c r="AW67" s="385" t="s">
        <v>11027</v>
      </c>
      <c r="AX67" s="385" t="s">
        <v>10223</v>
      </c>
      <c r="AY67" s="385" t="s">
        <v>11028</v>
      </c>
      <c r="AZ67" s="385" t="s">
        <v>11029</v>
      </c>
      <c r="BA67" s="385" t="s">
        <v>11030</v>
      </c>
      <c r="BB67" s="385" t="s">
        <v>11031</v>
      </c>
      <c r="BC67" s="385" t="s">
        <v>10236</v>
      </c>
      <c r="BD67" s="385" t="s">
        <v>11032</v>
      </c>
      <c r="BE67" s="384" t="s">
        <v>11033</v>
      </c>
      <c r="BF67" s="387" t="s">
        <v>11034</v>
      </c>
      <c r="BG67" s="385" t="s">
        <v>11035</v>
      </c>
      <c r="BH67" s="385" t="s">
        <v>11036</v>
      </c>
      <c r="BI67" s="385" t="s">
        <v>11037</v>
      </c>
      <c r="BJ67" s="385" t="s">
        <v>11038</v>
      </c>
      <c r="BK67" s="385" t="s">
        <v>11039</v>
      </c>
      <c r="BL67" s="385" t="s">
        <v>11040</v>
      </c>
      <c r="BM67" s="385" t="s">
        <v>11041</v>
      </c>
      <c r="BN67" s="385" t="s">
        <v>11042</v>
      </c>
      <c r="BO67" s="385" t="s">
        <v>11043</v>
      </c>
      <c r="BP67" s="385" t="s">
        <v>11044</v>
      </c>
      <c r="BQ67" s="384" t="s">
        <v>11045</v>
      </c>
      <c r="BR67" s="384" t="s">
        <v>10202</v>
      </c>
      <c r="BS67" s="330"/>
      <c r="BT67" s="370" t="s">
        <v>10202</v>
      </c>
      <c r="BU67" s="371" t="s">
        <v>11046</v>
      </c>
      <c r="BV67" s="371" t="s">
        <v>11047</v>
      </c>
      <c r="BW67" s="371" t="s">
        <v>11048</v>
      </c>
      <c r="BX67" s="371" t="s">
        <v>11049</v>
      </c>
      <c r="BY67" s="371" t="s">
        <v>11050</v>
      </c>
      <c r="BZ67" s="371" t="s">
        <v>11051</v>
      </c>
      <c r="CA67" s="371" t="s">
        <v>10277</v>
      </c>
      <c r="CB67" s="371" t="s">
        <v>11052</v>
      </c>
      <c r="CC67" s="371" t="s">
        <v>11053</v>
      </c>
      <c r="CD67" s="371" t="s">
        <v>11054</v>
      </c>
      <c r="CE67" s="371" t="s">
        <v>11055</v>
      </c>
      <c r="CF67" s="371" t="s">
        <v>11056</v>
      </c>
      <c r="CG67" s="371" t="s">
        <v>11057</v>
      </c>
      <c r="CH67" s="371" t="s">
        <v>11058</v>
      </c>
      <c r="CI67" s="371" t="s">
        <v>10255</v>
      </c>
      <c r="CJ67" s="373" t="s">
        <v>11059</v>
      </c>
      <c r="CK67" s="371" t="s">
        <v>11060</v>
      </c>
      <c r="CL67" s="371" t="s">
        <v>11061</v>
      </c>
      <c r="CM67" s="371" t="s">
        <v>11062</v>
      </c>
      <c r="CN67" s="373" t="s">
        <v>11063</v>
      </c>
      <c r="CO67" s="373" t="s">
        <v>11064</v>
      </c>
      <c r="CP67" s="371" t="s">
        <v>11065</v>
      </c>
      <c r="CQ67" s="371" t="s">
        <v>11066</v>
      </c>
      <c r="CR67" s="371" t="s">
        <v>11067</v>
      </c>
      <c r="CS67" s="371" t="s">
        <v>11068</v>
      </c>
      <c r="CT67" s="371" t="s">
        <v>11069</v>
      </c>
      <c r="CU67" s="371" t="s">
        <v>11070</v>
      </c>
      <c r="CV67" s="371" t="s">
        <v>11071</v>
      </c>
      <c r="CW67" s="371" t="s">
        <v>11072</v>
      </c>
      <c r="CX67" s="371" t="s">
        <v>11073</v>
      </c>
      <c r="CY67" s="371" t="s">
        <v>11074</v>
      </c>
      <c r="CZ67" s="371" t="s">
        <v>11075</v>
      </c>
      <c r="DA67" s="371" t="s">
        <v>11076</v>
      </c>
      <c r="DB67" s="371" t="s">
        <v>11077</v>
      </c>
      <c r="DC67" s="371" t="s">
        <v>11078</v>
      </c>
      <c r="DD67" s="371" t="s">
        <v>10267</v>
      </c>
      <c r="DE67" s="371" t="s">
        <v>11079</v>
      </c>
      <c r="DF67" s="371" t="s">
        <v>11080</v>
      </c>
      <c r="DG67" s="371" t="s">
        <v>11081</v>
      </c>
      <c r="DH67" s="371" t="s">
        <v>11082</v>
      </c>
      <c r="DI67" s="371" t="s">
        <v>10250</v>
      </c>
      <c r="DJ67" s="371" t="s">
        <v>11083</v>
      </c>
      <c r="DK67" s="371" t="s">
        <v>10253</v>
      </c>
      <c r="DL67" s="371" t="s">
        <v>11084</v>
      </c>
      <c r="DM67" s="371" t="s">
        <v>11085</v>
      </c>
      <c r="DN67" s="371" t="s">
        <v>11086</v>
      </c>
      <c r="DO67" s="371" t="s">
        <v>11087</v>
      </c>
      <c r="DP67" s="371" t="s">
        <v>11088</v>
      </c>
      <c r="DQ67" s="371" t="s">
        <v>11089</v>
      </c>
      <c r="DR67" s="371" t="s">
        <v>11090</v>
      </c>
      <c r="DS67" s="371" t="s">
        <v>11091</v>
      </c>
      <c r="DT67" s="371" t="s">
        <v>11092</v>
      </c>
      <c r="DU67" s="371" t="s">
        <v>11093</v>
      </c>
      <c r="DV67" s="371" t="s">
        <v>11094</v>
      </c>
      <c r="DW67" s="371" t="s">
        <v>11095</v>
      </c>
      <c r="DX67" s="371" t="s">
        <v>11096</v>
      </c>
      <c r="DY67" s="371" t="s">
        <v>11097</v>
      </c>
      <c r="DZ67" s="371" t="s">
        <v>11098</v>
      </c>
      <c r="EA67" s="371" t="s">
        <v>11099</v>
      </c>
      <c r="EB67" s="370" t="s">
        <v>11100</v>
      </c>
      <c r="EC67" s="370" t="s">
        <v>10202</v>
      </c>
      <c r="ED67" s="372"/>
      <c r="EE67" s="370" t="s">
        <v>10202</v>
      </c>
      <c r="EF67" s="371" t="s">
        <v>10256</v>
      </c>
      <c r="EG67" s="371" t="s">
        <v>10266</v>
      </c>
      <c r="EH67" s="371" t="s">
        <v>10269</v>
      </c>
      <c r="EI67" s="370" t="s">
        <v>10258</v>
      </c>
      <c r="EJ67" s="370" t="s">
        <v>10202</v>
      </c>
    </row>
    <row r="68" spans="1:140">
      <c r="A68" s="512">
        <v>5</v>
      </c>
      <c r="B68" s="381" t="s">
        <v>10200</v>
      </c>
      <c r="C68" s="382" t="s">
        <v>8500</v>
      </c>
      <c r="D68" s="382" t="s">
        <v>8503</v>
      </c>
      <c r="E68" s="382" t="s">
        <v>8492</v>
      </c>
      <c r="F68" s="381" t="s">
        <v>7861</v>
      </c>
      <c r="G68" s="381" t="s">
        <v>10200</v>
      </c>
      <c r="H68" s="381" t="s">
        <v>8299</v>
      </c>
      <c r="I68" s="381" t="s">
        <v>10200</v>
      </c>
      <c r="J68" s="382" t="s">
        <v>8425</v>
      </c>
      <c r="K68" s="382" t="s">
        <v>8408</v>
      </c>
      <c r="L68" s="382" t="s">
        <v>8451</v>
      </c>
      <c r="M68" s="382" t="s">
        <v>8418</v>
      </c>
      <c r="N68" s="382" t="s">
        <v>8443</v>
      </c>
      <c r="O68" s="382" t="s">
        <v>8305</v>
      </c>
      <c r="P68" s="382" t="s">
        <v>8330</v>
      </c>
      <c r="Q68" s="382" t="s">
        <v>8219</v>
      </c>
      <c r="R68" s="382" t="s">
        <v>8198</v>
      </c>
      <c r="S68" s="382" t="s">
        <v>8377</v>
      </c>
      <c r="T68" s="382" t="s">
        <v>8370</v>
      </c>
      <c r="U68" s="382" t="s">
        <v>7569</v>
      </c>
      <c r="V68" s="382" t="s">
        <v>8322</v>
      </c>
      <c r="W68" s="382" t="s">
        <v>8333</v>
      </c>
      <c r="X68" s="382" t="s">
        <v>8432</v>
      </c>
      <c r="Y68" s="382" t="s">
        <v>8442</v>
      </c>
      <c r="Z68" s="382" t="s">
        <v>8273</v>
      </c>
      <c r="AA68" s="382" t="s">
        <v>7575</v>
      </c>
      <c r="AB68" s="382" t="s">
        <v>8269</v>
      </c>
      <c r="AC68" s="382" t="s">
        <v>8348</v>
      </c>
      <c r="AD68" s="382" t="s">
        <v>8394</v>
      </c>
      <c r="AE68" s="382" t="s">
        <v>8359</v>
      </c>
      <c r="AF68" s="382" t="s">
        <v>95</v>
      </c>
      <c r="AG68" s="382" t="s">
        <v>8274</v>
      </c>
      <c r="AH68" s="382" t="s">
        <v>8236</v>
      </c>
      <c r="AI68" s="382" t="s">
        <v>8404</v>
      </c>
      <c r="AJ68" s="382" t="s">
        <v>8398</v>
      </c>
      <c r="AK68" s="382" t="s">
        <v>8407</v>
      </c>
      <c r="AL68" s="382" t="s">
        <v>8483</v>
      </c>
      <c r="AM68" s="382" t="s">
        <v>8193</v>
      </c>
      <c r="AN68" s="382" t="s">
        <v>7576</v>
      </c>
      <c r="AO68" s="382" t="s">
        <v>8262</v>
      </c>
      <c r="AP68" s="382" t="s">
        <v>8410</v>
      </c>
      <c r="AQ68" s="382" t="s">
        <v>8258</v>
      </c>
      <c r="AR68" s="382" t="s">
        <v>8216</v>
      </c>
      <c r="AS68" s="382" t="s">
        <v>8243</v>
      </c>
      <c r="AT68" s="382" t="s">
        <v>8303</v>
      </c>
      <c r="AU68" s="382" t="s">
        <v>8253</v>
      </c>
      <c r="AV68" s="382" t="s">
        <v>8302</v>
      </c>
      <c r="AW68" s="382" t="s">
        <v>8204</v>
      </c>
      <c r="AX68" s="382" t="s">
        <v>8338</v>
      </c>
      <c r="AY68" s="383" t="s">
        <v>8086</v>
      </c>
      <c r="AZ68" s="382" t="s">
        <v>8475</v>
      </c>
      <c r="BA68" s="382" t="s">
        <v>8465</v>
      </c>
      <c r="BB68" s="382" t="s">
        <v>8212</v>
      </c>
      <c r="BC68" s="382" t="s">
        <v>8350</v>
      </c>
      <c r="BD68" s="382" t="s">
        <v>7598</v>
      </c>
      <c r="BE68" s="382" t="s">
        <v>8312</v>
      </c>
      <c r="BF68" s="382" t="s">
        <v>8466</v>
      </c>
      <c r="BG68" s="382" t="s">
        <v>8383</v>
      </c>
      <c r="BH68" s="382" t="s">
        <v>8431</v>
      </c>
      <c r="BI68" s="382" t="s">
        <v>7570</v>
      </c>
      <c r="BJ68" s="382" t="s">
        <v>7551</v>
      </c>
      <c r="BK68" s="382" t="s">
        <v>8224</v>
      </c>
      <c r="BL68" s="382" t="s">
        <v>7567</v>
      </c>
      <c r="BM68" s="382" t="s">
        <v>8460</v>
      </c>
      <c r="BN68" s="382" t="s">
        <v>7574</v>
      </c>
      <c r="BO68" s="382" t="s">
        <v>8401</v>
      </c>
      <c r="BP68" s="382" t="s">
        <v>7860</v>
      </c>
      <c r="BQ68" s="381" t="s">
        <v>8470</v>
      </c>
      <c r="BR68" s="381" t="s">
        <v>10200</v>
      </c>
      <c r="BS68" s="329"/>
      <c r="BT68" s="367" t="s">
        <v>10200</v>
      </c>
      <c r="BU68" s="368" t="s">
        <v>8431</v>
      </c>
      <c r="BV68" s="368" t="s">
        <v>8296</v>
      </c>
      <c r="BW68" s="368" t="s">
        <v>8278</v>
      </c>
      <c r="BX68" s="368" t="s">
        <v>8227</v>
      </c>
      <c r="BY68" s="368" t="s">
        <v>8390</v>
      </c>
      <c r="BZ68" s="368" t="s">
        <v>8218</v>
      </c>
      <c r="CA68" s="368" t="s">
        <v>8249</v>
      </c>
      <c r="CB68" s="368" t="s">
        <v>8330</v>
      </c>
      <c r="CC68" s="368" t="s">
        <v>7577</v>
      </c>
      <c r="CD68" s="368" t="s">
        <v>8406</v>
      </c>
      <c r="CE68" s="368" t="s">
        <v>8184</v>
      </c>
      <c r="CF68" s="368" t="s">
        <v>8228</v>
      </c>
      <c r="CG68" s="368" t="s">
        <v>8197</v>
      </c>
      <c r="CH68" s="368" t="s">
        <v>8434</v>
      </c>
      <c r="CI68" s="368" t="s">
        <v>8384</v>
      </c>
      <c r="CJ68" s="368" t="s">
        <v>8320</v>
      </c>
      <c r="CK68" s="368" t="s">
        <v>8453</v>
      </c>
      <c r="CL68" s="368" t="s">
        <v>8323</v>
      </c>
      <c r="CM68" s="368" t="s">
        <v>7505</v>
      </c>
      <c r="CN68" s="368" t="s">
        <v>8268</v>
      </c>
      <c r="CO68" s="368" t="s">
        <v>8379</v>
      </c>
      <c r="CP68" s="368" t="s">
        <v>7601</v>
      </c>
      <c r="CQ68" s="368" t="s">
        <v>8271</v>
      </c>
      <c r="CR68" s="368" t="s">
        <v>8287</v>
      </c>
      <c r="CS68" s="368" t="s">
        <v>8463</v>
      </c>
      <c r="CT68" s="368" t="s">
        <v>7588</v>
      </c>
      <c r="CU68" s="368" t="s">
        <v>8321</v>
      </c>
      <c r="CV68" s="368" t="s">
        <v>8467</v>
      </c>
      <c r="CW68" s="368" t="s">
        <v>8368</v>
      </c>
      <c r="CX68" s="368" t="s">
        <v>8397</v>
      </c>
      <c r="CY68" s="368" t="s">
        <v>8355</v>
      </c>
      <c r="CZ68" s="368" t="s">
        <v>8387</v>
      </c>
      <c r="DA68" s="368" t="s">
        <v>8282</v>
      </c>
      <c r="DB68" s="368" t="s">
        <v>8288</v>
      </c>
      <c r="DC68" s="368" t="s">
        <v>8234</v>
      </c>
      <c r="DD68" s="368" t="s">
        <v>8199</v>
      </c>
      <c r="DE68" s="368" t="s">
        <v>8448</v>
      </c>
      <c r="DF68" s="368" t="s">
        <v>8437</v>
      </c>
      <c r="DG68" s="368" t="s">
        <v>8250</v>
      </c>
      <c r="DH68" s="368" t="s">
        <v>8347</v>
      </c>
      <c r="DI68" s="368" t="s">
        <v>8270</v>
      </c>
      <c r="DJ68" s="368" t="s">
        <v>7576</v>
      </c>
      <c r="DK68" s="368" t="s">
        <v>8389</v>
      </c>
      <c r="DL68" s="368" t="s">
        <v>8359</v>
      </c>
      <c r="DM68" s="368" t="s">
        <v>8233</v>
      </c>
      <c r="DN68" s="368" t="s">
        <v>8380</v>
      </c>
      <c r="DO68" s="368" t="s">
        <v>8314</v>
      </c>
      <c r="DP68" s="368" t="s">
        <v>8202</v>
      </c>
      <c r="DQ68" s="368" t="s">
        <v>8194</v>
      </c>
      <c r="DR68" s="368" t="s">
        <v>8333</v>
      </c>
      <c r="DS68" s="368" t="s">
        <v>8241</v>
      </c>
      <c r="DT68" s="368" t="s">
        <v>8370</v>
      </c>
      <c r="DU68" s="368" t="s">
        <v>8208</v>
      </c>
      <c r="DV68" s="368" t="s">
        <v>8305</v>
      </c>
      <c r="DW68" s="368" t="s">
        <v>8457</v>
      </c>
      <c r="DX68" s="368" t="s">
        <v>7578</v>
      </c>
      <c r="DY68" s="368" t="s">
        <v>8391</v>
      </c>
      <c r="DZ68" s="368" t="s">
        <v>7603</v>
      </c>
      <c r="EA68" s="368" t="s">
        <v>8338</v>
      </c>
      <c r="EB68" s="367" t="s">
        <v>8260</v>
      </c>
      <c r="EC68" s="367" t="s">
        <v>10200</v>
      </c>
      <c r="ED68" s="367" t="s">
        <v>8299</v>
      </c>
      <c r="EE68" s="367" t="s">
        <v>10200</v>
      </c>
      <c r="EF68" s="368" t="s">
        <v>8499</v>
      </c>
      <c r="EG68" s="368" t="s">
        <v>8504</v>
      </c>
      <c r="EH68" s="368" t="s">
        <v>8495</v>
      </c>
      <c r="EI68" s="367" t="s">
        <v>7862</v>
      </c>
      <c r="EJ68" s="367" t="s">
        <v>10200</v>
      </c>
    </row>
    <row r="69" spans="1:140" ht="12" customHeight="1">
      <c r="A69" s="513"/>
      <c r="B69" s="381" t="s">
        <v>10201</v>
      </c>
      <c r="C69" s="382" t="s">
        <v>7651</v>
      </c>
      <c r="D69" s="382" t="s">
        <v>7731</v>
      </c>
      <c r="E69" s="382" t="s">
        <v>7613</v>
      </c>
      <c r="F69" s="381" t="s">
        <v>7745</v>
      </c>
      <c r="G69" s="381" t="s">
        <v>10201</v>
      </c>
      <c r="H69" s="381" t="s">
        <v>8685</v>
      </c>
      <c r="I69" s="381" t="s">
        <v>10201</v>
      </c>
      <c r="J69" s="382" t="s">
        <v>8620</v>
      </c>
      <c r="K69" s="382" t="s">
        <v>8603</v>
      </c>
      <c r="L69" s="382" t="s">
        <v>8646</v>
      </c>
      <c r="M69" s="382" t="s">
        <v>8613</v>
      </c>
      <c r="N69" s="382" t="s">
        <v>8638</v>
      </c>
      <c r="O69" s="382" t="s">
        <v>7762</v>
      </c>
      <c r="P69" s="382" t="s">
        <v>8525</v>
      </c>
      <c r="Q69" s="382" t="s">
        <v>7652</v>
      </c>
      <c r="R69" s="382" t="s">
        <v>7624</v>
      </c>
      <c r="S69" s="382" t="s">
        <v>8572</v>
      </c>
      <c r="T69" s="382" t="s">
        <v>8565</v>
      </c>
      <c r="U69" s="382" t="s">
        <v>7764</v>
      </c>
      <c r="V69" s="382" t="s">
        <v>8517</v>
      </c>
      <c r="W69" s="382" t="s">
        <v>8528</v>
      </c>
      <c r="X69" s="382" t="s">
        <v>8627</v>
      </c>
      <c r="Y69" s="382" t="s">
        <v>8637</v>
      </c>
      <c r="Z69" s="382" t="s">
        <v>7711</v>
      </c>
      <c r="AA69" s="382" t="s">
        <v>7774</v>
      </c>
      <c r="AB69" s="382" t="s">
        <v>7707</v>
      </c>
      <c r="AC69" s="382" t="s">
        <v>8543</v>
      </c>
      <c r="AD69" s="382" t="s">
        <v>8589</v>
      </c>
      <c r="AE69" s="382" t="s">
        <v>8554</v>
      </c>
      <c r="AF69" s="382" t="s">
        <v>7678</v>
      </c>
      <c r="AG69" s="382" t="s">
        <v>7712</v>
      </c>
      <c r="AH69" s="382" t="s">
        <v>7672</v>
      </c>
      <c r="AI69" s="382" t="s">
        <v>8599</v>
      </c>
      <c r="AJ69" s="382" t="s">
        <v>8593</v>
      </c>
      <c r="AK69" s="382" t="s">
        <v>8602</v>
      </c>
      <c r="AL69" s="382" t="s">
        <v>8678</v>
      </c>
      <c r="AM69" s="382" t="s">
        <v>7619</v>
      </c>
      <c r="AN69" s="382" t="s">
        <v>7775</v>
      </c>
      <c r="AO69" s="382" t="s">
        <v>7700</v>
      </c>
      <c r="AP69" s="382" t="s">
        <v>8605</v>
      </c>
      <c r="AQ69" s="382" t="s">
        <v>7696</v>
      </c>
      <c r="AR69" s="382" t="s">
        <v>7647</v>
      </c>
      <c r="AS69" s="382" t="s">
        <v>7681</v>
      </c>
      <c r="AT69" s="382" t="s">
        <v>7760</v>
      </c>
      <c r="AU69" s="382" t="s">
        <v>7691</v>
      </c>
      <c r="AV69" s="382" t="s">
        <v>7759</v>
      </c>
      <c r="AW69" s="382" t="s">
        <v>7631</v>
      </c>
      <c r="AX69" s="382" t="s">
        <v>8533</v>
      </c>
      <c r="AY69" s="383" t="s">
        <v>8510</v>
      </c>
      <c r="AZ69" s="382" t="s">
        <v>8670</v>
      </c>
      <c r="BA69" s="382" t="s">
        <v>8660</v>
      </c>
      <c r="BB69" s="382" t="s">
        <v>7641</v>
      </c>
      <c r="BC69" s="382" t="s">
        <v>8545</v>
      </c>
      <c r="BD69" s="382" t="s">
        <v>7797</v>
      </c>
      <c r="BE69" s="382" t="s">
        <v>7800</v>
      </c>
      <c r="BF69" s="382" t="s">
        <v>8661</v>
      </c>
      <c r="BG69" s="382" t="s">
        <v>8578</v>
      </c>
      <c r="BH69" s="382" t="s">
        <v>8626</v>
      </c>
      <c r="BI69" s="382" t="s">
        <v>7656</v>
      </c>
      <c r="BJ69" s="382" t="s">
        <v>7725</v>
      </c>
      <c r="BK69" s="382" t="s">
        <v>7659</v>
      </c>
      <c r="BL69" s="382" t="s">
        <v>7757</v>
      </c>
      <c r="BM69" s="382" t="s">
        <v>8655</v>
      </c>
      <c r="BN69" s="382" t="s">
        <v>7773</v>
      </c>
      <c r="BO69" s="382" t="s">
        <v>8596</v>
      </c>
      <c r="BP69" s="382" t="s">
        <v>7735</v>
      </c>
      <c r="BQ69" s="381" t="s">
        <v>8665</v>
      </c>
      <c r="BR69" s="381" t="s">
        <v>10201</v>
      </c>
      <c r="BS69" s="329"/>
      <c r="BT69" s="367" t="s">
        <v>10201</v>
      </c>
      <c r="BU69" s="368" t="s">
        <v>8626</v>
      </c>
      <c r="BV69" s="368" t="s">
        <v>7750</v>
      </c>
      <c r="BW69" s="368" t="s">
        <v>7717</v>
      </c>
      <c r="BX69" s="368" t="s">
        <v>7662</v>
      </c>
      <c r="BY69" s="368" t="s">
        <v>8585</v>
      </c>
      <c r="BZ69" s="368" t="s">
        <v>7650</v>
      </c>
      <c r="CA69" s="368" t="s">
        <v>7687</v>
      </c>
      <c r="CB69" s="368" t="s">
        <v>8525</v>
      </c>
      <c r="CC69" s="368" t="s">
        <v>7776</v>
      </c>
      <c r="CD69" s="368" t="s">
        <v>8601</v>
      </c>
      <c r="CE69" s="368" t="s">
        <v>7606</v>
      </c>
      <c r="CF69" s="368" t="s">
        <v>7663</v>
      </c>
      <c r="CG69" s="368" t="s">
        <v>7623</v>
      </c>
      <c r="CH69" s="368" t="s">
        <v>8629</v>
      </c>
      <c r="CI69" s="368" t="s">
        <v>8579</v>
      </c>
      <c r="CJ69" s="368" t="s">
        <v>8515</v>
      </c>
      <c r="CK69" s="368" t="s">
        <v>8648</v>
      </c>
      <c r="CL69" s="368" t="s">
        <v>8518</v>
      </c>
      <c r="CM69" s="368" t="s">
        <v>7673</v>
      </c>
      <c r="CN69" s="368" t="s">
        <v>7706</v>
      </c>
      <c r="CO69" s="368" t="s">
        <v>8574</v>
      </c>
      <c r="CP69" s="368" t="s">
        <v>7804</v>
      </c>
      <c r="CQ69" s="368" t="s">
        <v>7709</v>
      </c>
      <c r="CR69" s="368" t="s">
        <v>7728</v>
      </c>
      <c r="CS69" s="368" t="s">
        <v>8658</v>
      </c>
      <c r="CT69" s="368" t="s">
        <v>7787</v>
      </c>
      <c r="CU69" s="368" t="s">
        <v>8516</v>
      </c>
      <c r="CV69" s="368" t="s">
        <v>8662</v>
      </c>
      <c r="CW69" s="368" t="s">
        <v>8563</v>
      </c>
      <c r="CX69" s="368" t="s">
        <v>8592</v>
      </c>
      <c r="CY69" s="368" t="s">
        <v>8550</v>
      </c>
      <c r="CZ69" s="368" t="s">
        <v>8582</v>
      </c>
      <c r="DA69" s="368" t="s">
        <v>7721</v>
      </c>
      <c r="DB69" s="368" t="s">
        <v>7729</v>
      </c>
      <c r="DC69" s="368" t="s">
        <v>7670</v>
      </c>
      <c r="DD69" s="368" t="s">
        <v>7625</v>
      </c>
      <c r="DE69" s="368" t="s">
        <v>8643</v>
      </c>
      <c r="DF69" s="368" t="s">
        <v>8632</v>
      </c>
      <c r="DG69" s="368" t="s">
        <v>7688</v>
      </c>
      <c r="DH69" s="368" t="s">
        <v>8542</v>
      </c>
      <c r="DI69" s="368" t="s">
        <v>7708</v>
      </c>
      <c r="DJ69" s="368" t="s">
        <v>7775</v>
      </c>
      <c r="DK69" s="368" t="s">
        <v>8584</v>
      </c>
      <c r="DL69" s="368" t="s">
        <v>8554</v>
      </c>
      <c r="DM69" s="368" t="s">
        <v>7669</v>
      </c>
      <c r="DN69" s="368" t="s">
        <v>8575</v>
      </c>
      <c r="DO69" s="368" t="s">
        <v>7802</v>
      </c>
      <c r="DP69" s="368" t="s">
        <v>7628</v>
      </c>
      <c r="DQ69" s="368" t="s">
        <v>7620</v>
      </c>
      <c r="DR69" s="368" t="s">
        <v>8528</v>
      </c>
      <c r="DS69" s="368" t="s">
        <v>7679</v>
      </c>
      <c r="DT69" s="368" t="s">
        <v>8565</v>
      </c>
      <c r="DU69" s="368" t="s">
        <v>7637</v>
      </c>
      <c r="DV69" s="368" t="s">
        <v>7762</v>
      </c>
      <c r="DW69" s="368" t="s">
        <v>8652</v>
      </c>
      <c r="DX69" s="368" t="s">
        <v>7777</v>
      </c>
      <c r="DY69" s="368" t="s">
        <v>8586</v>
      </c>
      <c r="DZ69" s="368" t="s">
        <v>7806</v>
      </c>
      <c r="EA69" s="368" t="s">
        <v>8533</v>
      </c>
      <c r="EB69" s="367" t="s">
        <v>7698</v>
      </c>
      <c r="EC69" s="367" t="s">
        <v>10201</v>
      </c>
      <c r="ED69" s="367" t="s">
        <v>8685</v>
      </c>
      <c r="EE69" s="367" t="s">
        <v>10201</v>
      </c>
      <c r="EF69" s="368" t="s">
        <v>7649</v>
      </c>
      <c r="EG69" s="368" t="s">
        <v>7739</v>
      </c>
      <c r="EH69" s="368" t="s">
        <v>7632</v>
      </c>
      <c r="EI69" s="367" t="s">
        <v>7748</v>
      </c>
      <c r="EJ69" s="367" t="s">
        <v>10201</v>
      </c>
    </row>
    <row r="70" spans="1:140" ht="12" customHeight="1">
      <c r="A70" s="513"/>
      <c r="B70" s="381" t="s">
        <v>8731</v>
      </c>
      <c r="C70" s="382" t="s">
        <v>8507</v>
      </c>
      <c r="D70" s="382" t="s">
        <v>8507</v>
      </c>
      <c r="E70" s="382" t="s">
        <v>8507</v>
      </c>
      <c r="F70" s="381" t="s">
        <v>8507</v>
      </c>
      <c r="G70" s="381" t="s">
        <v>8731</v>
      </c>
      <c r="H70" s="381" t="s">
        <v>8508</v>
      </c>
      <c r="I70" s="381" t="s">
        <v>8731</v>
      </c>
      <c r="J70" s="382" t="s">
        <v>8506</v>
      </c>
      <c r="K70" s="382" t="s">
        <v>8506</v>
      </c>
      <c r="L70" s="382" t="s">
        <v>8506</v>
      </c>
      <c r="M70" s="382" t="s">
        <v>8506</v>
      </c>
      <c r="N70" s="382" t="s">
        <v>8506</v>
      </c>
      <c r="O70" s="382" t="s">
        <v>8506</v>
      </c>
      <c r="P70" s="382" t="s">
        <v>8506</v>
      </c>
      <c r="Q70" s="382" t="s">
        <v>8506</v>
      </c>
      <c r="R70" s="382" t="s">
        <v>8506</v>
      </c>
      <c r="S70" s="382" t="s">
        <v>8506</v>
      </c>
      <c r="T70" s="382" t="s">
        <v>8506</v>
      </c>
      <c r="U70" s="382" t="s">
        <v>8506</v>
      </c>
      <c r="V70" s="382" t="s">
        <v>8506</v>
      </c>
      <c r="W70" s="382" t="s">
        <v>8506</v>
      </c>
      <c r="X70" s="382" t="s">
        <v>8506</v>
      </c>
      <c r="Y70" s="382" t="s">
        <v>8506</v>
      </c>
      <c r="Z70" s="382" t="s">
        <v>8506</v>
      </c>
      <c r="AA70" s="382" t="s">
        <v>8506</v>
      </c>
      <c r="AB70" s="382" t="s">
        <v>8506</v>
      </c>
      <c r="AC70" s="382" t="s">
        <v>8506</v>
      </c>
      <c r="AD70" s="382" t="s">
        <v>8506</v>
      </c>
      <c r="AE70" s="382" t="s">
        <v>8506</v>
      </c>
      <c r="AF70" s="382" t="s">
        <v>8506</v>
      </c>
      <c r="AG70" s="382" t="s">
        <v>8506</v>
      </c>
      <c r="AH70" s="382" t="s">
        <v>8506</v>
      </c>
      <c r="AI70" s="382" t="s">
        <v>8506</v>
      </c>
      <c r="AJ70" s="382" t="s">
        <v>8506</v>
      </c>
      <c r="AK70" s="382" t="s">
        <v>8506</v>
      </c>
      <c r="AL70" s="382" t="s">
        <v>8506</v>
      </c>
      <c r="AM70" s="382" t="s">
        <v>8506</v>
      </c>
      <c r="AN70" s="382" t="s">
        <v>8506</v>
      </c>
      <c r="AO70" s="382" t="s">
        <v>8506</v>
      </c>
      <c r="AP70" s="382" t="s">
        <v>8506</v>
      </c>
      <c r="AQ70" s="382" t="s">
        <v>8506</v>
      </c>
      <c r="AR70" s="382" t="s">
        <v>8506</v>
      </c>
      <c r="AS70" s="382" t="s">
        <v>8506</v>
      </c>
      <c r="AT70" s="382" t="s">
        <v>8506</v>
      </c>
      <c r="AU70" s="382" t="s">
        <v>8506</v>
      </c>
      <c r="AV70" s="382" t="s">
        <v>8506</v>
      </c>
      <c r="AW70" s="382" t="s">
        <v>8506</v>
      </c>
      <c r="AX70" s="382" t="s">
        <v>8506</v>
      </c>
      <c r="AY70" s="383" t="s">
        <v>8506</v>
      </c>
      <c r="AZ70" s="382" t="s">
        <v>8506</v>
      </c>
      <c r="BA70" s="382" t="s">
        <v>8506</v>
      </c>
      <c r="BB70" s="382" t="s">
        <v>8506</v>
      </c>
      <c r="BC70" s="382" t="s">
        <v>8506</v>
      </c>
      <c r="BD70" s="382" t="s">
        <v>8506</v>
      </c>
      <c r="BE70" s="382" t="s">
        <v>8506</v>
      </c>
      <c r="BF70" s="382" t="s">
        <v>8506</v>
      </c>
      <c r="BG70" s="382" t="s">
        <v>8506</v>
      </c>
      <c r="BH70" s="382" t="s">
        <v>8506</v>
      </c>
      <c r="BI70" s="382" t="s">
        <v>8506</v>
      </c>
      <c r="BJ70" s="382" t="s">
        <v>8506</v>
      </c>
      <c r="BK70" s="382" t="s">
        <v>8506</v>
      </c>
      <c r="BL70" s="382" t="s">
        <v>8506</v>
      </c>
      <c r="BM70" s="382" t="s">
        <v>8506</v>
      </c>
      <c r="BN70" s="382" t="s">
        <v>8506</v>
      </c>
      <c r="BO70" s="382" t="s">
        <v>8506</v>
      </c>
      <c r="BP70" s="382" t="s">
        <v>8506</v>
      </c>
      <c r="BQ70" s="381" t="s">
        <v>8506</v>
      </c>
      <c r="BR70" s="381" t="s">
        <v>8731</v>
      </c>
      <c r="BS70" s="329" t="s">
        <v>10274</v>
      </c>
      <c r="BT70" s="367" t="s">
        <v>8731</v>
      </c>
      <c r="BU70" s="368" t="s">
        <v>8506</v>
      </c>
      <c r="BV70" s="368" t="s">
        <v>8506</v>
      </c>
      <c r="BW70" s="368" t="s">
        <v>8506</v>
      </c>
      <c r="BX70" s="368" t="s">
        <v>8506</v>
      </c>
      <c r="BY70" s="368" t="s">
        <v>8506</v>
      </c>
      <c r="BZ70" s="368" t="s">
        <v>8506</v>
      </c>
      <c r="CA70" s="368" t="s">
        <v>8506</v>
      </c>
      <c r="CB70" s="368" t="s">
        <v>8506</v>
      </c>
      <c r="CC70" s="368" t="s">
        <v>8506</v>
      </c>
      <c r="CD70" s="368" t="s">
        <v>8506</v>
      </c>
      <c r="CE70" s="368" t="s">
        <v>8506</v>
      </c>
      <c r="CF70" s="368" t="s">
        <v>8506</v>
      </c>
      <c r="CG70" s="368" t="s">
        <v>8506</v>
      </c>
      <c r="CH70" s="368" t="s">
        <v>8506</v>
      </c>
      <c r="CI70" s="368" t="s">
        <v>8506</v>
      </c>
      <c r="CJ70" s="368" t="s">
        <v>8506</v>
      </c>
      <c r="CK70" s="368" t="s">
        <v>8506</v>
      </c>
      <c r="CL70" s="368" t="s">
        <v>8506</v>
      </c>
      <c r="CM70" s="368" t="s">
        <v>8506</v>
      </c>
      <c r="CN70" s="368" t="s">
        <v>8506</v>
      </c>
      <c r="CO70" s="368" t="s">
        <v>8506</v>
      </c>
      <c r="CP70" s="368" t="s">
        <v>8506</v>
      </c>
      <c r="CQ70" s="368" t="s">
        <v>8506</v>
      </c>
      <c r="CR70" s="368" t="s">
        <v>8506</v>
      </c>
      <c r="CS70" s="368" t="s">
        <v>8506</v>
      </c>
      <c r="CT70" s="368" t="s">
        <v>8506</v>
      </c>
      <c r="CU70" s="368" t="s">
        <v>8506</v>
      </c>
      <c r="CV70" s="368" t="s">
        <v>8506</v>
      </c>
      <c r="CW70" s="368" t="s">
        <v>8506</v>
      </c>
      <c r="CX70" s="368" t="s">
        <v>8506</v>
      </c>
      <c r="CY70" s="368" t="s">
        <v>8506</v>
      </c>
      <c r="CZ70" s="368" t="s">
        <v>8506</v>
      </c>
      <c r="DA70" s="368" t="s">
        <v>8506</v>
      </c>
      <c r="DB70" s="368" t="s">
        <v>8506</v>
      </c>
      <c r="DC70" s="368" t="s">
        <v>8506</v>
      </c>
      <c r="DD70" s="368" t="s">
        <v>8506</v>
      </c>
      <c r="DE70" s="368" t="s">
        <v>8506</v>
      </c>
      <c r="DF70" s="368" t="s">
        <v>8506</v>
      </c>
      <c r="DG70" s="368" t="s">
        <v>8506</v>
      </c>
      <c r="DH70" s="368" t="s">
        <v>8506</v>
      </c>
      <c r="DI70" s="368" t="s">
        <v>8506</v>
      </c>
      <c r="DJ70" s="368" t="s">
        <v>8506</v>
      </c>
      <c r="DK70" s="368" t="s">
        <v>8506</v>
      </c>
      <c r="DL70" s="368" t="s">
        <v>8506</v>
      </c>
      <c r="DM70" s="368" t="s">
        <v>8506</v>
      </c>
      <c r="DN70" s="368" t="s">
        <v>8506</v>
      </c>
      <c r="DO70" s="368" t="s">
        <v>8506</v>
      </c>
      <c r="DP70" s="368" t="s">
        <v>8506</v>
      </c>
      <c r="DQ70" s="368" t="s">
        <v>8506</v>
      </c>
      <c r="DR70" s="368" t="s">
        <v>8506</v>
      </c>
      <c r="DS70" s="368" t="s">
        <v>8506</v>
      </c>
      <c r="DT70" s="368" t="s">
        <v>8506</v>
      </c>
      <c r="DU70" s="368" t="s">
        <v>8506</v>
      </c>
      <c r="DV70" s="368" t="s">
        <v>8506</v>
      </c>
      <c r="DW70" s="368" t="s">
        <v>8506</v>
      </c>
      <c r="DX70" s="368" t="s">
        <v>8506</v>
      </c>
      <c r="DY70" s="368" t="s">
        <v>8506</v>
      </c>
      <c r="DZ70" s="368" t="s">
        <v>8506</v>
      </c>
      <c r="EA70" s="368" t="s">
        <v>8506</v>
      </c>
      <c r="EB70" s="367" t="s">
        <v>8506</v>
      </c>
      <c r="EC70" s="367" t="s">
        <v>8731</v>
      </c>
      <c r="ED70" s="367" t="s">
        <v>8508</v>
      </c>
      <c r="EE70" s="367" t="s">
        <v>8731</v>
      </c>
      <c r="EF70" s="368" t="s">
        <v>8507</v>
      </c>
      <c r="EG70" s="368" t="s">
        <v>8507</v>
      </c>
      <c r="EH70" s="368" t="s">
        <v>8507</v>
      </c>
      <c r="EI70" s="367" t="s">
        <v>8507</v>
      </c>
      <c r="EJ70" s="367" t="s">
        <v>8731</v>
      </c>
    </row>
    <row r="71" spans="1:140" ht="12" customHeight="1">
      <c r="A71" s="513"/>
      <c r="B71" s="384" t="s">
        <v>10202</v>
      </c>
      <c r="C71" s="385" t="s">
        <v>10219</v>
      </c>
      <c r="D71" s="385" t="s">
        <v>10232</v>
      </c>
      <c r="E71" s="385" t="s">
        <v>10225</v>
      </c>
      <c r="F71" s="384" t="s">
        <v>10236</v>
      </c>
      <c r="G71" s="384" t="s">
        <v>10202</v>
      </c>
      <c r="H71" s="384" t="s">
        <v>10220</v>
      </c>
      <c r="I71" s="384" t="s">
        <v>10202</v>
      </c>
      <c r="J71" s="385" t="s">
        <v>11101</v>
      </c>
      <c r="K71" s="385" t="s">
        <v>11102</v>
      </c>
      <c r="L71" s="385" t="s">
        <v>11103</v>
      </c>
      <c r="M71" s="385" t="s">
        <v>11104</v>
      </c>
      <c r="N71" s="385" t="s">
        <v>11105</v>
      </c>
      <c r="O71" s="385" t="s">
        <v>11106</v>
      </c>
      <c r="P71" s="385" t="s">
        <v>11107</v>
      </c>
      <c r="Q71" s="385" t="s">
        <v>10342</v>
      </c>
      <c r="R71" s="385" t="s">
        <v>10235</v>
      </c>
      <c r="S71" s="385" t="s">
        <v>11108</v>
      </c>
      <c r="T71" s="385" t="s">
        <v>11109</v>
      </c>
      <c r="U71" s="385" t="s">
        <v>11110</v>
      </c>
      <c r="V71" s="385" t="s">
        <v>11111</v>
      </c>
      <c r="W71" s="385" t="s">
        <v>11112</v>
      </c>
      <c r="X71" s="385" t="s">
        <v>11113</v>
      </c>
      <c r="Y71" s="385" t="s">
        <v>11114</v>
      </c>
      <c r="Z71" s="385" t="s">
        <v>11115</v>
      </c>
      <c r="AA71" s="385" t="s">
        <v>11116</v>
      </c>
      <c r="AB71" s="385" t="s">
        <v>11117</v>
      </c>
      <c r="AC71" s="385" t="s">
        <v>11118</v>
      </c>
      <c r="AD71" s="385" t="s">
        <v>11119</v>
      </c>
      <c r="AE71" s="385" t="s">
        <v>11120</v>
      </c>
      <c r="AF71" s="385" t="s">
        <v>11121</v>
      </c>
      <c r="AG71" s="385" t="s">
        <v>11122</v>
      </c>
      <c r="AH71" s="385" t="s">
        <v>11123</v>
      </c>
      <c r="AI71" s="385" t="s">
        <v>11124</v>
      </c>
      <c r="AJ71" s="385" t="s">
        <v>11125</v>
      </c>
      <c r="AK71" s="385" t="s">
        <v>11126</v>
      </c>
      <c r="AL71" s="385" t="s">
        <v>11127</v>
      </c>
      <c r="AM71" s="385" t="s">
        <v>10218</v>
      </c>
      <c r="AN71" s="385" t="s">
        <v>11128</v>
      </c>
      <c r="AO71" s="385" t="s">
        <v>11129</v>
      </c>
      <c r="AP71" s="385" t="s">
        <v>11130</v>
      </c>
      <c r="AQ71" s="385" t="s">
        <v>11131</v>
      </c>
      <c r="AR71" s="385" t="s">
        <v>10345</v>
      </c>
      <c r="AS71" s="385" t="s">
        <v>11132</v>
      </c>
      <c r="AT71" s="385" t="s">
        <v>11133</v>
      </c>
      <c r="AU71" s="385" t="s">
        <v>11134</v>
      </c>
      <c r="AV71" s="385" t="s">
        <v>11135</v>
      </c>
      <c r="AW71" s="385" t="s">
        <v>10226</v>
      </c>
      <c r="AX71" s="385" t="s">
        <v>11136</v>
      </c>
      <c r="AY71" s="386" t="s">
        <v>11137</v>
      </c>
      <c r="AZ71" s="385" t="s">
        <v>11138</v>
      </c>
      <c r="BA71" s="385" t="s">
        <v>11139</v>
      </c>
      <c r="BB71" s="385" t="s">
        <v>10292</v>
      </c>
      <c r="BC71" s="385" t="s">
        <v>11140</v>
      </c>
      <c r="BD71" s="385" t="s">
        <v>11141</v>
      </c>
      <c r="BE71" s="385" t="s">
        <v>11142</v>
      </c>
      <c r="BF71" s="385" t="s">
        <v>11143</v>
      </c>
      <c r="BG71" s="385" t="s">
        <v>11144</v>
      </c>
      <c r="BH71" s="385" t="s">
        <v>11145</v>
      </c>
      <c r="BI71" s="385" t="s">
        <v>11146</v>
      </c>
      <c r="BJ71" s="385" t="s">
        <v>11147</v>
      </c>
      <c r="BK71" s="385" t="s">
        <v>11148</v>
      </c>
      <c r="BL71" s="385" t="s">
        <v>11149</v>
      </c>
      <c r="BM71" s="385" t="s">
        <v>11150</v>
      </c>
      <c r="BN71" s="385" t="s">
        <v>11151</v>
      </c>
      <c r="BO71" s="385" t="s">
        <v>11152</v>
      </c>
      <c r="BP71" s="385" t="s">
        <v>11153</v>
      </c>
      <c r="BQ71" s="384" t="s">
        <v>11154</v>
      </c>
      <c r="BR71" s="384" t="s">
        <v>10202</v>
      </c>
      <c r="BS71" s="330"/>
      <c r="BT71" s="370" t="s">
        <v>10202</v>
      </c>
      <c r="BU71" s="371" t="s">
        <v>11155</v>
      </c>
      <c r="BV71" s="371" t="s">
        <v>11156</v>
      </c>
      <c r="BW71" s="371" t="s">
        <v>11157</v>
      </c>
      <c r="BX71" s="371" t="s">
        <v>11158</v>
      </c>
      <c r="BY71" s="371" t="s">
        <v>11159</v>
      </c>
      <c r="BZ71" s="371" t="s">
        <v>10334</v>
      </c>
      <c r="CA71" s="371" t="s">
        <v>11160</v>
      </c>
      <c r="CB71" s="371" t="s">
        <v>11161</v>
      </c>
      <c r="CC71" s="371" t="s">
        <v>11162</v>
      </c>
      <c r="CD71" s="371" t="s">
        <v>11163</v>
      </c>
      <c r="CE71" s="371" t="s">
        <v>10262</v>
      </c>
      <c r="CF71" s="371" t="s">
        <v>11164</v>
      </c>
      <c r="CG71" s="371" t="s">
        <v>10261</v>
      </c>
      <c r="CH71" s="371" t="s">
        <v>11165</v>
      </c>
      <c r="CI71" s="371" t="s">
        <v>11166</v>
      </c>
      <c r="CJ71" s="371" t="s">
        <v>11167</v>
      </c>
      <c r="CK71" s="371" t="s">
        <v>11168</v>
      </c>
      <c r="CL71" s="371" t="s">
        <v>11169</v>
      </c>
      <c r="CM71" s="371" t="s">
        <v>11170</v>
      </c>
      <c r="CN71" s="371" t="s">
        <v>11171</v>
      </c>
      <c r="CO71" s="371" t="s">
        <v>11172</v>
      </c>
      <c r="CP71" s="371" t="s">
        <v>11173</v>
      </c>
      <c r="CQ71" s="371" t="s">
        <v>11174</v>
      </c>
      <c r="CR71" s="371" t="s">
        <v>11175</v>
      </c>
      <c r="CS71" s="371" t="s">
        <v>11176</v>
      </c>
      <c r="CT71" s="371" t="s">
        <v>11177</v>
      </c>
      <c r="CU71" s="371" t="s">
        <v>11178</v>
      </c>
      <c r="CV71" s="371" t="s">
        <v>11179</v>
      </c>
      <c r="CW71" s="371" t="s">
        <v>11180</v>
      </c>
      <c r="CX71" s="371" t="s">
        <v>11181</v>
      </c>
      <c r="CY71" s="371" t="s">
        <v>11182</v>
      </c>
      <c r="CZ71" s="371" t="s">
        <v>11183</v>
      </c>
      <c r="DA71" s="371" t="s">
        <v>11184</v>
      </c>
      <c r="DB71" s="371" t="s">
        <v>11185</v>
      </c>
      <c r="DC71" s="371" t="s">
        <v>11186</v>
      </c>
      <c r="DD71" s="371" t="s">
        <v>10269</v>
      </c>
      <c r="DE71" s="371" t="s">
        <v>11187</v>
      </c>
      <c r="DF71" s="371" t="s">
        <v>11188</v>
      </c>
      <c r="DG71" s="371" t="s">
        <v>11189</v>
      </c>
      <c r="DH71" s="371" t="s">
        <v>11190</v>
      </c>
      <c r="DI71" s="371" t="s">
        <v>11191</v>
      </c>
      <c r="DJ71" s="371" t="s">
        <v>11192</v>
      </c>
      <c r="DK71" s="371" t="s">
        <v>11193</v>
      </c>
      <c r="DL71" s="371" t="s">
        <v>11194</v>
      </c>
      <c r="DM71" s="371" t="s">
        <v>11195</v>
      </c>
      <c r="DN71" s="371" t="s">
        <v>11196</v>
      </c>
      <c r="DO71" s="371" t="s">
        <v>11197</v>
      </c>
      <c r="DP71" s="371" t="s">
        <v>10266</v>
      </c>
      <c r="DQ71" s="371" t="s">
        <v>10260</v>
      </c>
      <c r="DR71" s="371" t="s">
        <v>11198</v>
      </c>
      <c r="DS71" s="371" t="s">
        <v>11199</v>
      </c>
      <c r="DT71" s="371" t="s">
        <v>11200</v>
      </c>
      <c r="DU71" s="371" t="s">
        <v>10275</v>
      </c>
      <c r="DV71" s="371" t="s">
        <v>11201</v>
      </c>
      <c r="DW71" s="371" t="s">
        <v>11202</v>
      </c>
      <c r="DX71" s="371" t="s">
        <v>11203</v>
      </c>
      <c r="DY71" s="371" t="s">
        <v>11204</v>
      </c>
      <c r="DZ71" s="371" t="s">
        <v>11205</v>
      </c>
      <c r="EA71" s="371" t="s">
        <v>11206</v>
      </c>
      <c r="EB71" s="370" t="s">
        <v>11207</v>
      </c>
      <c r="EC71" s="370" t="s">
        <v>10202</v>
      </c>
      <c r="ED71" s="370" t="s">
        <v>10257</v>
      </c>
      <c r="EE71" s="370" t="s">
        <v>10202</v>
      </c>
      <c r="EF71" s="371" t="s">
        <v>10254</v>
      </c>
      <c r="EG71" s="371" t="s">
        <v>10273</v>
      </c>
      <c r="EH71" s="371" t="s">
        <v>10251</v>
      </c>
      <c r="EI71" s="370" t="s">
        <v>10267</v>
      </c>
      <c r="EJ71" s="370" t="s">
        <v>10202</v>
      </c>
    </row>
    <row r="72" spans="1:140" ht="12" customHeight="1">
      <c r="A72" s="512">
        <v>4</v>
      </c>
      <c r="B72" s="381" t="s">
        <v>10200</v>
      </c>
      <c r="C72" s="382" t="s">
        <v>7852</v>
      </c>
      <c r="D72" s="382" t="s">
        <v>7854</v>
      </c>
      <c r="E72" s="382" t="s">
        <v>8497</v>
      </c>
      <c r="F72" s="381" t="s">
        <v>8494</v>
      </c>
      <c r="G72" s="381" t="s">
        <v>10200</v>
      </c>
      <c r="H72" s="381" t="s">
        <v>7845</v>
      </c>
      <c r="I72" s="381" t="s">
        <v>10200</v>
      </c>
      <c r="J72" s="382" t="s">
        <v>8472</v>
      </c>
      <c r="K72" s="382" t="s">
        <v>7540</v>
      </c>
      <c r="L72" s="382" t="s">
        <v>8481</v>
      </c>
      <c r="M72" s="382" t="s">
        <v>8266</v>
      </c>
      <c r="N72" s="382" t="s">
        <v>8207</v>
      </c>
      <c r="O72" s="382" t="s">
        <v>8290</v>
      </c>
      <c r="P72" s="382" t="s">
        <v>8430</v>
      </c>
      <c r="Q72" s="382" t="s">
        <v>8436</v>
      </c>
      <c r="R72" s="383" t="s">
        <v>8299</v>
      </c>
      <c r="S72" s="382" t="s">
        <v>8283</v>
      </c>
      <c r="T72" s="382" t="s">
        <v>7592</v>
      </c>
      <c r="U72" s="382" t="s">
        <v>8208</v>
      </c>
      <c r="V72" s="382" t="s">
        <v>8434</v>
      </c>
      <c r="W72" s="382" t="s">
        <v>8280</v>
      </c>
      <c r="X72" s="382" t="s">
        <v>8478</v>
      </c>
      <c r="Y72" s="382" t="s">
        <v>8214</v>
      </c>
      <c r="Z72" s="382" t="s">
        <v>8356</v>
      </c>
      <c r="AA72" s="382" t="s">
        <v>8428</v>
      </c>
      <c r="AB72" s="382" t="s">
        <v>8476</v>
      </c>
      <c r="AC72" s="382" t="s">
        <v>8260</v>
      </c>
      <c r="AD72" s="382" t="s">
        <v>8197</v>
      </c>
      <c r="AE72" s="382" t="s">
        <v>7588</v>
      </c>
      <c r="AF72" s="382" t="s">
        <v>8324</v>
      </c>
      <c r="AG72" s="382" t="s">
        <v>8288</v>
      </c>
      <c r="AH72" s="382" t="s">
        <v>8422</v>
      </c>
      <c r="AI72" s="382" t="s">
        <v>8392</v>
      </c>
      <c r="AJ72" s="382" t="s">
        <v>8413</v>
      </c>
      <c r="AK72" s="382" t="s">
        <v>8438</v>
      </c>
      <c r="AL72" s="382" t="s">
        <v>8309</v>
      </c>
      <c r="AM72" s="382" t="s">
        <v>8423</v>
      </c>
      <c r="AN72" s="382" t="s">
        <v>8345</v>
      </c>
      <c r="AO72" s="382" t="s">
        <v>8445</v>
      </c>
      <c r="AP72" s="382" t="s">
        <v>8342</v>
      </c>
      <c r="AQ72" s="382" t="s">
        <v>8301</v>
      </c>
      <c r="AR72" s="382" t="s">
        <v>8270</v>
      </c>
      <c r="AS72" s="382" t="s">
        <v>7853</v>
      </c>
      <c r="AT72" s="382" t="s">
        <v>8452</v>
      </c>
      <c r="AU72" s="382" t="s">
        <v>8415</v>
      </c>
      <c r="AV72" s="382" t="s">
        <v>8364</v>
      </c>
      <c r="AW72" s="382" t="s">
        <v>8327</v>
      </c>
      <c r="AX72" s="382" t="s">
        <v>8429</v>
      </c>
      <c r="AY72" s="382" t="s">
        <v>8439</v>
      </c>
      <c r="AZ72" s="382" t="s">
        <v>8272</v>
      </c>
      <c r="BA72" s="382" t="s">
        <v>8206</v>
      </c>
      <c r="BB72" s="382" t="s">
        <v>8298</v>
      </c>
      <c r="BC72" s="382" t="s">
        <v>8264</v>
      </c>
      <c r="BD72" s="382" t="s">
        <v>8240</v>
      </c>
      <c r="BE72" s="382" t="s">
        <v>8368</v>
      </c>
      <c r="BF72" s="382" t="s">
        <v>8326</v>
      </c>
      <c r="BG72" s="382" t="s">
        <v>8471</v>
      </c>
      <c r="BH72" s="382" t="s">
        <v>8346</v>
      </c>
      <c r="BI72" s="382" t="s">
        <v>8244</v>
      </c>
      <c r="BJ72" s="382" t="s">
        <v>8259</v>
      </c>
      <c r="BK72" s="382" t="s">
        <v>7600</v>
      </c>
      <c r="BL72" s="382" t="s">
        <v>8277</v>
      </c>
      <c r="BM72" s="382" t="s">
        <v>7603</v>
      </c>
      <c r="BN72" s="382" t="s">
        <v>8450</v>
      </c>
      <c r="BO72" s="382" t="s">
        <v>8437</v>
      </c>
      <c r="BP72" s="382" t="s">
        <v>8426</v>
      </c>
      <c r="BQ72" s="381" t="s">
        <v>8424</v>
      </c>
      <c r="BR72" s="381" t="s">
        <v>10200</v>
      </c>
      <c r="BS72" s="329"/>
      <c r="BT72" s="367" t="s">
        <v>10200</v>
      </c>
      <c r="BU72" s="368" t="s">
        <v>8220</v>
      </c>
      <c r="BV72" s="368" t="s">
        <v>8423</v>
      </c>
      <c r="BW72" s="368" t="s">
        <v>8236</v>
      </c>
      <c r="BX72" s="368" t="s">
        <v>8485</v>
      </c>
      <c r="BY72" s="368" t="s">
        <v>8412</v>
      </c>
      <c r="BZ72" s="368" t="s">
        <v>8366</v>
      </c>
      <c r="CA72" s="368" t="s">
        <v>8235</v>
      </c>
      <c r="CB72" s="368" t="s">
        <v>8484</v>
      </c>
      <c r="CC72" s="368" t="s">
        <v>8303</v>
      </c>
      <c r="CD72" s="369" t="s">
        <v>8299</v>
      </c>
      <c r="CE72" s="368" t="s">
        <v>8196</v>
      </c>
      <c r="CF72" s="368" t="s">
        <v>8367</v>
      </c>
      <c r="CG72" s="368" t="s">
        <v>8255</v>
      </c>
      <c r="CH72" s="368" t="s">
        <v>7572</v>
      </c>
      <c r="CI72" s="368" t="s">
        <v>8417</v>
      </c>
      <c r="CJ72" s="368" t="s">
        <v>8223</v>
      </c>
      <c r="CK72" s="368" t="s">
        <v>8382</v>
      </c>
      <c r="CL72" s="368" t="s">
        <v>8332</v>
      </c>
      <c r="CM72" s="368" t="s">
        <v>8205</v>
      </c>
      <c r="CN72" s="368" t="s">
        <v>7551</v>
      </c>
      <c r="CO72" s="368" t="s">
        <v>8400</v>
      </c>
      <c r="CP72" s="368" t="s">
        <v>8198</v>
      </c>
      <c r="CQ72" s="368" t="s">
        <v>8294</v>
      </c>
      <c r="CR72" s="368" t="s">
        <v>8269</v>
      </c>
      <c r="CS72" s="368" t="s">
        <v>7570</v>
      </c>
      <c r="CT72" s="368" t="s">
        <v>8348</v>
      </c>
      <c r="CU72" s="368" t="s">
        <v>8372</v>
      </c>
      <c r="CV72" s="369" t="s">
        <v>7845</v>
      </c>
      <c r="CW72" s="368" t="s">
        <v>8442</v>
      </c>
      <c r="CX72" s="368" t="s">
        <v>8451</v>
      </c>
      <c r="CY72" s="368" t="s">
        <v>8364</v>
      </c>
      <c r="CZ72" s="368" t="s">
        <v>8421</v>
      </c>
      <c r="DA72" s="368" t="s">
        <v>8257</v>
      </c>
      <c r="DB72" s="369" t="s">
        <v>8086</v>
      </c>
      <c r="DC72" s="368" t="s">
        <v>8246</v>
      </c>
      <c r="DD72" s="368" t="s">
        <v>8212</v>
      </c>
      <c r="DE72" s="368" t="s">
        <v>8375</v>
      </c>
      <c r="DF72" s="368" t="s">
        <v>8293</v>
      </c>
      <c r="DG72" s="368" t="s">
        <v>8376</v>
      </c>
      <c r="DH72" s="368" t="s">
        <v>8301</v>
      </c>
      <c r="DI72" s="368" t="s">
        <v>8436</v>
      </c>
      <c r="DJ72" s="368" t="s">
        <v>8274</v>
      </c>
      <c r="DK72" s="368" t="s">
        <v>8419</v>
      </c>
      <c r="DL72" s="368" t="s">
        <v>8279</v>
      </c>
      <c r="DM72" s="368" t="s">
        <v>8190</v>
      </c>
      <c r="DN72" s="368" t="s">
        <v>8345</v>
      </c>
      <c r="DO72" s="368" t="s">
        <v>7586</v>
      </c>
      <c r="DP72" s="368" t="s">
        <v>8343</v>
      </c>
      <c r="DQ72" s="368" t="s">
        <v>7582</v>
      </c>
      <c r="DR72" s="368" t="s">
        <v>8449</v>
      </c>
      <c r="DS72" s="368" t="s">
        <v>8253</v>
      </c>
      <c r="DT72" s="368" t="s">
        <v>8413</v>
      </c>
      <c r="DU72" s="368" t="s">
        <v>8231</v>
      </c>
      <c r="DV72" s="368" t="s">
        <v>8388</v>
      </c>
      <c r="DW72" s="368" t="s">
        <v>8422</v>
      </c>
      <c r="DX72" s="368" t="s">
        <v>7860</v>
      </c>
      <c r="DY72" s="368" t="s">
        <v>8267</v>
      </c>
      <c r="DZ72" s="368" t="s">
        <v>8188</v>
      </c>
      <c r="EA72" s="368" t="s">
        <v>7590</v>
      </c>
      <c r="EB72" s="367" t="s">
        <v>8313</v>
      </c>
      <c r="EC72" s="367" t="s">
        <v>10200</v>
      </c>
      <c r="ED72" s="367" t="s">
        <v>8269</v>
      </c>
      <c r="EE72" s="367" t="s">
        <v>10200</v>
      </c>
      <c r="EF72" s="368" t="s">
        <v>8494</v>
      </c>
      <c r="EG72" s="368" t="s">
        <v>8497</v>
      </c>
      <c r="EH72" s="368" t="s">
        <v>8502</v>
      </c>
      <c r="EI72" s="367" t="s">
        <v>8503</v>
      </c>
      <c r="EJ72" s="367" t="s">
        <v>10200</v>
      </c>
    </row>
    <row r="73" spans="1:140" ht="12" customHeight="1">
      <c r="A73" s="513"/>
      <c r="B73" s="381" t="s">
        <v>10201</v>
      </c>
      <c r="C73" s="382" t="s">
        <v>7749</v>
      </c>
      <c r="D73" s="382" t="s">
        <v>7746</v>
      </c>
      <c r="E73" s="382" t="s">
        <v>7645</v>
      </c>
      <c r="F73" s="381" t="s">
        <v>7629</v>
      </c>
      <c r="G73" s="381" t="s">
        <v>10201</v>
      </c>
      <c r="H73" s="381" t="s">
        <v>8510</v>
      </c>
      <c r="I73" s="381" t="s">
        <v>10201</v>
      </c>
      <c r="J73" s="382" t="s">
        <v>8667</v>
      </c>
      <c r="K73" s="382" t="s">
        <v>7713</v>
      </c>
      <c r="L73" s="382" t="s">
        <v>8676</v>
      </c>
      <c r="M73" s="382" t="s">
        <v>7704</v>
      </c>
      <c r="N73" s="382" t="s">
        <v>7636</v>
      </c>
      <c r="O73" s="382" t="s">
        <v>7732</v>
      </c>
      <c r="P73" s="382" t="s">
        <v>8625</v>
      </c>
      <c r="Q73" s="382" t="s">
        <v>8631</v>
      </c>
      <c r="R73" s="383" t="s">
        <v>8509</v>
      </c>
      <c r="S73" s="382" t="s">
        <v>7722</v>
      </c>
      <c r="T73" s="382" t="s">
        <v>7791</v>
      </c>
      <c r="U73" s="382" t="s">
        <v>7637</v>
      </c>
      <c r="V73" s="382" t="s">
        <v>8629</v>
      </c>
      <c r="W73" s="382" t="s">
        <v>7719</v>
      </c>
      <c r="X73" s="382" t="s">
        <v>8673</v>
      </c>
      <c r="Y73" s="382" t="s">
        <v>7643</v>
      </c>
      <c r="Z73" s="382" t="s">
        <v>8551</v>
      </c>
      <c r="AA73" s="382" t="s">
        <v>8623</v>
      </c>
      <c r="AB73" s="382" t="s">
        <v>8671</v>
      </c>
      <c r="AC73" s="382" t="s">
        <v>7698</v>
      </c>
      <c r="AD73" s="382" t="s">
        <v>7623</v>
      </c>
      <c r="AE73" s="382" t="s">
        <v>7787</v>
      </c>
      <c r="AF73" s="382" t="s">
        <v>8519</v>
      </c>
      <c r="AG73" s="382" t="s">
        <v>7729</v>
      </c>
      <c r="AH73" s="382" t="s">
        <v>8617</v>
      </c>
      <c r="AI73" s="382" t="s">
        <v>8587</v>
      </c>
      <c r="AJ73" s="382" t="s">
        <v>8608</v>
      </c>
      <c r="AK73" s="382" t="s">
        <v>8633</v>
      </c>
      <c r="AL73" s="382" t="s">
        <v>7767</v>
      </c>
      <c r="AM73" s="382" t="s">
        <v>8618</v>
      </c>
      <c r="AN73" s="382" t="s">
        <v>8540</v>
      </c>
      <c r="AO73" s="382" t="s">
        <v>8640</v>
      </c>
      <c r="AP73" s="382" t="s">
        <v>8537</v>
      </c>
      <c r="AQ73" s="382" t="s">
        <v>7758</v>
      </c>
      <c r="AR73" s="382" t="s">
        <v>7708</v>
      </c>
      <c r="AS73" s="382" t="s">
        <v>7747</v>
      </c>
      <c r="AT73" s="382" t="s">
        <v>8647</v>
      </c>
      <c r="AU73" s="382" t="s">
        <v>8610</v>
      </c>
      <c r="AV73" s="382" t="s">
        <v>8559</v>
      </c>
      <c r="AW73" s="382" t="s">
        <v>8522</v>
      </c>
      <c r="AX73" s="382" t="s">
        <v>8624</v>
      </c>
      <c r="AY73" s="382" t="s">
        <v>8634</v>
      </c>
      <c r="AZ73" s="382" t="s">
        <v>7710</v>
      </c>
      <c r="BA73" s="382" t="s">
        <v>7635</v>
      </c>
      <c r="BB73" s="382" t="s">
        <v>7752</v>
      </c>
      <c r="BC73" s="382" t="s">
        <v>7702</v>
      </c>
      <c r="BD73" s="382" t="s">
        <v>7677</v>
      </c>
      <c r="BE73" s="382" t="s">
        <v>8563</v>
      </c>
      <c r="BF73" s="382" t="s">
        <v>8521</v>
      </c>
      <c r="BG73" s="382" t="s">
        <v>8666</v>
      </c>
      <c r="BH73" s="382" t="s">
        <v>8541</v>
      </c>
      <c r="BI73" s="382" t="s">
        <v>7682</v>
      </c>
      <c r="BJ73" s="382" t="s">
        <v>7697</v>
      </c>
      <c r="BK73" s="382" t="s">
        <v>7799</v>
      </c>
      <c r="BL73" s="382" t="s">
        <v>7716</v>
      </c>
      <c r="BM73" s="382" t="s">
        <v>7806</v>
      </c>
      <c r="BN73" s="382" t="s">
        <v>8645</v>
      </c>
      <c r="BO73" s="382" t="s">
        <v>8632</v>
      </c>
      <c r="BP73" s="382" t="s">
        <v>8621</v>
      </c>
      <c r="BQ73" s="381" t="s">
        <v>8619</v>
      </c>
      <c r="BR73" s="381" t="s">
        <v>10201</v>
      </c>
      <c r="BS73" s="329"/>
      <c r="BT73" s="367" t="s">
        <v>10201</v>
      </c>
      <c r="BU73" s="368" t="s">
        <v>7653</v>
      </c>
      <c r="BV73" s="368" t="s">
        <v>8618</v>
      </c>
      <c r="BW73" s="368" t="s">
        <v>7672</v>
      </c>
      <c r="BX73" s="368" t="s">
        <v>8680</v>
      </c>
      <c r="BY73" s="368" t="s">
        <v>8607</v>
      </c>
      <c r="BZ73" s="368" t="s">
        <v>8561</v>
      </c>
      <c r="CA73" s="368" t="s">
        <v>7671</v>
      </c>
      <c r="CB73" s="368" t="s">
        <v>8679</v>
      </c>
      <c r="CC73" s="368" t="s">
        <v>7760</v>
      </c>
      <c r="CD73" s="369" t="s">
        <v>8510</v>
      </c>
      <c r="CE73" s="368" t="s">
        <v>7622</v>
      </c>
      <c r="CF73" s="368" t="s">
        <v>8562</v>
      </c>
      <c r="CG73" s="368" t="s">
        <v>7693</v>
      </c>
      <c r="CH73" s="368" t="s">
        <v>7771</v>
      </c>
      <c r="CI73" s="368" t="s">
        <v>8612</v>
      </c>
      <c r="CJ73" s="368" t="s">
        <v>7658</v>
      </c>
      <c r="CK73" s="368" t="s">
        <v>8577</v>
      </c>
      <c r="CL73" s="368" t="s">
        <v>8527</v>
      </c>
      <c r="CM73" s="368" t="s">
        <v>7634</v>
      </c>
      <c r="CN73" s="368" t="s">
        <v>7725</v>
      </c>
      <c r="CO73" s="368" t="s">
        <v>8595</v>
      </c>
      <c r="CP73" s="368" t="s">
        <v>7624</v>
      </c>
      <c r="CQ73" s="368" t="s">
        <v>7740</v>
      </c>
      <c r="CR73" s="368" t="s">
        <v>7707</v>
      </c>
      <c r="CS73" s="368" t="s">
        <v>7769</v>
      </c>
      <c r="CT73" s="368" t="s">
        <v>8543</v>
      </c>
      <c r="CU73" s="368" t="s">
        <v>8567</v>
      </c>
      <c r="CV73" s="369" t="s">
        <v>8509</v>
      </c>
      <c r="CW73" s="368" t="s">
        <v>8637</v>
      </c>
      <c r="CX73" s="368" t="s">
        <v>8646</v>
      </c>
      <c r="CY73" s="368" t="s">
        <v>8559</v>
      </c>
      <c r="CZ73" s="368" t="s">
        <v>8616</v>
      </c>
      <c r="DA73" s="368" t="s">
        <v>7695</v>
      </c>
      <c r="DB73" s="369" t="s">
        <v>8509</v>
      </c>
      <c r="DC73" s="368" t="s">
        <v>7684</v>
      </c>
      <c r="DD73" s="368" t="s">
        <v>7641</v>
      </c>
      <c r="DE73" s="368" t="s">
        <v>8570</v>
      </c>
      <c r="DF73" s="368" t="s">
        <v>7738</v>
      </c>
      <c r="DG73" s="368" t="s">
        <v>8571</v>
      </c>
      <c r="DH73" s="368" t="s">
        <v>7758</v>
      </c>
      <c r="DI73" s="368" t="s">
        <v>8631</v>
      </c>
      <c r="DJ73" s="368" t="s">
        <v>7712</v>
      </c>
      <c r="DK73" s="368" t="s">
        <v>8614</v>
      </c>
      <c r="DL73" s="368" t="s">
        <v>7718</v>
      </c>
      <c r="DM73" s="368" t="s">
        <v>7616</v>
      </c>
      <c r="DN73" s="368" t="s">
        <v>8540</v>
      </c>
      <c r="DO73" s="368" t="s">
        <v>7785</v>
      </c>
      <c r="DP73" s="368" t="s">
        <v>8538</v>
      </c>
      <c r="DQ73" s="368" t="s">
        <v>7781</v>
      </c>
      <c r="DR73" s="368" t="s">
        <v>8644</v>
      </c>
      <c r="DS73" s="368" t="s">
        <v>7691</v>
      </c>
      <c r="DT73" s="368" t="s">
        <v>8608</v>
      </c>
      <c r="DU73" s="368" t="s">
        <v>7666</v>
      </c>
      <c r="DV73" s="368" t="s">
        <v>8583</v>
      </c>
      <c r="DW73" s="368" t="s">
        <v>8617</v>
      </c>
      <c r="DX73" s="368" t="s">
        <v>7735</v>
      </c>
      <c r="DY73" s="368" t="s">
        <v>7705</v>
      </c>
      <c r="DZ73" s="368" t="s">
        <v>7612</v>
      </c>
      <c r="EA73" s="368" t="s">
        <v>7789</v>
      </c>
      <c r="EB73" s="367" t="s">
        <v>7801</v>
      </c>
      <c r="EC73" s="367" t="s">
        <v>10201</v>
      </c>
      <c r="ED73" s="367" t="s">
        <v>7707</v>
      </c>
      <c r="EE73" s="367" t="s">
        <v>10201</v>
      </c>
      <c r="EF73" s="368" t="s">
        <v>7629</v>
      </c>
      <c r="EG73" s="368" t="s">
        <v>7645</v>
      </c>
      <c r="EH73" s="368" t="s">
        <v>7667</v>
      </c>
      <c r="EI73" s="367" t="s">
        <v>7731</v>
      </c>
      <c r="EJ73" s="367" t="s">
        <v>10201</v>
      </c>
    </row>
    <row r="74" spans="1:140" ht="12" customHeight="1">
      <c r="A74" s="513"/>
      <c r="B74" s="381" t="s">
        <v>8731</v>
      </c>
      <c r="C74" s="382" t="s">
        <v>8507</v>
      </c>
      <c r="D74" s="382" t="s">
        <v>8507</v>
      </c>
      <c r="E74" s="382" t="s">
        <v>8507</v>
      </c>
      <c r="F74" s="381" t="s">
        <v>8507</v>
      </c>
      <c r="G74" s="381" t="s">
        <v>8731</v>
      </c>
      <c r="H74" s="381" t="s">
        <v>8508</v>
      </c>
      <c r="I74" s="381" t="s">
        <v>8731</v>
      </c>
      <c r="J74" s="382" t="s">
        <v>8506</v>
      </c>
      <c r="K74" s="382" t="s">
        <v>8506</v>
      </c>
      <c r="L74" s="382" t="s">
        <v>8506</v>
      </c>
      <c r="M74" s="382" t="s">
        <v>8506</v>
      </c>
      <c r="N74" s="382" t="s">
        <v>8506</v>
      </c>
      <c r="O74" s="382" t="s">
        <v>8506</v>
      </c>
      <c r="P74" s="382" t="s">
        <v>8506</v>
      </c>
      <c r="Q74" s="382" t="s">
        <v>8506</v>
      </c>
      <c r="R74" s="383" t="s">
        <v>8506</v>
      </c>
      <c r="S74" s="382" t="s">
        <v>8506</v>
      </c>
      <c r="T74" s="382" t="s">
        <v>8506</v>
      </c>
      <c r="U74" s="382" t="s">
        <v>8506</v>
      </c>
      <c r="V74" s="382" t="s">
        <v>8506</v>
      </c>
      <c r="W74" s="382" t="s">
        <v>8506</v>
      </c>
      <c r="X74" s="382" t="s">
        <v>8506</v>
      </c>
      <c r="Y74" s="382" t="s">
        <v>8506</v>
      </c>
      <c r="Z74" s="382" t="s">
        <v>8506</v>
      </c>
      <c r="AA74" s="382" t="s">
        <v>8506</v>
      </c>
      <c r="AB74" s="382" t="s">
        <v>8506</v>
      </c>
      <c r="AC74" s="382" t="s">
        <v>8506</v>
      </c>
      <c r="AD74" s="382" t="s">
        <v>8506</v>
      </c>
      <c r="AE74" s="382" t="s">
        <v>8506</v>
      </c>
      <c r="AF74" s="382" t="s">
        <v>8506</v>
      </c>
      <c r="AG74" s="382" t="s">
        <v>8506</v>
      </c>
      <c r="AH74" s="382" t="s">
        <v>8506</v>
      </c>
      <c r="AI74" s="382" t="s">
        <v>8506</v>
      </c>
      <c r="AJ74" s="382" t="s">
        <v>8506</v>
      </c>
      <c r="AK74" s="382" t="s">
        <v>8506</v>
      </c>
      <c r="AL74" s="382" t="s">
        <v>8506</v>
      </c>
      <c r="AM74" s="382" t="s">
        <v>8506</v>
      </c>
      <c r="AN74" s="382" t="s">
        <v>8506</v>
      </c>
      <c r="AO74" s="382" t="s">
        <v>8506</v>
      </c>
      <c r="AP74" s="382" t="s">
        <v>8506</v>
      </c>
      <c r="AQ74" s="382" t="s">
        <v>8506</v>
      </c>
      <c r="AR74" s="382" t="s">
        <v>8506</v>
      </c>
      <c r="AS74" s="382" t="s">
        <v>8506</v>
      </c>
      <c r="AT74" s="382" t="s">
        <v>8506</v>
      </c>
      <c r="AU74" s="382" t="s">
        <v>8506</v>
      </c>
      <c r="AV74" s="382" t="s">
        <v>8506</v>
      </c>
      <c r="AW74" s="382" t="s">
        <v>8506</v>
      </c>
      <c r="AX74" s="382" t="s">
        <v>8506</v>
      </c>
      <c r="AY74" s="382" t="s">
        <v>8506</v>
      </c>
      <c r="AZ74" s="382" t="s">
        <v>8506</v>
      </c>
      <c r="BA74" s="382" t="s">
        <v>8506</v>
      </c>
      <c r="BB74" s="382" t="s">
        <v>8506</v>
      </c>
      <c r="BC74" s="382" t="s">
        <v>8506</v>
      </c>
      <c r="BD74" s="382" t="s">
        <v>8506</v>
      </c>
      <c r="BE74" s="382" t="s">
        <v>8506</v>
      </c>
      <c r="BF74" s="382" t="s">
        <v>8506</v>
      </c>
      <c r="BG74" s="382" t="s">
        <v>8506</v>
      </c>
      <c r="BH74" s="382" t="s">
        <v>8506</v>
      </c>
      <c r="BI74" s="382" t="s">
        <v>8506</v>
      </c>
      <c r="BJ74" s="382" t="s">
        <v>8506</v>
      </c>
      <c r="BK74" s="382" t="s">
        <v>8506</v>
      </c>
      <c r="BL74" s="382" t="s">
        <v>8506</v>
      </c>
      <c r="BM74" s="382" t="s">
        <v>8506</v>
      </c>
      <c r="BN74" s="382" t="s">
        <v>8506</v>
      </c>
      <c r="BO74" s="382" t="s">
        <v>8506</v>
      </c>
      <c r="BP74" s="382" t="s">
        <v>8506</v>
      </c>
      <c r="BQ74" s="381" t="s">
        <v>8506</v>
      </c>
      <c r="BR74" s="381" t="s">
        <v>8731</v>
      </c>
      <c r="BS74" s="329" t="s">
        <v>10274</v>
      </c>
      <c r="BT74" s="367" t="s">
        <v>8731</v>
      </c>
      <c r="BU74" s="368" t="s">
        <v>8506</v>
      </c>
      <c r="BV74" s="368" t="s">
        <v>8506</v>
      </c>
      <c r="BW74" s="368" t="s">
        <v>8506</v>
      </c>
      <c r="BX74" s="368" t="s">
        <v>8506</v>
      </c>
      <c r="BY74" s="368" t="s">
        <v>8506</v>
      </c>
      <c r="BZ74" s="368" t="s">
        <v>8506</v>
      </c>
      <c r="CA74" s="368" t="s">
        <v>8506</v>
      </c>
      <c r="CB74" s="368" t="s">
        <v>8506</v>
      </c>
      <c r="CC74" s="368" t="s">
        <v>8506</v>
      </c>
      <c r="CD74" s="369" t="s">
        <v>8506</v>
      </c>
      <c r="CE74" s="368" t="s">
        <v>8506</v>
      </c>
      <c r="CF74" s="368" t="s">
        <v>8506</v>
      </c>
      <c r="CG74" s="368" t="s">
        <v>8506</v>
      </c>
      <c r="CH74" s="368" t="s">
        <v>8506</v>
      </c>
      <c r="CI74" s="368" t="s">
        <v>8506</v>
      </c>
      <c r="CJ74" s="368" t="s">
        <v>8506</v>
      </c>
      <c r="CK74" s="368" t="s">
        <v>8506</v>
      </c>
      <c r="CL74" s="368" t="s">
        <v>8506</v>
      </c>
      <c r="CM74" s="368" t="s">
        <v>8506</v>
      </c>
      <c r="CN74" s="368" t="s">
        <v>8506</v>
      </c>
      <c r="CO74" s="368" t="s">
        <v>8506</v>
      </c>
      <c r="CP74" s="368" t="s">
        <v>8506</v>
      </c>
      <c r="CQ74" s="368" t="s">
        <v>8506</v>
      </c>
      <c r="CR74" s="368" t="s">
        <v>8506</v>
      </c>
      <c r="CS74" s="368" t="s">
        <v>8506</v>
      </c>
      <c r="CT74" s="368" t="s">
        <v>8506</v>
      </c>
      <c r="CU74" s="368" t="s">
        <v>8506</v>
      </c>
      <c r="CV74" s="369" t="s">
        <v>8506</v>
      </c>
      <c r="CW74" s="368" t="s">
        <v>8506</v>
      </c>
      <c r="CX74" s="368" t="s">
        <v>8506</v>
      </c>
      <c r="CY74" s="368" t="s">
        <v>8506</v>
      </c>
      <c r="CZ74" s="368" t="s">
        <v>8506</v>
      </c>
      <c r="DA74" s="368" t="s">
        <v>8506</v>
      </c>
      <c r="DB74" s="369" t="s">
        <v>8506</v>
      </c>
      <c r="DC74" s="368" t="s">
        <v>8506</v>
      </c>
      <c r="DD74" s="368" t="s">
        <v>8506</v>
      </c>
      <c r="DE74" s="368" t="s">
        <v>8506</v>
      </c>
      <c r="DF74" s="368" t="s">
        <v>8506</v>
      </c>
      <c r="DG74" s="368" t="s">
        <v>8506</v>
      </c>
      <c r="DH74" s="368" t="s">
        <v>8506</v>
      </c>
      <c r="DI74" s="368" t="s">
        <v>8506</v>
      </c>
      <c r="DJ74" s="368" t="s">
        <v>8506</v>
      </c>
      <c r="DK74" s="368" t="s">
        <v>8506</v>
      </c>
      <c r="DL74" s="368" t="s">
        <v>8506</v>
      </c>
      <c r="DM74" s="368" t="s">
        <v>8506</v>
      </c>
      <c r="DN74" s="368" t="s">
        <v>8506</v>
      </c>
      <c r="DO74" s="368" t="s">
        <v>8506</v>
      </c>
      <c r="DP74" s="368" t="s">
        <v>8506</v>
      </c>
      <c r="DQ74" s="368" t="s">
        <v>8506</v>
      </c>
      <c r="DR74" s="368" t="s">
        <v>8506</v>
      </c>
      <c r="DS74" s="368" t="s">
        <v>8506</v>
      </c>
      <c r="DT74" s="368" t="s">
        <v>8506</v>
      </c>
      <c r="DU74" s="368" t="s">
        <v>8506</v>
      </c>
      <c r="DV74" s="368" t="s">
        <v>8506</v>
      </c>
      <c r="DW74" s="368" t="s">
        <v>8506</v>
      </c>
      <c r="DX74" s="368" t="s">
        <v>8506</v>
      </c>
      <c r="DY74" s="368" t="s">
        <v>8506</v>
      </c>
      <c r="DZ74" s="368" t="s">
        <v>8506</v>
      </c>
      <c r="EA74" s="368" t="s">
        <v>8506</v>
      </c>
      <c r="EB74" s="367" t="s">
        <v>8506</v>
      </c>
      <c r="EC74" s="367" t="s">
        <v>8731</v>
      </c>
      <c r="ED74" s="367" t="s">
        <v>8508</v>
      </c>
      <c r="EE74" s="367" t="s">
        <v>8731</v>
      </c>
      <c r="EF74" s="368" t="s">
        <v>8507</v>
      </c>
      <c r="EG74" s="368" t="s">
        <v>8507</v>
      </c>
      <c r="EH74" s="368" t="s">
        <v>8507</v>
      </c>
      <c r="EI74" s="367" t="s">
        <v>8507</v>
      </c>
      <c r="EJ74" s="367" t="s">
        <v>8731</v>
      </c>
    </row>
    <row r="75" spans="1:140" ht="12" customHeight="1">
      <c r="A75" s="513"/>
      <c r="B75" s="384" t="s">
        <v>10202</v>
      </c>
      <c r="C75" s="385" t="s">
        <v>10237</v>
      </c>
      <c r="D75" s="385" t="s">
        <v>10228</v>
      </c>
      <c r="E75" s="385" t="s">
        <v>10223</v>
      </c>
      <c r="F75" s="384" t="s">
        <v>10222</v>
      </c>
      <c r="G75" s="384" t="s">
        <v>10202</v>
      </c>
      <c r="H75" s="384" t="s">
        <v>10225</v>
      </c>
      <c r="I75" s="384" t="s">
        <v>10202</v>
      </c>
      <c r="J75" s="385" t="s">
        <v>11208</v>
      </c>
      <c r="K75" s="385" t="s">
        <v>11209</v>
      </c>
      <c r="L75" s="385" t="s">
        <v>11210</v>
      </c>
      <c r="M75" s="385" t="s">
        <v>11211</v>
      </c>
      <c r="N75" s="385" t="s">
        <v>10233</v>
      </c>
      <c r="O75" s="385" t="s">
        <v>11212</v>
      </c>
      <c r="P75" s="385" t="s">
        <v>11213</v>
      </c>
      <c r="Q75" s="385" t="s">
        <v>11214</v>
      </c>
      <c r="R75" s="386" t="s">
        <v>11215</v>
      </c>
      <c r="S75" s="385" t="s">
        <v>11216</v>
      </c>
      <c r="T75" s="385" t="s">
        <v>11217</v>
      </c>
      <c r="U75" s="385" t="s">
        <v>10287</v>
      </c>
      <c r="V75" s="385" t="s">
        <v>11218</v>
      </c>
      <c r="W75" s="385" t="s">
        <v>11219</v>
      </c>
      <c r="X75" s="385" t="s">
        <v>11220</v>
      </c>
      <c r="Y75" s="385" t="s">
        <v>10341</v>
      </c>
      <c r="Z75" s="385" t="s">
        <v>11221</v>
      </c>
      <c r="AA75" s="385" t="s">
        <v>11222</v>
      </c>
      <c r="AB75" s="385" t="s">
        <v>11223</v>
      </c>
      <c r="AC75" s="385" t="s">
        <v>11224</v>
      </c>
      <c r="AD75" s="385" t="s">
        <v>10232</v>
      </c>
      <c r="AE75" s="385" t="s">
        <v>11225</v>
      </c>
      <c r="AF75" s="385" t="s">
        <v>11226</v>
      </c>
      <c r="AG75" s="385" t="s">
        <v>11227</v>
      </c>
      <c r="AH75" s="385" t="s">
        <v>11228</v>
      </c>
      <c r="AI75" s="385" t="s">
        <v>11229</v>
      </c>
      <c r="AJ75" s="385" t="s">
        <v>11230</v>
      </c>
      <c r="AK75" s="385" t="s">
        <v>11231</v>
      </c>
      <c r="AL75" s="385" t="s">
        <v>11232</v>
      </c>
      <c r="AM75" s="385" t="s">
        <v>11233</v>
      </c>
      <c r="AN75" s="385" t="s">
        <v>11234</v>
      </c>
      <c r="AO75" s="385" t="s">
        <v>11235</v>
      </c>
      <c r="AP75" s="385" t="s">
        <v>11236</v>
      </c>
      <c r="AQ75" s="385" t="s">
        <v>11237</v>
      </c>
      <c r="AR75" s="385" t="s">
        <v>11238</v>
      </c>
      <c r="AS75" s="385" t="s">
        <v>11239</v>
      </c>
      <c r="AT75" s="385" t="s">
        <v>11240</v>
      </c>
      <c r="AU75" s="385" t="s">
        <v>11241</v>
      </c>
      <c r="AV75" s="385" t="s">
        <v>11242</v>
      </c>
      <c r="AW75" s="385" t="s">
        <v>11243</v>
      </c>
      <c r="AX75" s="385" t="s">
        <v>11244</v>
      </c>
      <c r="AY75" s="385" t="s">
        <v>11245</v>
      </c>
      <c r="AZ75" s="385" t="s">
        <v>11246</v>
      </c>
      <c r="BA75" s="385" t="s">
        <v>10234</v>
      </c>
      <c r="BB75" s="385" t="s">
        <v>11247</v>
      </c>
      <c r="BC75" s="385" t="s">
        <v>11248</v>
      </c>
      <c r="BD75" s="385" t="s">
        <v>11249</v>
      </c>
      <c r="BE75" s="385" t="s">
        <v>11250</v>
      </c>
      <c r="BF75" s="385" t="s">
        <v>11251</v>
      </c>
      <c r="BG75" s="385" t="s">
        <v>11252</v>
      </c>
      <c r="BH75" s="385" t="s">
        <v>11253</v>
      </c>
      <c r="BI75" s="385" t="s">
        <v>11254</v>
      </c>
      <c r="BJ75" s="385" t="s">
        <v>11255</v>
      </c>
      <c r="BK75" s="385" t="s">
        <v>11256</v>
      </c>
      <c r="BL75" s="385" t="s">
        <v>11257</v>
      </c>
      <c r="BM75" s="385" t="s">
        <v>11258</v>
      </c>
      <c r="BN75" s="385" t="s">
        <v>11259</v>
      </c>
      <c r="BO75" s="385" t="s">
        <v>11260</v>
      </c>
      <c r="BP75" s="385" t="s">
        <v>11261</v>
      </c>
      <c r="BQ75" s="384" t="s">
        <v>11262</v>
      </c>
      <c r="BR75" s="384" t="s">
        <v>10202</v>
      </c>
      <c r="BS75" s="330"/>
      <c r="BT75" s="370" t="s">
        <v>10202</v>
      </c>
      <c r="BU75" s="371" t="s">
        <v>11263</v>
      </c>
      <c r="BV75" s="371" t="s">
        <v>11264</v>
      </c>
      <c r="BW75" s="371" t="s">
        <v>11265</v>
      </c>
      <c r="BX75" s="371" t="s">
        <v>11266</v>
      </c>
      <c r="BY75" s="371" t="s">
        <v>11267</v>
      </c>
      <c r="BZ75" s="371" t="s">
        <v>11268</v>
      </c>
      <c r="CA75" s="371" t="s">
        <v>11269</v>
      </c>
      <c r="CB75" s="371" t="s">
        <v>11270</v>
      </c>
      <c r="CC75" s="371" t="s">
        <v>11271</v>
      </c>
      <c r="CD75" s="373" t="s">
        <v>11272</v>
      </c>
      <c r="CE75" s="371" t="s">
        <v>10259</v>
      </c>
      <c r="CF75" s="371" t="s">
        <v>11273</v>
      </c>
      <c r="CG75" s="371" t="s">
        <v>11274</v>
      </c>
      <c r="CH75" s="371" t="s">
        <v>11275</v>
      </c>
      <c r="CI75" s="371" t="s">
        <v>11276</v>
      </c>
      <c r="CJ75" s="371" t="s">
        <v>11277</v>
      </c>
      <c r="CK75" s="371" t="s">
        <v>11278</v>
      </c>
      <c r="CL75" s="371" t="s">
        <v>11279</v>
      </c>
      <c r="CM75" s="371" t="s">
        <v>10271</v>
      </c>
      <c r="CN75" s="371" t="s">
        <v>11280</v>
      </c>
      <c r="CO75" s="371" t="s">
        <v>11281</v>
      </c>
      <c r="CP75" s="371" t="s">
        <v>10273</v>
      </c>
      <c r="CQ75" s="371" t="s">
        <v>11282</v>
      </c>
      <c r="CR75" s="371" t="s">
        <v>11283</v>
      </c>
      <c r="CS75" s="371" t="s">
        <v>11284</v>
      </c>
      <c r="CT75" s="371" t="s">
        <v>11285</v>
      </c>
      <c r="CU75" s="371" t="s">
        <v>11286</v>
      </c>
      <c r="CV75" s="373" t="s">
        <v>11287</v>
      </c>
      <c r="CW75" s="371" t="s">
        <v>11288</v>
      </c>
      <c r="CX75" s="371" t="s">
        <v>11289</v>
      </c>
      <c r="CY75" s="371" t="s">
        <v>11290</v>
      </c>
      <c r="CZ75" s="371" t="s">
        <v>11291</v>
      </c>
      <c r="DA75" s="371" t="s">
        <v>11292</v>
      </c>
      <c r="DB75" s="373" t="s">
        <v>11293</v>
      </c>
      <c r="DC75" s="371" t="s">
        <v>11294</v>
      </c>
      <c r="DD75" s="371" t="s">
        <v>10278</v>
      </c>
      <c r="DE75" s="371" t="s">
        <v>11295</v>
      </c>
      <c r="DF75" s="371" t="s">
        <v>11296</v>
      </c>
      <c r="DG75" s="371" t="s">
        <v>11297</v>
      </c>
      <c r="DH75" s="371" t="s">
        <v>11298</v>
      </c>
      <c r="DI75" s="371" t="s">
        <v>11299</v>
      </c>
      <c r="DJ75" s="371" t="s">
        <v>11300</v>
      </c>
      <c r="DK75" s="371" t="s">
        <v>11301</v>
      </c>
      <c r="DL75" s="371" t="s">
        <v>11302</v>
      </c>
      <c r="DM75" s="371" t="s">
        <v>10264</v>
      </c>
      <c r="DN75" s="371" t="s">
        <v>11303</v>
      </c>
      <c r="DO75" s="371" t="s">
        <v>11304</v>
      </c>
      <c r="DP75" s="371" t="s">
        <v>11305</v>
      </c>
      <c r="DQ75" s="371" t="s">
        <v>11306</v>
      </c>
      <c r="DR75" s="371" t="s">
        <v>11307</v>
      </c>
      <c r="DS75" s="371" t="s">
        <v>11308</v>
      </c>
      <c r="DT75" s="371" t="s">
        <v>11309</v>
      </c>
      <c r="DU75" s="371" t="s">
        <v>11310</v>
      </c>
      <c r="DV75" s="371" t="s">
        <v>11311</v>
      </c>
      <c r="DW75" s="371" t="s">
        <v>11312</v>
      </c>
      <c r="DX75" s="371" t="s">
        <v>11313</v>
      </c>
      <c r="DY75" s="371" t="s">
        <v>11314</v>
      </c>
      <c r="DZ75" s="371" t="s">
        <v>10252</v>
      </c>
      <c r="EA75" s="371" t="s">
        <v>11315</v>
      </c>
      <c r="EB75" s="370" t="s">
        <v>11316</v>
      </c>
      <c r="EC75" s="370" t="s">
        <v>10202</v>
      </c>
      <c r="ED75" s="370" t="s">
        <v>10263</v>
      </c>
      <c r="EE75" s="370" t="s">
        <v>10202</v>
      </c>
      <c r="EF75" s="371" t="s">
        <v>10252</v>
      </c>
      <c r="EG75" s="371" t="s">
        <v>10253</v>
      </c>
      <c r="EH75" s="371" t="s">
        <v>10259</v>
      </c>
      <c r="EI75" s="370" t="s">
        <v>10261</v>
      </c>
      <c r="EJ75" s="370" t="s">
        <v>10202</v>
      </c>
    </row>
    <row r="76" spans="1:140" ht="12" customHeight="1">
      <c r="A76" s="512">
        <v>3</v>
      </c>
      <c r="B76" s="381" t="s">
        <v>10200</v>
      </c>
      <c r="C76" s="382" t="s">
        <v>8496</v>
      </c>
      <c r="D76" s="382" t="s">
        <v>8499</v>
      </c>
      <c r="E76" s="382" t="s">
        <v>8491</v>
      </c>
      <c r="F76" s="381" t="s">
        <v>7862</v>
      </c>
      <c r="G76" s="381" t="s">
        <v>10200</v>
      </c>
      <c r="H76" s="381" t="s">
        <v>8269</v>
      </c>
      <c r="I76" s="381" t="s">
        <v>10200</v>
      </c>
      <c r="J76" s="382" t="s">
        <v>8373</v>
      </c>
      <c r="K76" s="382" t="s">
        <v>8246</v>
      </c>
      <c r="L76" s="382" t="s">
        <v>8223</v>
      </c>
      <c r="M76" s="382" t="s">
        <v>8352</v>
      </c>
      <c r="N76" s="382" t="s">
        <v>7601</v>
      </c>
      <c r="O76" s="382" t="s">
        <v>7591</v>
      </c>
      <c r="P76" s="382" t="s">
        <v>8318</v>
      </c>
      <c r="Q76" s="382" t="s">
        <v>8433</v>
      </c>
      <c r="R76" s="382" t="s">
        <v>8331</v>
      </c>
      <c r="S76" s="382" t="s">
        <v>8419</v>
      </c>
      <c r="T76" s="382" t="s">
        <v>8477</v>
      </c>
      <c r="U76" s="382" t="s">
        <v>7584</v>
      </c>
      <c r="V76" s="382" t="s">
        <v>7596</v>
      </c>
      <c r="W76" s="382" t="s">
        <v>8231</v>
      </c>
      <c r="X76" s="382" t="s">
        <v>8195</v>
      </c>
      <c r="Y76" s="382" t="s">
        <v>8380</v>
      </c>
      <c r="Z76" s="382" t="s">
        <v>8239</v>
      </c>
      <c r="AA76" s="382" t="s">
        <v>8251</v>
      </c>
      <c r="AB76" s="382" t="s">
        <v>8279</v>
      </c>
      <c r="AC76" s="382" t="s">
        <v>8325</v>
      </c>
      <c r="AD76" s="382" t="s">
        <v>8254</v>
      </c>
      <c r="AE76" s="382" t="s">
        <v>8190</v>
      </c>
      <c r="AF76" s="382" t="s">
        <v>8185</v>
      </c>
      <c r="AG76" s="382" t="s">
        <v>8238</v>
      </c>
      <c r="AH76" s="382" t="s">
        <v>8233</v>
      </c>
      <c r="AI76" s="382" t="s">
        <v>8396</v>
      </c>
      <c r="AJ76" s="382" t="s">
        <v>8252</v>
      </c>
      <c r="AK76" s="382" t="s">
        <v>8188</v>
      </c>
      <c r="AL76" s="382" t="s">
        <v>8334</v>
      </c>
      <c r="AM76" s="382" t="s">
        <v>8232</v>
      </c>
      <c r="AN76" s="382" t="s">
        <v>8448</v>
      </c>
      <c r="AO76" s="382" t="s">
        <v>7553</v>
      </c>
      <c r="AP76" s="382" t="s">
        <v>8349</v>
      </c>
      <c r="AQ76" s="382" t="s">
        <v>8386</v>
      </c>
      <c r="AR76" s="382" t="s">
        <v>8378</v>
      </c>
      <c r="AS76" s="382" t="s">
        <v>8354</v>
      </c>
      <c r="AT76" s="382" t="s">
        <v>8196</v>
      </c>
      <c r="AU76" s="383" t="s">
        <v>8299</v>
      </c>
      <c r="AV76" s="382" t="s">
        <v>8211</v>
      </c>
      <c r="AW76" s="382" t="s">
        <v>8459</v>
      </c>
      <c r="AX76" s="382" t="s">
        <v>8299</v>
      </c>
      <c r="AY76" s="382" t="s">
        <v>8461</v>
      </c>
      <c r="AZ76" s="382" t="s">
        <v>8447</v>
      </c>
      <c r="BA76" s="382" t="s">
        <v>8406</v>
      </c>
      <c r="BB76" s="382" t="s">
        <v>8391</v>
      </c>
      <c r="BC76" s="382" t="s">
        <v>8455</v>
      </c>
      <c r="BD76" s="382" t="s">
        <v>8229</v>
      </c>
      <c r="BE76" s="382" t="s">
        <v>8367</v>
      </c>
      <c r="BF76" s="382" t="s">
        <v>8369</v>
      </c>
      <c r="BG76" s="382" t="s">
        <v>8291</v>
      </c>
      <c r="BH76" s="382" t="s">
        <v>8474</v>
      </c>
      <c r="BI76" s="382" t="s">
        <v>7582</v>
      </c>
      <c r="BJ76" s="382" t="s">
        <v>7572</v>
      </c>
      <c r="BK76" s="382" t="s">
        <v>8265</v>
      </c>
      <c r="BL76" s="382" t="s">
        <v>8463</v>
      </c>
      <c r="BM76" s="382" t="s">
        <v>8365</v>
      </c>
      <c r="BN76" s="382" t="s">
        <v>8278</v>
      </c>
      <c r="BO76" s="382" t="s">
        <v>8314</v>
      </c>
      <c r="BP76" s="382" t="s">
        <v>8237</v>
      </c>
      <c r="BQ76" s="381" t="s">
        <v>8320</v>
      </c>
      <c r="BR76" s="381" t="s">
        <v>10200</v>
      </c>
      <c r="BS76" s="329"/>
      <c r="BT76" s="367" t="s">
        <v>10200</v>
      </c>
      <c r="BU76" s="368" t="s">
        <v>8433</v>
      </c>
      <c r="BV76" s="368" t="s">
        <v>8357</v>
      </c>
      <c r="BW76" s="368" t="s">
        <v>7573</v>
      </c>
      <c r="BX76" s="368" t="s">
        <v>8396</v>
      </c>
      <c r="BY76" s="368" t="s">
        <v>8189</v>
      </c>
      <c r="BZ76" s="368" t="s">
        <v>8354</v>
      </c>
      <c r="CA76" s="368" t="s">
        <v>8478</v>
      </c>
      <c r="CB76" s="368" t="s">
        <v>8358</v>
      </c>
      <c r="CC76" s="368" t="s">
        <v>8464</v>
      </c>
      <c r="CD76" s="368" t="s">
        <v>8216</v>
      </c>
      <c r="CE76" s="368" t="s">
        <v>8325</v>
      </c>
      <c r="CF76" s="368" t="s">
        <v>8432</v>
      </c>
      <c r="CG76" s="368" t="s">
        <v>8311</v>
      </c>
      <c r="CH76" s="368" t="s">
        <v>8264</v>
      </c>
      <c r="CI76" s="368" t="s">
        <v>8211</v>
      </c>
      <c r="CJ76" s="368" t="s">
        <v>8392</v>
      </c>
      <c r="CK76" s="368" t="s">
        <v>8259</v>
      </c>
      <c r="CL76" s="368" t="s">
        <v>7598</v>
      </c>
      <c r="CM76" s="368" t="s">
        <v>8329</v>
      </c>
      <c r="CN76" s="368" t="s">
        <v>8298</v>
      </c>
      <c r="CO76" s="368" t="s">
        <v>8302</v>
      </c>
      <c r="CP76" s="368" t="s">
        <v>8295</v>
      </c>
      <c r="CQ76" s="368" t="s">
        <v>8483</v>
      </c>
      <c r="CR76" s="368" t="s">
        <v>8310</v>
      </c>
      <c r="CS76" s="368" t="s">
        <v>8461</v>
      </c>
      <c r="CT76" s="368" t="s">
        <v>8245</v>
      </c>
      <c r="CU76" s="368" t="s">
        <v>8427</v>
      </c>
      <c r="CV76" s="368" t="s">
        <v>8200</v>
      </c>
      <c r="CW76" s="368" t="s">
        <v>8272</v>
      </c>
      <c r="CX76" s="368" t="s">
        <v>8416</v>
      </c>
      <c r="CY76" s="368" t="s">
        <v>8452</v>
      </c>
      <c r="CZ76" s="368" t="s">
        <v>8266</v>
      </c>
      <c r="DA76" s="368" t="s">
        <v>8213</v>
      </c>
      <c r="DB76" s="368" t="s">
        <v>8441</v>
      </c>
      <c r="DC76" s="368" t="s">
        <v>8340</v>
      </c>
      <c r="DD76" s="368" t="s">
        <v>8365</v>
      </c>
      <c r="DE76" s="368" t="s">
        <v>8187</v>
      </c>
      <c r="DF76" s="368" t="s">
        <v>7595</v>
      </c>
      <c r="DG76" s="368" t="s">
        <v>8206</v>
      </c>
      <c r="DH76" s="368" t="s">
        <v>8447</v>
      </c>
      <c r="DI76" s="368" t="s">
        <v>8377</v>
      </c>
      <c r="DJ76" s="368" t="s">
        <v>8383</v>
      </c>
      <c r="DK76" s="368" t="s">
        <v>7589</v>
      </c>
      <c r="DL76" s="368" t="s">
        <v>7587</v>
      </c>
      <c r="DM76" s="368" t="s">
        <v>8229</v>
      </c>
      <c r="DN76" s="368" t="s">
        <v>8185</v>
      </c>
      <c r="DO76" s="368" t="s">
        <v>8439</v>
      </c>
      <c r="DP76" s="368" t="s">
        <v>8337</v>
      </c>
      <c r="DQ76" s="368" t="s">
        <v>8331</v>
      </c>
      <c r="DR76" s="368" t="s">
        <v>8458</v>
      </c>
      <c r="DS76" s="368" t="s">
        <v>8473</v>
      </c>
      <c r="DT76" s="368" t="s">
        <v>7599</v>
      </c>
      <c r="DU76" s="368" t="s">
        <v>8281</v>
      </c>
      <c r="DV76" s="368" t="s">
        <v>7569</v>
      </c>
      <c r="DW76" s="368" t="s">
        <v>8326</v>
      </c>
      <c r="DX76" s="368" t="s">
        <v>8244</v>
      </c>
      <c r="DY76" s="368" t="s">
        <v>7591</v>
      </c>
      <c r="DZ76" s="368" t="s">
        <v>8411</v>
      </c>
      <c r="EA76" s="368" t="s">
        <v>8459</v>
      </c>
      <c r="EB76" s="367" t="s">
        <v>8217</v>
      </c>
      <c r="EC76" s="367" t="s">
        <v>10200</v>
      </c>
      <c r="ED76" s="367" t="s">
        <v>8299</v>
      </c>
      <c r="EE76" s="367" t="s">
        <v>10200</v>
      </c>
      <c r="EF76" s="368" t="s">
        <v>8491</v>
      </c>
      <c r="EG76" s="368" t="s">
        <v>8496</v>
      </c>
      <c r="EH76" s="368" t="s">
        <v>8500</v>
      </c>
      <c r="EI76" s="367" t="s">
        <v>8501</v>
      </c>
      <c r="EJ76" s="367" t="s">
        <v>10200</v>
      </c>
    </row>
    <row r="77" spans="1:140" ht="12" customHeight="1">
      <c r="A77" s="513"/>
      <c r="B77" s="381" t="s">
        <v>10201</v>
      </c>
      <c r="C77" s="382" t="s">
        <v>7633</v>
      </c>
      <c r="D77" s="382" t="s">
        <v>7649</v>
      </c>
      <c r="E77" s="382" t="s">
        <v>7609</v>
      </c>
      <c r="F77" s="381" t="s">
        <v>7748</v>
      </c>
      <c r="G77" s="381" t="s">
        <v>10201</v>
      </c>
      <c r="H77" s="381" t="s">
        <v>7707</v>
      </c>
      <c r="I77" s="381" t="s">
        <v>10201</v>
      </c>
      <c r="J77" s="382" t="s">
        <v>8568</v>
      </c>
      <c r="K77" s="382" t="s">
        <v>7684</v>
      </c>
      <c r="L77" s="382" t="s">
        <v>7658</v>
      </c>
      <c r="M77" s="382" t="s">
        <v>8547</v>
      </c>
      <c r="N77" s="382" t="s">
        <v>7804</v>
      </c>
      <c r="O77" s="382" t="s">
        <v>7790</v>
      </c>
      <c r="P77" s="382" t="s">
        <v>8513</v>
      </c>
      <c r="Q77" s="382" t="s">
        <v>8628</v>
      </c>
      <c r="R77" s="382" t="s">
        <v>8526</v>
      </c>
      <c r="S77" s="382" t="s">
        <v>8614</v>
      </c>
      <c r="T77" s="382" t="s">
        <v>8672</v>
      </c>
      <c r="U77" s="382" t="s">
        <v>7783</v>
      </c>
      <c r="V77" s="382" t="s">
        <v>7795</v>
      </c>
      <c r="W77" s="382" t="s">
        <v>7666</v>
      </c>
      <c r="X77" s="382" t="s">
        <v>7621</v>
      </c>
      <c r="Y77" s="382" t="s">
        <v>8575</v>
      </c>
      <c r="Z77" s="382" t="s">
        <v>7676</v>
      </c>
      <c r="AA77" s="382" t="s">
        <v>7689</v>
      </c>
      <c r="AB77" s="382" t="s">
        <v>7718</v>
      </c>
      <c r="AC77" s="382" t="s">
        <v>8520</v>
      </c>
      <c r="AD77" s="382" t="s">
        <v>7692</v>
      </c>
      <c r="AE77" s="382" t="s">
        <v>7616</v>
      </c>
      <c r="AF77" s="382" t="s">
        <v>7608</v>
      </c>
      <c r="AG77" s="382" t="s">
        <v>7675</v>
      </c>
      <c r="AH77" s="382" t="s">
        <v>7669</v>
      </c>
      <c r="AI77" s="382" t="s">
        <v>8591</v>
      </c>
      <c r="AJ77" s="382" t="s">
        <v>7690</v>
      </c>
      <c r="AK77" s="382" t="s">
        <v>7612</v>
      </c>
      <c r="AL77" s="382" t="s">
        <v>8529</v>
      </c>
      <c r="AM77" s="382" t="s">
        <v>7668</v>
      </c>
      <c r="AN77" s="382" t="s">
        <v>8643</v>
      </c>
      <c r="AO77" s="382" t="s">
        <v>7727</v>
      </c>
      <c r="AP77" s="382" t="s">
        <v>8544</v>
      </c>
      <c r="AQ77" s="382" t="s">
        <v>8581</v>
      </c>
      <c r="AR77" s="382" t="s">
        <v>8573</v>
      </c>
      <c r="AS77" s="382" t="s">
        <v>8549</v>
      </c>
      <c r="AT77" s="382" t="s">
        <v>7622</v>
      </c>
      <c r="AU77" s="383" t="s">
        <v>8686</v>
      </c>
      <c r="AV77" s="382" t="s">
        <v>7640</v>
      </c>
      <c r="AW77" s="382" t="s">
        <v>8654</v>
      </c>
      <c r="AX77" s="382" t="s">
        <v>7753</v>
      </c>
      <c r="AY77" s="382" t="s">
        <v>8656</v>
      </c>
      <c r="AZ77" s="382" t="s">
        <v>8642</v>
      </c>
      <c r="BA77" s="382" t="s">
        <v>8601</v>
      </c>
      <c r="BB77" s="382" t="s">
        <v>8586</v>
      </c>
      <c r="BC77" s="382" t="s">
        <v>8650</v>
      </c>
      <c r="BD77" s="382" t="s">
        <v>7664</v>
      </c>
      <c r="BE77" s="382" t="s">
        <v>8562</v>
      </c>
      <c r="BF77" s="382" t="s">
        <v>8564</v>
      </c>
      <c r="BG77" s="382" t="s">
        <v>7733</v>
      </c>
      <c r="BH77" s="382" t="s">
        <v>8669</v>
      </c>
      <c r="BI77" s="382" t="s">
        <v>7781</v>
      </c>
      <c r="BJ77" s="382" t="s">
        <v>7771</v>
      </c>
      <c r="BK77" s="382" t="s">
        <v>7703</v>
      </c>
      <c r="BL77" s="382" t="s">
        <v>8658</v>
      </c>
      <c r="BM77" s="382" t="s">
        <v>8560</v>
      </c>
      <c r="BN77" s="382" t="s">
        <v>7717</v>
      </c>
      <c r="BO77" s="382" t="s">
        <v>7802</v>
      </c>
      <c r="BP77" s="382" t="s">
        <v>7674</v>
      </c>
      <c r="BQ77" s="381" t="s">
        <v>8515</v>
      </c>
      <c r="BR77" s="381" t="s">
        <v>10201</v>
      </c>
      <c r="BS77" s="329"/>
      <c r="BT77" s="367" t="s">
        <v>10201</v>
      </c>
      <c r="BU77" s="368" t="s">
        <v>8628</v>
      </c>
      <c r="BV77" s="368" t="s">
        <v>8552</v>
      </c>
      <c r="BW77" s="368" t="s">
        <v>7772</v>
      </c>
      <c r="BX77" s="368" t="s">
        <v>8591</v>
      </c>
      <c r="BY77" s="368" t="s">
        <v>7756</v>
      </c>
      <c r="BZ77" s="368" t="s">
        <v>8549</v>
      </c>
      <c r="CA77" s="368" t="s">
        <v>8673</v>
      </c>
      <c r="CB77" s="368" t="s">
        <v>8553</v>
      </c>
      <c r="CC77" s="368" t="s">
        <v>8659</v>
      </c>
      <c r="CD77" s="368" t="s">
        <v>7647</v>
      </c>
      <c r="CE77" s="368" t="s">
        <v>8520</v>
      </c>
      <c r="CF77" s="368" t="s">
        <v>8627</v>
      </c>
      <c r="CG77" s="368" t="s">
        <v>7779</v>
      </c>
      <c r="CH77" s="368" t="s">
        <v>7702</v>
      </c>
      <c r="CI77" s="368" t="s">
        <v>7640</v>
      </c>
      <c r="CJ77" s="368" t="s">
        <v>8587</v>
      </c>
      <c r="CK77" s="368" t="s">
        <v>7697</v>
      </c>
      <c r="CL77" s="368" t="s">
        <v>7797</v>
      </c>
      <c r="CM77" s="368" t="s">
        <v>8524</v>
      </c>
      <c r="CN77" s="368" t="s">
        <v>7752</v>
      </c>
      <c r="CO77" s="368" t="s">
        <v>7759</v>
      </c>
      <c r="CP77" s="368" t="s">
        <v>7742</v>
      </c>
      <c r="CQ77" s="368" t="s">
        <v>8678</v>
      </c>
      <c r="CR77" s="368" t="s">
        <v>7768</v>
      </c>
      <c r="CS77" s="368" t="s">
        <v>8656</v>
      </c>
      <c r="CT77" s="368" t="s">
        <v>7683</v>
      </c>
      <c r="CU77" s="368" t="s">
        <v>8622</v>
      </c>
      <c r="CV77" s="368" t="s">
        <v>7626</v>
      </c>
      <c r="CW77" s="368" t="s">
        <v>7710</v>
      </c>
      <c r="CX77" s="368" t="s">
        <v>8611</v>
      </c>
      <c r="CY77" s="368" t="s">
        <v>8647</v>
      </c>
      <c r="CZ77" s="368" t="s">
        <v>7704</v>
      </c>
      <c r="DA77" s="368" t="s">
        <v>7642</v>
      </c>
      <c r="DB77" s="368" t="s">
        <v>8636</v>
      </c>
      <c r="DC77" s="368" t="s">
        <v>8535</v>
      </c>
      <c r="DD77" s="368" t="s">
        <v>8560</v>
      </c>
      <c r="DE77" s="368" t="s">
        <v>7611</v>
      </c>
      <c r="DF77" s="368" t="s">
        <v>7794</v>
      </c>
      <c r="DG77" s="368" t="s">
        <v>7635</v>
      </c>
      <c r="DH77" s="368" t="s">
        <v>8642</v>
      </c>
      <c r="DI77" s="368" t="s">
        <v>8572</v>
      </c>
      <c r="DJ77" s="368" t="s">
        <v>8578</v>
      </c>
      <c r="DK77" s="368" t="s">
        <v>7788</v>
      </c>
      <c r="DL77" s="368" t="s">
        <v>7786</v>
      </c>
      <c r="DM77" s="368" t="s">
        <v>7664</v>
      </c>
      <c r="DN77" s="368" t="s">
        <v>7608</v>
      </c>
      <c r="DO77" s="368" t="s">
        <v>8634</v>
      </c>
      <c r="DP77" s="368" t="s">
        <v>8532</v>
      </c>
      <c r="DQ77" s="368" t="s">
        <v>8526</v>
      </c>
      <c r="DR77" s="368" t="s">
        <v>8653</v>
      </c>
      <c r="DS77" s="368" t="s">
        <v>8668</v>
      </c>
      <c r="DT77" s="368" t="s">
        <v>7798</v>
      </c>
      <c r="DU77" s="368" t="s">
        <v>7720</v>
      </c>
      <c r="DV77" s="368" t="s">
        <v>7764</v>
      </c>
      <c r="DW77" s="368" t="s">
        <v>8521</v>
      </c>
      <c r="DX77" s="368" t="s">
        <v>7682</v>
      </c>
      <c r="DY77" s="368" t="s">
        <v>7790</v>
      </c>
      <c r="DZ77" s="368" t="s">
        <v>8606</v>
      </c>
      <c r="EA77" s="368" t="s">
        <v>8654</v>
      </c>
      <c r="EB77" s="367" t="s">
        <v>7648</v>
      </c>
      <c r="EC77" s="367" t="s">
        <v>10201</v>
      </c>
      <c r="ED77" s="367" t="s">
        <v>8510</v>
      </c>
      <c r="EE77" s="367" t="s">
        <v>10201</v>
      </c>
      <c r="EF77" s="368" t="s">
        <v>7609</v>
      </c>
      <c r="EG77" s="368" t="s">
        <v>7633</v>
      </c>
      <c r="EH77" s="368" t="s">
        <v>7651</v>
      </c>
      <c r="EI77" s="367" t="s">
        <v>7655</v>
      </c>
      <c r="EJ77" s="367" t="s">
        <v>10201</v>
      </c>
    </row>
    <row r="78" spans="1:140" ht="12" customHeight="1">
      <c r="A78" s="513"/>
      <c r="B78" s="381" t="s">
        <v>8731</v>
      </c>
      <c r="C78" s="382" t="s">
        <v>8507</v>
      </c>
      <c r="D78" s="382" t="s">
        <v>8507</v>
      </c>
      <c r="E78" s="382" t="s">
        <v>8507</v>
      </c>
      <c r="F78" s="381" t="s">
        <v>8507</v>
      </c>
      <c r="G78" s="381" t="s">
        <v>8731</v>
      </c>
      <c r="H78" s="381" t="s">
        <v>8508</v>
      </c>
      <c r="I78" s="381" t="s">
        <v>8731</v>
      </c>
      <c r="J78" s="382" t="s">
        <v>8506</v>
      </c>
      <c r="K78" s="382" t="s">
        <v>8506</v>
      </c>
      <c r="L78" s="382" t="s">
        <v>8506</v>
      </c>
      <c r="M78" s="382" t="s">
        <v>8506</v>
      </c>
      <c r="N78" s="382" t="s">
        <v>8506</v>
      </c>
      <c r="O78" s="382" t="s">
        <v>8506</v>
      </c>
      <c r="P78" s="382" t="s">
        <v>8506</v>
      </c>
      <c r="Q78" s="382" t="s">
        <v>8506</v>
      </c>
      <c r="R78" s="382" t="s">
        <v>8506</v>
      </c>
      <c r="S78" s="382" t="s">
        <v>8506</v>
      </c>
      <c r="T78" s="382" t="s">
        <v>8506</v>
      </c>
      <c r="U78" s="382" t="s">
        <v>8506</v>
      </c>
      <c r="V78" s="382" t="s">
        <v>8506</v>
      </c>
      <c r="W78" s="382" t="s">
        <v>8506</v>
      </c>
      <c r="X78" s="382" t="s">
        <v>8506</v>
      </c>
      <c r="Y78" s="382" t="s">
        <v>8506</v>
      </c>
      <c r="Z78" s="382" t="s">
        <v>8506</v>
      </c>
      <c r="AA78" s="382" t="s">
        <v>8506</v>
      </c>
      <c r="AB78" s="382" t="s">
        <v>8506</v>
      </c>
      <c r="AC78" s="382" t="s">
        <v>8506</v>
      </c>
      <c r="AD78" s="382" t="s">
        <v>8506</v>
      </c>
      <c r="AE78" s="382" t="s">
        <v>8506</v>
      </c>
      <c r="AF78" s="382" t="s">
        <v>8506</v>
      </c>
      <c r="AG78" s="382" t="s">
        <v>8506</v>
      </c>
      <c r="AH78" s="382" t="s">
        <v>8506</v>
      </c>
      <c r="AI78" s="382" t="s">
        <v>8506</v>
      </c>
      <c r="AJ78" s="382" t="s">
        <v>8506</v>
      </c>
      <c r="AK78" s="382" t="s">
        <v>8506</v>
      </c>
      <c r="AL78" s="382" t="s">
        <v>8506</v>
      </c>
      <c r="AM78" s="382" t="s">
        <v>8506</v>
      </c>
      <c r="AN78" s="382" t="s">
        <v>8506</v>
      </c>
      <c r="AO78" s="382" t="s">
        <v>8506</v>
      </c>
      <c r="AP78" s="382" t="s">
        <v>8506</v>
      </c>
      <c r="AQ78" s="382" t="s">
        <v>8506</v>
      </c>
      <c r="AR78" s="382" t="s">
        <v>8506</v>
      </c>
      <c r="AS78" s="382" t="s">
        <v>8506</v>
      </c>
      <c r="AT78" s="382" t="s">
        <v>8506</v>
      </c>
      <c r="AU78" s="383" t="s">
        <v>8506</v>
      </c>
      <c r="AV78" s="382" t="s">
        <v>8506</v>
      </c>
      <c r="AW78" s="382" t="s">
        <v>8506</v>
      </c>
      <c r="AX78" s="382" t="s">
        <v>8506</v>
      </c>
      <c r="AY78" s="382" t="s">
        <v>8506</v>
      </c>
      <c r="AZ78" s="382" t="s">
        <v>8506</v>
      </c>
      <c r="BA78" s="382" t="s">
        <v>8506</v>
      </c>
      <c r="BB78" s="382" t="s">
        <v>8506</v>
      </c>
      <c r="BC78" s="382" t="s">
        <v>8506</v>
      </c>
      <c r="BD78" s="382" t="s">
        <v>8506</v>
      </c>
      <c r="BE78" s="382" t="s">
        <v>8506</v>
      </c>
      <c r="BF78" s="382" t="s">
        <v>8506</v>
      </c>
      <c r="BG78" s="382" t="s">
        <v>8506</v>
      </c>
      <c r="BH78" s="382" t="s">
        <v>8506</v>
      </c>
      <c r="BI78" s="382" t="s">
        <v>8506</v>
      </c>
      <c r="BJ78" s="382" t="s">
        <v>8506</v>
      </c>
      <c r="BK78" s="382" t="s">
        <v>8506</v>
      </c>
      <c r="BL78" s="382" t="s">
        <v>8506</v>
      </c>
      <c r="BM78" s="382" t="s">
        <v>8506</v>
      </c>
      <c r="BN78" s="382" t="s">
        <v>8506</v>
      </c>
      <c r="BO78" s="382" t="s">
        <v>8506</v>
      </c>
      <c r="BP78" s="382" t="s">
        <v>8506</v>
      </c>
      <c r="BQ78" s="381" t="s">
        <v>8506</v>
      </c>
      <c r="BR78" s="381" t="s">
        <v>8731</v>
      </c>
      <c r="BS78" s="329" t="s">
        <v>10274</v>
      </c>
      <c r="BT78" s="367" t="s">
        <v>8731</v>
      </c>
      <c r="BU78" s="368" t="s">
        <v>8506</v>
      </c>
      <c r="BV78" s="368" t="s">
        <v>8506</v>
      </c>
      <c r="BW78" s="368" t="s">
        <v>8506</v>
      </c>
      <c r="BX78" s="368" t="s">
        <v>8506</v>
      </c>
      <c r="BY78" s="368" t="s">
        <v>8506</v>
      </c>
      <c r="BZ78" s="368" t="s">
        <v>8506</v>
      </c>
      <c r="CA78" s="368" t="s">
        <v>8506</v>
      </c>
      <c r="CB78" s="368" t="s">
        <v>8506</v>
      </c>
      <c r="CC78" s="368" t="s">
        <v>8506</v>
      </c>
      <c r="CD78" s="368" t="s">
        <v>8506</v>
      </c>
      <c r="CE78" s="368" t="s">
        <v>8506</v>
      </c>
      <c r="CF78" s="368" t="s">
        <v>8506</v>
      </c>
      <c r="CG78" s="368" t="s">
        <v>8506</v>
      </c>
      <c r="CH78" s="368" t="s">
        <v>8506</v>
      </c>
      <c r="CI78" s="368" t="s">
        <v>8506</v>
      </c>
      <c r="CJ78" s="368" t="s">
        <v>8506</v>
      </c>
      <c r="CK78" s="368" t="s">
        <v>8506</v>
      </c>
      <c r="CL78" s="368" t="s">
        <v>8506</v>
      </c>
      <c r="CM78" s="368" t="s">
        <v>8506</v>
      </c>
      <c r="CN78" s="368" t="s">
        <v>8506</v>
      </c>
      <c r="CO78" s="368" t="s">
        <v>8506</v>
      </c>
      <c r="CP78" s="368" t="s">
        <v>8506</v>
      </c>
      <c r="CQ78" s="368" t="s">
        <v>8506</v>
      </c>
      <c r="CR78" s="368" t="s">
        <v>8506</v>
      </c>
      <c r="CS78" s="368" t="s">
        <v>8506</v>
      </c>
      <c r="CT78" s="368" t="s">
        <v>8506</v>
      </c>
      <c r="CU78" s="368" t="s">
        <v>8506</v>
      </c>
      <c r="CV78" s="368" t="s">
        <v>8506</v>
      </c>
      <c r="CW78" s="368" t="s">
        <v>8506</v>
      </c>
      <c r="CX78" s="368" t="s">
        <v>8506</v>
      </c>
      <c r="CY78" s="368" t="s">
        <v>8506</v>
      </c>
      <c r="CZ78" s="368" t="s">
        <v>8506</v>
      </c>
      <c r="DA78" s="368" t="s">
        <v>8506</v>
      </c>
      <c r="DB78" s="368" t="s">
        <v>8506</v>
      </c>
      <c r="DC78" s="368" t="s">
        <v>8506</v>
      </c>
      <c r="DD78" s="368" t="s">
        <v>8506</v>
      </c>
      <c r="DE78" s="368" t="s">
        <v>8506</v>
      </c>
      <c r="DF78" s="368" t="s">
        <v>8506</v>
      </c>
      <c r="DG78" s="368" t="s">
        <v>8506</v>
      </c>
      <c r="DH78" s="368" t="s">
        <v>8506</v>
      </c>
      <c r="DI78" s="368" t="s">
        <v>8506</v>
      </c>
      <c r="DJ78" s="368" t="s">
        <v>8506</v>
      </c>
      <c r="DK78" s="368" t="s">
        <v>8506</v>
      </c>
      <c r="DL78" s="368" t="s">
        <v>8506</v>
      </c>
      <c r="DM78" s="368" t="s">
        <v>8506</v>
      </c>
      <c r="DN78" s="368" t="s">
        <v>8506</v>
      </c>
      <c r="DO78" s="368" t="s">
        <v>8506</v>
      </c>
      <c r="DP78" s="368" t="s">
        <v>8506</v>
      </c>
      <c r="DQ78" s="368" t="s">
        <v>8506</v>
      </c>
      <c r="DR78" s="368" t="s">
        <v>8506</v>
      </c>
      <c r="DS78" s="368" t="s">
        <v>8506</v>
      </c>
      <c r="DT78" s="368" t="s">
        <v>8506</v>
      </c>
      <c r="DU78" s="368" t="s">
        <v>8506</v>
      </c>
      <c r="DV78" s="368" t="s">
        <v>8506</v>
      </c>
      <c r="DW78" s="368" t="s">
        <v>8506</v>
      </c>
      <c r="DX78" s="368" t="s">
        <v>8506</v>
      </c>
      <c r="DY78" s="368" t="s">
        <v>8506</v>
      </c>
      <c r="DZ78" s="368" t="s">
        <v>8506</v>
      </c>
      <c r="EA78" s="368" t="s">
        <v>8506</v>
      </c>
      <c r="EB78" s="367" t="s">
        <v>8506</v>
      </c>
      <c r="EC78" s="367" t="s">
        <v>8731</v>
      </c>
      <c r="ED78" s="367" t="s">
        <v>8508</v>
      </c>
      <c r="EE78" s="367" t="s">
        <v>8731</v>
      </c>
      <c r="EF78" s="368" t="s">
        <v>8507</v>
      </c>
      <c r="EG78" s="368" t="s">
        <v>8507</v>
      </c>
      <c r="EH78" s="368" t="s">
        <v>8507</v>
      </c>
      <c r="EI78" s="367" t="s">
        <v>8507</v>
      </c>
      <c r="EJ78" s="367" t="s">
        <v>8731</v>
      </c>
    </row>
    <row r="79" spans="1:140" ht="12" customHeight="1">
      <c r="A79" s="513"/>
      <c r="B79" s="384" t="s">
        <v>10202</v>
      </c>
      <c r="C79" s="385" t="s">
        <v>10221</v>
      </c>
      <c r="D79" s="385" t="s">
        <v>10218</v>
      </c>
      <c r="E79" s="385" t="s">
        <v>10217</v>
      </c>
      <c r="F79" s="384" t="s">
        <v>10226</v>
      </c>
      <c r="G79" s="384" t="s">
        <v>10202</v>
      </c>
      <c r="H79" s="384" t="s">
        <v>10217</v>
      </c>
      <c r="I79" s="384" t="s">
        <v>10202</v>
      </c>
      <c r="J79" s="385" t="s">
        <v>11317</v>
      </c>
      <c r="K79" s="385" t="s">
        <v>11318</v>
      </c>
      <c r="L79" s="385" t="s">
        <v>11319</v>
      </c>
      <c r="M79" s="385" t="s">
        <v>11320</v>
      </c>
      <c r="N79" s="385" t="s">
        <v>11321</v>
      </c>
      <c r="O79" s="385" t="s">
        <v>11322</v>
      </c>
      <c r="P79" s="385" t="s">
        <v>11323</v>
      </c>
      <c r="Q79" s="385" t="s">
        <v>11324</v>
      </c>
      <c r="R79" s="385" t="s">
        <v>11325</v>
      </c>
      <c r="S79" s="385" t="s">
        <v>11326</v>
      </c>
      <c r="T79" s="385" t="s">
        <v>11327</v>
      </c>
      <c r="U79" s="385" t="s">
        <v>11328</v>
      </c>
      <c r="V79" s="385" t="s">
        <v>11329</v>
      </c>
      <c r="W79" s="385" t="s">
        <v>11330</v>
      </c>
      <c r="X79" s="385" t="s">
        <v>10215</v>
      </c>
      <c r="Y79" s="385" t="s">
        <v>11331</v>
      </c>
      <c r="Z79" s="385" t="s">
        <v>11332</v>
      </c>
      <c r="AA79" s="385" t="s">
        <v>11333</v>
      </c>
      <c r="AB79" s="385" t="s">
        <v>11334</v>
      </c>
      <c r="AC79" s="385" t="s">
        <v>11335</v>
      </c>
      <c r="AD79" s="385" t="s">
        <v>11336</v>
      </c>
      <c r="AE79" s="385" t="s">
        <v>10221</v>
      </c>
      <c r="AF79" s="385" t="s">
        <v>10217</v>
      </c>
      <c r="AG79" s="385" t="s">
        <v>11337</v>
      </c>
      <c r="AH79" s="385" t="s">
        <v>11338</v>
      </c>
      <c r="AI79" s="385" t="s">
        <v>11339</v>
      </c>
      <c r="AJ79" s="385" t="s">
        <v>11340</v>
      </c>
      <c r="AK79" s="385" t="s">
        <v>10222</v>
      </c>
      <c r="AL79" s="385" t="s">
        <v>11341</v>
      </c>
      <c r="AM79" s="385" t="s">
        <v>11342</v>
      </c>
      <c r="AN79" s="385" t="s">
        <v>11343</v>
      </c>
      <c r="AO79" s="385" t="s">
        <v>11344</v>
      </c>
      <c r="AP79" s="385" t="s">
        <v>11345</v>
      </c>
      <c r="AQ79" s="385" t="s">
        <v>11346</v>
      </c>
      <c r="AR79" s="385" t="s">
        <v>11347</v>
      </c>
      <c r="AS79" s="385" t="s">
        <v>11348</v>
      </c>
      <c r="AT79" s="385" t="s">
        <v>10229</v>
      </c>
      <c r="AU79" s="386" t="s">
        <v>11349</v>
      </c>
      <c r="AV79" s="385" t="s">
        <v>10290</v>
      </c>
      <c r="AW79" s="385" t="s">
        <v>11350</v>
      </c>
      <c r="AX79" s="385" t="s">
        <v>11351</v>
      </c>
      <c r="AY79" s="385" t="s">
        <v>11352</v>
      </c>
      <c r="AZ79" s="385" t="s">
        <v>11353</v>
      </c>
      <c r="BA79" s="385" t="s">
        <v>11354</v>
      </c>
      <c r="BB79" s="385" t="s">
        <v>11355</v>
      </c>
      <c r="BC79" s="385" t="s">
        <v>11356</v>
      </c>
      <c r="BD79" s="385" t="s">
        <v>11357</v>
      </c>
      <c r="BE79" s="385" t="s">
        <v>11358</v>
      </c>
      <c r="BF79" s="385" t="s">
        <v>11359</v>
      </c>
      <c r="BG79" s="385" t="s">
        <v>11360</v>
      </c>
      <c r="BH79" s="385" t="s">
        <v>11361</v>
      </c>
      <c r="BI79" s="385" t="s">
        <v>11362</v>
      </c>
      <c r="BJ79" s="385" t="s">
        <v>11363</v>
      </c>
      <c r="BK79" s="385" t="s">
        <v>11364</v>
      </c>
      <c r="BL79" s="385" t="s">
        <v>11365</v>
      </c>
      <c r="BM79" s="385" t="s">
        <v>11366</v>
      </c>
      <c r="BN79" s="385" t="s">
        <v>11367</v>
      </c>
      <c r="BO79" s="385" t="s">
        <v>11368</v>
      </c>
      <c r="BP79" s="385" t="s">
        <v>11369</v>
      </c>
      <c r="BQ79" s="384" t="s">
        <v>11370</v>
      </c>
      <c r="BR79" s="384" t="s">
        <v>10202</v>
      </c>
      <c r="BS79" s="330"/>
      <c r="BT79" s="370" t="s">
        <v>10202</v>
      </c>
      <c r="BU79" s="371" t="s">
        <v>11371</v>
      </c>
      <c r="BV79" s="371" t="s">
        <v>11372</v>
      </c>
      <c r="BW79" s="371" t="s">
        <v>11373</v>
      </c>
      <c r="BX79" s="371" t="s">
        <v>11374</v>
      </c>
      <c r="BY79" s="371" t="s">
        <v>11375</v>
      </c>
      <c r="BZ79" s="371" t="s">
        <v>11376</v>
      </c>
      <c r="CA79" s="371" t="s">
        <v>11377</v>
      </c>
      <c r="CB79" s="371" t="s">
        <v>11378</v>
      </c>
      <c r="CC79" s="371" t="s">
        <v>11379</v>
      </c>
      <c r="CD79" s="371" t="s">
        <v>10331</v>
      </c>
      <c r="CE79" s="371" t="s">
        <v>11380</v>
      </c>
      <c r="CF79" s="371" t="s">
        <v>11381</v>
      </c>
      <c r="CG79" s="371" t="s">
        <v>11382</v>
      </c>
      <c r="CH79" s="371" t="s">
        <v>11383</v>
      </c>
      <c r="CI79" s="371" t="s">
        <v>10280</v>
      </c>
      <c r="CJ79" s="371" t="s">
        <v>11384</v>
      </c>
      <c r="CK79" s="371" t="s">
        <v>11385</v>
      </c>
      <c r="CL79" s="371" t="s">
        <v>11386</v>
      </c>
      <c r="CM79" s="371" t="s">
        <v>11387</v>
      </c>
      <c r="CN79" s="371" t="s">
        <v>11388</v>
      </c>
      <c r="CO79" s="371" t="s">
        <v>11389</v>
      </c>
      <c r="CP79" s="371" t="s">
        <v>11390</v>
      </c>
      <c r="CQ79" s="371" t="s">
        <v>11391</v>
      </c>
      <c r="CR79" s="371" t="s">
        <v>11392</v>
      </c>
      <c r="CS79" s="371" t="s">
        <v>11393</v>
      </c>
      <c r="CT79" s="371" t="s">
        <v>11394</v>
      </c>
      <c r="CU79" s="371" t="s">
        <v>11395</v>
      </c>
      <c r="CV79" s="371" t="s">
        <v>10272</v>
      </c>
      <c r="CW79" s="371" t="s">
        <v>11396</v>
      </c>
      <c r="CX79" s="371" t="s">
        <v>11397</v>
      </c>
      <c r="CY79" s="371" t="s">
        <v>11398</v>
      </c>
      <c r="CZ79" s="371" t="s">
        <v>11399</v>
      </c>
      <c r="DA79" s="371" t="s">
        <v>10279</v>
      </c>
      <c r="DB79" s="371" t="s">
        <v>11400</v>
      </c>
      <c r="DC79" s="371" t="s">
        <v>11401</v>
      </c>
      <c r="DD79" s="371" t="s">
        <v>11402</v>
      </c>
      <c r="DE79" s="371" t="s">
        <v>10257</v>
      </c>
      <c r="DF79" s="371" t="s">
        <v>11403</v>
      </c>
      <c r="DG79" s="371" t="s">
        <v>10270</v>
      </c>
      <c r="DH79" s="371" t="s">
        <v>11404</v>
      </c>
      <c r="DI79" s="371" t="s">
        <v>11405</v>
      </c>
      <c r="DJ79" s="371" t="s">
        <v>11406</v>
      </c>
      <c r="DK79" s="371" t="s">
        <v>11407</v>
      </c>
      <c r="DL79" s="371" t="s">
        <v>11408</v>
      </c>
      <c r="DM79" s="371" t="s">
        <v>11409</v>
      </c>
      <c r="DN79" s="371" t="s">
        <v>10263</v>
      </c>
      <c r="DO79" s="371" t="s">
        <v>11410</v>
      </c>
      <c r="DP79" s="371" t="s">
        <v>11411</v>
      </c>
      <c r="DQ79" s="371" t="s">
        <v>11412</v>
      </c>
      <c r="DR79" s="371" t="s">
        <v>11413</v>
      </c>
      <c r="DS79" s="371" t="s">
        <v>11414</v>
      </c>
      <c r="DT79" s="371" t="s">
        <v>11415</v>
      </c>
      <c r="DU79" s="371" t="s">
        <v>11416</v>
      </c>
      <c r="DV79" s="371" t="s">
        <v>11417</v>
      </c>
      <c r="DW79" s="371" t="s">
        <v>11418</v>
      </c>
      <c r="DX79" s="371" t="s">
        <v>11419</v>
      </c>
      <c r="DY79" s="371" t="s">
        <v>11420</v>
      </c>
      <c r="DZ79" s="371" t="s">
        <v>11421</v>
      </c>
      <c r="EA79" s="371" t="s">
        <v>11422</v>
      </c>
      <c r="EB79" s="370" t="s">
        <v>10332</v>
      </c>
      <c r="EC79" s="370" t="s">
        <v>10202</v>
      </c>
      <c r="ED79" s="370" t="s">
        <v>10262</v>
      </c>
      <c r="EE79" s="370" t="s">
        <v>10202</v>
      </c>
      <c r="EF79" s="371" t="s">
        <v>10263</v>
      </c>
      <c r="EG79" s="371" t="s">
        <v>10264</v>
      </c>
      <c r="EH79" s="371" t="s">
        <v>10260</v>
      </c>
      <c r="EI79" s="370" t="s">
        <v>10255</v>
      </c>
      <c r="EJ79" s="370" t="s">
        <v>10202</v>
      </c>
    </row>
    <row r="80" spans="1:140" ht="12" customHeight="1">
      <c r="A80" s="512">
        <v>2</v>
      </c>
      <c r="B80" s="381" t="s">
        <v>10200</v>
      </c>
      <c r="C80" s="382" t="s">
        <v>8490</v>
      </c>
      <c r="D80" s="382" t="s">
        <v>8498</v>
      </c>
      <c r="E80" s="382" t="s">
        <v>7855</v>
      </c>
      <c r="F80" s="381" t="s">
        <v>8502</v>
      </c>
      <c r="G80" s="381" t="s">
        <v>10200</v>
      </c>
      <c r="H80" s="381" t="s">
        <v>8299</v>
      </c>
      <c r="I80" s="381" t="s">
        <v>10200</v>
      </c>
      <c r="J80" s="382" t="s">
        <v>8286</v>
      </c>
      <c r="K80" s="382" t="s">
        <v>7589</v>
      </c>
      <c r="L80" s="382" t="s">
        <v>7571</v>
      </c>
      <c r="M80" s="382" t="s">
        <v>8313</v>
      </c>
      <c r="N80" s="382" t="s">
        <v>8480</v>
      </c>
      <c r="O80" s="382" t="s">
        <v>8468</v>
      </c>
      <c r="P80" s="382" t="s">
        <v>8363</v>
      </c>
      <c r="Q80" s="382" t="s">
        <v>8339</v>
      </c>
      <c r="R80" s="382" t="s">
        <v>8187</v>
      </c>
      <c r="S80" s="382" t="s">
        <v>7595</v>
      </c>
      <c r="T80" s="382" t="s">
        <v>8319</v>
      </c>
      <c r="U80" s="382" t="s">
        <v>8335</v>
      </c>
      <c r="V80" s="382" t="s">
        <v>8462</v>
      </c>
      <c r="W80" s="382" t="s">
        <v>8366</v>
      </c>
      <c r="X80" s="382" t="s">
        <v>8281</v>
      </c>
      <c r="Y80" s="382" t="s">
        <v>8409</v>
      </c>
      <c r="Z80" s="382" t="s">
        <v>8296</v>
      </c>
      <c r="AA80" s="382" t="s">
        <v>8226</v>
      </c>
      <c r="AB80" s="382" t="s">
        <v>8268</v>
      </c>
      <c r="AC80" s="382" t="s">
        <v>8360</v>
      </c>
      <c r="AD80" s="382" t="s">
        <v>8454</v>
      </c>
      <c r="AE80" s="382" t="s">
        <v>8444</v>
      </c>
      <c r="AF80" s="382" t="s">
        <v>7590</v>
      </c>
      <c r="AG80" s="382" t="s">
        <v>8332</v>
      </c>
      <c r="AH80" s="383" t="s">
        <v>7845</v>
      </c>
      <c r="AI80" s="383" t="s">
        <v>8086</v>
      </c>
      <c r="AJ80" s="382" t="s">
        <v>7599</v>
      </c>
      <c r="AK80" s="382" t="s">
        <v>7577</v>
      </c>
      <c r="AL80" s="382" t="s">
        <v>8464</v>
      </c>
      <c r="AM80" s="382" t="s">
        <v>8403</v>
      </c>
      <c r="AN80" s="382" t="s">
        <v>8263</v>
      </c>
      <c r="AO80" s="382" t="s">
        <v>8249</v>
      </c>
      <c r="AP80" s="382" t="s">
        <v>8384</v>
      </c>
      <c r="AQ80" s="382" t="s">
        <v>8385</v>
      </c>
      <c r="AR80" s="382" t="s">
        <v>8329</v>
      </c>
      <c r="AS80" s="382" t="s">
        <v>8261</v>
      </c>
      <c r="AT80" s="383" t="s">
        <v>8489</v>
      </c>
      <c r="AU80" s="382" t="s">
        <v>8225</v>
      </c>
      <c r="AV80" s="382" t="s">
        <v>8308</v>
      </c>
      <c r="AW80" s="382" t="s">
        <v>8203</v>
      </c>
      <c r="AX80" s="382" t="s">
        <v>8300</v>
      </c>
      <c r="AY80" s="382" t="s">
        <v>8205</v>
      </c>
      <c r="AZ80" s="382" t="s">
        <v>8400</v>
      </c>
      <c r="BA80" s="382" t="s">
        <v>8255</v>
      </c>
      <c r="BB80" s="382" t="s">
        <v>8441</v>
      </c>
      <c r="BC80" s="382" t="s">
        <v>8399</v>
      </c>
      <c r="BD80" s="382" t="s">
        <v>7505</v>
      </c>
      <c r="BE80" s="382" t="s">
        <v>8421</v>
      </c>
      <c r="BF80" s="382" t="s">
        <v>7579</v>
      </c>
      <c r="BG80" s="382" t="s">
        <v>8189</v>
      </c>
      <c r="BH80" s="382" t="s">
        <v>8456</v>
      </c>
      <c r="BI80" s="382" t="s">
        <v>8275</v>
      </c>
      <c r="BJ80" s="382" t="s">
        <v>8276</v>
      </c>
      <c r="BK80" s="382" t="s">
        <v>8347</v>
      </c>
      <c r="BL80" s="382" t="s">
        <v>8389</v>
      </c>
      <c r="BM80" s="382" t="s">
        <v>8230</v>
      </c>
      <c r="BN80" s="382" t="s">
        <v>8453</v>
      </c>
      <c r="BO80" s="382" t="s">
        <v>8293</v>
      </c>
      <c r="BP80" s="382" t="s">
        <v>8417</v>
      </c>
      <c r="BQ80" s="381" t="s">
        <v>8414</v>
      </c>
      <c r="BR80" s="381" t="s">
        <v>10200</v>
      </c>
      <c r="BS80" s="329"/>
      <c r="BT80" s="367" t="s">
        <v>10200</v>
      </c>
      <c r="BU80" s="368" t="s">
        <v>8486</v>
      </c>
      <c r="BV80" s="368" t="s">
        <v>8410</v>
      </c>
      <c r="BW80" s="368" t="s">
        <v>7602</v>
      </c>
      <c r="BX80" s="368" t="s">
        <v>8189</v>
      </c>
      <c r="BY80" s="368" t="s">
        <v>8487</v>
      </c>
      <c r="BZ80" s="368" t="s">
        <v>8309</v>
      </c>
      <c r="CA80" s="368" t="s">
        <v>8203</v>
      </c>
      <c r="CB80" s="368" t="s">
        <v>8374</v>
      </c>
      <c r="CC80" s="368" t="s">
        <v>8252</v>
      </c>
      <c r="CD80" s="368" t="s">
        <v>8476</v>
      </c>
      <c r="CE80" s="368" t="s">
        <v>8404</v>
      </c>
      <c r="CF80" s="368" t="s">
        <v>8341</v>
      </c>
      <c r="CG80" s="368" t="s">
        <v>8455</v>
      </c>
      <c r="CH80" s="368" t="s">
        <v>8237</v>
      </c>
      <c r="CI80" s="368" t="s">
        <v>8318</v>
      </c>
      <c r="CJ80" s="368" t="s">
        <v>8394</v>
      </c>
      <c r="CK80" s="368" t="s">
        <v>8292</v>
      </c>
      <c r="CL80" s="368" t="s">
        <v>8398</v>
      </c>
      <c r="CM80" s="368" t="s">
        <v>8480</v>
      </c>
      <c r="CN80" s="368" t="s">
        <v>7859</v>
      </c>
      <c r="CO80" s="368" t="s">
        <v>7584</v>
      </c>
      <c r="CP80" s="368" t="s">
        <v>8258</v>
      </c>
      <c r="CQ80" s="368" t="s">
        <v>8351</v>
      </c>
      <c r="CR80" s="368" t="s">
        <v>8254</v>
      </c>
      <c r="CS80" s="368" t="s">
        <v>8444</v>
      </c>
      <c r="CT80" s="368" t="s">
        <v>8280</v>
      </c>
      <c r="CU80" s="368" t="s">
        <v>8342</v>
      </c>
      <c r="CV80" s="368" t="s">
        <v>8418</v>
      </c>
      <c r="CW80" s="368" t="s">
        <v>8466</v>
      </c>
      <c r="CX80" s="368" t="s">
        <v>8242</v>
      </c>
      <c r="CY80" s="368" t="s">
        <v>7574</v>
      </c>
      <c r="CZ80" s="369" t="s">
        <v>8489</v>
      </c>
      <c r="DA80" s="368" t="s">
        <v>8262</v>
      </c>
      <c r="DB80" s="368" t="s">
        <v>8335</v>
      </c>
      <c r="DC80" s="368" t="s">
        <v>8475</v>
      </c>
      <c r="DD80" s="368" t="s">
        <v>7604</v>
      </c>
      <c r="DE80" s="368" t="s">
        <v>8276</v>
      </c>
      <c r="DF80" s="368" t="s">
        <v>7575</v>
      </c>
      <c r="DG80" s="368" t="s">
        <v>8207</v>
      </c>
      <c r="DH80" s="368" t="s">
        <v>8230</v>
      </c>
      <c r="DI80" s="368" t="s">
        <v>8373</v>
      </c>
      <c r="DJ80" s="368" t="s">
        <v>8401</v>
      </c>
      <c r="DK80" s="368" t="s">
        <v>8339</v>
      </c>
      <c r="DL80" s="368" t="s">
        <v>8350</v>
      </c>
      <c r="DM80" s="368" t="s">
        <v>8481</v>
      </c>
      <c r="DN80" s="368" t="s">
        <v>8284</v>
      </c>
      <c r="DO80" s="368" t="s">
        <v>8393</v>
      </c>
      <c r="DP80" s="368" t="s">
        <v>8425</v>
      </c>
      <c r="DQ80" s="368" t="s">
        <v>8312</v>
      </c>
      <c r="DR80" s="368" t="s">
        <v>8239</v>
      </c>
      <c r="DS80" s="368" t="s">
        <v>8275</v>
      </c>
      <c r="DT80" s="368" t="s">
        <v>7592</v>
      </c>
      <c r="DU80" s="368" t="s">
        <v>8445</v>
      </c>
      <c r="DV80" s="368" t="s">
        <v>8219</v>
      </c>
      <c r="DW80" s="368" t="s">
        <v>7570</v>
      </c>
      <c r="DX80" s="368" t="s">
        <v>7579</v>
      </c>
      <c r="DY80" s="368" t="s">
        <v>8261</v>
      </c>
      <c r="DZ80" s="368" t="s">
        <v>8214</v>
      </c>
      <c r="EA80" s="368" t="s">
        <v>8469</v>
      </c>
      <c r="EB80" s="367" t="s">
        <v>8297</v>
      </c>
      <c r="EC80" s="367" t="s">
        <v>10200</v>
      </c>
      <c r="ED80" s="367" t="s">
        <v>7845</v>
      </c>
      <c r="EE80" s="367" t="s">
        <v>10200</v>
      </c>
      <c r="EF80" s="368" t="s">
        <v>8505</v>
      </c>
      <c r="EG80" s="368" t="s">
        <v>8493</v>
      </c>
      <c r="EH80" s="368" t="s">
        <v>7854</v>
      </c>
      <c r="EI80" s="367" t="s">
        <v>8490</v>
      </c>
      <c r="EJ80" s="367" t="s">
        <v>10200</v>
      </c>
    </row>
    <row r="81" spans="1:140" ht="12" customHeight="1">
      <c r="A81" s="513"/>
      <c r="B81" s="381" t="s">
        <v>10201</v>
      </c>
      <c r="C81" s="382" t="s">
        <v>7607</v>
      </c>
      <c r="D81" s="382" t="s">
        <v>7646</v>
      </c>
      <c r="E81" s="382" t="s">
        <v>7744</v>
      </c>
      <c r="F81" s="381" t="s">
        <v>7667</v>
      </c>
      <c r="G81" s="381" t="s">
        <v>10201</v>
      </c>
      <c r="H81" s="381" t="s">
        <v>8510</v>
      </c>
      <c r="I81" s="381" t="s">
        <v>10201</v>
      </c>
      <c r="J81" s="382" t="s">
        <v>7726</v>
      </c>
      <c r="K81" s="382" t="s">
        <v>7788</v>
      </c>
      <c r="L81" s="382" t="s">
        <v>7770</v>
      </c>
      <c r="M81" s="382" t="s">
        <v>7801</v>
      </c>
      <c r="N81" s="382" t="s">
        <v>8675</v>
      </c>
      <c r="O81" s="382" t="s">
        <v>8663</v>
      </c>
      <c r="P81" s="382" t="s">
        <v>8558</v>
      </c>
      <c r="Q81" s="382" t="s">
        <v>8534</v>
      </c>
      <c r="R81" s="382" t="s">
        <v>7611</v>
      </c>
      <c r="S81" s="382" t="s">
        <v>7794</v>
      </c>
      <c r="T81" s="382" t="s">
        <v>8514</v>
      </c>
      <c r="U81" s="382" t="s">
        <v>8530</v>
      </c>
      <c r="V81" s="382" t="s">
        <v>8657</v>
      </c>
      <c r="W81" s="382" t="s">
        <v>8561</v>
      </c>
      <c r="X81" s="382" t="s">
        <v>7720</v>
      </c>
      <c r="Y81" s="382" t="s">
        <v>8604</v>
      </c>
      <c r="Z81" s="382" t="s">
        <v>7750</v>
      </c>
      <c r="AA81" s="382" t="s">
        <v>7661</v>
      </c>
      <c r="AB81" s="382" t="s">
        <v>7706</v>
      </c>
      <c r="AC81" s="382" t="s">
        <v>8555</v>
      </c>
      <c r="AD81" s="382" t="s">
        <v>8649</v>
      </c>
      <c r="AE81" s="382" t="s">
        <v>8639</v>
      </c>
      <c r="AF81" s="382" t="s">
        <v>7789</v>
      </c>
      <c r="AG81" s="382" t="s">
        <v>8527</v>
      </c>
      <c r="AH81" s="383" t="s">
        <v>8509</v>
      </c>
      <c r="AI81" s="383" t="s">
        <v>8509</v>
      </c>
      <c r="AJ81" s="382" t="s">
        <v>7798</v>
      </c>
      <c r="AK81" s="382" t="s">
        <v>7776</v>
      </c>
      <c r="AL81" s="382" t="s">
        <v>8659</v>
      </c>
      <c r="AM81" s="382" t="s">
        <v>8598</v>
      </c>
      <c r="AN81" s="382" t="s">
        <v>7701</v>
      </c>
      <c r="AO81" s="382" t="s">
        <v>7687</v>
      </c>
      <c r="AP81" s="382" t="s">
        <v>8579</v>
      </c>
      <c r="AQ81" s="382" t="s">
        <v>8580</v>
      </c>
      <c r="AR81" s="382" t="s">
        <v>8524</v>
      </c>
      <c r="AS81" s="382" t="s">
        <v>7699</v>
      </c>
      <c r="AT81" s="383" t="s">
        <v>8684</v>
      </c>
      <c r="AU81" s="382" t="s">
        <v>7660</v>
      </c>
      <c r="AV81" s="382" t="s">
        <v>7766</v>
      </c>
      <c r="AW81" s="382" t="s">
        <v>7630</v>
      </c>
      <c r="AX81" s="382" t="s">
        <v>7754</v>
      </c>
      <c r="AY81" s="382" t="s">
        <v>7634</v>
      </c>
      <c r="AZ81" s="382" t="s">
        <v>8595</v>
      </c>
      <c r="BA81" s="382" t="s">
        <v>7693</v>
      </c>
      <c r="BB81" s="382" t="s">
        <v>8636</v>
      </c>
      <c r="BC81" s="382" t="s">
        <v>8594</v>
      </c>
      <c r="BD81" s="382" t="s">
        <v>7673</v>
      </c>
      <c r="BE81" s="382" t="s">
        <v>8616</v>
      </c>
      <c r="BF81" s="382" t="s">
        <v>7778</v>
      </c>
      <c r="BG81" s="382" t="s">
        <v>7756</v>
      </c>
      <c r="BH81" s="382" t="s">
        <v>8651</v>
      </c>
      <c r="BI81" s="382" t="s">
        <v>7714</v>
      </c>
      <c r="BJ81" s="382" t="s">
        <v>7715</v>
      </c>
      <c r="BK81" s="382" t="s">
        <v>8542</v>
      </c>
      <c r="BL81" s="382" t="s">
        <v>8584</v>
      </c>
      <c r="BM81" s="382" t="s">
        <v>7665</v>
      </c>
      <c r="BN81" s="382" t="s">
        <v>8648</v>
      </c>
      <c r="BO81" s="382" t="s">
        <v>7738</v>
      </c>
      <c r="BP81" s="382" t="s">
        <v>8612</v>
      </c>
      <c r="BQ81" s="381" t="s">
        <v>8609</v>
      </c>
      <c r="BR81" s="381" t="s">
        <v>10201</v>
      </c>
      <c r="BS81" s="329"/>
      <c r="BT81" s="367" t="s">
        <v>10201</v>
      </c>
      <c r="BU81" s="368" t="s">
        <v>8681</v>
      </c>
      <c r="BV81" s="368" t="s">
        <v>8605</v>
      </c>
      <c r="BW81" s="368" t="s">
        <v>7805</v>
      </c>
      <c r="BX81" s="368" t="s">
        <v>7615</v>
      </c>
      <c r="BY81" s="368" t="s">
        <v>8682</v>
      </c>
      <c r="BZ81" s="368" t="s">
        <v>7767</v>
      </c>
      <c r="CA81" s="368" t="s">
        <v>7630</v>
      </c>
      <c r="CB81" s="368" t="s">
        <v>8569</v>
      </c>
      <c r="CC81" s="368" t="s">
        <v>7690</v>
      </c>
      <c r="CD81" s="368" t="s">
        <v>8671</v>
      </c>
      <c r="CE81" s="368" t="s">
        <v>8599</v>
      </c>
      <c r="CF81" s="368" t="s">
        <v>8536</v>
      </c>
      <c r="CG81" s="368" t="s">
        <v>8650</v>
      </c>
      <c r="CH81" s="368" t="s">
        <v>7674</v>
      </c>
      <c r="CI81" s="368" t="s">
        <v>8513</v>
      </c>
      <c r="CJ81" s="368" t="s">
        <v>8589</v>
      </c>
      <c r="CK81" s="368" t="s">
        <v>7734</v>
      </c>
      <c r="CL81" s="368" t="s">
        <v>8593</v>
      </c>
      <c r="CM81" s="368" t="s">
        <v>8675</v>
      </c>
      <c r="CN81" s="368" t="s">
        <v>7736</v>
      </c>
      <c r="CO81" s="368" t="s">
        <v>7783</v>
      </c>
      <c r="CP81" s="368" t="s">
        <v>7696</v>
      </c>
      <c r="CQ81" s="368" t="s">
        <v>8546</v>
      </c>
      <c r="CR81" s="368" t="s">
        <v>7692</v>
      </c>
      <c r="CS81" s="368" t="s">
        <v>8639</v>
      </c>
      <c r="CT81" s="368" t="s">
        <v>7719</v>
      </c>
      <c r="CU81" s="368" t="s">
        <v>8537</v>
      </c>
      <c r="CV81" s="368" t="s">
        <v>8613</v>
      </c>
      <c r="CW81" s="368" t="s">
        <v>8661</v>
      </c>
      <c r="CX81" s="368" t="s">
        <v>7680</v>
      </c>
      <c r="CY81" s="368" t="s">
        <v>7773</v>
      </c>
      <c r="CZ81" s="369" t="s">
        <v>8684</v>
      </c>
      <c r="DA81" s="368" t="s">
        <v>7700</v>
      </c>
      <c r="DB81" s="368" t="s">
        <v>8530</v>
      </c>
      <c r="DC81" s="368" t="s">
        <v>8670</v>
      </c>
      <c r="DD81" s="368" t="s">
        <v>7807</v>
      </c>
      <c r="DE81" s="368" t="s">
        <v>7715</v>
      </c>
      <c r="DF81" s="368" t="s">
        <v>7774</v>
      </c>
      <c r="DG81" s="368" t="s">
        <v>7636</v>
      </c>
      <c r="DH81" s="368" t="s">
        <v>7665</v>
      </c>
      <c r="DI81" s="368" t="s">
        <v>8568</v>
      </c>
      <c r="DJ81" s="368" t="s">
        <v>8596</v>
      </c>
      <c r="DK81" s="368" t="s">
        <v>8534</v>
      </c>
      <c r="DL81" s="368" t="s">
        <v>8545</v>
      </c>
      <c r="DM81" s="368" t="s">
        <v>8676</v>
      </c>
      <c r="DN81" s="368" t="s">
        <v>7723</v>
      </c>
      <c r="DO81" s="368" t="s">
        <v>8588</v>
      </c>
      <c r="DP81" s="368" t="s">
        <v>8620</v>
      </c>
      <c r="DQ81" s="368" t="s">
        <v>7800</v>
      </c>
      <c r="DR81" s="368" t="s">
        <v>7676</v>
      </c>
      <c r="DS81" s="368" t="s">
        <v>7714</v>
      </c>
      <c r="DT81" s="368" t="s">
        <v>7791</v>
      </c>
      <c r="DU81" s="368" t="s">
        <v>8640</v>
      </c>
      <c r="DV81" s="368" t="s">
        <v>7652</v>
      </c>
      <c r="DW81" s="368" t="s">
        <v>7656</v>
      </c>
      <c r="DX81" s="368" t="s">
        <v>7778</v>
      </c>
      <c r="DY81" s="368" t="s">
        <v>7699</v>
      </c>
      <c r="DZ81" s="368" t="s">
        <v>7643</v>
      </c>
      <c r="EA81" s="368" t="s">
        <v>8664</v>
      </c>
      <c r="EB81" s="367" t="s">
        <v>7751</v>
      </c>
      <c r="EC81" s="367" t="s">
        <v>10201</v>
      </c>
      <c r="ED81" s="367" t="s">
        <v>8510</v>
      </c>
      <c r="EE81" s="367" t="s">
        <v>10201</v>
      </c>
      <c r="EF81" s="368" t="s">
        <v>7755</v>
      </c>
      <c r="EG81" s="368" t="s">
        <v>7614</v>
      </c>
      <c r="EH81" s="368" t="s">
        <v>7746</v>
      </c>
      <c r="EI81" s="367" t="s">
        <v>7607</v>
      </c>
      <c r="EJ81" s="367" t="s">
        <v>10201</v>
      </c>
    </row>
    <row r="82" spans="1:140" ht="12" customHeight="1">
      <c r="A82" s="513"/>
      <c r="B82" s="381" t="s">
        <v>8731</v>
      </c>
      <c r="C82" s="382" t="s">
        <v>8507</v>
      </c>
      <c r="D82" s="382" t="s">
        <v>8507</v>
      </c>
      <c r="E82" s="382" t="s">
        <v>8507</v>
      </c>
      <c r="F82" s="381" t="s">
        <v>8507</v>
      </c>
      <c r="G82" s="381" t="s">
        <v>8731</v>
      </c>
      <c r="H82" s="381" t="s">
        <v>8508</v>
      </c>
      <c r="I82" s="381" t="s">
        <v>8731</v>
      </c>
      <c r="J82" s="382" t="s">
        <v>8506</v>
      </c>
      <c r="K82" s="382" t="s">
        <v>8506</v>
      </c>
      <c r="L82" s="382" t="s">
        <v>8506</v>
      </c>
      <c r="M82" s="382" t="s">
        <v>8506</v>
      </c>
      <c r="N82" s="382" t="s">
        <v>8506</v>
      </c>
      <c r="O82" s="382" t="s">
        <v>8506</v>
      </c>
      <c r="P82" s="382" t="s">
        <v>8506</v>
      </c>
      <c r="Q82" s="382" t="s">
        <v>8506</v>
      </c>
      <c r="R82" s="382" t="s">
        <v>8506</v>
      </c>
      <c r="S82" s="382" t="s">
        <v>8506</v>
      </c>
      <c r="T82" s="382" t="s">
        <v>8506</v>
      </c>
      <c r="U82" s="382" t="s">
        <v>8506</v>
      </c>
      <c r="V82" s="382" t="s">
        <v>8506</v>
      </c>
      <c r="W82" s="382" t="s">
        <v>8506</v>
      </c>
      <c r="X82" s="382" t="s">
        <v>8506</v>
      </c>
      <c r="Y82" s="382" t="s">
        <v>8506</v>
      </c>
      <c r="Z82" s="382" t="s">
        <v>8506</v>
      </c>
      <c r="AA82" s="382" t="s">
        <v>8506</v>
      </c>
      <c r="AB82" s="382" t="s">
        <v>8506</v>
      </c>
      <c r="AC82" s="382" t="s">
        <v>8506</v>
      </c>
      <c r="AD82" s="382" t="s">
        <v>8506</v>
      </c>
      <c r="AE82" s="382" t="s">
        <v>8506</v>
      </c>
      <c r="AF82" s="382" t="s">
        <v>8506</v>
      </c>
      <c r="AG82" s="382" t="s">
        <v>8506</v>
      </c>
      <c r="AH82" s="383" t="s">
        <v>8506</v>
      </c>
      <c r="AI82" s="383" t="s">
        <v>8506</v>
      </c>
      <c r="AJ82" s="382" t="s">
        <v>8506</v>
      </c>
      <c r="AK82" s="382" t="s">
        <v>8506</v>
      </c>
      <c r="AL82" s="382" t="s">
        <v>8506</v>
      </c>
      <c r="AM82" s="382" t="s">
        <v>8506</v>
      </c>
      <c r="AN82" s="382" t="s">
        <v>8506</v>
      </c>
      <c r="AO82" s="382" t="s">
        <v>8506</v>
      </c>
      <c r="AP82" s="382" t="s">
        <v>8506</v>
      </c>
      <c r="AQ82" s="382" t="s">
        <v>8506</v>
      </c>
      <c r="AR82" s="382" t="s">
        <v>8506</v>
      </c>
      <c r="AS82" s="382" t="s">
        <v>8506</v>
      </c>
      <c r="AT82" s="383" t="s">
        <v>8506</v>
      </c>
      <c r="AU82" s="382" t="s">
        <v>8506</v>
      </c>
      <c r="AV82" s="382" t="s">
        <v>8506</v>
      </c>
      <c r="AW82" s="382" t="s">
        <v>8506</v>
      </c>
      <c r="AX82" s="382" t="s">
        <v>8506</v>
      </c>
      <c r="AY82" s="382" t="s">
        <v>8506</v>
      </c>
      <c r="AZ82" s="382" t="s">
        <v>8506</v>
      </c>
      <c r="BA82" s="382" t="s">
        <v>8506</v>
      </c>
      <c r="BB82" s="382" t="s">
        <v>8506</v>
      </c>
      <c r="BC82" s="382" t="s">
        <v>8506</v>
      </c>
      <c r="BD82" s="382" t="s">
        <v>8506</v>
      </c>
      <c r="BE82" s="382" t="s">
        <v>8506</v>
      </c>
      <c r="BF82" s="382" t="s">
        <v>8506</v>
      </c>
      <c r="BG82" s="382" t="s">
        <v>8506</v>
      </c>
      <c r="BH82" s="382" t="s">
        <v>8506</v>
      </c>
      <c r="BI82" s="382" t="s">
        <v>8506</v>
      </c>
      <c r="BJ82" s="382" t="s">
        <v>8506</v>
      </c>
      <c r="BK82" s="382" t="s">
        <v>8506</v>
      </c>
      <c r="BL82" s="382" t="s">
        <v>8506</v>
      </c>
      <c r="BM82" s="382" t="s">
        <v>8506</v>
      </c>
      <c r="BN82" s="382" t="s">
        <v>8506</v>
      </c>
      <c r="BO82" s="382" t="s">
        <v>8506</v>
      </c>
      <c r="BP82" s="382" t="s">
        <v>8506</v>
      </c>
      <c r="BQ82" s="381" t="s">
        <v>8506</v>
      </c>
      <c r="BR82" s="381" t="s">
        <v>8731</v>
      </c>
      <c r="BS82" s="329" t="s">
        <v>10274</v>
      </c>
      <c r="BT82" s="367" t="s">
        <v>8731</v>
      </c>
      <c r="BU82" s="368" t="s">
        <v>8506</v>
      </c>
      <c r="BV82" s="368" t="s">
        <v>8506</v>
      </c>
      <c r="BW82" s="368" t="s">
        <v>8506</v>
      </c>
      <c r="BX82" s="368" t="s">
        <v>8506</v>
      </c>
      <c r="BY82" s="368" t="s">
        <v>8506</v>
      </c>
      <c r="BZ82" s="368" t="s">
        <v>8506</v>
      </c>
      <c r="CA82" s="368" t="s">
        <v>8506</v>
      </c>
      <c r="CB82" s="368" t="s">
        <v>8506</v>
      </c>
      <c r="CC82" s="368" t="s">
        <v>8506</v>
      </c>
      <c r="CD82" s="368" t="s">
        <v>8506</v>
      </c>
      <c r="CE82" s="368" t="s">
        <v>8506</v>
      </c>
      <c r="CF82" s="368" t="s">
        <v>8506</v>
      </c>
      <c r="CG82" s="368" t="s">
        <v>8506</v>
      </c>
      <c r="CH82" s="368" t="s">
        <v>8506</v>
      </c>
      <c r="CI82" s="368" t="s">
        <v>8506</v>
      </c>
      <c r="CJ82" s="368" t="s">
        <v>8506</v>
      </c>
      <c r="CK82" s="368" t="s">
        <v>8506</v>
      </c>
      <c r="CL82" s="368" t="s">
        <v>8506</v>
      </c>
      <c r="CM82" s="368" t="s">
        <v>8506</v>
      </c>
      <c r="CN82" s="368" t="s">
        <v>8506</v>
      </c>
      <c r="CO82" s="368" t="s">
        <v>8506</v>
      </c>
      <c r="CP82" s="368" t="s">
        <v>8506</v>
      </c>
      <c r="CQ82" s="368" t="s">
        <v>8506</v>
      </c>
      <c r="CR82" s="368" t="s">
        <v>8506</v>
      </c>
      <c r="CS82" s="368" t="s">
        <v>8506</v>
      </c>
      <c r="CT82" s="368" t="s">
        <v>8506</v>
      </c>
      <c r="CU82" s="368" t="s">
        <v>8506</v>
      </c>
      <c r="CV82" s="368" t="s">
        <v>8506</v>
      </c>
      <c r="CW82" s="368" t="s">
        <v>8506</v>
      </c>
      <c r="CX82" s="368" t="s">
        <v>8506</v>
      </c>
      <c r="CY82" s="368" t="s">
        <v>8506</v>
      </c>
      <c r="CZ82" s="369" t="s">
        <v>8506</v>
      </c>
      <c r="DA82" s="368" t="s">
        <v>8506</v>
      </c>
      <c r="DB82" s="368" t="s">
        <v>8506</v>
      </c>
      <c r="DC82" s="368" t="s">
        <v>8506</v>
      </c>
      <c r="DD82" s="368" t="s">
        <v>8506</v>
      </c>
      <c r="DE82" s="368" t="s">
        <v>8506</v>
      </c>
      <c r="DF82" s="368" t="s">
        <v>8506</v>
      </c>
      <c r="DG82" s="368" t="s">
        <v>8506</v>
      </c>
      <c r="DH82" s="368" t="s">
        <v>8506</v>
      </c>
      <c r="DI82" s="368" t="s">
        <v>8506</v>
      </c>
      <c r="DJ82" s="368" t="s">
        <v>8506</v>
      </c>
      <c r="DK82" s="368" t="s">
        <v>8506</v>
      </c>
      <c r="DL82" s="368" t="s">
        <v>8506</v>
      </c>
      <c r="DM82" s="368" t="s">
        <v>8506</v>
      </c>
      <c r="DN82" s="368" t="s">
        <v>8506</v>
      </c>
      <c r="DO82" s="368" t="s">
        <v>8506</v>
      </c>
      <c r="DP82" s="368" t="s">
        <v>8506</v>
      </c>
      <c r="DQ82" s="368" t="s">
        <v>8506</v>
      </c>
      <c r="DR82" s="368" t="s">
        <v>8506</v>
      </c>
      <c r="DS82" s="368" t="s">
        <v>8506</v>
      </c>
      <c r="DT82" s="368" t="s">
        <v>8506</v>
      </c>
      <c r="DU82" s="368" t="s">
        <v>8506</v>
      </c>
      <c r="DV82" s="368" t="s">
        <v>8506</v>
      </c>
      <c r="DW82" s="368" t="s">
        <v>8506</v>
      </c>
      <c r="DX82" s="368" t="s">
        <v>8506</v>
      </c>
      <c r="DY82" s="368" t="s">
        <v>8506</v>
      </c>
      <c r="DZ82" s="368" t="s">
        <v>8506</v>
      </c>
      <c r="EA82" s="368" t="s">
        <v>8506</v>
      </c>
      <c r="EB82" s="367" t="s">
        <v>8506</v>
      </c>
      <c r="EC82" s="367" t="s">
        <v>8731</v>
      </c>
      <c r="ED82" s="367" t="s">
        <v>8508</v>
      </c>
      <c r="EE82" s="367" t="s">
        <v>8731</v>
      </c>
      <c r="EF82" s="368" t="s">
        <v>8507</v>
      </c>
      <c r="EG82" s="368" t="s">
        <v>8507</v>
      </c>
      <c r="EH82" s="368" t="s">
        <v>8507</v>
      </c>
      <c r="EI82" s="367" t="s">
        <v>8507</v>
      </c>
      <c r="EJ82" s="367" t="s">
        <v>8731</v>
      </c>
    </row>
    <row r="83" spans="1:140" ht="12" customHeight="1" thickBot="1">
      <c r="A83" s="513"/>
      <c r="B83" s="384" t="s">
        <v>10202</v>
      </c>
      <c r="C83" s="385" t="s">
        <v>10202</v>
      </c>
      <c r="D83" s="385" t="s">
        <v>10224</v>
      </c>
      <c r="E83" s="385" t="s">
        <v>10227</v>
      </c>
      <c r="F83" s="384" t="s">
        <v>10229</v>
      </c>
      <c r="G83" s="384" t="s">
        <v>10202</v>
      </c>
      <c r="H83" s="387" t="s">
        <v>10202</v>
      </c>
      <c r="I83" s="384" t="s">
        <v>10202</v>
      </c>
      <c r="J83" s="385" t="s">
        <v>11423</v>
      </c>
      <c r="K83" s="385" t="s">
        <v>11424</v>
      </c>
      <c r="L83" s="385" t="s">
        <v>11425</v>
      </c>
      <c r="M83" s="385" t="s">
        <v>11426</v>
      </c>
      <c r="N83" s="385" t="s">
        <v>11427</v>
      </c>
      <c r="O83" s="385" t="s">
        <v>11428</v>
      </c>
      <c r="P83" s="385" t="s">
        <v>11429</v>
      </c>
      <c r="Q83" s="385" t="s">
        <v>11430</v>
      </c>
      <c r="R83" s="385" t="s">
        <v>10220</v>
      </c>
      <c r="S83" s="385" t="s">
        <v>11431</v>
      </c>
      <c r="T83" s="385" t="s">
        <v>11432</v>
      </c>
      <c r="U83" s="385" t="s">
        <v>11433</v>
      </c>
      <c r="V83" s="385" t="s">
        <v>11434</v>
      </c>
      <c r="W83" s="385" t="s">
        <v>11435</v>
      </c>
      <c r="X83" s="385" t="s">
        <v>11436</v>
      </c>
      <c r="Y83" s="385" t="s">
        <v>11437</v>
      </c>
      <c r="Z83" s="385" t="s">
        <v>11438</v>
      </c>
      <c r="AA83" s="385" t="s">
        <v>11439</v>
      </c>
      <c r="AB83" s="385" t="s">
        <v>11440</v>
      </c>
      <c r="AC83" s="385" t="s">
        <v>11441</v>
      </c>
      <c r="AD83" s="385" t="s">
        <v>11442</v>
      </c>
      <c r="AE83" s="385" t="s">
        <v>11443</v>
      </c>
      <c r="AF83" s="385" t="s">
        <v>11444</v>
      </c>
      <c r="AG83" s="385" t="s">
        <v>11445</v>
      </c>
      <c r="AH83" s="386" t="s">
        <v>11446</v>
      </c>
      <c r="AI83" s="386" t="s">
        <v>11447</v>
      </c>
      <c r="AJ83" s="385" t="s">
        <v>11448</v>
      </c>
      <c r="AK83" s="385" t="s">
        <v>11449</v>
      </c>
      <c r="AL83" s="385" t="s">
        <v>11450</v>
      </c>
      <c r="AM83" s="385" t="s">
        <v>11451</v>
      </c>
      <c r="AN83" s="385" t="s">
        <v>11452</v>
      </c>
      <c r="AO83" s="385" t="s">
        <v>11453</v>
      </c>
      <c r="AP83" s="385" t="s">
        <v>11454</v>
      </c>
      <c r="AQ83" s="385" t="s">
        <v>11455</v>
      </c>
      <c r="AR83" s="385" t="s">
        <v>11456</v>
      </c>
      <c r="AS83" s="385" t="s">
        <v>11457</v>
      </c>
      <c r="AT83" s="386" t="s">
        <v>11458</v>
      </c>
      <c r="AU83" s="385" t="s">
        <v>11459</v>
      </c>
      <c r="AV83" s="385" t="s">
        <v>11460</v>
      </c>
      <c r="AW83" s="385" t="s">
        <v>10228</v>
      </c>
      <c r="AX83" s="385" t="s">
        <v>11461</v>
      </c>
      <c r="AY83" s="385" t="s">
        <v>10237</v>
      </c>
      <c r="AZ83" s="385" t="s">
        <v>11462</v>
      </c>
      <c r="BA83" s="385" t="s">
        <v>11463</v>
      </c>
      <c r="BB83" s="385" t="s">
        <v>11464</v>
      </c>
      <c r="BC83" s="385" t="s">
        <v>11465</v>
      </c>
      <c r="BD83" s="385" t="s">
        <v>11466</v>
      </c>
      <c r="BE83" s="385" t="s">
        <v>11467</v>
      </c>
      <c r="BF83" s="385" t="s">
        <v>11468</v>
      </c>
      <c r="BG83" s="385" t="s">
        <v>11469</v>
      </c>
      <c r="BH83" s="385" t="s">
        <v>11470</v>
      </c>
      <c r="BI83" s="385" t="s">
        <v>11471</v>
      </c>
      <c r="BJ83" s="385" t="s">
        <v>11472</v>
      </c>
      <c r="BK83" s="385" t="s">
        <v>11473</v>
      </c>
      <c r="BL83" s="385" t="s">
        <v>11474</v>
      </c>
      <c r="BM83" s="385" t="s">
        <v>11475</v>
      </c>
      <c r="BN83" s="385" t="s">
        <v>11476</v>
      </c>
      <c r="BO83" s="385" t="s">
        <v>11477</v>
      </c>
      <c r="BP83" s="385" t="s">
        <v>11478</v>
      </c>
      <c r="BQ83" s="384" t="s">
        <v>11479</v>
      </c>
      <c r="BR83" s="384" t="s">
        <v>10202</v>
      </c>
      <c r="BS83" s="330"/>
      <c r="BT83" s="370" t="s">
        <v>10202</v>
      </c>
      <c r="BU83" s="371" t="s">
        <v>11480</v>
      </c>
      <c r="BV83" s="371" t="s">
        <v>11481</v>
      </c>
      <c r="BW83" s="371" t="s">
        <v>11482</v>
      </c>
      <c r="BX83" s="371" t="s">
        <v>10251</v>
      </c>
      <c r="BY83" s="371" t="s">
        <v>11483</v>
      </c>
      <c r="BZ83" s="371" t="s">
        <v>11484</v>
      </c>
      <c r="CA83" s="371" t="s">
        <v>10265</v>
      </c>
      <c r="CB83" s="371" t="s">
        <v>11485</v>
      </c>
      <c r="CC83" s="371" t="s">
        <v>11486</v>
      </c>
      <c r="CD83" s="371" t="s">
        <v>11487</v>
      </c>
      <c r="CE83" s="371" t="s">
        <v>11488</v>
      </c>
      <c r="CF83" s="371" t="s">
        <v>11489</v>
      </c>
      <c r="CG83" s="371" t="s">
        <v>11490</v>
      </c>
      <c r="CH83" s="371" t="s">
        <v>11491</v>
      </c>
      <c r="CI83" s="371" t="s">
        <v>11492</v>
      </c>
      <c r="CJ83" s="371" t="s">
        <v>11493</v>
      </c>
      <c r="CK83" s="371" t="s">
        <v>11494</v>
      </c>
      <c r="CL83" s="371" t="s">
        <v>11495</v>
      </c>
      <c r="CM83" s="371" t="s">
        <v>11496</v>
      </c>
      <c r="CN83" s="371" t="s">
        <v>11497</v>
      </c>
      <c r="CO83" s="371" t="s">
        <v>11498</v>
      </c>
      <c r="CP83" s="371" t="s">
        <v>11499</v>
      </c>
      <c r="CQ83" s="371" t="s">
        <v>11500</v>
      </c>
      <c r="CR83" s="371" t="s">
        <v>11501</v>
      </c>
      <c r="CS83" s="371" t="s">
        <v>11502</v>
      </c>
      <c r="CT83" s="371" t="s">
        <v>11503</v>
      </c>
      <c r="CU83" s="371" t="s">
        <v>11504</v>
      </c>
      <c r="CV83" s="371" t="s">
        <v>11505</v>
      </c>
      <c r="CW83" s="371" t="s">
        <v>11506</v>
      </c>
      <c r="CX83" s="371" t="s">
        <v>11507</v>
      </c>
      <c r="CY83" s="371" t="s">
        <v>11508</v>
      </c>
      <c r="CZ83" s="373" t="s">
        <v>11509</v>
      </c>
      <c r="DA83" s="371" t="s">
        <v>11510</v>
      </c>
      <c r="DB83" s="371" t="s">
        <v>11511</v>
      </c>
      <c r="DC83" s="371" t="s">
        <v>11512</v>
      </c>
      <c r="DD83" s="371" t="s">
        <v>11513</v>
      </c>
      <c r="DE83" s="371" t="s">
        <v>11514</v>
      </c>
      <c r="DF83" s="371" t="s">
        <v>11515</v>
      </c>
      <c r="DG83" s="371" t="s">
        <v>10268</v>
      </c>
      <c r="DH83" s="371" t="s">
        <v>11516</v>
      </c>
      <c r="DI83" s="371" t="s">
        <v>11517</v>
      </c>
      <c r="DJ83" s="371" t="s">
        <v>11518</v>
      </c>
      <c r="DK83" s="371" t="s">
        <v>11519</v>
      </c>
      <c r="DL83" s="371" t="s">
        <v>11520</v>
      </c>
      <c r="DM83" s="371" t="s">
        <v>11521</v>
      </c>
      <c r="DN83" s="371" t="s">
        <v>11522</v>
      </c>
      <c r="DO83" s="371" t="s">
        <v>11523</v>
      </c>
      <c r="DP83" s="371" t="s">
        <v>11524</v>
      </c>
      <c r="DQ83" s="371" t="s">
        <v>11525</v>
      </c>
      <c r="DR83" s="371" t="s">
        <v>11526</v>
      </c>
      <c r="DS83" s="371" t="s">
        <v>11527</v>
      </c>
      <c r="DT83" s="371" t="s">
        <v>11528</v>
      </c>
      <c r="DU83" s="371" t="s">
        <v>11529</v>
      </c>
      <c r="DV83" s="371" t="s">
        <v>10330</v>
      </c>
      <c r="DW83" s="371" t="s">
        <v>11530</v>
      </c>
      <c r="DX83" s="371" t="s">
        <v>11531</v>
      </c>
      <c r="DY83" s="371" t="s">
        <v>11532</v>
      </c>
      <c r="DZ83" s="371" t="s">
        <v>10333</v>
      </c>
      <c r="EA83" s="371" t="s">
        <v>11533</v>
      </c>
      <c r="EB83" s="370" t="s">
        <v>11534</v>
      </c>
      <c r="EC83" s="370" t="s">
        <v>10202</v>
      </c>
      <c r="ED83" s="372" t="s">
        <v>10258</v>
      </c>
      <c r="EE83" s="370" t="s">
        <v>10202</v>
      </c>
      <c r="EF83" s="371" t="s">
        <v>10270</v>
      </c>
      <c r="EG83" s="371" t="s">
        <v>10257</v>
      </c>
      <c r="EH83" s="371" t="s">
        <v>10265</v>
      </c>
      <c r="EI83" s="370" t="s">
        <v>10262</v>
      </c>
      <c r="EJ83" s="370" t="s">
        <v>10202</v>
      </c>
    </row>
    <row r="84" spans="1:140" ht="12" customHeight="1">
      <c r="A84" s="512">
        <v>1</v>
      </c>
      <c r="B84" s="381" t="s">
        <v>10200</v>
      </c>
      <c r="C84" s="382" t="s">
        <v>8493</v>
      </c>
      <c r="D84" s="382" t="s">
        <v>8495</v>
      </c>
      <c r="E84" s="383" t="s">
        <v>8299</v>
      </c>
      <c r="F84" s="381" t="s">
        <v>8501</v>
      </c>
      <c r="G84" s="381" t="s">
        <v>10200</v>
      </c>
      <c r="H84" s="381"/>
      <c r="I84" s="381" t="s">
        <v>10200</v>
      </c>
      <c r="J84" s="382" t="s">
        <v>8427</v>
      </c>
      <c r="K84" s="382" t="s">
        <v>7858</v>
      </c>
      <c r="L84" s="382" t="s">
        <v>8282</v>
      </c>
      <c r="M84" s="382" t="s">
        <v>8374</v>
      </c>
      <c r="N84" s="382" t="s">
        <v>8201</v>
      </c>
      <c r="O84" s="382" t="s">
        <v>8482</v>
      </c>
      <c r="P84" s="382" t="s">
        <v>8189</v>
      </c>
      <c r="Q84" s="382" t="s">
        <v>8446</v>
      </c>
      <c r="R84" s="382" t="s">
        <v>8337</v>
      </c>
      <c r="S84" s="382" t="s">
        <v>8487</v>
      </c>
      <c r="T84" s="382" t="s">
        <v>7583</v>
      </c>
      <c r="U84" s="382" t="s">
        <v>8388</v>
      </c>
      <c r="V84" s="382" t="s">
        <v>8199</v>
      </c>
      <c r="W84" s="382" t="s">
        <v>8397</v>
      </c>
      <c r="X84" s="382" t="s">
        <v>8317</v>
      </c>
      <c r="Y84" s="382" t="s">
        <v>8488</v>
      </c>
      <c r="Z84" s="382" t="s">
        <v>8343</v>
      </c>
      <c r="AA84" s="382" t="s">
        <v>7581</v>
      </c>
      <c r="AB84" s="382" t="s">
        <v>8411</v>
      </c>
      <c r="AC84" s="382" t="s">
        <v>8458</v>
      </c>
      <c r="AD84" s="382" t="s">
        <v>8220</v>
      </c>
      <c r="AE84" s="383" t="s">
        <v>8299</v>
      </c>
      <c r="AF84" s="382" t="s">
        <v>8227</v>
      </c>
      <c r="AG84" s="382" t="s">
        <v>8362</v>
      </c>
      <c r="AH84" s="382" t="s">
        <v>8435</v>
      </c>
      <c r="AI84" s="382" t="s">
        <v>8405</v>
      </c>
      <c r="AJ84" s="382" t="s">
        <v>8393</v>
      </c>
      <c r="AK84" s="382" t="s">
        <v>8289</v>
      </c>
      <c r="AL84" s="382" t="s">
        <v>8200</v>
      </c>
      <c r="AM84" s="382" t="s">
        <v>8420</v>
      </c>
      <c r="AN84" s="382" t="s">
        <v>7570</v>
      </c>
      <c r="AO84" s="382" t="s">
        <v>8341</v>
      </c>
      <c r="AP84" s="382" t="s">
        <v>8328</v>
      </c>
      <c r="AQ84" s="382" t="s">
        <v>8234</v>
      </c>
      <c r="AR84" s="382" t="s">
        <v>8412</v>
      </c>
      <c r="AS84" s="382" t="s">
        <v>8292</v>
      </c>
      <c r="AT84" s="382" t="s">
        <v>8310</v>
      </c>
      <c r="AU84" s="382" t="s">
        <v>8467</v>
      </c>
      <c r="AV84" s="382" t="s">
        <v>8267</v>
      </c>
      <c r="AW84" s="382" t="s">
        <v>8357</v>
      </c>
      <c r="AX84" s="382" t="s">
        <v>8192</v>
      </c>
      <c r="AY84" s="382" t="s">
        <v>8395</v>
      </c>
      <c r="AZ84" s="382" t="s">
        <v>8311</v>
      </c>
      <c r="BA84" s="382" t="s">
        <v>8284</v>
      </c>
      <c r="BB84" s="382" t="s">
        <v>8247</v>
      </c>
      <c r="BC84" s="382" t="s">
        <v>7859</v>
      </c>
      <c r="BD84" s="382" t="s">
        <v>8307</v>
      </c>
      <c r="BE84" s="382" t="s">
        <v>8228</v>
      </c>
      <c r="BF84" s="382" t="s">
        <v>8222</v>
      </c>
      <c r="BG84" s="382" t="s">
        <v>8235</v>
      </c>
      <c r="BH84" s="382" t="s">
        <v>8184</v>
      </c>
      <c r="BI84" s="382" t="s">
        <v>8304</v>
      </c>
      <c r="BJ84" s="382" t="s">
        <v>7604</v>
      </c>
      <c r="BK84" s="382" t="s">
        <v>8210</v>
      </c>
      <c r="BL84" s="382" t="s">
        <v>8336</v>
      </c>
      <c r="BM84" s="382" t="s">
        <v>8473</v>
      </c>
      <c r="BN84" s="382" t="s">
        <v>8379</v>
      </c>
      <c r="BO84" s="382" t="s">
        <v>7587</v>
      </c>
      <c r="BP84" s="382" t="s">
        <v>8486</v>
      </c>
      <c r="BQ84" s="381" t="s">
        <v>8375</v>
      </c>
      <c r="BR84" s="381" t="s">
        <v>10200</v>
      </c>
      <c r="BS84" s="329"/>
      <c r="BT84" s="367" t="s">
        <v>10200</v>
      </c>
      <c r="BU84" s="368" t="s">
        <v>8210</v>
      </c>
      <c r="BV84" s="368" t="s">
        <v>8299</v>
      </c>
      <c r="BW84" s="368" t="s">
        <v>8304</v>
      </c>
      <c r="BX84" s="368" t="s">
        <v>7596</v>
      </c>
      <c r="BY84" s="368" t="s">
        <v>7858</v>
      </c>
      <c r="BZ84" s="368" t="s">
        <v>8251</v>
      </c>
      <c r="CA84" s="368" t="s">
        <v>8291</v>
      </c>
      <c r="CB84" s="368" t="s">
        <v>8273</v>
      </c>
      <c r="CC84" s="368" t="s">
        <v>8327</v>
      </c>
      <c r="CD84" s="368" t="s">
        <v>8247</v>
      </c>
      <c r="CE84" s="368" t="s">
        <v>8399</v>
      </c>
      <c r="CF84" s="368" t="s">
        <v>8435</v>
      </c>
      <c r="CG84" s="368" t="s">
        <v>8238</v>
      </c>
      <c r="CH84" s="368" t="s">
        <v>8317</v>
      </c>
      <c r="CI84" s="368" t="s">
        <v>8308</v>
      </c>
      <c r="CJ84" s="368" t="s">
        <v>8224</v>
      </c>
      <c r="CK84" s="368" t="s">
        <v>8438</v>
      </c>
      <c r="CL84" s="368" t="s">
        <v>8462</v>
      </c>
      <c r="CM84" s="368" t="s">
        <v>8328</v>
      </c>
      <c r="CN84" s="368" t="s">
        <v>7581</v>
      </c>
      <c r="CO84" s="368" t="s">
        <v>8409</v>
      </c>
      <c r="CP84" s="368" t="s">
        <v>8460</v>
      </c>
      <c r="CQ84" s="368" t="s">
        <v>8360</v>
      </c>
      <c r="CR84" s="368" t="s">
        <v>8193</v>
      </c>
      <c r="CS84" s="368" t="s">
        <v>8222</v>
      </c>
      <c r="CT84" s="368" t="s">
        <v>8424</v>
      </c>
      <c r="CU84" s="368" t="s">
        <v>8265</v>
      </c>
      <c r="CV84" s="368" t="s">
        <v>8215</v>
      </c>
      <c r="CW84" s="368" t="s">
        <v>8324</v>
      </c>
      <c r="CX84" s="368" t="s">
        <v>8232</v>
      </c>
      <c r="CY84" s="368" t="s">
        <v>7571</v>
      </c>
      <c r="CZ84" s="368" t="s">
        <v>8477</v>
      </c>
      <c r="DA84" s="368" t="s">
        <v>8316</v>
      </c>
      <c r="DB84" s="368" t="s">
        <v>8402</v>
      </c>
      <c r="DC84" s="368" t="s">
        <v>8283</v>
      </c>
      <c r="DD84" s="368" t="s">
        <v>8186</v>
      </c>
      <c r="DE84" s="368" t="s">
        <v>8471</v>
      </c>
      <c r="DF84" s="368" t="s">
        <v>8456</v>
      </c>
      <c r="DG84" s="368" t="s">
        <v>7567</v>
      </c>
      <c r="DH84" s="368" t="s">
        <v>8286</v>
      </c>
      <c r="DI84" s="368" t="s">
        <v>8474</v>
      </c>
      <c r="DJ84" s="368" t="s">
        <v>7540</v>
      </c>
      <c r="DK84" s="368" t="s">
        <v>8426</v>
      </c>
      <c r="DL84" s="368" t="s">
        <v>8226</v>
      </c>
      <c r="DM84" s="368" t="s">
        <v>8356</v>
      </c>
      <c r="DN84" s="368" t="s">
        <v>8488</v>
      </c>
      <c r="DO84" s="368" t="s">
        <v>8428</v>
      </c>
      <c r="DP84" s="368" t="s">
        <v>7585</v>
      </c>
      <c r="DQ84" s="368" t="s">
        <v>8407</v>
      </c>
      <c r="DR84" s="368" t="s">
        <v>8420</v>
      </c>
      <c r="DS84" s="368" t="s">
        <v>8243</v>
      </c>
      <c r="DT84" s="368" t="s">
        <v>8465</v>
      </c>
      <c r="DU84" s="368" t="s">
        <v>8306</v>
      </c>
      <c r="DV84" s="368" t="s">
        <v>8405</v>
      </c>
      <c r="DW84" s="368" t="s">
        <v>7593</v>
      </c>
      <c r="DX84" s="368" t="s">
        <v>8446</v>
      </c>
      <c r="DY84" s="368" t="s">
        <v>8403</v>
      </c>
      <c r="DZ84" s="368" t="s">
        <v>8201</v>
      </c>
      <c r="EA84" s="368" t="s">
        <v>8349</v>
      </c>
      <c r="EB84" s="367" t="s">
        <v>8479</v>
      </c>
      <c r="EC84" s="367" t="s">
        <v>10200</v>
      </c>
      <c r="ED84" s="367"/>
      <c r="EE84" s="367" t="s">
        <v>10200</v>
      </c>
      <c r="EF84" s="368" t="s">
        <v>7852</v>
      </c>
      <c r="EG84" s="368" t="s">
        <v>7856</v>
      </c>
      <c r="EH84" s="369" t="s">
        <v>8299</v>
      </c>
      <c r="EI84" s="367" t="s">
        <v>8498</v>
      </c>
      <c r="EJ84" s="367" t="s">
        <v>10200</v>
      </c>
    </row>
    <row r="85" spans="1:140" ht="12" customHeight="1">
      <c r="A85" s="513"/>
      <c r="B85" s="381" t="s">
        <v>10201</v>
      </c>
      <c r="C85" s="382" t="s">
        <v>7614</v>
      </c>
      <c r="D85" s="382" t="s">
        <v>7632</v>
      </c>
      <c r="E85" s="383" t="s">
        <v>8685</v>
      </c>
      <c r="F85" s="381" t="s">
        <v>7655</v>
      </c>
      <c r="G85" s="381" t="s">
        <v>10201</v>
      </c>
      <c r="H85" s="381"/>
      <c r="I85" s="381" t="s">
        <v>10201</v>
      </c>
      <c r="J85" s="382" t="s">
        <v>8622</v>
      </c>
      <c r="K85" s="382" t="s">
        <v>7737</v>
      </c>
      <c r="L85" s="382" t="s">
        <v>7721</v>
      </c>
      <c r="M85" s="382" t="s">
        <v>8569</v>
      </c>
      <c r="N85" s="382" t="s">
        <v>7627</v>
      </c>
      <c r="O85" s="382" t="s">
        <v>8677</v>
      </c>
      <c r="P85" s="382" t="s">
        <v>7615</v>
      </c>
      <c r="Q85" s="382" t="s">
        <v>8641</v>
      </c>
      <c r="R85" s="382" t="s">
        <v>8532</v>
      </c>
      <c r="S85" s="382" t="s">
        <v>8682</v>
      </c>
      <c r="T85" s="382" t="s">
        <v>7782</v>
      </c>
      <c r="U85" s="382" t="s">
        <v>8583</v>
      </c>
      <c r="V85" s="382" t="s">
        <v>7625</v>
      </c>
      <c r="W85" s="382" t="s">
        <v>8592</v>
      </c>
      <c r="X85" s="382" t="s">
        <v>8512</v>
      </c>
      <c r="Y85" s="382" t="s">
        <v>8683</v>
      </c>
      <c r="Z85" s="382" t="s">
        <v>8538</v>
      </c>
      <c r="AA85" s="382" t="s">
        <v>7780</v>
      </c>
      <c r="AB85" s="382" t="s">
        <v>8606</v>
      </c>
      <c r="AC85" s="382" t="s">
        <v>8653</v>
      </c>
      <c r="AD85" s="382" t="s">
        <v>7653</v>
      </c>
      <c r="AE85" s="383" t="s">
        <v>8510</v>
      </c>
      <c r="AF85" s="382" t="s">
        <v>7662</v>
      </c>
      <c r="AG85" s="382" t="s">
        <v>8557</v>
      </c>
      <c r="AH85" s="382" t="s">
        <v>8630</v>
      </c>
      <c r="AI85" s="382" t="s">
        <v>8600</v>
      </c>
      <c r="AJ85" s="382" t="s">
        <v>8588</v>
      </c>
      <c r="AK85" s="382" t="s">
        <v>7730</v>
      </c>
      <c r="AL85" s="382" t="s">
        <v>7626</v>
      </c>
      <c r="AM85" s="382" t="s">
        <v>8615</v>
      </c>
      <c r="AN85" s="382" t="s">
        <v>7769</v>
      </c>
      <c r="AO85" s="382" t="s">
        <v>8536</v>
      </c>
      <c r="AP85" s="382" t="s">
        <v>8523</v>
      </c>
      <c r="AQ85" s="382" t="s">
        <v>7670</v>
      </c>
      <c r="AR85" s="382" t="s">
        <v>8607</v>
      </c>
      <c r="AS85" s="382" t="s">
        <v>7734</v>
      </c>
      <c r="AT85" s="382" t="s">
        <v>7768</v>
      </c>
      <c r="AU85" s="382" t="s">
        <v>8662</v>
      </c>
      <c r="AV85" s="382" t="s">
        <v>7705</v>
      </c>
      <c r="AW85" s="382" t="s">
        <v>8552</v>
      </c>
      <c r="AX85" s="382" t="s">
        <v>7618</v>
      </c>
      <c r="AY85" s="382" t="s">
        <v>8590</v>
      </c>
      <c r="AZ85" s="382" t="s">
        <v>7779</v>
      </c>
      <c r="BA85" s="382" t="s">
        <v>7723</v>
      </c>
      <c r="BB85" s="382" t="s">
        <v>7685</v>
      </c>
      <c r="BC85" s="382" t="s">
        <v>7736</v>
      </c>
      <c r="BD85" s="382" t="s">
        <v>7765</v>
      </c>
      <c r="BE85" s="382" t="s">
        <v>7663</v>
      </c>
      <c r="BF85" s="382" t="s">
        <v>7657</v>
      </c>
      <c r="BG85" s="382" t="s">
        <v>7671</v>
      </c>
      <c r="BH85" s="382" t="s">
        <v>7606</v>
      </c>
      <c r="BI85" s="382" t="s">
        <v>7761</v>
      </c>
      <c r="BJ85" s="382" t="s">
        <v>7807</v>
      </c>
      <c r="BK85" s="382" t="s">
        <v>7639</v>
      </c>
      <c r="BL85" s="382" t="s">
        <v>8531</v>
      </c>
      <c r="BM85" s="382" t="s">
        <v>8668</v>
      </c>
      <c r="BN85" s="382" t="s">
        <v>8574</v>
      </c>
      <c r="BO85" s="382" t="s">
        <v>7786</v>
      </c>
      <c r="BP85" s="382" t="s">
        <v>8681</v>
      </c>
      <c r="BQ85" s="381" t="s">
        <v>8570</v>
      </c>
      <c r="BR85" s="381" t="s">
        <v>10201</v>
      </c>
      <c r="BS85" s="329"/>
      <c r="BT85" s="367" t="s">
        <v>10201</v>
      </c>
      <c r="BU85" s="368" t="s">
        <v>7639</v>
      </c>
      <c r="BV85" s="368" t="s">
        <v>7753</v>
      </c>
      <c r="BW85" s="368" t="s">
        <v>7761</v>
      </c>
      <c r="BX85" s="368" t="s">
        <v>7795</v>
      </c>
      <c r="BY85" s="368" t="s">
        <v>7737</v>
      </c>
      <c r="BZ85" s="368" t="s">
        <v>7689</v>
      </c>
      <c r="CA85" s="368" t="s">
        <v>7733</v>
      </c>
      <c r="CB85" s="368" t="s">
        <v>7711</v>
      </c>
      <c r="CC85" s="368" t="s">
        <v>8522</v>
      </c>
      <c r="CD85" s="368" t="s">
        <v>7685</v>
      </c>
      <c r="CE85" s="368" t="s">
        <v>8594</v>
      </c>
      <c r="CF85" s="368" t="s">
        <v>8630</v>
      </c>
      <c r="CG85" s="368" t="s">
        <v>7675</v>
      </c>
      <c r="CH85" s="368" t="s">
        <v>8512</v>
      </c>
      <c r="CI85" s="368" t="s">
        <v>7766</v>
      </c>
      <c r="CJ85" s="368" t="s">
        <v>7659</v>
      </c>
      <c r="CK85" s="368" t="s">
        <v>8633</v>
      </c>
      <c r="CL85" s="368" t="s">
        <v>8657</v>
      </c>
      <c r="CM85" s="368" t="s">
        <v>8523</v>
      </c>
      <c r="CN85" s="368" t="s">
        <v>7780</v>
      </c>
      <c r="CO85" s="368" t="s">
        <v>8604</v>
      </c>
      <c r="CP85" s="368" t="s">
        <v>8655</v>
      </c>
      <c r="CQ85" s="368" t="s">
        <v>8555</v>
      </c>
      <c r="CR85" s="368" t="s">
        <v>7619</v>
      </c>
      <c r="CS85" s="368" t="s">
        <v>7657</v>
      </c>
      <c r="CT85" s="368" t="s">
        <v>8619</v>
      </c>
      <c r="CU85" s="368" t="s">
        <v>7703</v>
      </c>
      <c r="CV85" s="368" t="s">
        <v>7644</v>
      </c>
      <c r="CW85" s="368" t="s">
        <v>8519</v>
      </c>
      <c r="CX85" s="368" t="s">
        <v>7668</v>
      </c>
      <c r="CY85" s="368" t="s">
        <v>7770</v>
      </c>
      <c r="CZ85" s="368" t="s">
        <v>8672</v>
      </c>
      <c r="DA85" s="368" t="s">
        <v>8511</v>
      </c>
      <c r="DB85" s="368" t="s">
        <v>8597</v>
      </c>
      <c r="DC85" s="368" t="s">
        <v>7722</v>
      </c>
      <c r="DD85" s="368" t="s">
        <v>7610</v>
      </c>
      <c r="DE85" s="368" t="s">
        <v>8666</v>
      </c>
      <c r="DF85" s="368" t="s">
        <v>8651</v>
      </c>
      <c r="DG85" s="368" t="s">
        <v>7757</v>
      </c>
      <c r="DH85" s="368" t="s">
        <v>7726</v>
      </c>
      <c r="DI85" s="368" t="s">
        <v>8669</v>
      </c>
      <c r="DJ85" s="368" t="s">
        <v>7713</v>
      </c>
      <c r="DK85" s="368" t="s">
        <v>8621</v>
      </c>
      <c r="DL85" s="368" t="s">
        <v>7661</v>
      </c>
      <c r="DM85" s="368" t="s">
        <v>8551</v>
      </c>
      <c r="DN85" s="368" t="s">
        <v>8683</v>
      </c>
      <c r="DO85" s="368" t="s">
        <v>8623</v>
      </c>
      <c r="DP85" s="368" t="s">
        <v>7784</v>
      </c>
      <c r="DQ85" s="368" t="s">
        <v>8602</v>
      </c>
      <c r="DR85" s="368" t="s">
        <v>8615</v>
      </c>
      <c r="DS85" s="368" t="s">
        <v>7681</v>
      </c>
      <c r="DT85" s="368" t="s">
        <v>8660</v>
      </c>
      <c r="DU85" s="368" t="s">
        <v>7763</v>
      </c>
      <c r="DV85" s="368" t="s">
        <v>8600</v>
      </c>
      <c r="DW85" s="368" t="s">
        <v>7792</v>
      </c>
      <c r="DX85" s="368" t="s">
        <v>8641</v>
      </c>
      <c r="DY85" s="368" t="s">
        <v>8598</v>
      </c>
      <c r="DZ85" s="368" t="s">
        <v>7627</v>
      </c>
      <c r="EA85" s="368" t="s">
        <v>8544</v>
      </c>
      <c r="EB85" s="367" t="s">
        <v>8674</v>
      </c>
      <c r="EC85" s="367" t="s">
        <v>10201</v>
      </c>
      <c r="ED85" s="367"/>
      <c r="EE85" s="367" t="s">
        <v>10201</v>
      </c>
      <c r="EF85" s="368" t="s">
        <v>7749</v>
      </c>
      <c r="EG85" s="368" t="s">
        <v>7743</v>
      </c>
      <c r="EH85" s="369" t="s">
        <v>8685</v>
      </c>
      <c r="EI85" s="367" t="s">
        <v>7646</v>
      </c>
      <c r="EJ85" s="367" t="s">
        <v>10201</v>
      </c>
    </row>
    <row r="86" spans="1:140" ht="12" customHeight="1">
      <c r="A86" s="513"/>
      <c r="B86" s="381" t="s">
        <v>8731</v>
      </c>
      <c r="C86" s="382" t="s">
        <v>8507</v>
      </c>
      <c r="D86" s="382" t="s">
        <v>8507</v>
      </c>
      <c r="E86" s="383" t="s">
        <v>8507</v>
      </c>
      <c r="F86" s="381" t="s">
        <v>8507</v>
      </c>
      <c r="G86" s="381" t="s">
        <v>8731</v>
      </c>
      <c r="H86" s="381"/>
      <c r="I86" s="381" t="s">
        <v>8731</v>
      </c>
      <c r="J86" s="382" t="s">
        <v>8506</v>
      </c>
      <c r="K86" s="382" t="s">
        <v>8506</v>
      </c>
      <c r="L86" s="382" t="s">
        <v>8506</v>
      </c>
      <c r="M86" s="382" t="s">
        <v>8506</v>
      </c>
      <c r="N86" s="382" t="s">
        <v>8506</v>
      </c>
      <c r="O86" s="382" t="s">
        <v>8506</v>
      </c>
      <c r="P86" s="382" t="s">
        <v>8506</v>
      </c>
      <c r="Q86" s="382" t="s">
        <v>8506</v>
      </c>
      <c r="R86" s="382" t="s">
        <v>8506</v>
      </c>
      <c r="S86" s="382" t="s">
        <v>8506</v>
      </c>
      <c r="T86" s="382" t="s">
        <v>8506</v>
      </c>
      <c r="U86" s="382" t="s">
        <v>8506</v>
      </c>
      <c r="V86" s="382" t="s">
        <v>8506</v>
      </c>
      <c r="W86" s="382" t="s">
        <v>8506</v>
      </c>
      <c r="X86" s="382" t="s">
        <v>8506</v>
      </c>
      <c r="Y86" s="382" t="s">
        <v>8506</v>
      </c>
      <c r="Z86" s="382" t="s">
        <v>8506</v>
      </c>
      <c r="AA86" s="382" t="s">
        <v>8506</v>
      </c>
      <c r="AB86" s="382" t="s">
        <v>8506</v>
      </c>
      <c r="AC86" s="382" t="s">
        <v>8506</v>
      </c>
      <c r="AD86" s="382" t="s">
        <v>8506</v>
      </c>
      <c r="AE86" s="383" t="s">
        <v>8506</v>
      </c>
      <c r="AF86" s="382" t="s">
        <v>8506</v>
      </c>
      <c r="AG86" s="382" t="s">
        <v>8506</v>
      </c>
      <c r="AH86" s="382" t="s">
        <v>8506</v>
      </c>
      <c r="AI86" s="382" t="s">
        <v>8506</v>
      </c>
      <c r="AJ86" s="382" t="s">
        <v>8506</v>
      </c>
      <c r="AK86" s="382" t="s">
        <v>8506</v>
      </c>
      <c r="AL86" s="382" t="s">
        <v>8506</v>
      </c>
      <c r="AM86" s="382" t="s">
        <v>8506</v>
      </c>
      <c r="AN86" s="382" t="s">
        <v>8506</v>
      </c>
      <c r="AO86" s="382" t="s">
        <v>8506</v>
      </c>
      <c r="AP86" s="382" t="s">
        <v>8506</v>
      </c>
      <c r="AQ86" s="382" t="s">
        <v>8506</v>
      </c>
      <c r="AR86" s="382" t="s">
        <v>8506</v>
      </c>
      <c r="AS86" s="382" t="s">
        <v>8506</v>
      </c>
      <c r="AT86" s="382" t="s">
        <v>8506</v>
      </c>
      <c r="AU86" s="382" t="s">
        <v>8506</v>
      </c>
      <c r="AV86" s="382" t="s">
        <v>8506</v>
      </c>
      <c r="AW86" s="382" t="s">
        <v>8506</v>
      </c>
      <c r="AX86" s="382" t="s">
        <v>8506</v>
      </c>
      <c r="AY86" s="382" t="s">
        <v>8506</v>
      </c>
      <c r="AZ86" s="382" t="s">
        <v>8506</v>
      </c>
      <c r="BA86" s="382" t="s">
        <v>8506</v>
      </c>
      <c r="BB86" s="382" t="s">
        <v>8506</v>
      </c>
      <c r="BC86" s="382" t="s">
        <v>8506</v>
      </c>
      <c r="BD86" s="382" t="s">
        <v>8506</v>
      </c>
      <c r="BE86" s="382" t="s">
        <v>8506</v>
      </c>
      <c r="BF86" s="382" t="s">
        <v>8506</v>
      </c>
      <c r="BG86" s="382" t="s">
        <v>8506</v>
      </c>
      <c r="BH86" s="382" t="s">
        <v>8506</v>
      </c>
      <c r="BI86" s="382" t="s">
        <v>8506</v>
      </c>
      <c r="BJ86" s="382" t="s">
        <v>8506</v>
      </c>
      <c r="BK86" s="382" t="s">
        <v>8506</v>
      </c>
      <c r="BL86" s="382" t="s">
        <v>8506</v>
      </c>
      <c r="BM86" s="382" t="s">
        <v>8506</v>
      </c>
      <c r="BN86" s="382" t="s">
        <v>8506</v>
      </c>
      <c r="BO86" s="382" t="s">
        <v>8506</v>
      </c>
      <c r="BP86" s="382" t="s">
        <v>8506</v>
      </c>
      <c r="BQ86" s="381" t="s">
        <v>8506</v>
      </c>
      <c r="BR86" s="381" t="s">
        <v>8731</v>
      </c>
      <c r="BS86" s="329" t="s">
        <v>10274</v>
      </c>
      <c r="BT86" s="367" t="s">
        <v>8731</v>
      </c>
      <c r="BU86" s="368" t="s">
        <v>8506</v>
      </c>
      <c r="BV86" s="368" t="s">
        <v>8506</v>
      </c>
      <c r="BW86" s="368" t="s">
        <v>8506</v>
      </c>
      <c r="BX86" s="368" t="s">
        <v>8506</v>
      </c>
      <c r="BY86" s="368" t="s">
        <v>8506</v>
      </c>
      <c r="BZ86" s="368" t="s">
        <v>8506</v>
      </c>
      <c r="CA86" s="368" t="s">
        <v>8506</v>
      </c>
      <c r="CB86" s="368" t="s">
        <v>8506</v>
      </c>
      <c r="CC86" s="368" t="s">
        <v>8506</v>
      </c>
      <c r="CD86" s="368" t="s">
        <v>8506</v>
      </c>
      <c r="CE86" s="368" t="s">
        <v>8506</v>
      </c>
      <c r="CF86" s="368" t="s">
        <v>8506</v>
      </c>
      <c r="CG86" s="368" t="s">
        <v>8506</v>
      </c>
      <c r="CH86" s="368" t="s">
        <v>8506</v>
      </c>
      <c r="CI86" s="368" t="s">
        <v>8506</v>
      </c>
      <c r="CJ86" s="368" t="s">
        <v>8506</v>
      </c>
      <c r="CK86" s="368" t="s">
        <v>8506</v>
      </c>
      <c r="CL86" s="368" t="s">
        <v>8506</v>
      </c>
      <c r="CM86" s="368" t="s">
        <v>8506</v>
      </c>
      <c r="CN86" s="368" t="s">
        <v>8506</v>
      </c>
      <c r="CO86" s="368" t="s">
        <v>8506</v>
      </c>
      <c r="CP86" s="368" t="s">
        <v>8506</v>
      </c>
      <c r="CQ86" s="368" t="s">
        <v>8506</v>
      </c>
      <c r="CR86" s="368" t="s">
        <v>8506</v>
      </c>
      <c r="CS86" s="368" t="s">
        <v>8506</v>
      </c>
      <c r="CT86" s="368" t="s">
        <v>8506</v>
      </c>
      <c r="CU86" s="368" t="s">
        <v>8506</v>
      </c>
      <c r="CV86" s="368" t="s">
        <v>8506</v>
      </c>
      <c r="CW86" s="368" t="s">
        <v>8506</v>
      </c>
      <c r="CX86" s="368" t="s">
        <v>8506</v>
      </c>
      <c r="CY86" s="368" t="s">
        <v>8506</v>
      </c>
      <c r="CZ86" s="368" t="s">
        <v>8506</v>
      </c>
      <c r="DA86" s="368" t="s">
        <v>8506</v>
      </c>
      <c r="DB86" s="368" t="s">
        <v>8506</v>
      </c>
      <c r="DC86" s="368" t="s">
        <v>8506</v>
      </c>
      <c r="DD86" s="368" t="s">
        <v>8506</v>
      </c>
      <c r="DE86" s="368" t="s">
        <v>8506</v>
      </c>
      <c r="DF86" s="368" t="s">
        <v>8506</v>
      </c>
      <c r="DG86" s="368" t="s">
        <v>8506</v>
      </c>
      <c r="DH86" s="368" t="s">
        <v>8506</v>
      </c>
      <c r="DI86" s="368" t="s">
        <v>8506</v>
      </c>
      <c r="DJ86" s="368" t="s">
        <v>8506</v>
      </c>
      <c r="DK86" s="368" t="s">
        <v>8506</v>
      </c>
      <c r="DL86" s="368" t="s">
        <v>8506</v>
      </c>
      <c r="DM86" s="368" t="s">
        <v>8506</v>
      </c>
      <c r="DN86" s="368" t="s">
        <v>8506</v>
      </c>
      <c r="DO86" s="368" t="s">
        <v>8506</v>
      </c>
      <c r="DP86" s="368" t="s">
        <v>8506</v>
      </c>
      <c r="DQ86" s="368" t="s">
        <v>8506</v>
      </c>
      <c r="DR86" s="368" t="s">
        <v>8506</v>
      </c>
      <c r="DS86" s="368" t="s">
        <v>8506</v>
      </c>
      <c r="DT86" s="368" t="s">
        <v>8506</v>
      </c>
      <c r="DU86" s="368" t="s">
        <v>8506</v>
      </c>
      <c r="DV86" s="368" t="s">
        <v>8506</v>
      </c>
      <c r="DW86" s="368" t="s">
        <v>8506</v>
      </c>
      <c r="DX86" s="368" t="s">
        <v>8506</v>
      </c>
      <c r="DY86" s="368" t="s">
        <v>8506</v>
      </c>
      <c r="DZ86" s="368" t="s">
        <v>8506</v>
      </c>
      <c r="EA86" s="368" t="s">
        <v>8506</v>
      </c>
      <c r="EB86" s="367" t="s">
        <v>8506</v>
      </c>
      <c r="EC86" s="367" t="s">
        <v>8731</v>
      </c>
      <c r="ED86" s="367"/>
      <c r="EE86" s="367" t="s">
        <v>8731</v>
      </c>
      <c r="EF86" s="368" t="s">
        <v>8507</v>
      </c>
      <c r="EG86" s="368" t="s">
        <v>8507</v>
      </c>
      <c r="EH86" s="369" t="s">
        <v>8507</v>
      </c>
      <c r="EI86" s="367" t="s">
        <v>8507</v>
      </c>
      <c r="EJ86" s="367" t="s">
        <v>8731</v>
      </c>
    </row>
    <row r="87" spans="1:140" ht="12" customHeight="1" thickBot="1">
      <c r="A87" s="513"/>
      <c r="B87" s="387" t="s">
        <v>10202</v>
      </c>
      <c r="C87" s="388" t="s">
        <v>10220</v>
      </c>
      <c r="D87" s="388" t="s">
        <v>10216</v>
      </c>
      <c r="E87" s="389" t="s">
        <v>10233</v>
      </c>
      <c r="F87" s="387" t="s">
        <v>10215</v>
      </c>
      <c r="G87" s="387" t="s">
        <v>10202</v>
      </c>
      <c r="H87" s="387"/>
      <c r="I87" s="387" t="s">
        <v>10202</v>
      </c>
      <c r="J87" s="388" t="s">
        <v>11535</v>
      </c>
      <c r="K87" s="388" t="s">
        <v>11536</v>
      </c>
      <c r="L87" s="388" t="s">
        <v>11537</v>
      </c>
      <c r="M87" s="388" t="s">
        <v>11538</v>
      </c>
      <c r="N87" s="388" t="s">
        <v>10227</v>
      </c>
      <c r="O87" s="388" t="s">
        <v>11539</v>
      </c>
      <c r="P87" s="388" t="s">
        <v>10216</v>
      </c>
      <c r="Q87" s="388" t="s">
        <v>11540</v>
      </c>
      <c r="R87" s="388" t="s">
        <v>11541</v>
      </c>
      <c r="S87" s="388" t="s">
        <v>11542</v>
      </c>
      <c r="T87" s="388" t="s">
        <v>11543</v>
      </c>
      <c r="U87" s="388" t="s">
        <v>11544</v>
      </c>
      <c r="V87" s="388" t="s">
        <v>10230</v>
      </c>
      <c r="W87" s="388" t="s">
        <v>11545</v>
      </c>
      <c r="X87" s="388" t="s">
        <v>11546</v>
      </c>
      <c r="Y87" s="388" t="s">
        <v>11547</v>
      </c>
      <c r="Z87" s="388" t="s">
        <v>11548</v>
      </c>
      <c r="AA87" s="388" t="s">
        <v>11549</v>
      </c>
      <c r="AB87" s="388" t="s">
        <v>11550</v>
      </c>
      <c r="AC87" s="388" t="s">
        <v>11551</v>
      </c>
      <c r="AD87" s="388" t="s">
        <v>11552</v>
      </c>
      <c r="AE87" s="389" t="s">
        <v>11553</v>
      </c>
      <c r="AF87" s="388" t="s">
        <v>11554</v>
      </c>
      <c r="AG87" s="388" t="s">
        <v>11555</v>
      </c>
      <c r="AH87" s="388" t="s">
        <v>11556</v>
      </c>
      <c r="AI87" s="388" t="s">
        <v>11557</v>
      </c>
      <c r="AJ87" s="388" t="s">
        <v>11558</v>
      </c>
      <c r="AK87" s="388" t="s">
        <v>11559</v>
      </c>
      <c r="AL87" s="388" t="s">
        <v>10231</v>
      </c>
      <c r="AM87" s="388" t="s">
        <v>11560</v>
      </c>
      <c r="AN87" s="388" t="s">
        <v>11561</v>
      </c>
      <c r="AO87" s="388" t="s">
        <v>11562</v>
      </c>
      <c r="AP87" s="388" t="s">
        <v>11563</v>
      </c>
      <c r="AQ87" s="388" t="s">
        <v>11564</v>
      </c>
      <c r="AR87" s="388" t="s">
        <v>11565</v>
      </c>
      <c r="AS87" s="388" t="s">
        <v>11566</v>
      </c>
      <c r="AT87" s="388" t="s">
        <v>11567</v>
      </c>
      <c r="AU87" s="388" t="s">
        <v>11568</v>
      </c>
      <c r="AV87" s="388" t="s">
        <v>11569</v>
      </c>
      <c r="AW87" s="388" t="s">
        <v>11570</v>
      </c>
      <c r="AX87" s="388" t="s">
        <v>10224</v>
      </c>
      <c r="AY87" s="388" t="s">
        <v>11571</v>
      </c>
      <c r="AZ87" s="388" t="s">
        <v>11572</v>
      </c>
      <c r="BA87" s="388" t="s">
        <v>11573</v>
      </c>
      <c r="BB87" s="388" t="s">
        <v>11574</v>
      </c>
      <c r="BC87" s="388" t="s">
        <v>11575</v>
      </c>
      <c r="BD87" s="388" t="s">
        <v>11576</v>
      </c>
      <c r="BE87" s="388" t="s">
        <v>11577</v>
      </c>
      <c r="BF87" s="388" t="s">
        <v>11578</v>
      </c>
      <c r="BG87" s="388" t="s">
        <v>11579</v>
      </c>
      <c r="BH87" s="388" t="s">
        <v>10202</v>
      </c>
      <c r="BI87" s="388" t="s">
        <v>11580</v>
      </c>
      <c r="BJ87" s="388" t="s">
        <v>11581</v>
      </c>
      <c r="BK87" s="388" t="s">
        <v>10288</v>
      </c>
      <c r="BL87" s="388" t="s">
        <v>11582</v>
      </c>
      <c r="BM87" s="388" t="s">
        <v>11583</v>
      </c>
      <c r="BN87" s="388" t="s">
        <v>11584</v>
      </c>
      <c r="BO87" s="388" t="s">
        <v>11585</v>
      </c>
      <c r="BP87" s="388" t="s">
        <v>11586</v>
      </c>
      <c r="BQ87" s="387" t="s">
        <v>11587</v>
      </c>
      <c r="BR87" s="387" t="s">
        <v>10202</v>
      </c>
      <c r="BS87" s="331"/>
      <c r="BT87" s="372" t="s">
        <v>10202</v>
      </c>
      <c r="BU87" s="376" t="s">
        <v>10276</v>
      </c>
      <c r="BV87" s="376" t="s">
        <v>11588</v>
      </c>
      <c r="BW87" s="376" t="s">
        <v>11589</v>
      </c>
      <c r="BX87" s="376" t="s">
        <v>11590</v>
      </c>
      <c r="BY87" s="376" t="s">
        <v>11591</v>
      </c>
      <c r="BZ87" s="376" t="s">
        <v>11592</v>
      </c>
      <c r="CA87" s="376" t="s">
        <v>11593</v>
      </c>
      <c r="CB87" s="376" t="s">
        <v>11594</v>
      </c>
      <c r="CC87" s="376" t="s">
        <v>11595</v>
      </c>
      <c r="CD87" s="376" t="s">
        <v>11596</v>
      </c>
      <c r="CE87" s="376" t="s">
        <v>11597</v>
      </c>
      <c r="CF87" s="376" t="s">
        <v>11598</v>
      </c>
      <c r="CG87" s="376" t="s">
        <v>11599</v>
      </c>
      <c r="CH87" s="376" t="s">
        <v>11600</v>
      </c>
      <c r="CI87" s="376" t="s">
        <v>11601</v>
      </c>
      <c r="CJ87" s="376" t="s">
        <v>11602</v>
      </c>
      <c r="CK87" s="376" t="s">
        <v>11603</v>
      </c>
      <c r="CL87" s="376" t="s">
        <v>11604</v>
      </c>
      <c r="CM87" s="376" t="s">
        <v>11605</v>
      </c>
      <c r="CN87" s="376" t="s">
        <v>11606</v>
      </c>
      <c r="CO87" s="376" t="s">
        <v>11607</v>
      </c>
      <c r="CP87" s="376" t="s">
        <v>11608</v>
      </c>
      <c r="CQ87" s="376" t="s">
        <v>11609</v>
      </c>
      <c r="CR87" s="376" t="s">
        <v>10254</v>
      </c>
      <c r="CS87" s="376" t="s">
        <v>11610</v>
      </c>
      <c r="CT87" s="376" t="s">
        <v>11611</v>
      </c>
      <c r="CU87" s="376" t="s">
        <v>11612</v>
      </c>
      <c r="CV87" s="376" t="s">
        <v>10329</v>
      </c>
      <c r="CW87" s="376" t="s">
        <v>11613</v>
      </c>
      <c r="CX87" s="376" t="s">
        <v>11614</v>
      </c>
      <c r="CY87" s="376" t="s">
        <v>11615</v>
      </c>
      <c r="CZ87" s="376" t="s">
        <v>11616</v>
      </c>
      <c r="DA87" s="376" t="s">
        <v>11617</v>
      </c>
      <c r="DB87" s="376" t="s">
        <v>11618</v>
      </c>
      <c r="DC87" s="376" t="s">
        <v>11619</v>
      </c>
      <c r="DD87" s="376" t="s">
        <v>10258</v>
      </c>
      <c r="DE87" s="376" t="s">
        <v>11620</v>
      </c>
      <c r="DF87" s="376" t="s">
        <v>11621</v>
      </c>
      <c r="DG87" s="376" t="s">
        <v>11622</v>
      </c>
      <c r="DH87" s="376" t="s">
        <v>11623</v>
      </c>
      <c r="DI87" s="376" t="s">
        <v>11624</v>
      </c>
      <c r="DJ87" s="376" t="s">
        <v>11625</v>
      </c>
      <c r="DK87" s="376" t="s">
        <v>11626</v>
      </c>
      <c r="DL87" s="376" t="s">
        <v>11627</v>
      </c>
      <c r="DM87" s="376" t="s">
        <v>11628</v>
      </c>
      <c r="DN87" s="376" t="s">
        <v>11629</v>
      </c>
      <c r="DO87" s="376" t="s">
        <v>11630</v>
      </c>
      <c r="DP87" s="376" t="s">
        <v>11631</v>
      </c>
      <c r="DQ87" s="376" t="s">
        <v>11632</v>
      </c>
      <c r="DR87" s="376" t="s">
        <v>11633</v>
      </c>
      <c r="DS87" s="376" t="s">
        <v>11634</v>
      </c>
      <c r="DT87" s="376" t="s">
        <v>11635</v>
      </c>
      <c r="DU87" s="376" t="s">
        <v>11636</v>
      </c>
      <c r="DV87" s="376" t="s">
        <v>11637</v>
      </c>
      <c r="DW87" s="376" t="s">
        <v>11638</v>
      </c>
      <c r="DX87" s="376" t="s">
        <v>11639</v>
      </c>
      <c r="DY87" s="376" t="s">
        <v>11640</v>
      </c>
      <c r="DZ87" s="376" t="s">
        <v>10256</v>
      </c>
      <c r="EA87" s="376" t="s">
        <v>11641</v>
      </c>
      <c r="EB87" s="372" t="s">
        <v>11642</v>
      </c>
      <c r="EC87" s="372" t="s">
        <v>10202</v>
      </c>
      <c r="ED87" s="372"/>
      <c r="EE87" s="372" t="s">
        <v>10202</v>
      </c>
      <c r="EF87" s="376" t="s">
        <v>10271</v>
      </c>
      <c r="EG87" s="376" t="s">
        <v>10272</v>
      </c>
      <c r="EH87" s="377" t="s">
        <v>10268</v>
      </c>
      <c r="EI87" s="372" t="s">
        <v>10250</v>
      </c>
      <c r="EJ87" s="372" t="s">
        <v>10202</v>
      </c>
    </row>
    <row r="88" spans="1:140" ht="12" customHeight="1">
      <c r="A88" s="515"/>
      <c r="B88" s="517">
        <v>1</v>
      </c>
      <c r="C88" s="517">
        <v>2</v>
      </c>
      <c r="D88" s="517">
        <v>3</v>
      </c>
      <c r="E88" s="517">
        <v>4</v>
      </c>
      <c r="F88" s="517">
        <v>5</v>
      </c>
      <c r="G88" s="517">
        <v>6</v>
      </c>
      <c r="H88" s="517">
        <v>7</v>
      </c>
      <c r="I88" s="517">
        <v>8</v>
      </c>
      <c r="J88" s="517">
        <v>9</v>
      </c>
      <c r="K88" s="517">
        <v>10</v>
      </c>
      <c r="L88" s="517">
        <v>11</v>
      </c>
      <c r="M88" s="517">
        <v>12</v>
      </c>
      <c r="N88" s="517">
        <v>13</v>
      </c>
      <c r="O88" s="517">
        <v>14</v>
      </c>
      <c r="P88" s="517">
        <v>15</v>
      </c>
      <c r="Q88" s="517">
        <v>16</v>
      </c>
      <c r="R88" s="517">
        <v>17</v>
      </c>
      <c r="S88" s="517">
        <v>18</v>
      </c>
      <c r="T88" s="517">
        <v>19</v>
      </c>
      <c r="U88" s="517">
        <v>20</v>
      </c>
      <c r="V88" s="517">
        <v>21</v>
      </c>
      <c r="W88" s="517">
        <v>22</v>
      </c>
      <c r="X88" s="517">
        <v>23</v>
      </c>
      <c r="Y88" s="517">
        <v>24</v>
      </c>
      <c r="Z88" s="517">
        <v>25</v>
      </c>
      <c r="AA88" s="517">
        <v>26</v>
      </c>
      <c r="AB88" s="517">
        <v>27</v>
      </c>
      <c r="AC88" s="517">
        <v>28</v>
      </c>
      <c r="AD88" s="517">
        <v>29</v>
      </c>
      <c r="AE88" s="517">
        <v>30</v>
      </c>
      <c r="AF88" s="517">
        <v>31</v>
      </c>
      <c r="AG88" s="517">
        <v>32</v>
      </c>
      <c r="AH88" s="517">
        <v>33</v>
      </c>
      <c r="AI88" s="517">
        <v>34</v>
      </c>
      <c r="AJ88" s="517">
        <v>35</v>
      </c>
      <c r="AK88" s="517">
        <v>36</v>
      </c>
      <c r="AL88" s="517">
        <v>37</v>
      </c>
      <c r="AM88" s="517">
        <v>38</v>
      </c>
      <c r="AN88" s="517">
        <v>39</v>
      </c>
      <c r="AO88" s="517">
        <v>40</v>
      </c>
      <c r="AP88" s="517">
        <v>41</v>
      </c>
      <c r="AQ88" s="517">
        <v>42</v>
      </c>
      <c r="AR88" s="517">
        <v>43</v>
      </c>
      <c r="AS88" s="517">
        <v>44</v>
      </c>
      <c r="AT88" s="517">
        <v>45</v>
      </c>
      <c r="AU88" s="517">
        <v>46</v>
      </c>
      <c r="AV88" s="517">
        <v>47</v>
      </c>
      <c r="AW88" s="517">
        <v>48</v>
      </c>
      <c r="AX88" s="517">
        <v>49</v>
      </c>
      <c r="AY88" s="517">
        <v>50</v>
      </c>
      <c r="AZ88" s="517">
        <v>51</v>
      </c>
      <c r="BA88" s="517">
        <v>52</v>
      </c>
      <c r="BB88" s="517">
        <v>53</v>
      </c>
      <c r="BC88" s="517">
        <v>54</v>
      </c>
      <c r="BD88" s="517">
        <v>55</v>
      </c>
      <c r="BE88" s="517">
        <v>56</v>
      </c>
      <c r="BF88" s="517">
        <v>57</v>
      </c>
      <c r="BG88" s="517">
        <v>58</v>
      </c>
      <c r="BH88" s="517">
        <v>59</v>
      </c>
      <c r="BI88" s="517">
        <v>60</v>
      </c>
      <c r="BJ88" s="517">
        <v>61</v>
      </c>
      <c r="BK88" s="517">
        <v>62</v>
      </c>
      <c r="BL88" s="517">
        <v>63</v>
      </c>
      <c r="BM88" s="517">
        <v>64</v>
      </c>
      <c r="BN88" s="517">
        <v>65</v>
      </c>
      <c r="BO88" s="517">
        <v>66</v>
      </c>
      <c r="BP88" s="517">
        <v>67</v>
      </c>
      <c r="BQ88" s="517">
        <v>68</v>
      </c>
      <c r="BR88" s="517">
        <v>69</v>
      </c>
      <c r="BS88" s="517">
        <v>70</v>
      </c>
      <c r="BT88" s="517">
        <v>71</v>
      </c>
      <c r="BU88" s="517">
        <v>72</v>
      </c>
      <c r="BV88" s="517">
        <v>73</v>
      </c>
      <c r="BW88" s="517">
        <v>74</v>
      </c>
      <c r="BX88" s="517">
        <v>75</v>
      </c>
      <c r="BY88" s="517">
        <v>76</v>
      </c>
      <c r="BZ88" s="517">
        <v>77</v>
      </c>
      <c r="CA88" s="517">
        <v>78</v>
      </c>
      <c r="CB88" s="517">
        <v>79</v>
      </c>
      <c r="CC88" s="517">
        <v>80</v>
      </c>
      <c r="CD88" s="517">
        <v>81</v>
      </c>
      <c r="CE88" s="517">
        <v>82</v>
      </c>
      <c r="CF88" s="517">
        <v>83</v>
      </c>
      <c r="CG88" s="517">
        <v>84</v>
      </c>
      <c r="CH88" s="517">
        <v>85</v>
      </c>
      <c r="CI88" s="517">
        <v>86</v>
      </c>
      <c r="CJ88" s="517">
        <v>87</v>
      </c>
      <c r="CK88" s="517">
        <v>88</v>
      </c>
      <c r="CL88" s="517">
        <v>89</v>
      </c>
      <c r="CM88" s="517">
        <v>90</v>
      </c>
      <c r="CN88" s="517">
        <v>91</v>
      </c>
      <c r="CO88" s="517">
        <v>92</v>
      </c>
      <c r="CP88" s="517">
        <v>93</v>
      </c>
      <c r="CQ88" s="517">
        <v>94</v>
      </c>
      <c r="CR88" s="517">
        <v>95</v>
      </c>
      <c r="CS88" s="517">
        <v>96</v>
      </c>
      <c r="CT88" s="517">
        <v>97</v>
      </c>
      <c r="CU88" s="517">
        <v>98</v>
      </c>
      <c r="CV88" s="517">
        <v>99</v>
      </c>
      <c r="CW88" s="517">
        <v>100</v>
      </c>
      <c r="CX88" s="517">
        <v>101</v>
      </c>
      <c r="CY88" s="517">
        <v>102</v>
      </c>
      <c r="CZ88" s="517">
        <v>103</v>
      </c>
      <c r="DA88" s="517">
        <v>104</v>
      </c>
      <c r="DB88" s="517">
        <v>105</v>
      </c>
      <c r="DC88" s="517">
        <v>106</v>
      </c>
      <c r="DD88" s="517">
        <v>107</v>
      </c>
      <c r="DE88" s="517">
        <v>108</v>
      </c>
      <c r="DF88" s="517">
        <v>109</v>
      </c>
      <c r="DG88" s="517">
        <v>110</v>
      </c>
      <c r="DH88" s="517">
        <v>111</v>
      </c>
      <c r="DI88" s="517">
        <v>112</v>
      </c>
      <c r="DJ88" s="517">
        <v>113</v>
      </c>
      <c r="DK88" s="517">
        <v>114</v>
      </c>
      <c r="DL88" s="517">
        <v>115</v>
      </c>
      <c r="DM88" s="517">
        <v>116</v>
      </c>
      <c r="DN88" s="517">
        <v>117</v>
      </c>
      <c r="DO88" s="517">
        <v>118</v>
      </c>
      <c r="DP88" s="517">
        <v>119</v>
      </c>
      <c r="DQ88" s="517">
        <v>120</v>
      </c>
      <c r="DR88" s="517">
        <v>121</v>
      </c>
      <c r="DS88" s="517">
        <v>122</v>
      </c>
      <c r="DT88" s="517">
        <v>123</v>
      </c>
      <c r="DU88" s="517">
        <v>124</v>
      </c>
      <c r="DV88" s="517">
        <v>125</v>
      </c>
      <c r="DW88" s="517">
        <v>126</v>
      </c>
      <c r="DX88" s="517">
        <v>127</v>
      </c>
      <c r="DY88" s="517">
        <v>128</v>
      </c>
      <c r="DZ88" s="517">
        <v>129</v>
      </c>
      <c r="EA88" s="517">
        <v>130</v>
      </c>
      <c r="EB88" s="517">
        <v>131</v>
      </c>
      <c r="EC88" s="517">
        <v>132</v>
      </c>
      <c r="ED88" s="517">
        <v>133</v>
      </c>
      <c r="EE88" s="517">
        <v>134</v>
      </c>
      <c r="EF88" s="517">
        <v>135</v>
      </c>
      <c r="EG88" s="517">
        <v>136</v>
      </c>
      <c r="EH88" s="517">
        <v>137</v>
      </c>
      <c r="EI88" s="517">
        <v>138</v>
      </c>
      <c r="EJ88" s="517">
        <v>139</v>
      </c>
    </row>
    <row r="89" spans="1:140" ht="12" customHeight="1">
      <c r="A89" s="516"/>
      <c r="B89" s="518"/>
      <c r="C89" s="518"/>
      <c r="D89" s="518"/>
      <c r="E89" s="518"/>
      <c r="F89" s="518"/>
      <c r="G89" s="518"/>
      <c r="H89" s="518"/>
      <c r="I89" s="518"/>
      <c r="J89" s="518"/>
      <c r="K89" s="518"/>
      <c r="L89" s="518"/>
      <c r="M89" s="518"/>
      <c r="N89" s="518"/>
      <c r="O89" s="518"/>
      <c r="P89" s="518"/>
      <c r="Q89" s="518"/>
      <c r="R89" s="518"/>
      <c r="S89" s="518"/>
      <c r="T89" s="518"/>
      <c r="U89" s="518"/>
      <c r="V89" s="518"/>
      <c r="W89" s="518"/>
      <c r="X89" s="518"/>
      <c r="Y89" s="518"/>
      <c r="Z89" s="518"/>
      <c r="AA89" s="518"/>
      <c r="AB89" s="518"/>
      <c r="AC89" s="518"/>
      <c r="AD89" s="518"/>
      <c r="AE89" s="518"/>
      <c r="AF89" s="518"/>
      <c r="AG89" s="518"/>
      <c r="AH89" s="518"/>
      <c r="AI89" s="518"/>
      <c r="AJ89" s="518"/>
      <c r="AK89" s="518"/>
      <c r="AL89" s="518"/>
      <c r="AM89" s="518"/>
      <c r="AN89" s="518"/>
      <c r="AO89" s="518"/>
      <c r="AP89" s="518"/>
      <c r="AQ89" s="518"/>
      <c r="AR89" s="518"/>
      <c r="AS89" s="518"/>
      <c r="AT89" s="518"/>
      <c r="AU89" s="518"/>
      <c r="AV89" s="518"/>
      <c r="AW89" s="518"/>
      <c r="AX89" s="518"/>
      <c r="AY89" s="518"/>
      <c r="AZ89" s="518"/>
      <c r="BA89" s="518"/>
      <c r="BB89" s="518"/>
      <c r="BC89" s="518"/>
      <c r="BD89" s="518"/>
      <c r="BE89" s="518"/>
      <c r="BF89" s="518"/>
      <c r="BG89" s="518"/>
      <c r="BH89" s="518"/>
      <c r="BI89" s="518"/>
      <c r="BJ89" s="518"/>
      <c r="BK89" s="518"/>
      <c r="BL89" s="518"/>
      <c r="BM89" s="518"/>
      <c r="BN89" s="518"/>
      <c r="BO89" s="518"/>
      <c r="BP89" s="518"/>
      <c r="BQ89" s="518"/>
      <c r="BR89" s="518"/>
      <c r="BS89" s="518"/>
      <c r="BT89" s="518"/>
      <c r="BU89" s="518"/>
      <c r="BV89" s="518"/>
      <c r="BW89" s="518"/>
      <c r="BX89" s="518"/>
      <c r="BY89" s="518"/>
      <c r="BZ89" s="518"/>
      <c r="CA89" s="518"/>
      <c r="CB89" s="518"/>
      <c r="CC89" s="518"/>
      <c r="CD89" s="518"/>
      <c r="CE89" s="518"/>
      <c r="CF89" s="518"/>
      <c r="CG89" s="518"/>
      <c r="CH89" s="518"/>
      <c r="CI89" s="518"/>
      <c r="CJ89" s="518"/>
      <c r="CK89" s="518"/>
      <c r="CL89" s="518"/>
      <c r="CM89" s="518"/>
      <c r="CN89" s="518"/>
      <c r="CO89" s="518"/>
      <c r="CP89" s="518"/>
      <c r="CQ89" s="518"/>
      <c r="CR89" s="518"/>
      <c r="CS89" s="518"/>
      <c r="CT89" s="518"/>
      <c r="CU89" s="518"/>
      <c r="CV89" s="518"/>
      <c r="CW89" s="518"/>
      <c r="CX89" s="518"/>
      <c r="CY89" s="518"/>
      <c r="CZ89" s="518"/>
      <c r="DA89" s="518"/>
      <c r="DB89" s="518"/>
      <c r="DC89" s="518"/>
      <c r="DD89" s="518"/>
      <c r="DE89" s="518"/>
      <c r="DF89" s="518"/>
      <c r="DG89" s="518"/>
      <c r="DH89" s="518"/>
      <c r="DI89" s="518"/>
      <c r="DJ89" s="518"/>
      <c r="DK89" s="518"/>
      <c r="DL89" s="518"/>
      <c r="DM89" s="518"/>
      <c r="DN89" s="518"/>
      <c r="DO89" s="518"/>
      <c r="DP89" s="518"/>
      <c r="DQ89" s="518"/>
      <c r="DR89" s="518"/>
      <c r="DS89" s="518"/>
      <c r="DT89" s="518"/>
      <c r="DU89" s="518"/>
      <c r="DV89" s="518"/>
      <c r="DW89" s="518"/>
      <c r="DX89" s="518"/>
      <c r="DY89" s="518"/>
      <c r="DZ89" s="518"/>
      <c r="EA89" s="518"/>
      <c r="EB89" s="518"/>
      <c r="EC89" s="518"/>
      <c r="ED89" s="518"/>
      <c r="EE89" s="518"/>
      <c r="EF89" s="518"/>
      <c r="EG89" s="518"/>
      <c r="EH89" s="518"/>
      <c r="EI89" s="518"/>
      <c r="EJ89" s="518"/>
    </row>
    <row r="90" spans="1:140" ht="12" customHeight="1">
      <c r="A90" s="516"/>
      <c r="B90" s="518"/>
      <c r="C90" s="518"/>
      <c r="D90" s="518"/>
      <c r="E90" s="518"/>
      <c r="F90" s="518"/>
      <c r="G90" s="518"/>
      <c r="H90" s="518"/>
      <c r="I90" s="518"/>
      <c r="J90" s="518"/>
      <c r="K90" s="518"/>
      <c r="L90" s="518"/>
      <c r="M90" s="518"/>
      <c r="N90" s="518"/>
      <c r="O90" s="518"/>
      <c r="P90" s="518"/>
      <c r="Q90" s="518"/>
      <c r="R90" s="518"/>
      <c r="S90" s="518"/>
      <c r="T90" s="518"/>
      <c r="U90" s="518"/>
      <c r="V90" s="518"/>
      <c r="W90" s="518"/>
      <c r="X90" s="518"/>
      <c r="Y90" s="518"/>
      <c r="Z90" s="518"/>
      <c r="AA90" s="518"/>
      <c r="AB90" s="518"/>
      <c r="AC90" s="518"/>
      <c r="AD90" s="518"/>
      <c r="AE90" s="518"/>
      <c r="AF90" s="518"/>
      <c r="AG90" s="518"/>
      <c r="AH90" s="518"/>
      <c r="AI90" s="518"/>
      <c r="AJ90" s="518"/>
      <c r="AK90" s="518"/>
      <c r="AL90" s="518"/>
      <c r="AM90" s="518"/>
      <c r="AN90" s="518"/>
      <c r="AO90" s="518"/>
      <c r="AP90" s="518"/>
      <c r="AQ90" s="518"/>
      <c r="AR90" s="518"/>
      <c r="AS90" s="518"/>
      <c r="AT90" s="518"/>
      <c r="AU90" s="518"/>
      <c r="AV90" s="518"/>
      <c r="AW90" s="518"/>
      <c r="AX90" s="518"/>
      <c r="AY90" s="518"/>
      <c r="AZ90" s="518"/>
      <c r="BA90" s="518"/>
      <c r="BB90" s="518"/>
      <c r="BC90" s="518"/>
      <c r="BD90" s="518"/>
      <c r="BE90" s="518"/>
      <c r="BF90" s="518"/>
      <c r="BG90" s="518"/>
      <c r="BH90" s="518"/>
      <c r="BI90" s="518"/>
      <c r="BJ90" s="518"/>
      <c r="BK90" s="518"/>
      <c r="BL90" s="518"/>
      <c r="BM90" s="518"/>
      <c r="BN90" s="518"/>
      <c r="BO90" s="518"/>
      <c r="BP90" s="518"/>
      <c r="BQ90" s="518"/>
      <c r="BR90" s="518"/>
      <c r="BS90" s="518"/>
      <c r="BT90" s="518"/>
      <c r="BU90" s="518"/>
      <c r="BV90" s="518"/>
      <c r="BW90" s="518"/>
      <c r="BX90" s="518"/>
      <c r="BY90" s="518"/>
      <c r="BZ90" s="518"/>
      <c r="CA90" s="518"/>
      <c r="CB90" s="518"/>
      <c r="CC90" s="518"/>
      <c r="CD90" s="518"/>
      <c r="CE90" s="518"/>
      <c r="CF90" s="518"/>
      <c r="CG90" s="518"/>
      <c r="CH90" s="518"/>
      <c r="CI90" s="518"/>
      <c r="CJ90" s="518"/>
      <c r="CK90" s="518"/>
      <c r="CL90" s="518"/>
      <c r="CM90" s="518"/>
      <c r="CN90" s="518"/>
      <c r="CO90" s="518"/>
      <c r="CP90" s="518"/>
      <c r="CQ90" s="518"/>
      <c r="CR90" s="518"/>
      <c r="CS90" s="518"/>
      <c r="CT90" s="518"/>
      <c r="CU90" s="518"/>
      <c r="CV90" s="518"/>
      <c r="CW90" s="518"/>
      <c r="CX90" s="518"/>
      <c r="CY90" s="518"/>
      <c r="CZ90" s="518"/>
      <c r="DA90" s="518"/>
      <c r="DB90" s="518"/>
      <c r="DC90" s="518"/>
      <c r="DD90" s="518"/>
      <c r="DE90" s="518"/>
      <c r="DF90" s="518"/>
      <c r="DG90" s="518"/>
      <c r="DH90" s="518"/>
      <c r="DI90" s="518"/>
      <c r="DJ90" s="518"/>
      <c r="DK90" s="518"/>
      <c r="DL90" s="518"/>
      <c r="DM90" s="518"/>
      <c r="DN90" s="518"/>
      <c r="DO90" s="518"/>
      <c r="DP90" s="518"/>
      <c r="DQ90" s="518"/>
      <c r="DR90" s="518"/>
      <c r="DS90" s="518"/>
      <c r="DT90" s="518"/>
      <c r="DU90" s="518"/>
      <c r="DV90" s="518"/>
      <c r="DW90" s="518"/>
      <c r="DX90" s="518"/>
      <c r="DY90" s="518"/>
      <c r="DZ90" s="518"/>
      <c r="EA90" s="518"/>
      <c r="EB90" s="518"/>
      <c r="EC90" s="518"/>
      <c r="ED90" s="518"/>
      <c r="EE90" s="518"/>
      <c r="EF90" s="518"/>
      <c r="EG90" s="518"/>
      <c r="EH90" s="518"/>
      <c r="EI90" s="518"/>
      <c r="EJ90" s="518"/>
    </row>
    <row r="91" spans="1:140" ht="12" customHeight="1">
      <c r="A91" s="516"/>
      <c r="B91" s="518"/>
      <c r="C91" s="518"/>
      <c r="D91" s="518"/>
      <c r="E91" s="518"/>
      <c r="F91" s="518"/>
      <c r="G91" s="518"/>
      <c r="H91" s="518"/>
      <c r="I91" s="518"/>
      <c r="J91" s="518"/>
      <c r="K91" s="518"/>
      <c r="L91" s="518"/>
      <c r="M91" s="518"/>
      <c r="N91" s="518"/>
      <c r="O91" s="518"/>
      <c r="P91" s="518"/>
      <c r="Q91" s="518"/>
      <c r="R91" s="518"/>
      <c r="S91" s="518"/>
      <c r="T91" s="518"/>
      <c r="U91" s="518"/>
      <c r="V91" s="518"/>
      <c r="W91" s="518"/>
      <c r="X91" s="518"/>
      <c r="Y91" s="518"/>
      <c r="Z91" s="518"/>
      <c r="AA91" s="518"/>
      <c r="AB91" s="518"/>
      <c r="AC91" s="518"/>
      <c r="AD91" s="518"/>
      <c r="AE91" s="518"/>
      <c r="AF91" s="518"/>
      <c r="AG91" s="518"/>
      <c r="AH91" s="518"/>
      <c r="AI91" s="518"/>
      <c r="AJ91" s="518"/>
      <c r="AK91" s="518"/>
      <c r="AL91" s="518"/>
      <c r="AM91" s="518"/>
      <c r="AN91" s="518"/>
      <c r="AO91" s="518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</row>
    <row r="92" spans="1:140" ht="12" customHeight="1"/>
    <row r="93" spans="1:140" ht="12" customHeight="1"/>
    <row r="94" spans="1:140" ht="12" customHeight="1"/>
    <row r="95" spans="1:140" ht="12.75">
      <c r="A95" s="316"/>
      <c r="B95" s="316"/>
      <c r="C95" s="316"/>
      <c r="D95" s="316"/>
      <c r="E95" s="316"/>
      <c r="F95" s="316"/>
      <c r="G95" s="316"/>
      <c r="H95" s="316"/>
      <c r="I95" s="316"/>
      <c r="J95" s="316"/>
      <c r="K95" s="316"/>
      <c r="L95" s="316"/>
      <c r="M95" s="316"/>
      <c r="N95" s="316"/>
      <c r="O95" s="316"/>
      <c r="P95" s="316"/>
      <c r="Q95" s="316"/>
      <c r="R95" s="316"/>
      <c r="S95" s="316"/>
      <c r="T95" s="316"/>
      <c r="U95" s="316"/>
      <c r="V95" s="316"/>
      <c r="W95" s="316"/>
      <c r="X95" s="316"/>
      <c r="Y95" s="316"/>
      <c r="Z95" s="316"/>
      <c r="AA95" s="316"/>
      <c r="AB95" s="316"/>
      <c r="AC95" s="316"/>
      <c r="AD95" s="316"/>
      <c r="AE95" s="316"/>
      <c r="AF95" s="316"/>
      <c r="AG95" s="316"/>
      <c r="AH95" s="316"/>
      <c r="AI95" s="316"/>
    </row>
    <row r="96" spans="1:140" ht="12.75">
      <c r="A96" s="316"/>
      <c r="B96" s="316"/>
      <c r="C96" s="316"/>
      <c r="D96" s="316"/>
      <c r="E96" s="316"/>
      <c r="F96" s="316"/>
      <c r="G96" s="316"/>
      <c r="H96" s="316"/>
      <c r="I96" s="316"/>
      <c r="J96" s="316"/>
      <c r="K96" s="316"/>
      <c r="L96" s="316"/>
      <c r="M96" s="316"/>
      <c r="N96" s="316"/>
      <c r="O96" s="316"/>
      <c r="P96" s="316"/>
      <c r="Q96" s="316"/>
      <c r="R96" s="316"/>
      <c r="S96" s="316"/>
      <c r="T96" s="316"/>
      <c r="U96" s="316"/>
      <c r="V96" s="316"/>
      <c r="W96" s="316"/>
      <c r="X96" s="316"/>
      <c r="Y96" s="316"/>
      <c r="Z96" s="316"/>
      <c r="AA96" s="316"/>
      <c r="AB96" s="316"/>
      <c r="AC96" s="316"/>
      <c r="AD96" s="316"/>
      <c r="AE96" s="316"/>
      <c r="AF96" s="316"/>
      <c r="AG96" s="316"/>
      <c r="AH96" s="316"/>
      <c r="AI96" s="316"/>
    </row>
    <row r="97" spans="1:35" ht="12.75">
      <c r="A97" s="316"/>
      <c r="B97" s="316"/>
      <c r="C97" s="316"/>
      <c r="D97" s="316"/>
      <c r="E97" s="316"/>
      <c r="F97" s="316"/>
      <c r="G97" s="316"/>
      <c r="H97" s="316"/>
      <c r="I97" s="316"/>
      <c r="J97" s="316"/>
      <c r="K97" s="316"/>
      <c r="L97" s="316"/>
      <c r="M97" s="316"/>
      <c r="N97" s="316"/>
      <c r="O97" s="316"/>
      <c r="P97" s="316"/>
      <c r="Q97" s="316"/>
      <c r="R97" s="316"/>
      <c r="S97" s="316"/>
      <c r="T97" s="316"/>
      <c r="U97" s="316"/>
      <c r="V97" s="316"/>
      <c r="W97" s="316"/>
      <c r="X97" s="316"/>
      <c r="Y97" s="316"/>
      <c r="Z97" s="316"/>
      <c r="AA97" s="316"/>
      <c r="AB97" s="316"/>
      <c r="AC97" s="316"/>
      <c r="AD97" s="316"/>
      <c r="AE97" s="316"/>
      <c r="AF97" s="316"/>
      <c r="AG97" s="316"/>
      <c r="AH97" s="316"/>
      <c r="AI97" s="316"/>
    </row>
    <row r="98" spans="1:35" ht="12.75">
      <c r="AI98" s="316"/>
    </row>
    <row r="99" spans="1:35" ht="12.75">
      <c r="AI99" s="316"/>
    </row>
    <row r="100" spans="1:35" ht="12.75">
      <c r="AI100" s="316"/>
    </row>
    <row r="101" spans="1:35" ht="12.75">
      <c r="AI101" s="316"/>
    </row>
    <row r="102" spans="1:35" ht="12.75">
      <c r="AI102" s="316"/>
    </row>
    <row r="103" spans="1:35" ht="12.75">
      <c r="AI103" s="316"/>
    </row>
    <row r="104" spans="1:35" ht="12.75">
      <c r="AI104" s="316"/>
    </row>
    <row r="105" spans="1:35" ht="12.75">
      <c r="AI105" s="316"/>
    </row>
    <row r="106" spans="1:35" ht="12.75">
      <c r="AI106" s="316"/>
    </row>
    <row r="107" spans="1:35" ht="12.75">
      <c r="AI107" s="316"/>
    </row>
    <row r="108" spans="1:35" ht="12.75">
      <c r="AI108" s="316"/>
    </row>
    <row r="109" spans="1:35" ht="12.75">
      <c r="AI109" s="316"/>
    </row>
    <row r="110" spans="1:35" ht="12.75">
      <c r="AI110" s="316"/>
    </row>
    <row r="111" spans="1:35" ht="12.75">
      <c r="AI111" s="316"/>
    </row>
    <row r="112" spans="1:35" ht="12.75">
      <c r="AI112" s="316"/>
    </row>
    <row r="113" spans="35:35" ht="12.75">
      <c r="AI113" s="316"/>
    </row>
    <row r="114" spans="35:35" ht="12.75">
      <c r="AI114" s="316"/>
    </row>
    <row r="115" spans="35:35" ht="12.75">
      <c r="AI115" s="316"/>
    </row>
    <row r="116" spans="35:35" ht="12.75">
      <c r="AI116" s="316"/>
    </row>
    <row r="117" spans="35:35" ht="12.75">
      <c r="AI117" s="316"/>
    </row>
    <row r="118" spans="35:35" ht="12.75">
      <c r="AI118" s="316"/>
    </row>
    <row r="119" spans="35:35" ht="12.75">
      <c r="AI119" s="316"/>
    </row>
    <row r="120" spans="35:35" ht="12.75">
      <c r="AI120" s="316"/>
    </row>
    <row r="121" spans="35:35" ht="12.75">
      <c r="AI121" s="316"/>
    </row>
    <row r="122" spans="35:35" ht="12.75">
      <c r="AI122" s="316"/>
    </row>
    <row r="123" spans="35:35" ht="12.75">
      <c r="AI123" s="316"/>
    </row>
  </sheetData>
  <mergeCells count="304">
    <mergeCell ref="A68:A71"/>
    <mergeCell ref="A72:A75"/>
    <mergeCell ref="A76:A79"/>
    <mergeCell ref="A80:A83"/>
    <mergeCell ref="A84:A87"/>
    <mergeCell ref="B88:B91"/>
    <mergeCell ref="C88:C91"/>
    <mergeCell ref="D88:D91"/>
    <mergeCell ref="E88:E91"/>
    <mergeCell ref="F88:F91"/>
    <mergeCell ref="R88:R91"/>
    <mergeCell ref="G88:G91"/>
    <mergeCell ref="H88:H91"/>
    <mergeCell ref="I88:I91"/>
    <mergeCell ref="J88:J91"/>
    <mergeCell ref="K88:K91"/>
    <mergeCell ref="L88:L91"/>
    <mergeCell ref="M88:M91"/>
    <mergeCell ref="N88:N91"/>
    <mergeCell ref="O88:O91"/>
    <mergeCell ref="P88:P91"/>
    <mergeCell ref="Q88:Q91"/>
    <mergeCell ref="AD88:AD91"/>
    <mergeCell ref="S88:S91"/>
    <mergeCell ref="T88:T91"/>
    <mergeCell ref="U88:U91"/>
    <mergeCell ref="V88:V91"/>
    <mergeCell ref="W88:W91"/>
    <mergeCell ref="X88:X91"/>
    <mergeCell ref="Y88:Y91"/>
    <mergeCell ref="Z88:Z91"/>
    <mergeCell ref="AA88:AA91"/>
    <mergeCell ref="AB88:AB91"/>
    <mergeCell ref="AC88:AC91"/>
    <mergeCell ref="AP88:AP91"/>
    <mergeCell ref="AE88:AE91"/>
    <mergeCell ref="AF88:AF91"/>
    <mergeCell ref="AG88:AG91"/>
    <mergeCell ref="AH88:AH91"/>
    <mergeCell ref="AI88:AI91"/>
    <mergeCell ref="AJ88:AJ91"/>
    <mergeCell ref="AK88:AK91"/>
    <mergeCell ref="AL88:AL91"/>
    <mergeCell ref="AM88:AM91"/>
    <mergeCell ref="AN88:AN91"/>
    <mergeCell ref="AO88:AO91"/>
    <mergeCell ref="BB88:BB91"/>
    <mergeCell ref="AQ88:AQ91"/>
    <mergeCell ref="AR88:AR91"/>
    <mergeCell ref="AS88:AS91"/>
    <mergeCell ref="AT88:AT91"/>
    <mergeCell ref="AU88:AU91"/>
    <mergeCell ref="AV88:AV91"/>
    <mergeCell ref="AW88:AW91"/>
    <mergeCell ref="AX88:AX91"/>
    <mergeCell ref="AY88:AY91"/>
    <mergeCell ref="AZ88:AZ91"/>
    <mergeCell ref="BA88:BA91"/>
    <mergeCell ref="BN88:BN91"/>
    <mergeCell ref="BC88:BC91"/>
    <mergeCell ref="BD88:BD91"/>
    <mergeCell ref="BE88:BE91"/>
    <mergeCell ref="BF88:BF91"/>
    <mergeCell ref="BG88:BG91"/>
    <mergeCell ref="BH88:BH91"/>
    <mergeCell ref="BI88:BI91"/>
    <mergeCell ref="BJ88:BJ91"/>
    <mergeCell ref="BK88:BK91"/>
    <mergeCell ref="BL88:BL91"/>
    <mergeCell ref="BM88:BM91"/>
    <mergeCell ref="BZ88:BZ91"/>
    <mergeCell ref="BO88:BO91"/>
    <mergeCell ref="BP88:BP91"/>
    <mergeCell ref="BQ88:BQ91"/>
    <mergeCell ref="BR88:BR91"/>
    <mergeCell ref="BS88:BS91"/>
    <mergeCell ref="BT88:BT91"/>
    <mergeCell ref="BU88:BU91"/>
    <mergeCell ref="BV88:BV91"/>
    <mergeCell ref="BW88:BW91"/>
    <mergeCell ref="BX88:BX91"/>
    <mergeCell ref="BY88:BY91"/>
    <mergeCell ref="CL88:CL91"/>
    <mergeCell ref="CA88:CA91"/>
    <mergeCell ref="CB88:CB91"/>
    <mergeCell ref="CC88:CC91"/>
    <mergeCell ref="CD88:CD91"/>
    <mergeCell ref="CE88:CE91"/>
    <mergeCell ref="CF88:CF91"/>
    <mergeCell ref="CG88:CG91"/>
    <mergeCell ref="CH88:CH91"/>
    <mergeCell ref="CI88:CI91"/>
    <mergeCell ref="CJ88:CJ91"/>
    <mergeCell ref="CK88:CK91"/>
    <mergeCell ref="CX88:CX91"/>
    <mergeCell ref="CM88:CM91"/>
    <mergeCell ref="CN88:CN91"/>
    <mergeCell ref="CO88:CO91"/>
    <mergeCell ref="CP88:CP91"/>
    <mergeCell ref="CQ88:CQ91"/>
    <mergeCell ref="CR88:CR91"/>
    <mergeCell ref="DP88:DP91"/>
    <mergeCell ref="DE88:DE91"/>
    <mergeCell ref="DF88:DF91"/>
    <mergeCell ref="DG88:DG91"/>
    <mergeCell ref="DH88:DH91"/>
    <mergeCell ref="DI88:DI91"/>
    <mergeCell ref="DJ88:DJ91"/>
    <mergeCell ref="DK88:DK91"/>
    <mergeCell ref="DL88:DL91"/>
    <mergeCell ref="DM88:DM91"/>
    <mergeCell ref="DN88:DN91"/>
    <mergeCell ref="DO88:DO91"/>
    <mergeCell ref="CS88:CS91"/>
    <mergeCell ref="CT88:CT91"/>
    <mergeCell ref="CU88:CU91"/>
    <mergeCell ref="CV88:CV91"/>
    <mergeCell ref="CW88:CW91"/>
    <mergeCell ref="EB88:EB91"/>
    <mergeCell ref="DQ88:DQ91"/>
    <mergeCell ref="DR88:DR91"/>
    <mergeCell ref="DS88:DS91"/>
    <mergeCell ref="DT88:DT91"/>
    <mergeCell ref="DU88:DU91"/>
    <mergeCell ref="DV88:DV91"/>
    <mergeCell ref="DW88:DW91"/>
    <mergeCell ref="DX88:DX91"/>
    <mergeCell ref="DY88:DY91"/>
    <mergeCell ref="DZ88:DZ91"/>
    <mergeCell ref="EA88:EA91"/>
    <mergeCell ref="EI35:EI36"/>
    <mergeCell ref="EJ35:EJ36"/>
    <mergeCell ref="EI88:EI91"/>
    <mergeCell ref="EJ88:EJ91"/>
    <mergeCell ref="EC88:EC91"/>
    <mergeCell ref="ED88:ED91"/>
    <mergeCell ref="EE88:EE91"/>
    <mergeCell ref="EF88:EF91"/>
    <mergeCell ref="EG88:EG91"/>
    <mergeCell ref="EH88:EH91"/>
    <mergeCell ref="ED35:ED36"/>
    <mergeCell ref="EE35:EE36"/>
    <mergeCell ref="EF35:EF36"/>
    <mergeCell ref="EG35:EG36"/>
    <mergeCell ref="EH35:EH36"/>
    <mergeCell ref="DY35:DY36"/>
    <mergeCell ref="DZ35:DZ36"/>
    <mergeCell ref="EA35:EA36"/>
    <mergeCell ref="EB35:EB36"/>
    <mergeCell ref="EC35:EC36"/>
    <mergeCell ref="DT35:DT36"/>
    <mergeCell ref="DU35:DU36"/>
    <mergeCell ref="DV35:DV36"/>
    <mergeCell ref="DW35:DW36"/>
    <mergeCell ref="DX35:DX36"/>
    <mergeCell ref="DO35:DO36"/>
    <mergeCell ref="DP35:DP36"/>
    <mergeCell ref="DQ35:DQ36"/>
    <mergeCell ref="DR35:DR36"/>
    <mergeCell ref="DS35:DS36"/>
    <mergeCell ref="DJ35:DJ36"/>
    <mergeCell ref="DK35:DK36"/>
    <mergeCell ref="DL35:DL36"/>
    <mergeCell ref="DM35:DM36"/>
    <mergeCell ref="DN35:DN36"/>
    <mergeCell ref="DE35:DE36"/>
    <mergeCell ref="DF35:DF36"/>
    <mergeCell ref="DG35:DG36"/>
    <mergeCell ref="DH35:DH36"/>
    <mergeCell ref="DI35:DI36"/>
    <mergeCell ref="DC35:DC36"/>
    <mergeCell ref="DD35:DD36"/>
    <mergeCell ref="CY88:CY91"/>
    <mergeCell ref="CZ88:CZ91"/>
    <mergeCell ref="DA88:DA91"/>
    <mergeCell ref="DB88:DB91"/>
    <mergeCell ref="DC88:DC91"/>
    <mergeCell ref="DD88:DD91"/>
    <mergeCell ref="CX35:CX36"/>
    <mergeCell ref="CY35:CY36"/>
    <mergeCell ref="CZ35:CZ36"/>
    <mergeCell ref="DA35:DA36"/>
    <mergeCell ref="DB35:DB36"/>
    <mergeCell ref="CS35:CS36"/>
    <mergeCell ref="CT35:CT36"/>
    <mergeCell ref="CU35:CU36"/>
    <mergeCell ref="CV35:CV36"/>
    <mergeCell ref="CW35:CW36"/>
    <mergeCell ref="CN35:CN36"/>
    <mergeCell ref="CO35:CO36"/>
    <mergeCell ref="CP35:CP36"/>
    <mergeCell ref="CQ35:CQ36"/>
    <mergeCell ref="CR35:CR36"/>
    <mergeCell ref="CI35:CI36"/>
    <mergeCell ref="CJ35:CJ36"/>
    <mergeCell ref="CK35:CK36"/>
    <mergeCell ref="CL35:CL36"/>
    <mergeCell ref="CM35:CM36"/>
    <mergeCell ref="CD35:CD36"/>
    <mergeCell ref="CE35:CE36"/>
    <mergeCell ref="CF35:CF36"/>
    <mergeCell ref="CG35:CG36"/>
    <mergeCell ref="CH35:CH36"/>
    <mergeCell ref="BY35:BY36"/>
    <mergeCell ref="BZ35:BZ36"/>
    <mergeCell ref="CA35:CA36"/>
    <mergeCell ref="CB35:CB36"/>
    <mergeCell ref="CC35:CC36"/>
    <mergeCell ref="BT35:BT36"/>
    <mergeCell ref="BU35:BU36"/>
    <mergeCell ref="BV35:BV36"/>
    <mergeCell ref="BW35:BW36"/>
    <mergeCell ref="BX35:BX36"/>
    <mergeCell ref="A88:A91"/>
    <mergeCell ref="BR35:BR36"/>
    <mergeCell ref="BS35:BS36"/>
    <mergeCell ref="BM35:BM36"/>
    <mergeCell ref="BN35:BN36"/>
    <mergeCell ref="BO35:BO36"/>
    <mergeCell ref="BP35:BP36"/>
    <mergeCell ref="BQ35:BQ36"/>
    <mergeCell ref="BH35:BH36"/>
    <mergeCell ref="BI35:BI36"/>
    <mergeCell ref="BJ35:BJ36"/>
    <mergeCell ref="BK35:BK36"/>
    <mergeCell ref="BL35:BL36"/>
    <mergeCell ref="BC35:BC36"/>
    <mergeCell ref="BD35:BD36"/>
    <mergeCell ref="BE35:BE36"/>
    <mergeCell ref="BF35:BF36"/>
    <mergeCell ref="BG35:BG36"/>
    <mergeCell ref="AX35:AX36"/>
    <mergeCell ref="AY35:AY36"/>
    <mergeCell ref="AZ35:AZ36"/>
    <mergeCell ref="BA35:BA36"/>
    <mergeCell ref="BB35:BB36"/>
    <mergeCell ref="AS35:AS36"/>
    <mergeCell ref="AT35:AT36"/>
    <mergeCell ref="AU35:AU36"/>
    <mergeCell ref="AV35:AV36"/>
    <mergeCell ref="AW35:AW36"/>
    <mergeCell ref="AN35:AN36"/>
    <mergeCell ref="AO35:AO36"/>
    <mergeCell ref="AP35:AP36"/>
    <mergeCell ref="AQ35:AQ36"/>
    <mergeCell ref="AR35:AR36"/>
    <mergeCell ref="AK35:AK36"/>
    <mergeCell ref="AL35:AL36"/>
    <mergeCell ref="AM35:AM36"/>
    <mergeCell ref="A64:A67"/>
    <mergeCell ref="A40:A43"/>
    <mergeCell ref="A44:A47"/>
    <mergeCell ref="A48:A51"/>
    <mergeCell ref="A52:A55"/>
    <mergeCell ref="A56:A59"/>
    <mergeCell ref="A60:A63"/>
    <mergeCell ref="AG35:AG36"/>
    <mergeCell ref="AH35:AH36"/>
    <mergeCell ref="AI35:AI36"/>
    <mergeCell ref="AJ35:AJ36"/>
    <mergeCell ref="AB35:AB36"/>
    <mergeCell ref="AC35:AC36"/>
    <mergeCell ref="AD35:AD36"/>
    <mergeCell ref="AE35:AE36"/>
    <mergeCell ref="AF35:AF36"/>
    <mergeCell ref="W35:W36"/>
    <mergeCell ref="X35:X36"/>
    <mergeCell ref="Y35:Y36"/>
    <mergeCell ref="Z35:Z36"/>
    <mergeCell ref="AA35:AA36"/>
    <mergeCell ref="R35:R36"/>
    <mergeCell ref="S35:S36"/>
    <mergeCell ref="T35:T36"/>
    <mergeCell ref="U35:U36"/>
    <mergeCell ref="V35:V36"/>
    <mergeCell ref="M35:M36"/>
    <mergeCell ref="N35:N36"/>
    <mergeCell ref="O35:O36"/>
    <mergeCell ref="P35:P36"/>
    <mergeCell ref="Q35:Q36"/>
    <mergeCell ref="H35:H36"/>
    <mergeCell ref="I35:I36"/>
    <mergeCell ref="J35:J36"/>
    <mergeCell ref="K35:K36"/>
    <mergeCell ref="L35:L36"/>
    <mergeCell ref="C35:C36"/>
    <mergeCell ref="D35:D36"/>
    <mergeCell ref="E35:E36"/>
    <mergeCell ref="F35:F36"/>
    <mergeCell ref="G35:G36"/>
    <mergeCell ref="A29:A30"/>
    <mergeCell ref="A31:A32"/>
    <mergeCell ref="A33:A34"/>
    <mergeCell ref="A35:A36"/>
    <mergeCell ref="B35:B36"/>
    <mergeCell ref="A19:A20"/>
    <mergeCell ref="A21:A22"/>
    <mergeCell ref="A23:A24"/>
    <mergeCell ref="A25:A26"/>
    <mergeCell ref="A27:A28"/>
    <mergeCell ref="A11:A12"/>
    <mergeCell ref="A13:A14"/>
    <mergeCell ref="A15:A16"/>
    <mergeCell ref="A17:A18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F15"/>
  <sheetViews>
    <sheetView zoomScale="80" zoomScaleNormal="80" workbookViewId="0">
      <selection activeCell="N54" sqref="N54"/>
    </sheetView>
  </sheetViews>
  <sheetFormatPr baseColWidth="10" defaultRowHeight="12"/>
  <cols>
    <col min="1" max="1" width="51.140625" customWidth="1"/>
    <col min="2" max="2" width="14.42578125" bestFit="1" customWidth="1"/>
    <col min="3" max="3" width="15.85546875" style="289" bestFit="1" customWidth="1"/>
    <col min="5" max="5" width="43.42578125" customWidth="1"/>
  </cols>
  <sheetData>
    <row r="1" spans="1:6" s="181" customFormat="1" ht="15.75">
      <c r="A1" s="272" t="s">
        <v>8131</v>
      </c>
      <c r="B1" s="272" t="s">
        <v>213</v>
      </c>
      <c r="C1" s="272" t="s">
        <v>8132</v>
      </c>
      <c r="D1" s="272" t="s">
        <v>8133</v>
      </c>
      <c r="E1" s="272" t="s">
        <v>8134</v>
      </c>
    </row>
    <row r="2" spans="1:6" s="181" customFormat="1" ht="15.75">
      <c r="A2" s="275" t="s">
        <v>10189</v>
      </c>
      <c r="B2" s="321">
        <v>42086</v>
      </c>
      <c r="C2" s="318" t="s">
        <v>8693</v>
      </c>
      <c r="D2" s="322" t="s">
        <v>10186</v>
      </c>
      <c r="E2" s="320" t="s">
        <v>10187</v>
      </c>
    </row>
    <row r="3" spans="1:6" s="181" customFormat="1" ht="15.75">
      <c r="A3" s="275" t="s">
        <v>10190</v>
      </c>
      <c r="B3" s="321">
        <v>42090</v>
      </c>
      <c r="C3" s="273" t="s">
        <v>10192</v>
      </c>
      <c r="D3" s="322" t="s">
        <v>10186</v>
      </c>
      <c r="E3" s="273" t="s">
        <v>10188</v>
      </c>
    </row>
    <row r="4" spans="1:6" s="181" customFormat="1" ht="15.75">
      <c r="A4" s="275" t="s">
        <v>10191</v>
      </c>
      <c r="B4" s="321">
        <v>42109</v>
      </c>
      <c r="C4" s="273" t="s">
        <v>10192</v>
      </c>
      <c r="D4" s="322" t="s">
        <v>8696</v>
      </c>
      <c r="E4" s="273" t="s">
        <v>10193</v>
      </c>
    </row>
    <row r="5" spans="1:6" s="181" customFormat="1" ht="15.75" customHeight="1">
      <c r="A5" s="319"/>
      <c r="B5" s="323"/>
      <c r="C5" s="273"/>
      <c r="D5" s="273"/>
      <c r="E5" s="273"/>
      <c r="F5" s="519"/>
    </row>
    <row r="6" spans="1:6" s="181" customFormat="1" ht="15.75" customHeight="1">
      <c r="A6" s="319" t="s">
        <v>10174</v>
      </c>
      <c r="B6" s="323">
        <v>41886</v>
      </c>
      <c r="C6" s="273" t="s">
        <v>10175</v>
      </c>
      <c r="D6" s="273" t="s">
        <v>10199</v>
      </c>
      <c r="E6" s="273" t="s">
        <v>10194</v>
      </c>
      <c r="F6" s="519"/>
    </row>
    <row r="7" spans="1:6" s="181" customFormat="1" ht="12.75" customHeight="1">
      <c r="A7" s="319"/>
      <c r="B7" s="323"/>
      <c r="C7" s="273"/>
      <c r="D7" s="273"/>
      <c r="E7" s="273"/>
    </row>
    <row r="8" spans="1:6" s="181" customFormat="1" ht="12.75" customHeight="1">
      <c r="A8" s="319" t="s">
        <v>10176</v>
      </c>
      <c r="B8" s="323">
        <v>41943</v>
      </c>
      <c r="C8" s="320" t="s">
        <v>10177</v>
      </c>
      <c r="D8" s="327" t="s">
        <v>10195</v>
      </c>
      <c r="E8" s="320" t="s">
        <v>10178</v>
      </c>
    </row>
    <row r="9" spans="1:6" s="181" customFormat="1" ht="15.75" customHeight="1">
      <c r="A9" s="319"/>
      <c r="B9" s="323">
        <v>42111</v>
      </c>
      <c r="C9" s="320" t="s">
        <v>10179</v>
      </c>
      <c r="D9" s="273" t="s">
        <v>10196</v>
      </c>
      <c r="E9" s="320" t="s">
        <v>10180</v>
      </c>
    </row>
    <row r="10" spans="1:6" s="181" customFormat="1" ht="15.75" customHeight="1">
      <c r="A10" s="319"/>
      <c r="B10" s="323">
        <v>42123</v>
      </c>
      <c r="C10" s="320" t="s">
        <v>10179</v>
      </c>
      <c r="D10" s="273" t="s">
        <v>10196</v>
      </c>
      <c r="E10" s="320" t="s">
        <v>10180</v>
      </c>
    </row>
    <row r="11" spans="1:6" s="181" customFormat="1" ht="15.75" customHeight="1">
      <c r="A11" s="319"/>
      <c r="B11" s="323"/>
      <c r="C11" s="324"/>
      <c r="D11" s="273"/>
      <c r="E11" s="274"/>
    </row>
    <row r="12" spans="1:6" s="181" customFormat="1" ht="15.75" customHeight="1">
      <c r="A12" s="319" t="s">
        <v>10181</v>
      </c>
      <c r="B12" s="323">
        <v>41886</v>
      </c>
      <c r="C12" s="320" t="s">
        <v>10182</v>
      </c>
      <c r="D12" s="273" t="s">
        <v>10198</v>
      </c>
      <c r="E12" s="326" t="s">
        <v>10183</v>
      </c>
    </row>
    <row r="13" spans="1:6" s="181" customFormat="1" ht="15.75" customHeight="1">
      <c r="A13" s="319"/>
      <c r="B13" s="323">
        <v>41911</v>
      </c>
      <c r="C13" s="320" t="s">
        <v>10184</v>
      </c>
      <c r="D13" s="273" t="s">
        <v>10197</v>
      </c>
      <c r="E13" s="320" t="s">
        <v>10185</v>
      </c>
    </row>
    <row r="14" spans="1:6" s="181" customFormat="1" ht="15.75" customHeight="1">
      <c r="A14" s="319"/>
      <c r="B14" s="325"/>
      <c r="C14" s="273"/>
      <c r="D14" s="324"/>
      <c r="E14" s="273"/>
      <c r="F14" s="186"/>
    </row>
    <row r="15" spans="1:6" s="181" customFormat="1" ht="15.75">
      <c r="A15" s="319"/>
      <c r="B15" s="321"/>
      <c r="C15" s="322"/>
      <c r="D15" s="322"/>
      <c r="E15" s="322"/>
    </row>
  </sheetData>
  <mergeCells count="1">
    <mergeCell ref="F5:F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selection activeCell="N41" sqref="N41"/>
    </sheetView>
  </sheetViews>
  <sheetFormatPr baseColWidth="10" defaultRowHeight="12"/>
  <cols>
    <col min="1" max="1" width="29.85546875" customWidth="1"/>
    <col min="2" max="2" width="39.85546875" customWidth="1"/>
  </cols>
  <sheetData>
    <row r="1" spans="1:2">
      <c r="A1" t="s">
        <v>8000</v>
      </c>
      <c r="B1" t="s">
        <v>11660</v>
      </c>
    </row>
    <row r="2" spans="1:2">
      <c r="A2" t="s">
        <v>8699</v>
      </c>
      <c r="B2" t="s">
        <v>11661</v>
      </c>
    </row>
    <row r="3" spans="1:2">
      <c r="A3" t="s">
        <v>8700</v>
      </c>
      <c r="B3" t="s">
        <v>11662</v>
      </c>
    </row>
    <row r="4" spans="1:2">
      <c r="A4" t="s">
        <v>8701</v>
      </c>
      <c r="B4" t="s">
        <v>11663</v>
      </c>
    </row>
    <row r="5" spans="1:2">
      <c r="A5" t="s">
        <v>8702</v>
      </c>
      <c r="B5" t="s">
        <v>11664</v>
      </c>
    </row>
    <row r="6" spans="1:2">
      <c r="A6" t="s">
        <v>8703</v>
      </c>
      <c r="B6" t="s">
        <v>11662</v>
      </c>
    </row>
    <row r="7" spans="1:2">
      <c r="A7" t="s">
        <v>8704</v>
      </c>
      <c r="B7" t="s">
        <v>8704</v>
      </c>
    </row>
    <row r="8" spans="1:2">
      <c r="A8" t="s">
        <v>8705</v>
      </c>
      <c r="B8" t="s">
        <v>8705</v>
      </c>
    </row>
    <row r="9" spans="1:2">
      <c r="A9" t="s">
        <v>8706</v>
      </c>
      <c r="B9" t="s">
        <v>8706</v>
      </c>
    </row>
    <row r="10" spans="1:2">
      <c r="A10" t="s">
        <v>8707</v>
      </c>
      <c r="B10" t="s">
        <v>8707</v>
      </c>
    </row>
    <row r="11" spans="1:2">
      <c r="A11" t="s">
        <v>8708</v>
      </c>
      <c r="B11" t="s">
        <v>8708</v>
      </c>
    </row>
    <row r="12" spans="1:2">
      <c r="A12" t="s">
        <v>8709</v>
      </c>
      <c r="B12" t="s">
        <v>11661</v>
      </c>
    </row>
    <row r="13" spans="1:2">
      <c r="A13" t="s">
        <v>8710</v>
      </c>
      <c r="B13" t="s">
        <v>11665</v>
      </c>
    </row>
    <row r="14" spans="1:2">
      <c r="A14" t="s">
        <v>8711</v>
      </c>
      <c r="B14" t="s">
        <v>11666</v>
      </c>
    </row>
    <row r="15" spans="1:2">
      <c r="A15" t="s">
        <v>8712</v>
      </c>
    </row>
    <row r="16" spans="1:2">
      <c r="A16" t="s">
        <v>8713</v>
      </c>
      <c r="B16" t="s">
        <v>11667</v>
      </c>
    </row>
    <row r="17" spans="1:2">
      <c r="A17" t="s">
        <v>8714</v>
      </c>
      <c r="B17" t="s">
        <v>11668</v>
      </c>
    </row>
    <row r="18" spans="1:2">
      <c r="A18" t="s">
        <v>8715</v>
      </c>
      <c r="B18" t="s">
        <v>8715</v>
      </c>
    </row>
    <row r="19" spans="1:2">
      <c r="A19" t="s">
        <v>8716</v>
      </c>
      <c r="B19" t="s">
        <v>8716</v>
      </c>
    </row>
    <row r="20" spans="1:2">
      <c r="A20" t="s">
        <v>8717</v>
      </c>
      <c r="B20" t="s">
        <v>11669</v>
      </c>
    </row>
    <row r="21" spans="1:2">
      <c r="A21" t="s">
        <v>8718</v>
      </c>
      <c r="B21" t="s">
        <v>8708</v>
      </c>
    </row>
    <row r="22" spans="1:2">
      <c r="A22" t="s">
        <v>8719</v>
      </c>
      <c r="B22" t="s">
        <v>8719</v>
      </c>
    </row>
    <row r="23" spans="1:2">
      <c r="A23" t="s">
        <v>8720</v>
      </c>
      <c r="B23" t="s">
        <v>8720</v>
      </c>
    </row>
    <row r="24" spans="1:2">
      <c r="A24" t="s">
        <v>8721</v>
      </c>
      <c r="B24" t="s">
        <v>8721</v>
      </c>
    </row>
    <row r="25" spans="1:2">
      <c r="A25" t="s">
        <v>8722</v>
      </c>
      <c r="B25" t="s">
        <v>8722</v>
      </c>
    </row>
    <row r="26" spans="1:2">
      <c r="A26" t="s">
        <v>8723</v>
      </c>
      <c r="B26" t="s">
        <v>8723</v>
      </c>
    </row>
    <row r="27" spans="1:2">
      <c r="A27" t="s">
        <v>8724</v>
      </c>
      <c r="B27" t="s">
        <v>11670</v>
      </c>
    </row>
    <row r="28" spans="1:2">
      <c r="A28" t="s">
        <v>8725</v>
      </c>
      <c r="B28" t="s">
        <v>11671</v>
      </c>
    </row>
    <row r="29" spans="1:2">
      <c r="A29" t="s">
        <v>8726</v>
      </c>
      <c r="B29" t="s">
        <v>11670</v>
      </c>
    </row>
    <row r="30" spans="1:2">
      <c r="A30" t="s">
        <v>8727</v>
      </c>
      <c r="B30" t="s">
        <v>11666</v>
      </c>
    </row>
    <row r="31" spans="1:2">
      <c r="A31" t="s">
        <v>8728</v>
      </c>
      <c r="B31" t="s">
        <v>11666</v>
      </c>
    </row>
    <row r="32" spans="1:2">
      <c r="A32" t="s">
        <v>8729</v>
      </c>
      <c r="B32" t="s">
        <v>11664</v>
      </c>
    </row>
    <row r="33" spans="1:2">
      <c r="A33" t="s">
        <v>8730</v>
      </c>
      <c r="B33" t="s">
        <v>11672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154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18</vt:i4>
      </vt:variant>
      <vt:variant>
        <vt:lpstr>Plages nommées</vt:lpstr>
      </vt:variant>
      <vt:variant>
        <vt:i4>5</vt:i4>
      </vt:variant>
    </vt:vector>
  </HeadingPairs>
  <TitlesOfParts>
    <vt:vector size="23" baseType="lpstr">
      <vt:lpstr>README</vt:lpstr>
      <vt:lpstr>Trial</vt:lpstr>
      <vt:lpstr>Site</vt:lpstr>
      <vt:lpstr>Contact</vt:lpstr>
      <vt:lpstr>Variable</vt:lpstr>
      <vt:lpstr>PlantMaterial</vt:lpstr>
      <vt:lpstr>Treatment</vt:lpstr>
      <vt:lpstr>Level</vt:lpstr>
      <vt:lpstr>Data</vt:lpstr>
      <vt:lpstr>Files</vt:lpstr>
      <vt:lpstr>ForestComplementaryInfo</vt:lpstr>
      <vt:lpstr>StaticData</vt:lpstr>
      <vt:lpstr>Meteo_data</vt:lpstr>
      <vt:lpstr>Soil_data</vt:lpstr>
      <vt:lpstr>INN_data</vt:lpstr>
      <vt:lpstr>Parcellaire_data</vt:lpstr>
      <vt:lpstr>ITK_data</vt:lpstr>
      <vt:lpstr>Biotic</vt:lpstr>
      <vt:lpstr>HoldingInstitution</vt:lpstr>
      <vt:lpstr>InstitutionName</vt:lpstr>
      <vt:lpstr>ProjectAcronym</vt:lpstr>
      <vt:lpstr>SiteName</vt:lpstr>
      <vt:lpstr>TaxonScientificName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cmichotey</dc:creator>
  <cp:lastModifiedBy>Anne-Sophie Bouchet</cp:lastModifiedBy>
  <cp:revision>11</cp:revision>
  <cp:lastPrinted>1601-01-01T00:00:00Z</cp:lastPrinted>
  <dcterms:created xsi:type="dcterms:W3CDTF">2013-10-04T13:51:10Z</dcterms:created>
  <dcterms:modified xsi:type="dcterms:W3CDTF">2016-02-09T09:07:10Z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