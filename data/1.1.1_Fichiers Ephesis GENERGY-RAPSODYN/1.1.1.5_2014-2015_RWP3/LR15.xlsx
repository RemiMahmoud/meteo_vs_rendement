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40" yWindow="4470" windowWidth="19440" windowHeight="12855" activeTab="2"/>
  </bookViews>
  <sheets>
    <sheet name="Genotype list" sheetId="20" r:id="rId1"/>
    <sheet name="Experimental design" sheetId="10" r:id="rId2"/>
    <sheet name="DATA" sheetId="19" r:id="rId3"/>
  </sheets>
  <externalReferences>
    <externalReference r:id="rId4"/>
    <externalReference r:id="rId5"/>
  </externalReferences>
  <definedNames>
    <definedName name="_xlnm._FilterDatabase" localSheetId="2" hidden="1">DATA!$A$5:$W$1229</definedName>
    <definedName name="dddd" localSheetId="2">#REF!</definedName>
    <definedName name="dddd">#REF!</definedName>
    <definedName name="et" localSheetId="2">#REF!</definedName>
    <definedName name="et">#REF!</definedName>
    <definedName name="etiq" localSheetId="2">#REF!</definedName>
    <definedName name="etiq">#REF!</definedName>
    <definedName name="etiquette" localSheetId="2">#REF!</definedName>
    <definedName name="etiquette">#REF!</definedName>
    <definedName name="ETQ" localSheetId="2">#REF!</definedName>
    <definedName name="ETQ">#REF!</definedName>
    <definedName name="ETQ_CA" localSheetId="1">[1]Liste_genot_ETQ!$A$210:$D$222</definedName>
    <definedName name="ETQ_CA">[2]Liste_genot_ETQ!$A$210:$D$222</definedName>
    <definedName name="ETQ_CanopyA_2013" localSheetId="2">#REF!</definedName>
    <definedName name="ETQ_CanopyA_2013">#REF!</definedName>
    <definedName name="ETQ_CanopyB_2013" localSheetId="2">#REF!</definedName>
    <definedName name="ETQ_CanopyB_2013">#REF!</definedName>
    <definedName name="ETQ_CB" localSheetId="1">[1]Liste_genot_ETQ!$A$223:$D$329</definedName>
    <definedName name="ETQ_CB">[2]Liste_genot_ETQ!$A$223:$D$329</definedName>
    <definedName name="ETQ_P" localSheetId="1">[1]Liste_genot_ETQ!$A$1:$D$209</definedName>
    <definedName name="ETQ_P">[2]Liste_genot_ETQ!$A$1:$D$209</definedName>
    <definedName name="ETQ_Panel_2013" localSheetId="2">#REF!</definedName>
    <definedName name="ETQ_Panel_2013">#REF!</definedName>
    <definedName name="ets" localSheetId="2">#REF!</definedName>
    <definedName name="ets">#REF!</definedName>
    <definedName name="f" localSheetId="2">#REF!</definedName>
    <definedName name="f">#REF!</definedName>
    <definedName name="GRA" localSheetId="2">#REF!</definedName>
    <definedName name="GRA">#REF!</definedName>
    <definedName name="gsr" localSheetId="2">#REF!</definedName>
    <definedName name="gsr">#REF!</definedName>
    <definedName name="k" localSheetId="2">#REF!</definedName>
    <definedName name="k">#REF!</definedName>
    <definedName name="p" localSheetId="2">#REF!</definedName>
    <definedName name="p">#REF!</definedName>
    <definedName name="pgb" localSheetId="2">#REF!</definedName>
    <definedName name="pgb">#REF!</definedName>
    <definedName name="pgt" localSheetId="2">#REF!</definedName>
    <definedName name="pgt">#REF!</definedName>
    <definedName name="ptg" localSheetId="2">#REF!</definedName>
    <definedName name="ptg">#REF!</definedName>
    <definedName name="tgc" localSheetId="2">#REF!</definedName>
    <definedName name="tgc">#REF!</definedName>
    <definedName name="tgef" localSheetId="2">#REF!</definedName>
    <definedName name="tgef">#REF!</definedName>
    <definedName name="tgr" localSheetId="2">#REF!</definedName>
    <definedName name="tgr">#REF!</definedName>
    <definedName name="vv" localSheetId="2">#REF!</definedName>
    <definedName name="vv">#REF!</definedName>
  </definedNames>
  <calcPr calcId="145621"/>
</workbook>
</file>

<file path=xl/calcChain.xml><?xml version="1.0" encoding="utf-8"?>
<calcChain xmlns="http://schemas.openxmlformats.org/spreadsheetml/2006/main">
  <c r="J845" i="19" l="1"/>
  <c r="L845" i="19" s="1"/>
  <c r="J422" i="19"/>
  <c r="L422" i="19" s="1"/>
  <c r="J421" i="19"/>
  <c r="L421" i="19" s="1"/>
  <c r="J420" i="19"/>
  <c r="L420" i="19" s="1"/>
  <c r="J419" i="19"/>
  <c r="L419" i="19" s="1"/>
  <c r="J418" i="19"/>
  <c r="L418" i="19" s="1"/>
  <c r="J435" i="19"/>
  <c r="L435" i="19" s="1"/>
  <c r="J434" i="19"/>
  <c r="L434" i="19" s="1"/>
  <c r="J433" i="19"/>
  <c r="L433" i="19" s="1"/>
  <c r="J432" i="19"/>
  <c r="L432" i="19" s="1"/>
  <c r="J431" i="19"/>
  <c r="L431" i="19" s="1"/>
  <c r="J430" i="19"/>
  <c r="L430" i="19" s="1"/>
  <c r="J447" i="19"/>
  <c r="L447" i="19" s="1"/>
  <c r="J446" i="19"/>
  <c r="L446" i="19" s="1"/>
  <c r="J445" i="19"/>
  <c r="L445" i="19" s="1"/>
  <c r="J444" i="19"/>
  <c r="L444" i="19" s="1"/>
  <c r="J443" i="19"/>
  <c r="L443" i="19" s="1"/>
  <c r="J442" i="19"/>
  <c r="L442" i="19" s="1"/>
  <c r="J460" i="19"/>
  <c r="L460" i="19" s="1"/>
  <c r="J459" i="19"/>
  <c r="L459" i="19" s="1"/>
  <c r="J458" i="19"/>
  <c r="L458" i="19" s="1"/>
  <c r="J457" i="19"/>
  <c r="L457" i="19" s="1"/>
  <c r="J456" i="19"/>
  <c r="L456" i="19" s="1"/>
  <c r="J455" i="19"/>
  <c r="L455" i="19" s="1"/>
  <c r="J472" i="19"/>
  <c r="L472" i="19" s="1"/>
  <c r="J471" i="19"/>
  <c r="L471" i="19" s="1"/>
  <c r="J470" i="19"/>
  <c r="L470" i="19" s="1"/>
  <c r="J469" i="19"/>
  <c r="L469" i="19" s="1"/>
  <c r="J468" i="19"/>
  <c r="L468" i="19" s="1"/>
  <c r="J467" i="19"/>
  <c r="L467" i="19" s="1"/>
  <c r="J484" i="19"/>
  <c r="L484" i="19" s="1"/>
  <c r="J483" i="19"/>
  <c r="L483" i="19" s="1"/>
  <c r="J482" i="19"/>
  <c r="L482" i="19" s="1"/>
  <c r="J481" i="19"/>
  <c r="L481" i="19" s="1"/>
  <c r="J480" i="19"/>
  <c r="L480" i="19" s="1"/>
  <c r="J479" i="19"/>
  <c r="L479" i="19" s="1"/>
  <c r="J496" i="19"/>
  <c r="L496" i="19" s="1"/>
  <c r="J495" i="19"/>
  <c r="L495" i="19" s="1"/>
  <c r="J494" i="19"/>
  <c r="L494" i="19" s="1"/>
  <c r="J493" i="19"/>
  <c r="L493" i="19" s="1"/>
  <c r="J492" i="19"/>
  <c r="L492" i="19" s="1"/>
  <c r="J491" i="19"/>
  <c r="L491" i="19" s="1"/>
  <c r="J508" i="19"/>
  <c r="L508" i="19" s="1"/>
  <c r="J507" i="19"/>
  <c r="L507" i="19" s="1"/>
  <c r="J506" i="19"/>
  <c r="L506" i="19" s="1"/>
  <c r="J505" i="19"/>
  <c r="L505" i="19" s="1"/>
  <c r="J504" i="19"/>
  <c r="L504" i="19" s="1"/>
  <c r="J503" i="19"/>
  <c r="L503" i="19" s="1"/>
  <c r="J520" i="19"/>
  <c r="L520" i="19" s="1"/>
  <c r="J519" i="19"/>
  <c r="L519" i="19" s="1"/>
  <c r="J518" i="19"/>
  <c r="L518" i="19" s="1"/>
  <c r="J517" i="19"/>
  <c r="L517" i="19" s="1"/>
  <c r="J516" i="19"/>
  <c r="L516" i="19" s="1"/>
  <c r="J515" i="19"/>
  <c r="L515" i="19" s="1"/>
  <c r="J532" i="19"/>
  <c r="L532" i="19" s="1"/>
  <c r="J531" i="19"/>
  <c r="L531" i="19" s="1"/>
  <c r="J530" i="19"/>
  <c r="L530" i="19" s="1"/>
  <c r="J529" i="19"/>
  <c r="L529" i="19" s="1"/>
  <c r="J528" i="19"/>
  <c r="L528" i="19" s="1"/>
  <c r="J527" i="19"/>
  <c r="L527" i="19" s="1"/>
  <c r="J544" i="19"/>
  <c r="L544" i="19" s="1"/>
  <c r="J543" i="19"/>
  <c r="L543" i="19" s="1"/>
  <c r="J542" i="19"/>
  <c r="L542" i="19" s="1"/>
  <c r="J541" i="19"/>
  <c r="L541" i="19" s="1"/>
  <c r="J556" i="19"/>
  <c r="L556" i="19" s="1"/>
  <c r="J555" i="19"/>
  <c r="L555" i="19" s="1"/>
  <c r="J554" i="19"/>
  <c r="L554" i="19" s="1"/>
  <c r="J553" i="19"/>
  <c r="L553" i="19" s="1"/>
  <c r="J552" i="19"/>
  <c r="L552" i="19" s="1"/>
  <c r="J551" i="19"/>
  <c r="L551" i="19" s="1"/>
  <c r="J568" i="19"/>
  <c r="L568" i="19" s="1"/>
  <c r="J567" i="19"/>
  <c r="L567" i="19" s="1"/>
  <c r="J566" i="19"/>
  <c r="L566" i="19" s="1"/>
  <c r="J565" i="19"/>
  <c r="L565" i="19" s="1"/>
  <c r="J564" i="19"/>
  <c r="L564" i="19" s="1"/>
  <c r="J563" i="19"/>
  <c r="L563" i="19" s="1"/>
  <c r="J580" i="19"/>
  <c r="L580" i="19" s="1"/>
  <c r="J579" i="19"/>
  <c r="L579" i="19" s="1"/>
  <c r="J578" i="19"/>
  <c r="L578" i="19" s="1"/>
  <c r="J577" i="19"/>
  <c r="L577" i="19" s="1"/>
  <c r="J576" i="19"/>
  <c r="L576" i="19" s="1"/>
  <c r="J575" i="19"/>
  <c r="L575" i="19" s="1"/>
  <c r="J592" i="19"/>
  <c r="L592" i="19" s="1"/>
  <c r="J591" i="19"/>
  <c r="L591" i="19" s="1"/>
  <c r="J590" i="19"/>
  <c r="L590" i="19" s="1"/>
  <c r="J589" i="19"/>
  <c r="L589" i="19" s="1"/>
  <c r="J588" i="19"/>
  <c r="L588" i="19" s="1"/>
  <c r="J587" i="19"/>
  <c r="L587" i="19" s="1"/>
  <c r="J604" i="19"/>
  <c r="L604" i="19" s="1"/>
  <c r="J603" i="19"/>
  <c r="L603" i="19" s="1"/>
  <c r="J602" i="19"/>
  <c r="L602" i="19" s="1"/>
  <c r="J601" i="19"/>
  <c r="L601" i="19" s="1"/>
  <c r="J600" i="19"/>
  <c r="L600" i="19" s="1"/>
  <c r="J599" i="19"/>
  <c r="L599" i="19" s="1"/>
  <c r="J616" i="19"/>
  <c r="L616" i="19" s="1"/>
  <c r="J615" i="19"/>
  <c r="L615" i="19" s="1"/>
  <c r="J614" i="19"/>
  <c r="L614" i="19" s="1"/>
  <c r="J613" i="19"/>
  <c r="L613" i="19" s="1"/>
  <c r="J612" i="19"/>
  <c r="L612" i="19" s="1"/>
  <c r="J611" i="19"/>
  <c r="L611" i="19" s="1"/>
  <c r="J628" i="19"/>
  <c r="L628" i="19" s="1"/>
  <c r="J627" i="19"/>
  <c r="L627" i="19" s="1"/>
  <c r="J626" i="19"/>
  <c r="L626" i="19" s="1"/>
  <c r="J625" i="19"/>
  <c r="L625" i="19" s="1"/>
  <c r="J624" i="19"/>
  <c r="L624" i="19" s="1"/>
  <c r="J623" i="19"/>
  <c r="L623" i="19" s="1"/>
  <c r="J640" i="19"/>
  <c r="L640" i="19" s="1"/>
  <c r="J639" i="19"/>
  <c r="L639" i="19" s="1"/>
  <c r="J638" i="19"/>
  <c r="L638" i="19" s="1"/>
  <c r="J637" i="19"/>
  <c r="L637" i="19" s="1"/>
  <c r="J636" i="19"/>
  <c r="L636" i="19" s="1"/>
  <c r="J635" i="19"/>
  <c r="L635" i="19" s="1"/>
  <c r="J652" i="19"/>
  <c r="L652" i="19" s="1"/>
  <c r="J651" i="19"/>
  <c r="L651" i="19" s="1"/>
  <c r="J650" i="19"/>
  <c r="L650" i="19" s="1"/>
  <c r="J649" i="19"/>
  <c r="L649" i="19" s="1"/>
  <c r="J648" i="19"/>
  <c r="L648" i="19" s="1"/>
  <c r="J647" i="19"/>
  <c r="L647" i="19" s="1"/>
  <c r="J664" i="19"/>
  <c r="L664" i="19" s="1"/>
  <c r="J663" i="19"/>
  <c r="L663" i="19" s="1"/>
  <c r="J662" i="19"/>
  <c r="L662" i="19" s="1"/>
  <c r="J661" i="19"/>
  <c r="L661" i="19" s="1"/>
  <c r="J660" i="19"/>
  <c r="L660" i="19" s="1"/>
  <c r="J659" i="19"/>
  <c r="L659" i="19" s="1"/>
  <c r="J676" i="19"/>
  <c r="L676" i="19" s="1"/>
  <c r="J675" i="19"/>
  <c r="L675" i="19" s="1"/>
  <c r="J674" i="19"/>
  <c r="L674" i="19" s="1"/>
  <c r="J673" i="19"/>
  <c r="L673" i="19" s="1"/>
  <c r="J672" i="19"/>
  <c r="L672" i="19" s="1"/>
  <c r="J671" i="19"/>
  <c r="L671" i="19" s="1"/>
  <c r="J688" i="19"/>
  <c r="L688" i="19" s="1"/>
  <c r="J687" i="19"/>
  <c r="L687" i="19" s="1"/>
  <c r="J686" i="19"/>
  <c r="L686" i="19" s="1"/>
  <c r="J685" i="19"/>
  <c r="L685" i="19" s="1"/>
  <c r="J684" i="19"/>
  <c r="L684" i="19" s="1"/>
  <c r="J683" i="19"/>
  <c r="L683" i="19" s="1"/>
  <c r="J700" i="19"/>
  <c r="L700" i="19" s="1"/>
  <c r="J699" i="19"/>
  <c r="L699" i="19" s="1"/>
  <c r="J698" i="19"/>
  <c r="L698" i="19" s="1"/>
  <c r="J697" i="19"/>
  <c r="L697" i="19" s="1"/>
  <c r="J696" i="19"/>
  <c r="L696" i="19" s="1"/>
  <c r="J695" i="19"/>
  <c r="L695" i="19" s="1"/>
  <c r="J712" i="19"/>
  <c r="L712" i="19" s="1"/>
  <c r="J711" i="19"/>
  <c r="L711" i="19" s="1"/>
  <c r="J710" i="19"/>
  <c r="L710" i="19" s="1"/>
  <c r="J709" i="19"/>
  <c r="L709" i="19" s="1"/>
  <c r="J708" i="19"/>
  <c r="L708" i="19" s="1"/>
  <c r="J707" i="19"/>
  <c r="L707" i="19" s="1"/>
  <c r="J724" i="19"/>
  <c r="L724" i="19" s="1"/>
  <c r="J723" i="19"/>
  <c r="L723" i="19" s="1"/>
  <c r="J722" i="19"/>
  <c r="L722" i="19" s="1"/>
  <c r="J721" i="19"/>
  <c r="L721" i="19" s="1"/>
  <c r="J720" i="19"/>
  <c r="L720" i="19" s="1"/>
  <c r="J719" i="19"/>
  <c r="L719" i="19" s="1"/>
  <c r="J736" i="19"/>
  <c r="L736" i="19" s="1"/>
  <c r="J735" i="19"/>
  <c r="L735" i="19" s="1"/>
  <c r="J734" i="19"/>
  <c r="L734" i="19" s="1"/>
  <c r="J733" i="19"/>
  <c r="L733" i="19" s="1"/>
  <c r="J732" i="19"/>
  <c r="L732" i="19" s="1"/>
  <c r="J731" i="19"/>
  <c r="L731" i="19" s="1"/>
  <c r="J748" i="19"/>
  <c r="L748" i="19" s="1"/>
  <c r="J747" i="19"/>
  <c r="L747" i="19" s="1"/>
  <c r="J746" i="19"/>
  <c r="L746" i="19" s="1"/>
  <c r="J745" i="19"/>
  <c r="L745" i="19" s="1"/>
  <c r="J744" i="19"/>
  <c r="L744" i="19" s="1"/>
  <c r="J743" i="19"/>
  <c r="L743" i="19" s="1"/>
  <c r="J760" i="19"/>
  <c r="L760" i="19" s="1"/>
  <c r="J759" i="19"/>
  <c r="L759" i="19" s="1"/>
  <c r="J758" i="19"/>
  <c r="L758" i="19" s="1"/>
  <c r="J757" i="19"/>
  <c r="L757" i="19" s="1"/>
  <c r="J756" i="19"/>
  <c r="L756" i="19" s="1"/>
  <c r="J755" i="19"/>
  <c r="L755" i="19" s="1"/>
  <c r="J772" i="19"/>
  <c r="L772" i="19" s="1"/>
  <c r="J771" i="19"/>
  <c r="L771" i="19" s="1"/>
  <c r="J770" i="19"/>
  <c r="L770" i="19" s="1"/>
  <c r="J769" i="19"/>
  <c r="L769" i="19" s="1"/>
  <c r="J768" i="19"/>
  <c r="L768" i="19" s="1"/>
  <c r="J767" i="19"/>
  <c r="L767" i="19" s="1"/>
  <c r="J784" i="19"/>
  <c r="L784" i="19" s="1"/>
  <c r="J783" i="19"/>
  <c r="L783" i="19" s="1"/>
  <c r="J782" i="19"/>
  <c r="L782" i="19" s="1"/>
  <c r="J781" i="19"/>
  <c r="L781" i="19" s="1"/>
  <c r="J780" i="19"/>
  <c r="L780" i="19" s="1"/>
  <c r="J779" i="19"/>
  <c r="L779" i="19" s="1"/>
  <c r="J796" i="19"/>
  <c r="L796" i="19" s="1"/>
  <c r="J795" i="19"/>
  <c r="L795" i="19" s="1"/>
  <c r="J794" i="19"/>
  <c r="L794" i="19" s="1"/>
  <c r="J793" i="19"/>
  <c r="L793" i="19" s="1"/>
  <c r="J792" i="19"/>
  <c r="L792" i="19" s="1"/>
  <c r="J791" i="19"/>
  <c r="L791" i="19" s="1"/>
  <c r="J808" i="19"/>
  <c r="L808" i="19" s="1"/>
  <c r="J807" i="19"/>
  <c r="L807" i="19" s="1"/>
  <c r="J806" i="19"/>
  <c r="L806" i="19" s="1"/>
  <c r="J805" i="19"/>
  <c r="L805" i="19" s="1"/>
  <c r="J804" i="19"/>
  <c r="L804" i="19" s="1"/>
  <c r="J803" i="19"/>
  <c r="L803" i="19" s="1"/>
  <c r="J820" i="19"/>
  <c r="L820" i="19" s="1"/>
  <c r="J819" i="19"/>
  <c r="L819" i="19" s="1"/>
  <c r="J818" i="19"/>
  <c r="L818" i="19" s="1"/>
  <c r="J817" i="19"/>
  <c r="L817" i="19" s="1"/>
  <c r="J816" i="19"/>
  <c r="L816" i="19" s="1"/>
  <c r="J815" i="19"/>
  <c r="L815" i="19" s="1"/>
  <c r="J417" i="19"/>
  <c r="L417" i="19" s="1"/>
  <c r="J416" i="19"/>
  <c r="L416" i="19" s="1"/>
  <c r="J415" i="19"/>
  <c r="L415" i="19" s="1"/>
  <c r="J414" i="19"/>
  <c r="L414" i="19" s="1"/>
  <c r="J413" i="19"/>
  <c r="L413" i="19" s="1"/>
  <c r="J412" i="19"/>
  <c r="L412" i="19" s="1"/>
  <c r="J429" i="19"/>
  <c r="L429" i="19" s="1"/>
  <c r="J428" i="19"/>
  <c r="L428" i="19" s="1"/>
  <c r="J427" i="19"/>
  <c r="L427" i="19" s="1"/>
  <c r="J426" i="19"/>
  <c r="L426" i="19" s="1"/>
  <c r="J425" i="19"/>
  <c r="L425" i="19" s="1"/>
  <c r="J424" i="19"/>
  <c r="L424" i="19" s="1"/>
  <c r="J441" i="19"/>
  <c r="L441" i="19" s="1"/>
  <c r="J440" i="19"/>
  <c r="L440" i="19" s="1"/>
  <c r="J439" i="19"/>
  <c r="L439" i="19" s="1"/>
  <c r="J438" i="19"/>
  <c r="L438" i="19" s="1"/>
  <c r="J437" i="19"/>
  <c r="L437" i="19" s="1"/>
  <c r="J436" i="19"/>
  <c r="L436" i="19" s="1"/>
  <c r="J453" i="19"/>
  <c r="L453" i="19" s="1"/>
  <c r="J452" i="19"/>
  <c r="L452" i="19" s="1"/>
  <c r="J451" i="19"/>
  <c r="L451" i="19" s="1"/>
  <c r="J450" i="19"/>
  <c r="L450" i="19" s="1"/>
  <c r="J449" i="19"/>
  <c r="L449" i="19" s="1"/>
  <c r="J448" i="19"/>
  <c r="L448" i="19" s="1"/>
  <c r="J466" i="19"/>
  <c r="L466" i="19" s="1"/>
  <c r="J465" i="19"/>
  <c r="L465" i="19" s="1"/>
  <c r="J464" i="19"/>
  <c r="L464" i="19" s="1"/>
  <c r="J463" i="19"/>
  <c r="L463" i="19" s="1"/>
  <c r="J462" i="19"/>
  <c r="L462" i="19" s="1"/>
  <c r="J461" i="19"/>
  <c r="L461" i="19" s="1"/>
  <c r="J478" i="19"/>
  <c r="L478" i="19" s="1"/>
  <c r="J477" i="19"/>
  <c r="L477" i="19" s="1"/>
  <c r="J476" i="19"/>
  <c r="L476" i="19" s="1"/>
  <c r="J475" i="19"/>
  <c r="L475" i="19" s="1"/>
  <c r="J474" i="19"/>
  <c r="L474" i="19" s="1"/>
  <c r="J473" i="19"/>
  <c r="L473" i="19" s="1"/>
  <c r="J490" i="19"/>
  <c r="L490" i="19" s="1"/>
  <c r="J489" i="19"/>
  <c r="L489" i="19" s="1"/>
  <c r="J488" i="19"/>
  <c r="L488" i="19" s="1"/>
  <c r="J487" i="19"/>
  <c r="L487" i="19" s="1"/>
  <c r="J486" i="19"/>
  <c r="L486" i="19" s="1"/>
  <c r="J485" i="19"/>
  <c r="L485" i="19" s="1"/>
  <c r="J502" i="19"/>
  <c r="L502" i="19" s="1"/>
  <c r="J501" i="19"/>
  <c r="L501" i="19" s="1"/>
  <c r="J500" i="19"/>
  <c r="L500" i="19" s="1"/>
  <c r="J499" i="19"/>
  <c r="L499" i="19" s="1"/>
  <c r="J498" i="19"/>
  <c r="L498" i="19" s="1"/>
  <c r="J497" i="19"/>
  <c r="L497" i="19" s="1"/>
  <c r="J514" i="19"/>
  <c r="L514" i="19" s="1"/>
  <c r="J513" i="19"/>
  <c r="L513" i="19" s="1"/>
  <c r="J512" i="19"/>
  <c r="L512" i="19" s="1"/>
  <c r="J511" i="19"/>
  <c r="L511" i="19" s="1"/>
  <c r="J510" i="19"/>
  <c r="L510" i="19" s="1"/>
  <c r="J509" i="19"/>
  <c r="L509" i="19" s="1"/>
  <c r="J526" i="19"/>
  <c r="L526" i="19" s="1"/>
  <c r="J525" i="19"/>
  <c r="L525" i="19" s="1"/>
  <c r="J524" i="19"/>
  <c r="L524" i="19" s="1"/>
  <c r="J523" i="19"/>
  <c r="L523" i="19" s="1"/>
  <c r="J522" i="19"/>
  <c r="L522" i="19" s="1"/>
  <c r="J521" i="19"/>
  <c r="L521" i="19" s="1"/>
  <c r="J538" i="19"/>
  <c r="L538" i="19" s="1"/>
  <c r="J537" i="19"/>
  <c r="L537" i="19" s="1"/>
  <c r="J536" i="19"/>
  <c r="L536" i="19" s="1"/>
  <c r="J535" i="19"/>
  <c r="L535" i="19" s="1"/>
  <c r="J534" i="19"/>
  <c r="L534" i="19" s="1"/>
  <c r="J533" i="19"/>
  <c r="L533" i="19" s="1"/>
  <c r="J550" i="19"/>
  <c r="L550" i="19" s="1"/>
  <c r="J549" i="19"/>
  <c r="L549" i="19" s="1"/>
  <c r="J548" i="19"/>
  <c r="L548" i="19" s="1"/>
  <c r="J547" i="19"/>
  <c r="L547" i="19" s="1"/>
  <c r="J546" i="19"/>
  <c r="L546" i="19" s="1"/>
  <c r="J545" i="19"/>
  <c r="L545" i="19" s="1"/>
  <c r="J562" i="19"/>
  <c r="L562" i="19" s="1"/>
  <c r="J561" i="19"/>
  <c r="L561" i="19" s="1"/>
  <c r="J560" i="19"/>
  <c r="L560" i="19" s="1"/>
  <c r="J559" i="19"/>
  <c r="L559" i="19" s="1"/>
  <c r="J558" i="19"/>
  <c r="L558" i="19" s="1"/>
  <c r="J557" i="19"/>
  <c r="L557" i="19" s="1"/>
  <c r="J574" i="19"/>
  <c r="L574" i="19" s="1"/>
  <c r="J573" i="19"/>
  <c r="L573" i="19" s="1"/>
  <c r="J572" i="19"/>
  <c r="L572" i="19" s="1"/>
  <c r="J571" i="19"/>
  <c r="L571" i="19" s="1"/>
  <c r="J570" i="19"/>
  <c r="L570" i="19" s="1"/>
  <c r="J569" i="19"/>
  <c r="L569" i="19" s="1"/>
  <c r="J586" i="19"/>
  <c r="L586" i="19" s="1"/>
  <c r="J585" i="19"/>
  <c r="L585" i="19" s="1"/>
  <c r="J584" i="19"/>
  <c r="L584" i="19" s="1"/>
  <c r="J583" i="19"/>
  <c r="L583" i="19" s="1"/>
  <c r="J582" i="19"/>
  <c r="L582" i="19" s="1"/>
  <c r="J581" i="19"/>
  <c r="L581" i="19" s="1"/>
  <c r="J598" i="19"/>
  <c r="L598" i="19" s="1"/>
  <c r="J597" i="19"/>
  <c r="L597" i="19" s="1"/>
  <c r="J596" i="19"/>
  <c r="L596" i="19" s="1"/>
  <c r="J595" i="19"/>
  <c r="L595" i="19" s="1"/>
  <c r="J594" i="19"/>
  <c r="L594" i="19" s="1"/>
  <c r="J593" i="19"/>
  <c r="L593" i="19" s="1"/>
  <c r="J610" i="19"/>
  <c r="L610" i="19" s="1"/>
  <c r="J609" i="19"/>
  <c r="L609" i="19" s="1"/>
  <c r="J608" i="19"/>
  <c r="L608" i="19" s="1"/>
  <c r="J607" i="19"/>
  <c r="L607" i="19" s="1"/>
  <c r="J606" i="19"/>
  <c r="L606" i="19" s="1"/>
  <c r="J605" i="19"/>
  <c r="L605" i="19" s="1"/>
  <c r="J622" i="19"/>
  <c r="L622" i="19" s="1"/>
  <c r="J621" i="19"/>
  <c r="L621" i="19" s="1"/>
  <c r="J620" i="19"/>
  <c r="L620" i="19" s="1"/>
  <c r="J619" i="19"/>
  <c r="L619" i="19" s="1"/>
  <c r="J618" i="19"/>
  <c r="L618" i="19" s="1"/>
  <c r="J617" i="19"/>
  <c r="L617" i="19" s="1"/>
  <c r="J634" i="19"/>
  <c r="L634" i="19" s="1"/>
  <c r="J633" i="19"/>
  <c r="L633" i="19" s="1"/>
  <c r="J632" i="19"/>
  <c r="L632" i="19" s="1"/>
  <c r="J631" i="19"/>
  <c r="L631" i="19" s="1"/>
  <c r="J630" i="19"/>
  <c r="L630" i="19" s="1"/>
  <c r="J629" i="19"/>
  <c r="L629" i="19" s="1"/>
  <c r="J646" i="19"/>
  <c r="L646" i="19" s="1"/>
  <c r="J645" i="19"/>
  <c r="L645" i="19" s="1"/>
  <c r="J644" i="19"/>
  <c r="L644" i="19" s="1"/>
  <c r="J643" i="19"/>
  <c r="L643" i="19" s="1"/>
  <c r="J642" i="19"/>
  <c r="L642" i="19" s="1"/>
  <c r="J641" i="19"/>
  <c r="L641" i="19" s="1"/>
  <c r="J658" i="19"/>
  <c r="L658" i="19" s="1"/>
  <c r="J657" i="19"/>
  <c r="L657" i="19" s="1"/>
  <c r="J656" i="19"/>
  <c r="L656" i="19" s="1"/>
  <c r="J655" i="19"/>
  <c r="L655" i="19" s="1"/>
  <c r="J654" i="19"/>
  <c r="L654" i="19" s="1"/>
  <c r="J653" i="19"/>
  <c r="L653" i="19" s="1"/>
  <c r="J670" i="19"/>
  <c r="L670" i="19" s="1"/>
  <c r="J669" i="19"/>
  <c r="L669" i="19" s="1"/>
  <c r="J668" i="19"/>
  <c r="L668" i="19" s="1"/>
  <c r="J667" i="19"/>
  <c r="L667" i="19" s="1"/>
  <c r="J666" i="19"/>
  <c r="L666" i="19" s="1"/>
  <c r="J665" i="19"/>
  <c r="L665" i="19" s="1"/>
  <c r="J682" i="19"/>
  <c r="L682" i="19" s="1"/>
  <c r="J681" i="19"/>
  <c r="L681" i="19" s="1"/>
  <c r="J680" i="19"/>
  <c r="L680" i="19" s="1"/>
  <c r="J679" i="19"/>
  <c r="L679" i="19" s="1"/>
  <c r="J678" i="19"/>
  <c r="L678" i="19" s="1"/>
  <c r="J677" i="19"/>
  <c r="L677" i="19" s="1"/>
  <c r="J694" i="19"/>
  <c r="L694" i="19" s="1"/>
  <c r="J693" i="19"/>
  <c r="L693" i="19" s="1"/>
  <c r="J692" i="19"/>
  <c r="L692" i="19" s="1"/>
  <c r="J691" i="19"/>
  <c r="L691" i="19" s="1"/>
  <c r="J690" i="19"/>
  <c r="L690" i="19" s="1"/>
  <c r="J689" i="19"/>
  <c r="L689" i="19" s="1"/>
  <c r="J706" i="19"/>
  <c r="L706" i="19" s="1"/>
  <c r="J705" i="19"/>
  <c r="L705" i="19" s="1"/>
  <c r="J704" i="19"/>
  <c r="L704" i="19" s="1"/>
  <c r="J703" i="19"/>
  <c r="L703" i="19" s="1"/>
  <c r="J702" i="19"/>
  <c r="L702" i="19" s="1"/>
  <c r="J701" i="19"/>
  <c r="L701" i="19" s="1"/>
  <c r="J718" i="19"/>
  <c r="L718" i="19" s="1"/>
  <c r="J717" i="19"/>
  <c r="L717" i="19" s="1"/>
  <c r="J716" i="19"/>
  <c r="L716" i="19" s="1"/>
  <c r="J715" i="19"/>
  <c r="L715" i="19" s="1"/>
  <c r="J714" i="19"/>
  <c r="L714" i="19" s="1"/>
  <c r="J713" i="19"/>
  <c r="L713" i="19" s="1"/>
  <c r="J730" i="19"/>
  <c r="L730" i="19" s="1"/>
  <c r="J729" i="19"/>
  <c r="L729" i="19" s="1"/>
  <c r="J728" i="19"/>
  <c r="L728" i="19" s="1"/>
  <c r="J727" i="19"/>
  <c r="L727" i="19" s="1"/>
  <c r="J726" i="19"/>
  <c r="L726" i="19" s="1"/>
  <c r="J725" i="19"/>
  <c r="L725" i="19" s="1"/>
  <c r="J742" i="19"/>
  <c r="L742" i="19" s="1"/>
  <c r="J741" i="19"/>
  <c r="L741" i="19" s="1"/>
  <c r="J740" i="19"/>
  <c r="L740" i="19" s="1"/>
  <c r="J739" i="19"/>
  <c r="L739" i="19" s="1"/>
  <c r="J738" i="19"/>
  <c r="L738" i="19" s="1"/>
  <c r="J737" i="19"/>
  <c r="L737" i="19" s="1"/>
  <c r="J754" i="19"/>
  <c r="L754" i="19" s="1"/>
  <c r="J753" i="19"/>
  <c r="L753" i="19" s="1"/>
  <c r="J752" i="19"/>
  <c r="L752" i="19" s="1"/>
  <c r="J751" i="19"/>
  <c r="L751" i="19" s="1"/>
  <c r="J750" i="19"/>
  <c r="L750" i="19" s="1"/>
  <c r="J749" i="19"/>
  <c r="L749" i="19" s="1"/>
  <c r="J766" i="19"/>
  <c r="L766" i="19" s="1"/>
  <c r="J765" i="19"/>
  <c r="L765" i="19" s="1"/>
  <c r="J764" i="19"/>
  <c r="L764" i="19" s="1"/>
  <c r="J763" i="19"/>
  <c r="L763" i="19" s="1"/>
  <c r="J762" i="19"/>
  <c r="L762" i="19" s="1"/>
  <c r="J761" i="19"/>
  <c r="L761" i="19" s="1"/>
  <c r="J778" i="19"/>
  <c r="L778" i="19" s="1"/>
  <c r="J777" i="19"/>
  <c r="L777" i="19" s="1"/>
  <c r="J776" i="19"/>
  <c r="L776" i="19" s="1"/>
  <c r="J775" i="19"/>
  <c r="L775" i="19" s="1"/>
  <c r="J774" i="19"/>
  <c r="L774" i="19" s="1"/>
  <c r="J773" i="19"/>
  <c r="L773" i="19" s="1"/>
  <c r="J790" i="19"/>
  <c r="L790" i="19" s="1"/>
  <c r="J789" i="19"/>
  <c r="L789" i="19" s="1"/>
  <c r="J788" i="19"/>
  <c r="L788" i="19" s="1"/>
  <c r="J787" i="19"/>
  <c r="L787" i="19" s="1"/>
  <c r="J786" i="19"/>
  <c r="L786" i="19" s="1"/>
  <c r="J785" i="19"/>
  <c r="L785" i="19" s="1"/>
  <c r="J802" i="19"/>
  <c r="L802" i="19" s="1"/>
  <c r="J801" i="19"/>
  <c r="L801" i="19" s="1"/>
  <c r="J800" i="19"/>
  <c r="L800" i="19" s="1"/>
  <c r="J799" i="19"/>
  <c r="L799" i="19" s="1"/>
  <c r="J798" i="19"/>
  <c r="L798" i="19" s="1"/>
  <c r="J797" i="19"/>
  <c r="L797" i="19" s="1"/>
  <c r="J814" i="19"/>
  <c r="L814" i="19" s="1"/>
  <c r="J813" i="19"/>
  <c r="L813" i="19" s="1"/>
  <c r="J812" i="19"/>
  <c r="L812" i="19" s="1"/>
  <c r="J811" i="19"/>
  <c r="L811" i="19" s="1"/>
  <c r="J810" i="19"/>
  <c r="L810" i="19" s="1"/>
  <c r="J809" i="19"/>
  <c r="L809" i="19" s="1"/>
  <c r="J832" i="19"/>
  <c r="L832" i="19" s="1"/>
  <c r="J831" i="19"/>
  <c r="L831" i="19" s="1"/>
  <c r="J830" i="19"/>
  <c r="L830" i="19" s="1"/>
  <c r="J829" i="19"/>
  <c r="L829" i="19" s="1"/>
  <c r="J828" i="19"/>
  <c r="L828" i="19" s="1"/>
  <c r="J827" i="19"/>
  <c r="L827" i="19" s="1"/>
  <c r="J844" i="19"/>
  <c r="L844" i="19" s="1"/>
  <c r="J843" i="19"/>
  <c r="L843" i="19" s="1"/>
  <c r="J842" i="19"/>
  <c r="L842" i="19" s="1"/>
  <c r="J841" i="19"/>
  <c r="L841" i="19" s="1"/>
  <c r="J840" i="19"/>
  <c r="L840" i="19" s="1"/>
  <c r="J839" i="19"/>
  <c r="L839" i="19" s="1"/>
  <c r="J856" i="19"/>
  <c r="L856" i="19" s="1"/>
  <c r="J855" i="19"/>
  <c r="L855" i="19" s="1"/>
  <c r="J854" i="19"/>
  <c r="L854" i="19" s="1"/>
  <c r="J853" i="19"/>
  <c r="L853" i="19" s="1"/>
  <c r="J852" i="19"/>
  <c r="L852" i="19" s="1"/>
  <c r="J851" i="19"/>
  <c r="L851" i="19" s="1"/>
  <c r="J868" i="19"/>
  <c r="L868" i="19" s="1"/>
  <c r="J867" i="19"/>
  <c r="L867" i="19" s="1"/>
  <c r="J866" i="19"/>
  <c r="L866" i="19" s="1"/>
  <c r="J865" i="19"/>
  <c r="L865" i="19" s="1"/>
  <c r="J864" i="19"/>
  <c r="L864" i="19" s="1"/>
  <c r="J863" i="19"/>
  <c r="L863" i="19" s="1"/>
  <c r="J880" i="19"/>
  <c r="L880" i="19" s="1"/>
  <c r="J879" i="19"/>
  <c r="L879" i="19" s="1"/>
  <c r="J878" i="19"/>
  <c r="L878" i="19" s="1"/>
  <c r="J877" i="19"/>
  <c r="L877" i="19" s="1"/>
  <c r="J876" i="19"/>
  <c r="L876" i="19" s="1"/>
  <c r="J875" i="19"/>
  <c r="L875" i="19" s="1"/>
  <c r="J892" i="19"/>
  <c r="L892" i="19" s="1"/>
  <c r="J891" i="19"/>
  <c r="L891" i="19" s="1"/>
  <c r="J890" i="19"/>
  <c r="L890" i="19" s="1"/>
  <c r="J889" i="19"/>
  <c r="L889" i="19" s="1"/>
  <c r="J888" i="19"/>
  <c r="L888" i="19" s="1"/>
  <c r="J887" i="19"/>
  <c r="L887" i="19" s="1"/>
  <c r="J904" i="19"/>
  <c r="L904" i="19" s="1"/>
  <c r="J903" i="19"/>
  <c r="L903" i="19" s="1"/>
  <c r="J902" i="19"/>
  <c r="L902" i="19" s="1"/>
  <c r="J901" i="19"/>
  <c r="L901" i="19" s="1"/>
  <c r="J900" i="19"/>
  <c r="L900" i="19" s="1"/>
  <c r="J899" i="19"/>
  <c r="L899" i="19" s="1"/>
  <c r="J916" i="19"/>
  <c r="L916" i="19" s="1"/>
  <c r="J915" i="19"/>
  <c r="L915" i="19" s="1"/>
  <c r="J914" i="19"/>
  <c r="L914" i="19" s="1"/>
  <c r="J913" i="19"/>
  <c r="L913" i="19" s="1"/>
  <c r="J912" i="19"/>
  <c r="L912" i="19" s="1"/>
  <c r="J911" i="19"/>
  <c r="L911" i="19" s="1"/>
  <c r="J928" i="19"/>
  <c r="L928" i="19" s="1"/>
  <c r="J927" i="19"/>
  <c r="L927" i="19" s="1"/>
  <c r="J926" i="19"/>
  <c r="L926" i="19" s="1"/>
  <c r="J925" i="19"/>
  <c r="L925" i="19" s="1"/>
  <c r="J924" i="19"/>
  <c r="L924" i="19" s="1"/>
  <c r="J923" i="19"/>
  <c r="L923" i="19" s="1"/>
  <c r="J940" i="19"/>
  <c r="L940" i="19" s="1"/>
  <c r="J939" i="19"/>
  <c r="L939" i="19" s="1"/>
  <c r="J938" i="19"/>
  <c r="L938" i="19" s="1"/>
  <c r="J937" i="19"/>
  <c r="L937" i="19" s="1"/>
  <c r="J936" i="19"/>
  <c r="L936" i="19" s="1"/>
  <c r="J935" i="19"/>
  <c r="L935" i="19" s="1"/>
  <c r="J952" i="19"/>
  <c r="L952" i="19" s="1"/>
  <c r="J951" i="19"/>
  <c r="L951" i="19" s="1"/>
  <c r="J950" i="19"/>
  <c r="L950" i="19" s="1"/>
  <c r="J949" i="19"/>
  <c r="L949" i="19" s="1"/>
  <c r="J948" i="19"/>
  <c r="L948" i="19" s="1"/>
  <c r="J947" i="19"/>
  <c r="L947" i="19" s="1"/>
  <c r="J964" i="19"/>
  <c r="L964" i="19" s="1"/>
  <c r="J963" i="19"/>
  <c r="L963" i="19" s="1"/>
  <c r="J962" i="19"/>
  <c r="L962" i="19" s="1"/>
  <c r="J961" i="19"/>
  <c r="L961" i="19" s="1"/>
  <c r="J960" i="19"/>
  <c r="L960" i="19" s="1"/>
  <c r="J959" i="19"/>
  <c r="L959" i="19" s="1"/>
  <c r="J976" i="19"/>
  <c r="L976" i="19" s="1"/>
  <c r="J975" i="19"/>
  <c r="L975" i="19" s="1"/>
  <c r="J974" i="19"/>
  <c r="L974" i="19" s="1"/>
  <c r="J973" i="19"/>
  <c r="L973" i="19" s="1"/>
  <c r="J972" i="19"/>
  <c r="L972" i="19" s="1"/>
  <c r="J971" i="19"/>
  <c r="L971" i="19" s="1"/>
  <c r="J988" i="19"/>
  <c r="L988" i="19" s="1"/>
  <c r="J987" i="19"/>
  <c r="L987" i="19" s="1"/>
  <c r="J986" i="19"/>
  <c r="L986" i="19" s="1"/>
  <c r="J985" i="19"/>
  <c r="L985" i="19" s="1"/>
  <c r="J984" i="19"/>
  <c r="L984" i="19" s="1"/>
  <c r="J983" i="19"/>
  <c r="L983" i="19" s="1"/>
  <c r="J1000" i="19"/>
  <c r="L1000" i="19" s="1"/>
  <c r="J999" i="19"/>
  <c r="L999" i="19" s="1"/>
  <c r="J998" i="19"/>
  <c r="L998" i="19" s="1"/>
  <c r="J997" i="19"/>
  <c r="L997" i="19" s="1"/>
  <c r="J996" i="19"/>
  <c r="L996" i="19" s="1"/>
  <c r="J995" i="19"/>
  <c r="L995" i="19" s="1"/>
  <c r="J1012" i="19"/>
  <c r="L1012" i="19" s="1"/>
  <c r="J1011" i="19"/>
  <c r="L1011" i="19" s="1"/>
  <c r="J1010" i="19"/>
  <c r="L1010" i="19" s="1"/>
  <c r="J1009" i="19"/>
  <c r="L1009" i="19" s="1"/>
  <c r="J1008" i="19"/>
  <c r="L1008" i="19" s="1"/>
  <c r="J1007" i="19"/>
  <c r="L1007" i="19" s="1"/>
  <c r="J1024" i="19"/>
  <c r="L1024" i="19" s="1"/>
  <c r="J1023" i="19"/>
  <c r="L1023" i="19" s="1"/>
  <c r="J1022" i="19"/>
  <c r="L1022" i="19" s="1"/>
  <c r="J1021" i="19"/>
  <c r="L1021" i="19" s="1"/>
  <c r="J1020" i="19"/>
  <c r="L1020" i="19" s="1"/>
  <c r="J1019" i="19"/>
  <c r="L1019" i="19" s="1"/>
  <c r="J1036" i="19"/>
  <c r="L1036" i="19" s="1"/>
  <c r="J1035" i="19"/>
  <c r="L1035" i="19" s="1"/>
  <c r="J1034" i="19"/>
  <c r="L1034" i="19" s="1"/>
  <c r="J1033" i="19"/>
  <c r="L1033" i="19" s="1"/>
  <c r="J1032" i="19"/>
  <c r="L1032" i="19" s="1"/>
  <c r="J1031" i="19"/>
  <c r="L1031" i="19" s="1"/>
  <c r="J1048" i="19"/>
  <c r="L1048" i="19" s="1"/>
  <c r="J1047" i="19"/>
  <c r="L1047" i="19" s="1"/>
  <c r="J1046" i="19"/>
  <c r="L1046" i="19" s="1"/>
  <c r="J1045" i="19"/>
  <c r="L1045" i="19" s="1"/>
  <c r="J1044" i="19"/>
  <c r="L1044" i="19" s="1"/>
  <c r="J1043" i="19"/>
  <c r="L1043" i="19" s="1"/>
  <c r="J1060" i="19"/>
  <c r="L1060" i="19" s="1"/>
  <c r="J1059" i="19"/>
  <c r="L1059" i="19" s="1"/>
  <c r="J1058" i="19"/>
  <c r="L1058" i="19" s="1"/>
  <c r="J1057" i="19"/>
  <c r="L1057" i="19" s="1"/>
  <c r="J1056" i="19"/>
  <c r="L1056" i="19" s="1"/>
  <c r="J1055" i="19"/>
  <c r="L1055" i="19" s="1"/>
  <c r="J1072" i="19"/>
  <c r="L1072" i="19" s="1"/>
  <c r="J1071" i="19"/>
  <c r="L1071" i="19" s="1"/>
  <c r="J1070" i="19"/>
  <c r="L1070" i="19" s="1"/>
  <c r="J1069" i="19"/>
  <c r="L1069" i="19" s="1"/>
  <c r="J1068" i="19"/>
  <c r="L1068" i="19" s="1"/>
  <c r="J1067" i="19"/>
  <c r="L1067" i="19" s="1"/>
  <c r="J1084" i="19"/>
  <c r="L1084" i="19" s="1"/>
  <c r="J1083" i="19"/>
  <c r="L1083" i="19" s="1"/>
  <c r="J1082" i="19"/>
  <c r="L1082" i="19" s="1"/>
  <c r="J1081" i="19"/>
  <c r="L1081" i="19" s="1"/>
  <c r="J1080" i="19"/>
  <c r="L1080" i="19" s="1"/>
  <c r="J1079" i="19"/>
  <c r="L1079" i="19" s="1"/>
  <c r="J1096" i="19"/>
  <c r="L1096" i="19" s="1"/>
  <c r="J1095" i="19"/>
  <c r="L1095" i="19" s="1"/>
  <c r="J1094" i="19"/>
  <c r="L1094" i="19" s="1"/>
  <c r="J1093" i="19"/>
  <c r="L1093" i="19" s="1"/>
  <c r="J1092" i="19"/>
  <c r="L1092" i="19" s="1"/>
  <c r="J1091" i="19"/>
  <c r="L1091" i="19" s="1"/>
  <c r="J1108" i="19"/>
  <c r="L1108" i="19" s="1"/>
  <c r="J1107" i="19"/>
  <c r="L1107" i="19" s="1"/>
  <c r="J1106" i="19"/>
  <c r="L1106" i="19" s="1"/>
  <c r="J1105" i="19"/>
  <c r="L1105" i="19" s="1"/>
  <c r="J1104" i="19"/>
  <c r="L1104" i="19" s="1"/>
  <c r="J1103" i="19"/>
  <c r="L1103" i="19" s="1"/>
  <c r="J1120" i="19"/>
  <c r="L1120" i="19" s="1"/>
  <c r="J1119" i="19"/>
  <c r="L1119" i="19" s="1"/>
  <c r="J1118" i="19"/>
  <c r="L1118" i="19" s="1"/>
  <c r="J1117" i="19"/>
  <c r="L1117" i="19" s="1"/>
  <c r="J1116" i="19"/>
  <c r="L1116" i="19" s="1"/>
  <c r="J1115" i="19"/>
  <c r="L1115" i="19" s="1"/>
  <c r="J1132" i="19"/>
  <c r="L1132" i="19" s="1"/>
  <c r="J1131" i="19"/>
  <c r="L1131" i="19" s="1"/>
  <c r="J1130" i="19"/>
  <c r="L1130" i="19" s="1"/>
  <c r="J1129" i="19"/>
  <c r="L1129" i="19" s="1"/>
  <c r="J1128" i="19"/>
  <c r="L1128" i="19" s="1"/>
  <c r="J1127" i="19"/>
  <c r="L1127" i="19" s="1"/>
  <c r="J1144" i="19"/>
  <c r="L1144" i="19" s="1"/>
  <c r="J1143" i="19"/>
  <c r="L1143" i="19" s="1"/>
  <c r="J1142" i="19"/>
  <c r="L1142" i="19" s="1"/>
  <c r="J1141" i="19"/>
  <c r="L1141" i="19" s="1"/>
  <c r="J1140" i="19"/>
  <c r="L1140" i="19" s="1"/>
  <c r="J1139" i="19"/>
  <c r="L1139" i="19" s="1"/>
  <c r="J1156" i="19"/>
  <c r="L1156" i="19" s="1"/>
  <c r="J1155" i="19"/>
  <c r="L1155" i="19" s="1"/>
  <c r="J1154" i="19"/>
  <c r="L1154" i="19" s="1"/>
  <c r="J1153" i="19"/>
  <c r="L1153" i="19" s="1"/>
  <c r="J1152" i="19"/>
  <c r="L1152" i="19" s="1"/>
  <c r="J1151" i="19"/>
  <c r="L1151" i="19" s="1"/>
  <c r="J1168" i="19"/>
  <c r="L1168" i="19" s="1"/>
  <c r="J1167" i="19"/>
  <c r="L1167" i="19" s="1"/>
  <c r="J1166" i="19"/>
  <c r="L1166" i="19" s="1"/>
  <c r="J1165" i="19"/>
  <c r="L1165" i="19" s="1"/>
  <c r="J1164" i="19"/>
  <c r="L1164" i="19" s="1"/>
  <c r="J1163" i="19"/>
  <c r="L1163" i="19" s="1"/>
  <c r="J1180" i="19"/>
  <c r="L1180" i="19" s="1"/>
  <c r="J1179" i="19"/>
  <c r="L1179" i="19" s="1"/>
  <c r="J1178" i="19"/>
  <c r="L1178" i="19" s="1"/>
  <c r="J1177" i="19"/>
  <c r="L1177" i="19" s="1"/>
  <c r="J1176" i="19"/>
  <c r="L1176" i="19" s="1"/>
  <c r="J1175" i="19"/>
  <c r="L1175" i="19" s="1"/>
  <c r="J1193" i="19"/>
  <c r="L1193" i="19" s="1"/>
  <c r="J1192" i="19"/>
  <c r="L1192" i="19" s="1"/>
  <c r="J1191" i="19"/>
  <c r="L1191" i="19" s="1"/>
  <c r="J1190" i="19"/>
  <c r="L1190" i="19" s="1"/>
  <c r="J1189" i="19"/>
  <c r="L1189" i="19" s="1"/>
  <c r="J1188" i="19"/>
  <c r="L1188" i="19" s="1"/>
  <c r="J1205" i="19"/>
  <c r="L1205" i="19" s="1"/>
  <c r="J1204" i="19"/>
  <c r="L1204" i="19" s="1"/>
  <c r="J1203" i="19"/>
  <c r="L1203" i="19" s="1"/>
  <c r="J1202" i="19"/>
  <c r="L1202" i="19" s="1"/>
  <c r="J1201" i="19"/>
  <c r="L1201" i="19" s="1"/>
  <c r="J1200" i="19"/>
  <c r="L1200" i="19" s="1"/>
  <c r="J1217" i="19"/>
  <c r="L1217" i="19" s="1"/>
  <c r="J1216" i="19"/>
  <c r="L1216" i="19" s="1"/>
  <c r="J1215" i="19"/>
  <c r="L1215" i="19" s="1"/>
  <c r="J1214" i="19"/>
  <c r="L1214" i="19" s="1"/>
  <c r="J1213" i="19"/>
  <c r="L1213" i="19" s="1"/>
  <c r="J1212" i="19"/>
  <c r="L1212" i="19" s="1"/>
  <c r="J1229" i="19"/>
  <c r="L1229" i="19" s="1"/>
  <c r="J1228" i="19"/>
  <c r="L1228" i="19" s="1"/>
  <c r="J1227" i="19"/>
  <c r="L1227" i="19" s="1"/>
  <c r="J1226" i="19"/>
  <c r="L1226" i="19" s="1"/>
  <c r="J1225" i="19"/>
  <c r="L1225" i="19" s="1"/>
  <c r="J1224" i="19"/>
  <c r="L1224" i="19" s="1"/>
  <c r="J226" i="19"/>
  <c r="L226" i="19" s="1"/>
  <c r="J198" i="19"/>
  <c r="L198" i="19" s="1"/>
  <c r="J77" i="19"/>
  <c r="L77" i="19" s="1"/>
  <c r="J147" i="19"/>
  <c r="L147" i="19" s="1"/>
  <c r="J353" i="19"/>
  <c r="L353" i="19" s="1"/>
  <c r="J48" i="19"/>
  <c r="L48" i="19" s="1"/>
  <c r="J192" i="19"/>
  <c r="L192" i="19" s="1"/>
  <c r="J41" i="19"/>
  <c r="L41" i="19" s="1"/>
  <c r="J143" i="19"/>
  <c r="L143" i="19" s="1"/>
  <c r="J101" i="19"/>
  <c r="L101" i="19" s="1"/>
  <c r="J257" i="19"/>
  <c r="L257" i="19" s="1"/>
  <c r="J160" i="19"/>
  <c r="L160" i="19" s="1"/>
  <c r="J193" i="19"/>
  <c r="L193" i="19" s="1"/>
  <c r="J235" i="19"/>
  <c r="L235" i="19" s="1"/>
  <c r="J301" i="19"/>
  <c r="L301" i="19" s="1"/>
  <c r="J210" i="19"/>
  <c r="L210" i="19" s="1"/>
  <c r="J290" i="19"/>
  <c r="L290" i="19" s="1"/>
  <c r="J283" i="19"/>
  <c r="L283" i="19" s="1"/>
  <c r="J199" i="19"/>
  <c r="L199" i="19" s="1"/>
  <c r="J131" i="19"/>
  <c r="L131" i="19" s="1"/>
  <c r="J176" i="19"/>
  <c r="L176" i="19" s="1"/>
  <c r="J245" i="19"/>
  <c r="L245" i="19" s="1"/>
  <c r="J277" i="19"/>
  <c r="L277" i="19" s="1"/>
  <c r="J55" i="19"/>
  <c r="L55" i="19" s="1"/>
  <c r="J172" i="19"/>
  <c r="L172" i="19" s="1"/>
  <c r="J61" i="19"/>
  <c r="L61" i="19" s="1"/>
  <c r="J34" i="19"/>
  <c r="L34" i="19" s="1"/>
  <c r="J328" i="19"/>
  <c r="L328" i="19" s="1"/>
  <c r="J21" i="19"/>
  <c r="L21" i="19" s="1"/>
  <c r="J292" i="19"/>
  <c r="L292" i="19" s="1"/>
  <c r="J311" i="19"/>
  <c r="L311" i="19" s="1"/>
  <c r="J269" i="19"/>
  <c r="L269" i="19" s="1"/>
  <c r="J90" i="19"/>
  <c r="L90" i="19" s="1"/>
  <c r="J256" i="19"/>
  <c r="L256" i="19" s="1"/>
  <c r="J79" i="19"/>
  <c r="L79" i="19" s="1"/>
  <c r="J280" i="19"/>
  <c r="L280" i="19" s="1"/>
  <c r="J284" i="19"/>
  <c r="L284" i="19" s="1"/>
  <c r="J112" i="19"/>
  <c r="L112" i="19" s="1"/>
  <c r="J91" i="19"/>
  <c r="L91" i="19" s="1"/>
  <c r="J313" i="19"/>
  <c r="L313" i="19" s="1"/>
  <c r="J27" i="19"/>
  <c r="L27" i="19" s="1"/>
  <c r="J312" i="19"/>
  <c r="L312" i="19" s="1"/>
  <c r="J411" i="19"/>
  <c r="L411" i="19" s="1"/>
  <c r="J205" i="19"/>
  <c r="L205" i="19" s="1"/>
  <c r="J14" i="19"/>
  <c r="L14" i="19" s="1"/>
  <c r="J314" i="19"/>
  <c r="L314" i="19" s="1"/>
  <c r="J378" i="19"/>
  <c r="L378" i="19" s="1"/>
  <c r="J385" i="19"/>
  <c r="L385" i="19" s="1"/>
  <c r="J302" i="19"/>
  <c r="L302" i="19" s="1"/>
  <c r="J35" i="19"/>
  <c r="L35" i="19" s="1"/>
  <c r="J339" i="19"/>
  <c r="L339" i="19" s="1"/>
  <c r="J184" i="19"/>
  <c r="L184" i="19" s="1"/>
  <c r="J83" i="19"/>
  <c r="L83" i="19" s="1"/>
  <c r="J251" i="19"/>
  <c r="L251" i="19" s="1"/>
  <c r="J391" i="19"/>
  <c r="L391" i="19" s="1"/>
  <c r="J316" i="19"/>
  <c r="L316" i="19" s="1"/>
  <c r="J315" i="19"/>
  <c r="L315" i="19" s="1"/>
  <c r="J173" i="19"/>
  <c r="L173" i="19" s="1"/>
  <c r="J92" i="19"/>
  <c r="L92" i="19" s="1"/>
  <c r="J293" i="19"/>
  <c r="L293" i="19" s="1"/>
  <c r="J123" i="19"/>
  <c r="L123" i="19" s="1"/>
  <c r="J227" i="19"/>
  <c r="L227" i="19" s="1"/>
  <c r="J45" i="19"/>
  <c r="L45" i="19" s="1"/>
  <c r="J113" i="19"/>
  <c r="L113" i="19" s="1"/>
  <c r="J206" i="19"/>
  <c r="L206" i="19" s="1"/>
  <c r="J369" i="19"/>
  <c r="L369" i="19" s="1"/>
  <c r="J238" i="19"/>
  <c r="L238" i="19" s="1"/>
  <c r="J114" i="19"/>
  <c r="L114" i="19" s="1"/>
  <c r="J228" i="19"/>
  <c r="L228" i="19" s="1"/>
  <c r="J68" i="19"/>
  <c r="L68" i="19" s="1"/>
  <c r="J285" i="19"/>
  <c r="L285" i="19" s="1"/>
  <c r="J386" i="19"/>
  <c r="L386" i="19" s="1"/>
  <c r="J37" i="19"/>
  <c r="L37" i="19" s="1"/>
  <c r="J317" i="19"/>
  <c r="L317" i="19" s="1"/>
  <c r="J336" i="19"/>
  <c r="L336" i="19" s="1"/>
  <c r="J9" i="19"/>
  <c r="L9" i="19" s="1"/>
  <c r="J276" i="19"/>
  <c r="L276" i="19" s="1"/>
  <c r="J51" i="19"/>
  <c r="L51" i="19" s="1"/>
  <c r="J115" i="19"/>
  <c r="L115" i="19" s="1"/>
  <c r="J75" i="19"/>
  <c r="L75" i="19" s="1"/>
  <c r="J318" i="19"/>
  <c r="L318" i="19" s="1"/>
  <c r="J303" i="19"/>
  <c r="L303" i="19" s="1"/>
  <c r="J265" i="19"/>
  <c r="L265" i="19" s="1"/>
  <c r="J361" i="19"/>
  <c r="L361" i="19" s="1"/>
  <c r="J200" i="19"/>
  <c r="L200" i="19" s="1"/>
  <c r="J93" i="19"/>
  <c r="L93" i="19" s="1"/>
  <c r="J74" i="19"/>
  <c r="L74" i="19" s="1"/>
  <c r="J22" i="19"/>
  <c r="L22" i="19" s="1"/>
  <c r="J10" i="19"/>
  <c r="L10" i="19" s="1"/>
  <c r="J319" i="19"/>
  <c r="L319" i="19" s="1"/>
  <c r="J28" i="19"/>
  <c r="L28" i="19" s="1"/>
  <c r="J174" i="19"/>
  <c r="L174" i="19" s="1"/>
  <c r="J323" i="19"/>
  <c r="L323" i="19" s="1"/>
  <c r="J304" i="19"/>
  <c r="L304" i="19" s="1"/>
  <c r="J161" i="19"/>
  <c r="L161" i="19" s="1"/>
  <c r="J354" i="19"/>
  <c r="L354" i="19" s="1"/>
  <c r="J202" i="19"/>
  <c r="L202" i="19" s="1"/>
  <c r="J201" i="19"/>
  <c r="L201" i="19" s="1"/>
  <c r="J6" i="19"/>
  <c r="L6" i="19" s="1"/>
  <c r="J349" i="19"/>
  <c r="L349" i="19" s="1"/>
  <c r="J194" i="19"/>
  <c r="L194" i="19" s="1"/>
  <c r="J78" i="19"/>
  <c r="L78" i="19" s="1"/>
  <c r="J324" i="19"/>
  <c r="L324" i="19" s="1"/>
  <c r="J229" i="19"/>
  <c r="L229" i="19" s="1"/>
  <c r="J138" i="19"/>
  <c r="L138" i="19" s="1"/>
  <c r="J393" i="19"/>
  <c r="L393" i="19" s="1"/>
  <c r="J346" i="19"/>
  <c r="L346" i="19" s="1"/>
  <c r="J95" i="19"/>
  <c r="L95" i="19" s="1"/>
  <c r="J72" i="19"/>
  <c r="L72" i="19" s="1"/>
  <c r="J69" i="19"/>
  <c r="L69" i="19" s="1"/>
  <c r="J132" i="19"/>
  <c r="L132" i="19" s="1"/>
  <c r="J305" i="19"/>
  <c r="L305" i="19" s="1"/>
  <c r="J104" i="19"/>
  <c r="L104" i="19" s="1"/>
  <c r="J47" i="19"/>
  <c r="L47" i="19" s="1"/>
  <c r="J52" i="19"/>
  <c r="L52" i="19" s="1"/>
  <c r="J343" i="19"/>
  <c r="L343" i="19" s="1"/>
  <c r="J320" i="19"/>
  <c r="L320" i="19" s="1"/>
  <c r="J157" i="19"/>
  <c r="L157" i="19" s="1"/>
  <c r="J116" i="19"/>
  <c r="L116" i="19" s="1"/>
  <c r="J57" i="19"/>
  <c r="L57" i="19" s="1"/>
  <c r="J152" i="19"/>
  <c r="L152" i="19" s="1"/>
  <c r="J117" i="19"/>
  <c r="L117" i="19" s="1"/>
  <c r="J148" i="19"/>
  <c r="L148" i="19" s="1"/>
  <c r="J211" i="19"/>
  <c r="L211" i="19" s="1"/>
  <c r="J25" i="19"/>
  <c r="L25" i="19" s="1"/>
  <c r="J40" i="19"/>
  <c r="L40" i="19" s="1"/>
  <c r="J212" i="19"/>
  <c r="L212" i="19" s="1"/>
  <c r="J118" i="19"/>
  <c r="L118" i="19" s="1"/>
  <c r="J288" i="19"/>
  <c r="L288" i="19" s="1"/>
  <c r="J7" i="19"/>
  <c r="L7" i="19" s="1"/>
  <c r="J133" i="19"/>
  <c r="L133" i="19" s="1"/>
  <c r="J149" i="19"/>
  <c r="L149" i="19" s="1"/>
  <c r="J102" i="19"/>
  <c r="L102" i="19" s="1"/>
  <c r="J187" i="19"/>
  <c r="L187" i="19" s="1"/>
  <c r="J321" i="19"/>
  <c r="L321" i="19" s="1"/>
  <c r="J362" i="19"/>
  <c r="L362" i="19" s="1"/>
  <c r="J325" i="19"/>
  <c r="L325" i="19" s="1"/>
  <c r="J158" i="19"/>
  <c r="L158" i="19" s="1"/>
  <c r="J188" i="19"/>
  <c r="L188" i="19" s="1"/>
  <c r="J124" i="19"/>
  <c r="L124" i="19" s="1"/>
  <c r="J73" i="19"/>
  <c r="L73" i="19" s="1"/>
  <c r="J306" i="19"/>
  <c r="L306" i="19" s="1"/>
  <c r="J153" i="19"/>
  <c r="L153" i="19" s="1"/>
  <c r="J119" i="19"/>
  <c r="L119" i="19" s="1"/>
  <c r="J168" i="19"/>
  <c r="L168" i="19" s="1"/>
  <c r="J141" i="19"/>
  <c r="L141" i="19" s="1"/>
  <c r="J134" i="19"/>
  <c r="L134" i="19" s="1"/>
  <c r="J20" i="19"/>
  <c r="L20" i="19" s="1"/>
  <c r="J207" i="19"/>
  <c r="L207" i="19" s="1"/>
  <c r="J281" i="19"/>
  <c r="L281" i="19" s="1"/>
  <c r="J65" i="19"/>
  <c r="L65" i="19" s="1"/>
  <c r="J135" i="19"/>
  <c r="L135" i="19" s="1"/>
  <c r="J259" i="19"/>
  <c r="L259" i="19" s="1"/>
  <c r="J270" i="19"/>
  <c r="L270" i="19" s="1"/>
  <c r="J23" i="19"/>
  <c r="L23" i="19" s="1"/>
  <c r="J63" i="19"/>
  <c r="L63" i="19" s="1"/>
  <c r="J70" i="19"/>
  <c r="L70" i="19" s="1"/>
  <c r="J272" i="19"/>
  <c r="L272" i="19" s="1"/>
  <c r="J329" i="19"/>
  <c r="L329" i="19" s="1"/>
  <c r="J373" i="19"/>
  <c r="L373" i="19" s="1"/>
  <c r="J44" i="19"/>
  <c r="L44" i="19" s="1"/>
  <c r="J263" i="19"/>
  <c r="L263" i="19" s="1"/>
  <c r="J203" i="19"/>
  <c r="L203" i="19" s="1"/>
  <c r="J213" i="19"/>
  <c r="L213" i="19" s="1"/>
  <c r="J26" i="19"/>
  <c r="L26" i="19" s="1"/>
  <c r="J273" i="19"/>
  <c r="L273" i="19" s="1"/>
  <c r="J363" i="19"/>
  <c r="L363" i="19" s="1"/>
  <c r="J154" i="19"/>
  <c r="L154" i="19" s="1"/>
  <c r="J103" i="19"/>
  <c r="L103" i="19" s="1"/>
  <c r="J230" i="19"/>
  <c r="L230" i="19" s="1"/>
  <c r="J29" i="19"/>
  <c r="L29" i="19" s="1"/>
  <c r="J42" i="19"/>
  <c r="L42" i="19" s="1"/>
  <c r="J177" i="19"/>
  <c r="L177" i="19" s="1"/>
  <c r="J379" i="19"/>
  <c r="L379" i="19" s="1"/>
  <c r="J214" i="19"/>
  <c r="L214" i="19" s="1"/>
  <c r="J389" i="19"/>
  <c r="L389" i="19" s="1"/>
  <c r="J274" i="19"/>
  <c r="L274" i="19" s="1"/>
  <c r="J142" i="19"/>
  <c r="L142" i="19" s="1"/>
  <c r="J13" i="19"/>
  <c r="L13" i="19" s="1"/>
  <c r="J208" i="19"/>
  <c r="L208" i="19" s="1"/>
  <c r="J64" i="19"/>
  <c r="L64" i="19" s="1"/>
  <c r="J350" i="19"/>
  <c r="L350" i="19" s="1"/>
  <c r="J46" i="19"/>
  <c r="L46" i="19" s="1"/>
  <c r="J239" i="19"/>
  <c r="L239" i="19" s="1"/>
  <c r="J266" i="19"/>
  <c r="L266" i="19" s="1"/>
  <c r="J1187" i="19"/>
  <c r="L1187" i="19" s="1"/>
  <c r="J185" i="19"/>
  <c r="L185" i="19" s="1"/>
  <c r="J121" i="19"/>
  <c r="L121" i="19" s="1"/>
  <c r="J36" i="19"/>
  <c r="L36" i="19" s="1"/>
  <c r="J231" i="19"/>
  <c r="L231" i="19" s="1"/>
  <c r="J120" i="19"/>
  <c r="L120" i="19" s="1"/>
  <c r="J24" i="19"/>
  <c r="L24" i="19" s="1"/>
  <c r="J175" i="19"/>
  <c r="L175" i="19" s="1"/>
  <c r="J189" i="19"/>
  <c r="L189" i="19" s="1"/>
  <c r="J330" i="19"/>
  <c r="L330" i="19" s="1"/>
  <c r="J407" i="19"/>
  <c r="L407" i="19" s="1"/>
  <c r="J43" i="19"/>
  <c r="L43" i="19" s="1"/>
  <c r="J390" i="19"/>
  <c r="L390" i="19" s="1"/>
  <c r="J84" i="19"/>
  <c r="L84" i="19" s="1"/>
  <c r="J136" i="19"/>
  <c r="L136" i="19" s="1"/>
  <c r="J345" i="19"/>
  <c r="L345" i="19" s="1"/>
  <c r="J59" i="19"/>
  <c r="L59" i="19" s="1"/>
  <c r="J289" i="19"/>
  <c r="L289" i="19" s="1"/>
  <c r="J71" i="19"/>
  <c r="L71" i="19" s="1"/>
  <c r="J826" i="19"/>
  <c r="L826" i="19" s="1"/>
  <c r="J825" i="19"/>
  <c r="L825" i="19" s="1"/>
  <c r="J824" i="19"/>
  <c r="L824" i="19" s="1"/>
  <c r="J823" i="19"/>
  <c r="L823" i="19" s="1"/>
  <c r="J822" i="19"/>
  <c r="L822" i="19" s="1"/>
  <c r="J821" i="19"/>
  <c r="L821" i="19" s="1"/>
  <c r="J838" i="19"/>
  <c r="L838" i="19" s="1"/>
  <c r="J837" i="19"/>
  <c r="L837" i="19" s="1"/>
  <c r="J836" i="19"/>
  <c r="L836" i="19" s="1"/>
  <c r="J835" i="19"/>
  <c r="L835" i="19" s="1"/>
  <c r="J834" i="19"/>
  <c r="L834" i="19" s="1"/>
  <c r="J833" i="19"/>
  <c r="L833" i="19" s="1"/>
  <c r="J850" i="19"/>
  <c r="L850" i="19" s="1"/>
  <c r="J849" i="19"/>
  <c r="L849" i="19" s="1"/>
  <c r="J848" i="19"/>
  <c r="L848" i="19" s="1"/>
  <c r="J847" i="19"/>
  <c r="L847" i="19" s="1"/>
  <c r="J862" i="19"/>
  <c r="L862" i="19" s="1"/>
  <c r="J861" i="19"/>
  <c r="L861" i="19" s="1"/>
  <c r="J860" i="19"/>
  <c r="L860" i="19" s="1"/>
  <c r="J859" i="19"/>
  <c r="L859" i="19" s="1"/>
  <c r="J858" i="19"/>
  <c r="L858" i="19" s="1"/>
  <c r="J857" i="19"/>
  <c r="L857" i="19" s="1"/>
  <c r="J874" i="19"/>
  <c r="L874" i="19" s="1"/>
  <c r="J873" i="19"/>
  <c r="L873" i="19" s="1"/>
  <c r="J872" i="19"/>
  <c r="L872" i="19" s="1"/>
  <c r="J871" i="19"/>
  <c r="L871" i="19" s="1"/>
  <c r="J870" i="19"/>
  <c r="L870" i="19" s="1"/>
  <c r="J869" i="19"/>
  <c r="L869" i="19" s="1"/>
  <c r="J886" i="19"/>
  <c r="L886" i="19" s="1"/>
  <c r="J885" i="19"/>
  <c r="L885" i="19" s="1"/>
  <c r="J884" i="19"/>
  <c r="L884" i="19" s="1"/>
  <c r="J883" i="19"/>
  <c r="L883" i="19" s="1"/>
  <c r="J882" i="19"/>
  <c r="L882" i="19" s="1"/>
  <c r="J881" i="19"/>
  <c r="L881" i="19" s="1"/>
  <c r="J898" i="19"/>
  <c r="L898" i="19" s="1"/>
  <c r="J897" i="19"/>
  <c r="L897" i="19" s="1"/>
  <c r="J896" i="19"/>
  <c r="L896" i="19" s="1"/>
  <c r="J895" i="19"/>
  <c r="L895" i="19" s="1"/>
  <c r="J894" i="19"/>
  <c r="L894" i="19" s="1"/>
  <c r="J893" i="19"/>
  <c r="L893" i="19" s="1"/>
  <c r="J910" i="19"/>
  <c r="L910" i="19" s="1"/>
  <c r="J909" i="19"/>
  <c r="L909" i="19" s="1"/>
  <c r="J908" i="19"/>
  <c r="L908" i="19" s="1"/>
  <c r="J907" i="19"/>
  <c r="L907" i="19" s="1"/>
  <c r="J906" i="19"/>
  <c r="L906" i="19" s="1"/>
  <c r="J905" i="19"/>
  <c r="L905" i="19" s="1"/>
  <c r="J922" i="19"/>
  <c r="L922" i="19" s="1"/>
  <c r="J921" i="19"/>
  <c r="L921" i="19" s="1"/>
  <c r="J920" i="19"/>
  <c r="L920" i="19" s="1"/>
  <c r="J919" i="19"/>
  <c r="L919" i="19" s="1"/>
  <c r="J918" i="19"/>
  <c r="L918" i="19" s="1"/>
  <c r="J917" i="19"/>
  <c r="L917" i="19" s="1"/>
  <c r="J934" i="19"/>
  <c r="L934" i="19" s="1"/>
  <c r="J933" i="19"/>
  <c r="L933" i="19" s="1"/>
  <c r="J932" i="19"/>
  <c r="L932" i="19" s="1"/>
  <c r="J931" i="19"/>
  <c r="L931" i="19" s="1"/>
  <c r="J930" i="19"/>
  <c r="L930" i="19" s="1"/>
  <c r="J929" i="19"/>
  <c r="L929" i="19" s="1"/>
  <c r="J946" i="19"/>
  <c r="L946" i="19" s="1"/>
  <c r="J945" i="19"/>
  <c r="L945" i="19" s="1"/>
  <c r="J944" i="19"/>
  <c r="L944" i="19" s="1"/>
  <c r="J943" i="19"/>
  <c r="L943" i="19" s="1"/>
  <c r="J942" i="19"/>
  <c r="L942" i="19" s="1"/>
  <c r="J941" i="19"/>
  <c r="L941" i="19" s="1"/>
  <c r="J958" i="19"/>
  <c r="L958" i="19" s="1"/>
  <c r="J957" i="19"/>
  <c r="L957" i="19" s="1"/>
  <c r="J956" i="19"/>
  <c r="L956" i="19" s="1"/>
  <c r="J955" i="19"/>
  <c r="L955" i="19" s="1"/>
  <c r="J954" i="19"/>
  <c r="L954" i="19" s="1"/>
  <c r="J953" i="19"/>
  <c r="L953" i="19" s="1"/>
  <c r="J970" i="19"/>
  <c r="L970" i="19" s="1"/>
  <c r="J969" i="19"/>
  <c r="L969" i="19" s="1"/>
  <c r="J968" i="19"/>
  <c r="L968" i="19" s="1"/>
  <c r="J967" i="19"/>
  <c r="L967" i="19" s="1"/>
  <c r="J966" i="19"/>
  <c r="L966" i="19" s="1"/>
  <c r="J965" i="19"/>
  <c r="L965" i="19" s="1"/>
  <c r="J982" i="19"/>
  <c r="L982" i="19" s="1"/>
  <c r="J980" i="19"/>
  <c r="L980" i="19" s="1"/>
  <c r="J979" i="19"/>
  <c r="L979" i="19" s="1"/>
  <c r="J978" i="19"/>
  <c r="L978" i="19" s="1"/>
  <c r="J977" i="19"/>
  <c r="L977" i="19" s="1"/>
  <c r="J994" i="19"/>
  <c r="L994" i="19" s="1"/>
  <c r="J993" i="19"/>
  <c r="L993" i="19" s="1"/>
  <c r="J992" i="19"/>
  <c r="L992" i="19" s="1"/>
  <c r="J991" i="19"/>
  <c r="L991" i="19" s="1"/>
  <c r="J990" i="19"/>
  <c r="L990" i="19" s="1"/>
  <c r="J989" i="19"/>
  <c r="L989" i="19" s="1"/>
  <c r="J1006" i="19"/>
  <c r="L1006" i="19" s="1"/>
  <c r="J1005" i="19"/>
  <c r="L1005" i="19" s="1"/>
  <c r="J1004" i="19"/>
  <c r="L1004" i="19" s="1"/>
  <c r="J1003" i="19"/>
  <c r="L1003" i="19" s="1"/>
  <c r="J1002" i="19"/>
  <c r="L1002" i="19" s="1"/>
  <c r="J1001" i="19"/>
  <c r="L1001" i="19" s="1"/>
  <c r="J1018" i="19"/>
  <c r="L1018" i="19" s="1"/>
  <c r="J1017" i="19"/>
  <c r="L1017" i="19" s="1"/>
  <c r="J1016" i="19"/>
  <c r="L1016" i="19" s="1"/>
  <c r="J1015" i="19"/>
  <c r="L1015" i="19" s="1"/>
  <c r="J1014" i="19"/>
  <c r="L1014" i="19" s="1"/>
  <c r="J1013" i="19"/>
  <c r="L1013" i="19" s="1"/>
  <c r="J1030" i="19"/>
  <c r="L1030" i="19" s="1"/>
  <c r="J1029" i="19"/>
  <c r="L1029" i="19" s="1"/>
  <c r="J1028" i="19"/>
  <c r="L1028" i="19" s="1"/>
  <c r="J1027" i="19"/>
  <c r="L1027" i="19" s="1"/>
  <c r="J1026" i="19"/>
  <c r="L1026" i="19" s="1"/>
  <c r="J1025" i="19"/>
  <c r="L1025" i="19" s="1"/>
  <c r="J1042" i="19"/>
  <c r="L1042" i="19" s="1"/>
  <c r="J1041" i="19"/>
  <c r="L1041" i="19" s="1"/>
  <c r="J1040" i="19"/>
  <c r="L1040" i="19" s="1"/>
  <c r="J1039" i="19"/>
  <c r="L1039" i="19" s="1"/>
  <c r="J1038" i="19"/>
  <c r="L1038" i="19" s="1"/>
  <c r="J1037" i="19"/>
  <c r="L1037" i="19" s="1"/>
  <c r="J1054" i="19"/>
  <c r="L1054" i="19" s="1"/>
  <c r="J1053" i="19"/>
  <c r="L1053" i="19" s="1"/>
  <c r="J1052" i="19"/>
  <c r="L1052" i="19" s="1"/>
  <c r="J1051" i="19"/>
  <c r="L1051" i="19" s="1"/>
  <c r="J1050" i="19"/>
  <c r="L1050" i="19" s="1"/>
  <c r="J1049" i="19"/>
  <c r="L1049" i="19" s="1"/>
  <c r="J1066" i="19"/>
  <c r="L1066" i="19" s="1"/>
  <c r="J1065" i="19"/>
  <c r="L1065" i="19" s="1"/>
  <c r="J1064" i="19"/>
  <c r="L1064" i="19" s="1"/>
  <c r="J1063" i="19"/>
  <c r="L1063" i="19" s="1"/>
  <c r="J1062" i="19"/>
  <c r="L1062" i="19" s="1"/>
  <c r="J1061" i="19"/>
  <c r="L1061" i="19" s="1"/>
  <c r="J1078" i="19"/>
  <c r="L1078" i="19" s="1"/>
  <c r="J1077" i="19"/>
  <c r="L1077" i="19" s="1"/>
  <c r="J1076" i="19"/>
  <c r="L1076" i="19" s="1"/>
  <c r="J1075" i="19"/>
  <c r="L1075" i="19" s="1"/>
  <c r="J1074" i="19"/>
  <c r="L1074" i="19" s="1"/>
  <c r="J1073" i="19"/>
  <c r="L1073" i="19" s="1"/>
  <c r="J1090" i="19"/>
  <c r="L1090" i="19" s="1"/>
  <c r="J1089" i="19"/>
  <c r="L1089" i="19" s="1"/>
  <c r="J1088" i="19"/>
  <c r="L1088" i="19" s="1"/>
  <c r="J1087" i="19"/>
  <c r="L1087" i="19" s="1"/>
  <c r="J1086" i="19"/>
  <c r="L1086" i="19" s="1"/>
  <c r="J1085" i="19"/>
  <c r="L1085" i="19" s="1"/>
  <c r="J1102" i="19"/>
  <c r="L1102" i="19" s="1"/>
  <c r="J1101" i="19"/>
  <c r="L1101" i="19" s="1"/>
  <c r="J1100" i="19"/>
  <c r="L1100" i="19" s="1"/>
  <c r="J1099" i="19"/>
  <c r="L1099" i="19" s="1"/>
  <c r="J1098" i="19"/>
  <c r="L1098" i="19" s="1"/>
  <c r="J1097" i="19"/>
  <c r="L1097" i="19" s="1"/>
  <c r="J1114" i="19"/>
  <c r="L1114" i="19" s="1"/>
  <c r="J1113" i="19"/>
  <c r="L1113" i="19" s="1"/>
  <c r="J1112" i="19"/>
  <c r="L1112" i="19" s="1"/>
  <c r="J1111" i="19"/>
  <c r="L1111" i="19" s="1"/>
  <c r="J1110" i="19"/>
  <c r="L1110" i="19" s="1"/>
  <c r="J1109" i="19"/>
  <c r="L1109" i="19" s="1"/>
  <c r="J1126" i="19"/>
  <c r="L1126" i="19" s="1"/>
  <c r="J1125" i="19"/>
  <c r="L1125" i="19" s="1"/>
  <c r="J1124" i="19"/>
  <c r="L1124" i="19" s="1"/>
  <c r="J1123" i="19"/>
  <c r="L1123" i="19" s="1"/>
  <c r="J1122" i="19"/>
  <c r="L1122" i="19" s="1"/>
  <c r="J1121" i="19"/>
  <c r="L1121" i="19" s="1"/>
  <c r="J1138" i="19"/>
  <c r="L1138" i="19" s="1"/>
  <c r="J1137" i="19"/>
  <c r="L1137" i="19" s="1"/>
  <c r="J1136" i="19"/>
  <c r="L1136" i="19" s="1"/>
  <c r="J1135" i="19"/>
  <c r="L1135" i="19" s="1"/>
  <c r="J1134" i="19"/>
  <c r="L1134" i="19" s="1"/>
  <c r="J1133" i="19"/>
  <c r="L1133" i="19" s="1"/>
  <c r="J1150" i="19"/>
  <c r="L1150" i="19" s="1"/>
  <c r="J1149" i="19"/>
  <c r="L1149" i="19" s="1"/>
  <c r="J1148" i="19"/>
  <c r="L1148" i="19" s="1"/>
  <c r="J1147" i="19"/>
  <c r="L1147" i="19" s="1"/>
  <c r="J1146" i="19"/>
  <c r="L1146" i="19" s="1"/>
  <c r="J1145" i="19"/>
  <c r="L1145" i="19" s="1"/>
  <c r="J1162" i="19"/>
  <c r="L1162" i="19" s="1"/>
  <c r="J1161" i="19"/>
  <c r="L1161" i="19" s="1"/>
  <c r="J1160" i="19"/>
  <c r="L1160" i="19" s="1"/>
  <c r="J1159" i="19"/>
  <c r="L1159" i="19" s="1"/>
  <c r="J1158" i="19"/>
  <c r="L1158" i="19" s="1"/>
  <c r="J1157" i="19"/>
  <c r="L1157" i="19" s="1"/>
  <c r="J1174" i="19"/>
  <c r="L1174" i="19" s="1"/>
  <c r="J1173" i="19"/>
  <c r="L1173" i="19" s="1"/>
  <c r="J1172" i="19"/>
  <c r="L1172" i="19" s="1"/>
  <c r="J1171" i="19"/>
  <c r="L1171" i="19" s="1"/>
  <c r="J1170" i="19"/>
  <c r="L1170" i="19" s="1"/>
  <c r="J1169" i="19"/>
  <c r="L1169" i="19" s="1"/>
  <c r="J1186" i="19"/>
  <c r="L1186" i="19" s="1"/>
  <c r="J1185" i="19"/>
  <c r="L1185" i="19" s="1"/>
  <c r="J1184" i="19"/>
  <c r="L1184" i="19" s="1"/>
  <c r="J1183" i="19"/>
  <c r="L1183" i="19" s="1"/>
  <c r="J1182" i="19"/>
  <c r="L1182" i="19" s="1"/>
  <c r="J1181" i="19"/>
  <c r="L1181" i="19" s="1"/>
  <c r="J1199" i="19"/>
  <c r="L1199" i="19" s="1"/>
  <c r="J1198" i="19"/>
  <c r="L1198" i="19" s="1"/>
  <c r="J1197" i="19"/>
  <c r="L1197" i="19" s="1"/>
  <c r="J1196" i="19"/>
  <c r="L1196" i="19" s="1"/>
  <c r="J1195" i="19"/>
  <c r="L1195" i="19" s="1"/>
  <c r="J1194" i="19"/>
  <c r="L1194" i="19" s="1"/>
  <c r="J1211" i="19"/>
  <c r="L1211" i="19" s="1"/>
  <c r="J1210" i="19"/>
  <c r="L1210" i="19" s="1"/>
  <c r="J1209" i="19"/>
  <c r="L1209" i="19" s="1"/>
  <c r="J1208" i="19"/>
  <c r="L1208" i="19" s="1"/>
  <c r="J1207" i="19"/>
  <c r="L1207" i="19" s="1"/>
  <c r="J1206" i="19"/>
  <c r="L1206" i="19" s="1"/>
  <c r="J1223" i="19"/>
  <c r="L1223" i="19" s="1"/>
  <c r="J1222" i="19"/>
  <c r="L1222" i="19" s="1"/>
  <c r="J1221" i="19"/>
  <c r="L1221" i="19" s="1"/>
  <c r="J1220" i="19"/>
  <c r="L1220" i="19" s="1"/>
  <c r="J1219" i="19"/>
  <c r="L1219" i="19" s="1"/>
  <c r="J1218" i="19"/>
  <c r="L1218" i="19" s="1"/>
  <c r="J254" i="19"/>
  <c r="L254" i="19" s="1"/>
  <c r="J125" i="19"/>
  <c r="L125" i="19" s="1"/>
  <c r="J139" i="19"/>
  <c r="L139" i="19" s="1"/>
  <c r="J402" i="19"/>
  <c r="L402" i="19" s="1"/>
  <c r="J370" i="19"/>
  <c r="L370" i="19" s="1"/>
  <c r="J395" i="19"/>
  <c r="L395" i="19" s="1"/>
  <c r="J85" i="19"/>
  <c r="L85" i="19" s="1"/>
  <c r="J342" i="19"/>
  <c r="L342" i="19" s="1"/>
  <c r="J242" i="19"/>
  <c r="L242" i="19" s="1"/>
  <c r="J155" i="19"/>
  <c r="L155" i="19" s="1"/>
  <c r="J396" i="19"/>
  <c r="L396" i="19" s="1"/>
  <c r="J94" i="19"/>
  <c r="L94" i="19" s="1"/>
  <c r="J357" i="19"/>
  <c r="L357" i="19" s="1"/>
  <c r="J30" i="19"/>
  <c r="L30" i="19" s="1"/>
  <c r="J16" i="19"/>
  <c r="L16" i="19" s="1"/>
  <c r="J255" i="19"/>
  <c r="L255" i="19" s="1"/>
  <c r="J169" i="19"/>
  <c r="L169" i="19" s="1"/>
  <c r="J403" i="19"/>
  <c r="L403" i="19" s="1"/>
  <c r="J126" i="19"/>
  <c r="L126" i="19" s="1"/>
  <c r="J380" i="19"/>
  <c r="L380" i="19" s="1"/>
  <c r="J294" i="19"/>
  <c r="L294" i="19" s="1"/>
  <c r="J215" i="19"/>
  <c r="L215" i="19" s="1"/>
  <c r="J105" i="19"/>
  <c r="L105" i="19" s="1"/>
  <c r="J454" i="19"/>
  <c r="L454" i="19" s="1"/>
  <c r="J261" i="19"/>
  <c r="L261" i="19" s="1"/>
  <c r="J236" i="19"/>
  <c r="L236" i="19" s="1"/>
  <c r="J394" i="19"/>
  <c r="L394" i="19" s="1"/>
  <c r="J216" i="19"/>
  <c r="L216" i="19" s="1"/>
  <c r="J250" i="19"/>
  <c r="L250" i="19" s="1"/>
  <c r="J80" i="19"/>
  <c r="L80" i="19" s="1"/>
  <c r="J371" i="19"/>
  <c r="L371" i="19" s="1"/>
  <c r="J178" i="19"/>
  <c r="L178" i="19" s="1"/>
  <c r="J351" i="19"/>
  <c r="L351" i="19" s="1"/>
  <c r="J322" i="19"/>
  <c r="L322" i="19" s="1"/>
  <c r="J358" i="19"/>
  <c r="L358" i="19" s="1"/>
  <c r="J326" i="19"/>
  <c r="L326" i="19" s="1"/>
  <c r="J86" i="19"/>
  <c r="L86" i="19" s="1"/>
  <c r="J49" i="19"/>
  <c r="L49" i="19" s="1"/>
  <c r="J404" i="19"/>
  <c r="L404" i="19" s="1"/>
  <c r="J209" i="19"/>
  <c r="L209" i="19" s="1"/>
  <c r="J355" i="19"/>
  <c r="L355" i="19" s="1"/>
  <c r="J87" i="19"/>
  <c r="L87" i="19" s="1"/>
  <c r="J295" i="19"/>
  <c r="L295" i="19" s="1"/>
  <c r="J296" i="19"/>
  <c r="L296" i="19" s="1"/>
  <c r="J217" i="19"/>
  <c r="L217" i="19" s="1"/>
  <c r="J66" i="19"/>
  <c r="L66" i="19" s="1"/>
  <c r="J374" i="19"/>
  <c r="L374" i="19" s="1"/>
  <c r="J262" i="19"/>
  <c r="L262" i="19" s="1"/>
  <c r="J341" i="19"/>
  <c r="L341" i="19" s="1"/>
  <c r="J243" i="19"/>
  <c r="L243" i="19" s="1"/>
  <c r="J12" i="19"/>
  <c r="L12" i="19" s="1"/>
  <c r="J150" i="19"/>
  <c r="L150" i="19" s="1"/>
  <c r="J144" i="19"/>
  <c r="L144" i="19" s="1"/>
  <c r="J331" i="19"/>
  <c r="L331" i="19" s="1"/>
  <c r="J260" i="19"/>
  <c r="L260" i="19" s="1"/>
  <c r="J81" i="19"/>
  <c r="L81" i="19" s="1"/>
  <c r="J195" i="19"/>
  <c r="L195" i="19" s="1"/>
  <c r="J56" i="19"/>
  <c r="L56" i="19" s="1"/>
  <c r="J409" i="19"/>
  <c r="L409" i="19" s="1"/>
  <c r="J106" i="19"/>
  <c r="L106" i="19" s="1"/>
  <c r="J8" i="19"/>
  <c r="L8" i="19" s="1"/>
  <c r="J159" i="19"/>
  <c r="L159" i="19" s="1"/>
  <c r="J348" i="19"/>
  <c r="L348" i="19" s="1"/>
  <c r="J218" i="19"/>
  <c r="L218" i="19" s="1"/>
  <c r="J387" i="19"/>
  <c r="L387" i="19" s="1"/>
  <c r="J204" i="19"/>
  <c r="L204" i="19" s="1"/>
  <c r="J405" i="19"/>
  <c r="L405" i="19" s="1"/>
  <c r="J327" i="19"/>
  <c r="L327" i="19" s="1"/>
  <c r="J246" i="19"/>
  <c r="L246" i="19" s="1"/>
  <c r="J219" i="19"/>
  <c r="L219" i="19" s="1"/>
  <c r="J54" i="19"/>
  <c r="L54" i="19" s="1"/>
  <c r="J377" i="19"/>
  <c r="L377" i="19" s="1"/>
  <c r="J247" i="19"/>
  <c r="L247" i="19" s="1"/>
  <c r="J107" i="19"/>
  <c r="L107" i="19" s="1"/>
  <c r="J96" i="19"/>
  <c r="L96" i="19" s="1"/>
  <c r="J38" i="19"/>
  <c r="L38" i="19" s="1"/>
  <c r="J179" i="19"/>
  <c r="L179" i="19" s="1"/>
  <c r="J244" i="19"/>
  <c r="L244" i="19" s="1"/>
  <c r="J53" i="19"/>
  <c r="L53" i="19" s="1"/>
  <c r="J220" i="19"/>
  <c r="L220" i="19" s="1"/>
  <c r="J196" i="19"/>
  <c r="L196" i="19" s="1"/>
  <c r="J381" i="19"/>
  <c r="L381" i="19" s="1"/>
  <c r="J145" i="19"/>
  <c r="L145" i="19" s="1"/>
  <c r="J167" i="19"/>
  <c r="L167" i="19" s="1"/>
  <c r="J221" i="19"/>
  <c r="L221" i="19" s="1"/>
  <c r="J170" i="19"/>
  <c r="L170" i="19" s="1"/>
  <c r="J364" i="19"/>
  <c r="L364" i="19" s="1"/>
  <c r="J297" i="19"/>
  <c r="L297" i="19" s="1"/>
  <c r="J122" i="19"/>
  <c r="L122" i="19" s="1"/>
  <c r="J82" i="19"/>
  <c r="L82" i="19" s="1"/>
  <c r="J19" i="19"/>
  <c r="L19" i="19" s="1"/>
  <c r="J222" i="19"/>
  <c r="L222" i="19" s="1"/>
  <c r="J146" i="19"/>
  <c r="L146" i="19" s="1"/>
  <c r="J365" i="19"/>
  <c r="L365" i="19" s="1"/>
  <c r="J186" i="19"/>
  <c r="L186" i="19" s="1"/>
  <c r="J140" i="19"/>
  <c r="L140" i="19" s="1"/>
  <c r="J17" i="19"/>
  <c r="L17" i="19" s="1"/>
  <c r="J31" i="19"/>
  <c r="L31" i="19" s="1"/>
  <c r="J356" i="19"/>
  <c r="L356" i="19" s="1"/>
  <c r="J383" i="19"/>
  <c r="L383" i="19" s="1"/>
  <c r="J347" i="19"/>
  <c r="L347" i="19" s="1"/>
  <c r="J99" i="19"/>
  <c r="L99" i="19" s="1"/>
  <c r="J307" i="19"/>
  <c r="L307" i="19" s="1"/>
  <c r="J162" i="19"/>
  <c r="L162" i="19" s="1"/>
  <c r="J271" i="19"/>
  <c r="L271" i="19" s="1"/>
  <c r="J264" i="19"/>
  <c r="L264" i="19" s="1"/>
  <c r="J180" i="19"/>
  <c r="L180" i="19" s="1"/>
  <c r="J388" i="19"/>
  <c r="L388" i="19" s="1"/>
  <c r="J109" i="19"/>
  <c r="L109" i="19" s="1"/>
  <c r="J334" i="19"/>
  <c r="L334" i="19" s="1"/>
  <c r="J127" i="19"/>
  <c r="L127" i="19" s="1"/>
  <c r="J128" i="19"/>
  <c r="L128" i="19" s="1"/>
  <c r="J375" i="19"/>
  <c r="L375" i="19" s="1"/>
  <c r="J397" i="19"/>
  <c r="L397" i="19" s="1"/>
  <c r="J97" i="19"/>
  <c r="L97" i="19" s="1"/>
  <c r="J406" i="19"/>
  <c r="L406" i="19" s="1"/>
  <c r="J398" i="19"/>
  <c r="L398" i="19" s="1"/>
  <c r="J384" i="19"/>
  <c r="L384" i="19" s="1"/>
  <c r="J298" i="19"/>
  <c r="L298" i="19" s="1"/>
  <c r="J110" i="19"/>
  <c r="L110" i="19" s="1"/>
  <c r="J98" i="19"/>
  <c r="L98" i="19" s="1"/>
  <c r="J344" i="19"/>
  <c r="L344" i="19" s="1"/>
  <c r="J267" i="19"/>
  <c r="L267" i="19" s="1"/>
  <c r="J382" i="19"/>
  <c r="L382" i="19" s="1"/>
  <c r="J32" i="19"/>
  <c r="L32" i="19" s="1"/>
  <c r="J151" i="19"/>
  <c r="L151" i="19" s="1"/>
  <c r="J337" i="19"/>
  <c r="L337" i="19" s="1"/>
  <c r="J197" i="19"/>
  <c r="L197" i="19" s="1"/>
  <c r="J359" i="19"/>
  <c r="L359" i="19" s="1"/>
  <c r="J171" i="19"/>
  <c r="L171" i="19" s="1"/>
  <c r="J332" i="19"/>
  <c r="L332" i="19" s="1"/>
  <c r="J223" i="19"/>
  <c r="L223" i="19" s="1"/>
  <c r="J308" i="19"/>
  <c r="L308" i="19" s="1"/>
  <c r="J165" i="19"/>
  <c r="L165" i="19" s="1"/>
  <c r="J268" i="19"/>
  <c r="L268" i="19" s="1"/>
  <c r="J181" i="19"/>
  <c r="L181" i="19" s="1"/>
  <c r="J309" i="19"/>
  <c r="L309" i="19" s="1"/>
  <c r="J137" i="19"/>
  <c r="L137" i="19" s="1"/>
  <c r="J111" i="19"/>
  <c r="L111" i="19" s="1"/>
  <c r="J224" i="19"/>
  <c r="L224" i="19" s="1"/>
  <c r="J278" i="19"/>
  <c r="L278" i="19" s="1"/>
  <c r="J399" i="19"/>
  <c r="L399" i="19" s="1"/>
  <c r="J88" i="19"/>
  <c r="L88" i="19" s="1"/>
  <c r="J286" i="19"/>
  <c r="L286" i="19" s="1"/>
  <c r="J333" i="19"/>
  <c r="L333" i="19" s="1"/>
  <c r="J166" i="19"/>
  <c r="L166" i="19" s="1"/>
  <c r="J299" i="19"/>
  <c r="L299" i="19" s="1"/>
  <c r="J18" i="19"/>
  <c r="L18" i="19" s="1"/>
  <c r="J400" i="19"/>
  <c r="L400" i="19" s="1"/>
  <c r="J182" i="19"/>
  <c r="L182" i="19" s="1"/>
  <c r="J237" i="19"/>
  <c r="L237" i="19" s="1"/>
  <c r="J240" i="19"/>
  <c r="L240" i="19" s="1"/>
  <c r="J11" i="19"/>
  <c r="L11" i="19" s="1"/>
  <c r="J401" i="19"/>
  <c r="L401" i="19" s="1"/>
  <c r="J67" i="19"/>
  <c r="L67" i="19" s="1"/>
  <c r="J392" i="19"/>
  <c r="L392" i="19" s="1"/>
  <c r="J248" i="19"/>
  <c r="L248" i="19" s="1"/>
  <c r="J183" i="19"/>
  <c r="L183" i="19" s="1"/>
  <c r="J279" i="19"/>
  <c r="L279" i="19" s="1"/>
  <c r="J233" i="19"/>
  <c r="L233" i="19" s="1"/>
  <c r="J253" i="19"/>
  <c r="L253" i="19" s="1"/>
  <c r="J249" i="19"/>
  <c r="L249" i="19" s="1"/>
  <c r="J232" i="19"/>
  <c r="L232" i="19" s="1"/>
  <c r="J129" i="19"/>
  <c r="L129" i="19" s="1"/>
  <c r="J62" i="19"/>
  <c r="L62" i="19" s="1"/>
  <c r="J366" i="19"/>
  <c r="L366" i="19" s="1"/>
  <c r="J15" i="19"/>
  <c r="L15" i="19" s="1"/>
  <c r="J275" i="19"/>
  <c r="L275" i="19" s="1"/>
  <c r="J130" i="19"/>
  <c r="L130" i="19" s="1"/>
  <c r="J58" i="19"/>
  <c r="L58" i="19" s="1"/>
  <c r="J89" i="19"/>
  <c r="L89" i="19" s="1"/>
  <c r="J376" i="19"/>
  <c r="L376" i="19" s="1"/>
  <c r="J367" i="19"/>
  <c r="L367" i="19" s="1"/>
  <c r="J340" i="19"/>
  <c r="L340" i="19" s="1"/>
  <c r="J410" i="19"/>
  <c r="L410" i="19" s="1"/>
  <c r="J60" i="19"/>
  <c r="L60" i="19" s="1"/>
  <c r="J291" i="19"/>
  <c r="L291" i="19" s="1"/>
  <c r="J252" i="19"/>
  <c r="L252" i="19" s="1"/>
  <c r="J258" i="19"/>
  <c r="L258" i="19" s="1"/>
  <c r="J300" i="19"/>
  <c r="L300" i="19" s="1"/>
  <c r="J408" i="19"/>
  <c r="L408" i="19" s="1"/>
  <c r="J338" i="19"/>
  <c r="L338" i="19" s="1"/>
  <c r="J282" i="19"/>
  <c r="L282" i="19" s="1"/>
  <c r="J352" i="19"/>
  <c r="L352" i="19" s="1"/>
  <c r="J164" i="19"/>
  <c r="L164" i="19" s="1"/>
  <c r="J368" i="19"/>
  <c r="L368" i="19" s="1"/>
  <c r="J310" i="19"/>
  <c r="L310" i="19" s="1"/>
  <c r="J335" i="19"/>
  <c r="L335" i="19" s="1"/>
  <c r="J360" i="19"/>
  <c r="L360" i="19" s="1"/>
  <c r="J33" i="19"/>
  <c r="L33" i="19" s="1"/>
  <c r="J156" i="19"/>
  <c r="L156" i="19" s="1"/>
  <c r="J163" i="19"/>
  <c r="L163" i="19" s="1"/>
  <c r="J225" i="19"/>
  <c r="L225" i="19" s="1"/>
  <c r="J100" i="19"/>
  <c r="L100" i="19" s="1"/>
  <c r="J372" i="19"/>
  <c r="L372" i="19" s="1"/>
  <c r="J50" i="19"/>
  <c r="L50" i="19" s="1"/>
  <c r="J39" i="19"/>
  <c r="L39" i="19" s="1"/>
  <c r="J287" i="19"/>
  <c r="L287" i="19" s="1"/>
  <c r="J241" i="19"/>
  <c r="L241" i="19" s="1"/>
  <c r="J191" i="19"/>
  <c r="L191" i="19" s="1"/>
  <c r="J423" i="19"/>
  <c r="L423" i="19" s="1"/>
</calcChain>
</file>

<file path=xl/sharedStrings.xml><?xml version="1.0" encoding="utf-8"?>
<sst xmlns="http://schemas.openxmlformats.org/spreadsheetml/2006/main" count="13330" uniqueCount="1889">
  <si>
    <t>B</t>
  </si>
  <si>
    <t>Rep1</t>
  </si>
  <si>
    <t>Rep2</t>
  </si>
  <si>
    <t>Rep3</t>
  </si>
  <si>
    <t>niveau N</t>
  </si>
  <si>
    <t>bloc</t>
  </si>
  <si>
    <t>Code_Barre</t>
  </si>
  <si>
    <t>N2</t>
  </si>
  <si>
    <t>Montego</t>
  </si>
  <si>
    <t>Astrid</t>
  </si>
  <si>
    <t>N1</t>
  </si>
  <si>
    <t>Express</t>
  </si>
  <si>
    <t>Aviso</t>
  </si>
  <si>
    <t>bloc3</t>
  </si>
  <si>
    <t>Bolko</t>
  </si>
  <si>
    <t>Pollen</t>
  </si>
  <si>
    <t>Amber</t>
  </si>
  <si>
    <t>Mohican</t>
  </si>
  <si>
    <t>Pendulum</t>
  </si>
  <si>
    <t>Zorro</t>
  </si>
  <si>
    <t>Lioness</t>
  </si>
  <si>
    <t>Courage</t>
  </si>
  <si>
    <t>RAGT-14</t>
  </si>
  <si>
    <t>Liporta</t>
  </si>
  <si>
    <t>SYN03</t>
  </si>
  <si>
    <t>TASMAN</t>
  </si>
  <si>
    <t>Ceres</t>
  </si>
  <si>
    <t>Eleonore</t>
  </si>
  <si>
    <t>Navajo</t>
  </si>
  <si>
    <t>NSL 96-25</t>
  </si>
  <si>
    <t>Jetton</t>
  </si>
  <si>
    <t>SW Gospel</t>
  </si>
  <si>
    <t>RAGT-13</t>
  </si>
  <si>
    <t>ES-BRAVA</t>
  </si>
  <si>
    <t>Madora3-DS1</t>
  </si>
  <si>
    <t>Sahara</t>
  </si>
  <si>
    <t>Lesira</t>
  </si>
  <si>
    <t>ES-VIPER</t>
  </si>
  <si>
    <t>Bellini</t>
  </si>
  <si>
    <t>Colvert</t>
  </si>
  <si>
    <t>Evri</t>
  </si>
  <si>
    <t>Roxet</t>
  </si>
  <si>
    <t>Remy</t>
  </si>
  <si>
    <t>Aztec</t>
  </si>
  <si>
    <t>SYN02</t>
  </si>
  <si>
    <t>Matador</t>
  </si>
  <si>
    <t>Valdor</t>
  </si>
  <si>
    <t>PAMELA</t>
  </si>
  <si>
    <t xml:space="preserve">CETMEKI </t>
  </si>
  <si>
    <t>Boston</t>
  </si>
  <si>
    <t>Maccarena</t>
  </si>
  <si>
    <t>Expander</t>
  </si>
  <si>
    <t>Contact</t>
  </si>
  <si>
    <t>Regal2-DS1</t>
  </si>
  <si>
    <t>ES-ANTONIA</t>
  </si>
  <si>
    <t>Recital</t>
  </si>
  <si>
    <t>Doral</t>
  </si>
  <si>
    <t>Milena</t>
  </si>
  <si>
    <t>RAGT-10</t>
  </si>
  <si>
    <t>Emil</t>
  </si>
  <si>
    <t>RAGT-09</t>
  </si>
  <si>
    <t>Tradition</t>
  </si>
  <si>
    <t>Ibex</t>
  </si>
  <si>
    <t>Gesunder</t>
  </si>
  <si>
    <t>SYN10</t>
  </si>
  <si>
    <t>Rocket</t>
  </si>
  <si>
    <t>RAGT-04</t>
  </si>
  <si>
    <t>Ramses</t>
  </si>
  <si>
    <t>SYN05</t>
  </si>
  <si>
    <t>ES-CENTAURE</t>
  </si>
  <si>
    <t>Orléans</t>
  </si>
  <si>
    <t>Inca</t>
  </si>
  <si>
    <t>RAGT-07</t>
  </si>
  <si>
    <t>Oase</t>
  </si>
  <si>
    <t>Twister</t>
  </si>
  <si>
    <t>Anastasia</t>
  </si>
  <si>
    <t>SYNG12</t>
  </si>
  <si>
    <t>Mar</t>
  </si>
  <si>
    <t>Escort</t>
  </si>
  <si>
    <t>Madora2-DS3</t>
  </si>
  <si>
    <t>ES-AGATHA</t>
  </si>
  <si>
    <t>SYN01</t>
  </si>
  <si>
    <t>RAGT-01</t>
  </si>
  <si>
    <t>Adriana</t>
  </si>
  <si>
    <t>Tenor</t>
  </si>
  <si>
    <t>RAGT-03</t>
  </si>
  <si>
    <t>Oleski</t>
  </si>
  <si>
    <t>Atlantic</t>
  </si>
  <si>
    <t>Beryl</t>
  </si>
  <si>
    <t>ONTARIO</t>
  </si>
  <si>
    <t>Liberator</t>
  </si>
  <si>
    <t>Zeruca</t>
  </si>
  <si>
    <t>MANITOBA</t>
  </si>
  <si>
    <t>Capitol</t>
  </si>
  <si>
    <t>Doublol</t>
  </si>
  <si>
    <t>Potomac</t>
  </si>
  <si>
    <t>Rafal</t>
  </si>
  <si>
    <t>Start</t>
  </si>
  <si>
    <t>Madrigal</t>
  </si>
  <si>
    <t>PAYROL</t>
  </si>
  <si>
    <t>Major</t>
  </si>
  <si>
    <t>SYN07</t>
  </si>
  <si>
    <t>SYN06</t>
  </si>
  <si>
    <t>Jupiter</t>
  </si>
  <si>
    <t>RAPSODYN 
2014-2015</t>
  </si>
  <si>
    <t>PANEL-Y3</t>
  </si>
  <si>
    <t>Av</t>
  </si>
  <si>
    <t>Mt</t>
  </si>
  <si>
    <t xml:space="preserve">  </t>
  </si>
  <si>
    <t>Warzanwski</t>
  </si>
  <si>
    <t>Forto</t>
  </si>
  <si>
    <t>Victor</t>
  </si>
  <si>
    <t>Caddy</t>
  </si>
  <si>
    <t>Kromerska1-DS1</t>
  </si>
  <si>
    <t>Gorczanski</t>
  </si>
  <si>
    <t>Janpol</t>
  </si>
  <si>
    <t xml:space="preserve">SNITYNSKYI </t>
  </si>
  <si>
    <t xml:space="preserve">MYTNINSKYI-2 </t>
  </si>
  <si>
    <t xml:space="preserve">KRASNODARSKYI </t>
  </si>
  <si>
    <t>Gross Luzewiter</t>
  </si>
  <si>
    <t>Y3_PANEL_REC_02-13</t>
  </si>
  <si>
    <t>Dublianski</t>
  </si>
  <si>
    <t>Y3_PANEL_REC_02-14</t>
  </si>
  <si>
    <t xml:space="preserve">KOMBI </t>
  </si>
  <si>
    <t>Y3_PANEL_REC_02-15</t>
  </si>
  <si>
    <t>Y3_PANEL_REC_02-16</t>
  </si>
  <si>
    <t>Y3_PANEL_REC_02-17</t>
  </si>
  <si>
    <t xml:space="preserve">NIEDERARNBACHER </t>
  </si>
  <si>
    <t>Y3_PANEL_REC_02-18</t>
  </si>
  <si>
    <t>Korina</t>
  </si>
  <si>
    <t xml:space="preserve">EZSTERHAZY N.ST </t>
  </si>
  <si>
    <t>WIRA</t>
  </si>
  <si>
    <t>Sinus</t>
  </si>
  <si>
    <t>Ligora</t>
  </si>
  <si>
    <t xml:space="preserve">LJUBLANA </t>
  </si>
  <si>
    <t>Y3_PANEL_REC_03-13</t>
  </si>
  <si>
    <t>Primor</t>
  </si>
  <si>
    <t>Y3_PANEL_REC_03-14</t>
  </si>
  <si>
    <t>Y3_PANEL_REC_03-15</t>
  </si>
  <si>
    <t>Quinta</t>
  </si>
  <si>
    <t>Y3_PANEL_REC_03-16</t>
  </si>
  <si>
    <t>Y3_PANEL_REC_03-17</t>
  </si>
  <si>
    <t>Y3_PANEL_REC_03-18</t>
  </si>
  <si>
    <t xml:space="preserve">NOVOCHARTORYISKYI </t>
  </si>
  <si>
    <t>Y3_PANEL_REC_04-13</t>
  </si>
  <si>
    <t>Y3_PANEL_REC_04-14</t>
  </si>
  <si>
    <t>Y3_PANEL_REC_04-15</t>
  </si>
  <si>
    <t>Y3_PANEL_REC_04-16</t>
  </si>
  <si>
    <t>Y3_PANEL_REC_04-17</t>
  </si>
  <si>
    <t>Y3_PANEL_REC_04-18</t>
  </si>
  <si>
    <t>Y3_PANEL_REC_05-13</t>
  </si>
  <si>
    <t>Y3_PANEL_REC_05-14</t>
  </si>
  <si>
    <t>Y3_PANEL_REC_05-15</t>
  </si>
  <si>
    <t>Y3_PANEL_REC_05-16</t>
  </si>
  <si>
    <t>Y3_PANEL_REC_05-17</t>
  </si>
  <si>
    <t>Y3_PANEL_REC_05-18</t>
  </si>
  <si>
    <t>Mikado</t>
  </si>
  <si>
    <t>RAPSO_Compl_01</t>
  </si>
  <si>
    <t>TAROX</t>
  </si>
  <si>
    <t>Tonus</t>
  </si>
  <si>
    <t>Kosto</t>
  </si>
  <si>
    <t>Y3_PANEL_REC_06-13</t>
  </si>
  <si>
    <t>Akamar</t>
  </si>
  <si>
    <t>Y3_PANEL_REC_06-14</t>
  </si>
  <si>
    <t>QuedLinburger Platzfester</t>
  </si>
  <si>
    <t>Y3_PANEL_REC_06-15</t>
  </si>
  <si>
    <t>Y3_PANEL_REC_06-16</t>
  </si>
  <si>
    <t>Y3_PANEL_REC_06-17</t>
  </si>
  <si>
    <t>Y3_PANEL_REC_06-18</t>
  </si>
  <si>
    <t>ESC1132</t>
  </si>
  <si>
    <t>RAPSO_Compl_02</t>
  </si>
  <si>
    <t>Polux</t>
  </si>
  <si>
    <t>Nain de Hambourg</t>
  </si>
  <si>
    <t>ES-ALEGRIA</t>
  </si>
  <si>
    <t xml:space="preserve">HOCHZUCHT REPOLE </t>
  </si>
  <si>
    <t>Ariana</t>
  </si>
  <si>
    <t>Y3_PANEL_REC_07-13</t>
  </si>
  <si>
    <t xml:space="preserve">KORMOVOI SKRIVERSKYI </t>
  </si>
  <si>
    <t>Y3_PANEL_REC_07-14</t>
  </si>
  <si>
    <t>Shogun</t>
  </si>
  <si>
    <t>Y3_PANEL_REC_07-15</t>
  </si>
  <si>
    <t>Titus</t>
  </si>
  <si>
    <t>Y3_PANEL_REC_07-16</t>
  </si>
  <si>
    <t>Capricorn</t>
  </si>
  <si>
    <t>Y3_PANEL_REC_07-17</t>
  </si>
  <si>
    <t>Y3_PANEL_REC_07-18</t>
  </si>
  <si>
    <t>Olquell Gulzover</t>
  </si>
  <si>
    <t>ES-CUBIC</t>
  </si>
  <si>
    <t>Pacific</t>
  </si>
  <si>
    <t>Bienvenu</t>
  </si>
  <si>
    <t>Alsace 1360</t>
  </si>
  <si>
    <t>Sarepta</t>
  </si>
  <si>
    <t xml:space="preserve">COOPER </t>
  </si>
  <si>
    <t>Y3_PANEL_REC_08-13</t>
  </si>
  <si>
    <t>Y3_PANEL_REC_08-14</t>
  </si>
  <si>
    <t xml:space="preserve">OKAPI </t>
  </si>
  <si>
    <t>Y3_PANEL_REC_08-15</t>
  </si>
  <si>
    <t>Y3_PANEL_REC_08-16</t>
  </si>
  <si>
    <t>ES-ALIENOR</t>
  </si>
  <si>
    <t>Y3_PANEL_REC_08-17</t>
  </si>
  <si>
    <t>Kadore</t>
  </si>
  <si>
    <t>Y3_PANEL_REC_08-18</t>
  </si>
  <si>
    <t>Belinda</t>
  </si>
  <si>
    <t>Goldgelber Zarter Butter</t>
  </si>
  <si>
    <t>SYN04</t>
  </si>
  <si>
    <t>Rapol</t>
  </si>
  <si>
    <t>ADRIANA</t>
  </si>
  <si>
    <t>Makila</t>
  </si>
  <si>
    <t>Y3_PANEL_REC_09-13</t>
  </si>
  <si>
    <t>Y3_PANEL_REC_09-14</t>
  </si>
  <si>
    <t>Y3_PANEL_REC_09-15</t>
  </si>
  <si>
    <t>Y3_PANEL_REC_09-16</t>
  </si>
  <si>
    <t>Y3_PANEL_REC_09-17</t>
  </si>
  <si>
    <t>CAPVERT</t>
  </si>
  <si>
    <t>Y3_PANEL_REC_09-18</t>
  </si>
  <si>
    <t>Moldavia</t>
  </si>
  <si>
    <t>Lirajet</t>
  </si>
  <si>
    <t>Aurum</t>
  </si>
  <si>
    <t>Lembke</t>
  </si>
  <si>
    <t>Cancan</t>
  </si>
  <si>
    <t>Olymp</t>
  </si>
  <si>
    <t>Y3_PANEL_REC_10-13</t>
  </si>
  <si>
    <t xml:space="preserve">RANGI </t>
  </si>
  <si>
    <t>Y3_PANEL_REC_10-14</t>
  </si>
  <si>
    <t>Y3_PANEL_REC_10-15</t>
  </si>
  <si>
    <t>Y3_PANEL_REC_10-16</t>
  </si>
  <si>
    <t>Y3_PANEL_REC_10-17</t>
  </si>
  <si>
    <t>Y3_PANEL_REC_10-18</t>
  </si>
  <si>
    <t>Alesi</t>
  </si>
  <si>
    <t>RAGT-06</t>
  </si>
  <si>
    <t>Lirabon</t>
  </si>
  <si>
    <t>Askari</t>
  </si>
  <si>
    <t>Grizzly</t>
  </si>
  <si>
    <t xml:space="preserve">DEBRUDER DIPPES </t>
  </si>
  <si>
    <t>Y3_PANEL_REC_11-13</t>
  </si>
  <si>
    <t>RAGT-05</t>
  </si>
  <si>
    <t>Y3_PANEL_REC_11-14</t>
  </si>
  <si>
    <t>Y3_PANEL_REC_11-15</t>
  </si>
  <si>
    <t>SYN09</t>
  </si>
  <si>
    <t>Y3_PANEL_REC_11-16</t>
  </si>
  <si>
    <t>Y3_PANEL_REC_11-17</t>
  </si>
  <si>
    <t>Y3_PANEL_REC_11-18</t>
  </si>
  <si>
    <t>Fertodi elit</t>
  </si>
  <si>
    <t xml:space="preserve">LADOGA </t>
  </si>
  <si>
    <t>Ecrin</t>
  </si>
  <si>
    <t>Brink</t>
  </si>
  <si>
    <t>Licorne</t>
  </si>
  <si>
    <t>Bristol</t>
  </si>
  <si>
    <t>SYNG11</t>
  </si>
  <si>
    <t xml:space="preserve">MANSHOLTS </t>
  </si>
  <si>
    <t>Y3_PANEL_REC_12-13</t>
  </si>
  <si>
    <t>Y3_PANEL_REC_12-14</t>
  </si>
  <si>
    <t>Prince</t>
  </si>
  <si>
    <t>Y3_PANEL_REC_12-15</t>
  </si>
  <si>
    <t>Y3_PANEL_REC_12-16</t>
  </si>
  <si>
    <t>Canberra</t>
  </si>
  <si>
    <t>Y3_PANEL_REC_12-17</t>
  </si>
  <si>
    <t>Y3_PANEL_REC_12-18</t>
  </si>
  <si>
    <t>Salomont</t>
  </si>
  <si>
    <t>Cheops</t>
  </si>
  <si>
    <t>AMILLIA</t>
  </si>
  <si>
    <t>Y3_PANEL_REC_13-13</t>
  </si>
  <si>
    <t>Y3_PANEL_REC_13-14</t>
  </si>
  <si>
    <t>RAGT-08</t>
  </si>
  <si>
    <t>Y3_PANEL_REC_13-15</t>
  </si>
  <si>
    <t>Y3_PANEL_REC_13-16</t>
  </si>
  <si>
    <t>Prerouska</t>
  </si>
  <si>
    <t>Y3_PANEL_REC_13-17</t>
  </si>
  <si>
    <t>ES-VENUS</t>
  </si>
  <si>
    <t>Y3_PANEL_REC_13-18</t>
  </si>
  <si>
    <t xml:space="preserve">BLAGODATNYI </t>
  </si>
  <si>
    <t>Kurander</t>
  </si>
  <si>
    <t>Markus</t>
  </si>
  <si>
    <t>Aligator</t>
  </si>
  <si>
    <t>Darmor</t>
  </si>
  <si>
    <t>RAGT-02</t>
  </si>
  <si>
    <t xml:space="preserve">ANGELINA </t>
  </si>
  <si>
    <t>Gaspard</t>
  </si>
  <si>
    <t>Goeland</t>
  </si>
  <si>
    <t>Y3_PANEL_REC_14-13</t>
  </si>
  <si>
    <t>Y3_PANEL_REC_14-14</t>
  </si>
  <si>
    <t>Lewis</t>
  </si>
  <si>
    <t>Y3_PANEL_REC_14-15</t>
  </si>
  <si>
    <t>Y3_PANEL_REC_14-16</t>
  </si>
  <si>
    <t>Y3_PANEL_REC_14-17</t>
  </si>
  <si>
    <t>Y3_PANEL_REC_14-18</t>
  </si>
  <si>
    <t>Campala</t>
  </si>
  <si>
    <t>Frederic</t>
  </si>
  <si>
    <t>Chelsi</t>
  </si>
  <si>
    <t>Tosca</t>
  </si>
  <si>
    <t>RAGT-15</t>
  </si>
  <si>
    <t>Y3_PANEL_REC_15-13</t>
  </si>
  <si>
    <t>Idol</t>
  </si>
  <si>
    <t>Y3_PANEL_REC_15-14</t>
  </si>
  <si>
    <t>Constable</t>
  </si>
  <si>
    <t>Y3_PANEL_REC_15-15</t>
  </si>
  <si>
    <t>Y3_PANEL_REC_15-16</t>
  </si>
  <si>
    <t>SYN08</t>
  </si>
  <si>
    <t>Y3_PANEL_REC_15-17</t>
  </si>
  <si>
    <t>TOR</t>
  </si>
  <si>
    <t>Y3_PANEL_REC_15-18</t>
  </si>
  <si>
    <t>Y3_PANEL_REC_16-13</t>
  </si>
  <si>
    <t>Y3_PANEL_REC_16-14</t>
  </si>
  <si>
    <t>Y3_PANEL_REC_16-15</t>
  </si>
  <si>
    <t>Y3_PANEL_REC_16-16</t>
  </si>
  <si>
    <t>Y3_PANEL_REC_16-17</t>
  </si>
  <si>
    <t>Y3_PANEL_REC_16-18</t>
  </si>
  <si>
    <t>Y3_PANEL_REC_17-13</t>
  </si>
  <si>
    <t>Y3_PANEL_REC_17-14</t>
  </si>
  <si>
    <t>Y3_PANEL_REC_17-15</t>
  </si>
  <si>
    <t>Y3_PANEL_REC_17-16</t>
  </si>
  <si>
    <t>Y3_PANEL_REC_17-17</t>
  </si>
  <si>
    <t>Y3_PANEL_REC_17-18</t>
  </si>
  <si>
    <t>Y3_PANEL_REC_18-13</t>
  </si>
  <si>
    <t>Y3_PANEL_REC_18-14</t>
  </si>
  <si>
    <t>Y3_PANEL_REC_18-15</t>
  </si>
  <si>
    <t>Y3_PANEL_REC_18-16</t>
  </si>
  <si>
    <t>Y3_PANEL_REC_18-17</t>
  </si>
  <si>
    <t>Y3_PANEL_REC_18-18</t>
  </si>
  <si>
    <t>Y3_PANEL_REC_19-13</t>
  </si>
  <si>
    <t>Y3_PANEL_REC_19-14</t>
  </si>
  <si>
    <t>Y3_PANEL_REC_19-15</t>
  </si>
  <si>
    <t>Y3_PANEL_REC_19-16</t>
  </si>
  <si>
    <t>Y3_PANEL_REC_19-17</t>
  </si>
  <si>
    <t>Y3_PANEL_REC_19-18</t>
  </si>
  <si>
    <t>Y3_PANEL_REC_20-13</t>
  </si>
  <si>
    <t>Y3_PANEL_REC_20-14</t>
  </si>
  <si>
    <t>Y3_PANEL_REC_20-15</t>
  </si>
  <si>
    <t>Y3_PANEL_REC_20-16</t>
  </si>
  <si>
    <t>Y3_PANEL_REC_20-17</t>
  </si>
  <si>
    <t>Y3_PANEL_REC_20-18</t>
  </si>
  <si>
    <t>Y3_PANEL_REC_21-13</t>
  </si>
  <si>
    <t>Y3_PANEL_REC_21-14</t>
  </si>
  <si>
    <t>Y3_PANEL_REC_21-15</t>
  </si>
  <si>
    <t>Y3_PANEL_REC_21-16</t>
  </si>
  <si>
    <t>Y3_PANEL_REC_21-17</t>
  </si>
  <si>
    <t>Y3_PANEL_REC_21-18</t>
  </si>
  <si>
    <t>Y3_PANEL_REC_22-13</t>
  </si>
  <si>
    <t>Y3_PANEL_REC_22-14</t>
  </si>
  <si>
    <t>Y3_PANEL_REC_22-15</t>
  </si>
  <si>
    <t>Y3_PANEL_REC_22-16</t>
  </si>
  <si>
    <t>Y3_PANEL_REC_22-17</t>
  </si>
  <si>
    <t>Y3_PANEL_REC_22-18</t>
  </si>
  <si>
    <t>Y3_PANEL_REC_23-13</t>
  </si>
  <si>
    <t>Y3_PANEL_REC_23-14</t>
  </si>
  <si>
    <t>Y3_PANEL_REC_23-15</t>
  </si>
  <si>
    <t>Y3_PANEL_REC_23-16</t>
  </si>
  <si>
    <t>Y3_PANEL_REC_23-17</t>
  </si>
  <si>
    <t>Y3_PANEL_REC_23-18</t>
  </si>
  <si>
    <t>Y3_PANEL_REC_24-13</t>
  </si>
  <si>
    <t>Y3_PANEL_REC_24-14</t>
  </si>
  <si>
    <t>Y3_PANEL_REC_24-15</t>
  </si>
  <si>
    <t>Y3_PANEL_REC_24-16</t>
  </si>
  <si>
    <t>Y3_PANEL_REC_24-17</t>
  </si>
  <si>
    <t>Y3_PANEL_REC_24-18</t>
  </si>
  <si>
    <t>Y3_PANEL_REC_25-13</t>
  </si>
  <si>
    <t>Y3_PANEL_REC_25-14</t>
  </si>
  <si>
    <t>Y3_PANEL_REC_25-15</t>
  </si>
  <si>
    <t>Y3_PANEL_REC_25-16</t>
  </si>
  <si>
    <t>Y3_PANEL_REC_25-17</t>
  </si>
  <si>
    <t>Y3_PANEL_REC_25-18</t>
  </si>
  <si>
    <t>Y3_PANEL_REC_26-13</t>
  </si>
  <si>
    <t>Y3_PANEL_REC_26-14</t>
  </si>
  <si>
    <t>Y3_PANEL_REC_26-15</t>
  </si>
  <si>
    <t>Y3_PANEL_REC_26-16</t>
  </si>
  <si>
    <t>Y3_PANEL_REC_26-17</t>
  </si>
  <si>
    <t>Y3_PANEL_REC_26-18</t>
  </si>
  <si>
    <t>Y3_PANEL_REC_27-13</t>
  </si>
  <si>
    <t>Y3_PANEL_REC_27-14</t>
  </si>
  <si>
    <t>Y3_PANEL_REC_27-15</t>
  </si>
  <si>
    <t>Y3_PANEL_REC_27-16</t>
  </si>
  <si>
    <t>Y3_PANEL_REC_27-17</t>
  </si>
  <si>
    <t>Y3_PANEL_REC_27-18</t>
  </si>
  <si>
    <t>Y3_PANEL_REC_28-13</t>
  </si>
  <si>
    <t>Y3_PANEL_REC_28-14</t>
  </si>
  <si>
    <t>Y3_PANEL_REC_28-15</t>
  </si>
  <si>
    <t>Y3_PANEL_REC_28-16</t>
  </si>
  <si>
    <t>Y3_PANEL_REC_28-17</t>
  </si>
  <si>
    <t>Y3_PANEL_REC_28-18</t>
  </si>
  <si>
    <t>Y3_PANEL_REC_29-13</t>
  </si>
  <si>
    <t>Y3_PANEL_REC_29-14</t>
  </si>
  <si>
    <t>Y3_PANEL_REC_29-15</t>
  </si>
  <si>
    <t>Y3_PANEL_REC_29-16</t>
  </si>
  <si>
    <t>Y3_PANEL_REC_29-17</t>
  </si>
  <si>
    <t>Y3_PANEL_REC_29-18</t>
  </si>
  <si>
    <t>Y3_PANEL_REC_30-13</t>
  </si>
  <si>
    <t>Y3_PANEL_REC_30-14</t>
  </si>
  <si>
    <t>Y3_PANEL_REC_30-15</t>
  </si>
  <si>
    <t>Y3_PANEL_REC_30-16</t>
  </si>
  <si>
    <t>Y3_PANEL_REC_30-17</t>
  </si>
  <si>
    <t>Y3_PANEL_REC_30-18</t>
  </si>
  <si>
    <t>Y3_PANEL_REC_31-13</t>
  </si>
  <si>
    <t>Y3_PANEL_REC_31-14</t>
  </si>
  <si>
    <t>Y3_PANEL_REC_31-15</t>
  </si>
  <si>
    <t>Y3_PANEL_REC_31-16</t>
  </si>
  <si>
    <t>Y3_PANEL_REC_31-17</t>
  </si>
  <si>
    <t>Y3_PANEL_REC_31-18</t>
  </si>
  <si>
    <t>Y3_PANEL_REC_32-13</t>
  </si>
  <si>
    <t>Y3_PANEL_REC_32-14</t>
  </si>
  <si>
    <t>Y3_PANEL_REC_32-15</t>
  </si>
  <si>
    <t>Y3_PANEL_REC_32-16</t>
  </si>
  <si>
    <t>Y3_PANEL_REC_32-17</t>
  </si>
  <si>
    <t>Y3_PANEL_REC_32-18</t>
  </si>
  <si>
    <t>Y3_PANEL_REC_33-13</t>
  </si>
  <si>
    <t>Y3_PANEL_REC_33-14</t>
  </si>
  <si>
    <t>Y3_PANEL_REC_33-15</t>
  </si>
  <si>
    <t>Y3_PANEL_REC_33-16</t>
  </si>
  <si>
    <t>Y3_PANEL_REC_33-17</t>
  </si>
  <si>
    <t>Y3_PANEL_REC_33-18</t>
  </si>
  <si>
    <t>Y3_PANEL_REC_34-13</t>
  </si>
  <si>
    <t>Y3_PANEL_REC_34-14</t>
  </si>
  <si>
    <t>Y3_PANEL_REC_34-15</t>
  </si>
  <si>
    <t>Y3_PANEL_REC_34-16</t>
  </si>
  <si>
    <t>Y3_PANEL_REC_34-17</t>
  </si>
  <si>
    <t>Y3_PANEL_REC_34-18</t>
  </si>
  <si>
    <t>Y3_PANEL_REC_35-13</t>
  </si>
  <si>
    <t>Y3_PANEL_REC_35-14</t>
  </si>
  <si>
    <t>Y3_PANEL_REC_35-15</t>
  </si>
  <si>
    <t>Y3_PANEL_REC_35-16</t>
  </si>
  <si>
    <t>Y3_PANEL_REC_35-17</t>
  </si>
  <si>
    <t>Y3_PANEL_REC_35-18</t>
  </si>
  <si>
    <t>RECOLTE (kg)</t>
  </si>
  <si>
    <t>HUMIDITES (%)</t>
  </si>
  <si>
    <t>Genotype</t>
  </si>
  <si>
    <t>NA</t>
  </si>
  <si>
    <t>IMPURETES (%)</t>
  </si>
  <si>
    <t>Y3_PANEL_REC_02-06</t>
  </si>
  <si>
    <t>bloc1</t>
  </si>
  <si>
    <t>Y3_PANEL_REC_02-05</t>
  </si>
  <si>
    <t>Y3_PANEL_REC_02-04</t>
  </si>
  <si>
    <t>Y3_PANEL_REC_02-03</t>
  </si>
  <si>
    <t>Y3_PANEL_REC_02-02</t>
  </si>
  <si>
    <t>Y3_PANEL_REC_02-01</t>
  </si>
  <si>
    <t>Y3_PANEL_REC_03-06</t>
  </si>
  <si>
    <t>Y3_PANEL_REC_03-05</t>
  </si>
  <si>
    <t>Y3_PANEL_REC_03-04</t>
  </si>
  <si>
    <t>Y3_PANEL_REC_03-03</t>
  </si>
  <si>
    <t>Y3_PANEL_REC_03-02</t>
  </si>
  <si>
    <t>Y3_PANEL_REC_03-01</t>
  </si>
  <si>
    <t>Y3_PANEL_REC_04-06</t>
  </si>
  <si>
    <t>Y3_PANEL_REC_04-05</t>
  </si>
  <si>
    <t>Y3_PANEL_REC_04-04</t>
  </si>
  <si>
    <t>Y3_PANEL_REC_04-03</t>
  </si>
  <si>
    <t>Y3_PANEL_REC_04-02</t>
  </si>
  <si>
    <t>Y3_PANEL_REC_04-01</t>
  </si>
  <si>
    <t>Y3_PANEL_REC_05-06</t>
  </si>
  <si>
    <t>Y3_PANEL_REC_05-05</t>
  </si>
  <si>
    <t>Y3_PANEL_REC_05-04</t>
  </si>
  <si>
    <t>Y3_PANEL_REC_05-03</t>
  </si>
  <si>
    <t>Y3_PANEL_REC_05-02</t>
  </si>
  <si>
    <t>Y3_PANEL_REC_05-01</t>
  </si>
  <si>
    <t>Y3_PANEL_REC_06-06</t>
  </si>
  <si>
    <t>Y3_PANEL_REC_06-05</t>
  </si>
  <si>
    <t>Y3_PANEL_REC_06-04</t>
  </si>
  <si>
    <t>Y3_PANEL_REC_06-03</t>
  </si>
  <si>
    <t>Y3_PANEL_REC_06-02</t>
  </si>
  <si>
    <t>Y3_PANEL_REC_06-01</t>
  </si>
  <si>
    <t>Y3_PANEL_REC_07-06</t>
  </si>
  <si>
    <t>Y3_PANEL_REC_07-05</t>
  </si>
  <si>
    <t>Y3_PANEL_REC_07-04</t>
  </si>
  <si>
    <t>Y3_PANEL_REC_07-03</t>
  </si>
  <si>
    <t>Y3_PANEL_REC_07-02</t>
  </si>
  <si>
    <t>Y3_PANEL_REC_07-01</t>
  </si>
  <si>
    <t>Y3_PANEL_REC_08-06</t>
  </si>
  <si>
    <t>Y3_PANEL_REC_08-05</t>
  </si>
  <si>
    <t>Y3_PANEL_REC_08-04</t>
  </si>
  <si>
    <t>Y3_PANEL_REC_08-03</t>
  </si>
  <si>
    <t>Y3_PANEL_REC_08-02</t>
  </si>
  <si>
    <t>Y3_PANEL_REC_08-01</t>
  </si>
  <si>
    <t>Y3_PANEL_REC_09-06</t>
  </si>
  <si>
    <t>Y3_PANEL_REC_09-05</t>
  </si>
  <si>
    <t>Y3_PANEL_REC_09-04</t>
  </si>
  <si>
    <t>Y3_PANEL_REC_09-03</t>
  </si>
  <si>
    <t>Y3_PANEL_REC_09-02</t>
  </si>
  <si>
    <t>Y3_PANEL_REC_09-01</t>
  </si>
  <si>
    <t>Y3_PANEL_REC_10-06</t>
  </si>
  <si>
    <t>Y3_PANEL_REC_10-05</t>
  </si>
  <si>
    <t>Y3_PANEL_REC_10-04</t>
  </si>
  <si>
    <t>Y3_PANEL_REC_10-03</t>
  </si>
  <si>
    <t>Y3_PANEL_REC_10-02</t>
  </si>
  <si>
    <t>Y3_PANEL_REC_10-01</t>
  </si>
  <si>
    <t>Y3_PANEL_REC_11-06</t>
  </si>
  <si>
    <t>Y3_PANEL_REC_11-05</t>
  </si>
  <si>
    <t>Y3_PANEL_REC_11-04</t>
  </si>
  <si>
    <t>Y3_PANEL_REC_11-03</t>
  </si>
  <si>
    <t>Y3_PANEL_REC_11-02</t>
  </si>
  <si>
    <t>Y3_PANEL_REC_11-01</t>
  </si>
  <si>
    <t>Y3_PANEL_REC_12-06</t>
  </si>
  <si>
    <t>Y3_PANEL_REC_12-05</t>
  </si>
  <si>
    <t>Y3_PANEL_REC_12-04</t>
  </si>
  <si>
    <t>Y3_PANEL_REC_12-03</t>
  </si>
  <si>
    <t>Y3_PANEL_REC_12-02</t>
  </si>
  <si>
    <t>Y3_PANEL_REC_12-01</t>
  </si>
  <si>
    <t>Y3_PANEL_REC_13-06</t>
  </si>
  <si>
    <t>Y3_PANEL_REC_13-05</t>
  </si>
  <si>
    <t>Y3_PANEL_REC_13-04</t>
  </si>
  <si>
    <t>Y3_PANEL_REC_13-03</t>
  </si>
  <si>
    <t>Y3_PANEL_REC_13-02</t>
  </si>
  <si>
    <t>Y3_PANEL_REC_13-01</t>
  </si>
  <si>
    <t>Y3_PANEL_REC_14-06</t>
  </si>
  <si>
    <t>Y3_PANEL_REC_14-05</t>
  </si>
  <si>
    <t>Y3_PANEL_REC_14-04</t>
  </si>
  <si>
    <t>Y3_PANEL_REC_14-03</t>
  </si>
  <si>
    <t>Y3_PANEL_REC_14-02</t>
  </si>
  <si>
    <t>Y3_PANEL_REC_14-01</t>
  </si>
  <si>
    <t>Y3_PANEL_REC_15-06</t>
  </si>
  <si>
    <t>Y3_PANEL_REC_15-05</t>
  </si>
  <si>
    <t>Y3_PANEL_REC_15-04</t>
  </si>
  <si>
    <t>Y3_PANEL_REC_15-03</t>
  </si>
  <si>
    <t>Y3_PANEL_REC_15-02</t>
  </si>
  <si>
    <t>Y3_PANEL_REC_15-01</t>
  </si>
  <si>
    <t>Y3_PANEL_REC_16-06</t>
  </si>
  <si>
    <t>Y3_PANEL_REC_16-05</t>
  </si>
  <si>
    <t>Y3_PANEL_REC_16-04</t>
  </si>
  <si>
    <t>Y3_PANEL_REC_16-03</t>
  </si>
  <si>
    <t>Y3_PANEL_REC_16-02</t>
  </si>
  <si>
    <t>Y3_PANEL_REC_16-01</t>
  </si>
  <si>
    <t>Y3_PANEL_REC_17-06</t>
  </si>
  <si>
    <t>Y3_PANEL_REC_17-05</t>
  </si>
  <si>
    <t>Y3_PANEL_REC_17-04</t>
  </si>
  <si>
    <t>Y3_PANEL_REC_17-03</t>
  </si>
  <si>
    <t>Y3_PANEL_REC_17-02</t>
  </si>
  <si>
    <t>Y3_PANEL_REC_17-01</t>
  </si>
  <si>
    <t>Y3_PANEL_REC_18-06</t>
  </si>
  <si>
    <t>Y3_PANEL_REC_18-05</t>
  </si>
  <si>
    <t>Y3_PANEL_REC_18-04</t>
  </si>
  <si>
    <t>Y3_PANEL_REC_18-03</t>
  </si>
  <si>
    <t>Y3_PANEL_REC_18-02</t>
  </si>
  <si>
    <t>Y3_PANEL_REC_18-01</t>
  </si>
  <si>
    <t>Y3_PANEL_REC_19-06</t>
  </si>
  <si>
    <t>Y3_PANEL_REC_19-05</t>
  </si>
  <si>
    <t>Y3_PANEL_REC_19-04</t>
  </si>
  <si>
    <t>Y3_PANEL_REC_19-03</t>
  </si>
  <si>
    <t>Y3_PANEL_REC_19-02</t>
  </si>
  <si>
    <t>Y3_PANEL_REC_19-01</t>
  </si>
  <si>
    <t>Y3_PANEL_REC_20-06</t>
  </si>
  <si>
    <t>Y3_PANEL_REC_20-05</t>
  </si>
  <si>
    <t>Y3_PANEL_REC_20-04</t>
  </si>
  <si>
    <t>Y3_PANEL_REC_20-03</t>
  </si>
  <si>
    <t>Y3_PANEL_REC_20-02</t>
  </si>
  <si>
    <t>Y3_PANEL_REC_20-01</t>
  </si>
  <si>
    <t>Y3_PANEL_REC_21-06</t>
  </si>
  <si>
    <t>Y3_PANEL_REC_21-05</t>
  </si>
  <si>
    <t>Y3_PANEL_REC_21-04</t>
  </si>
  <si>
    <t>Y3_PANEL_REC_21-03</t>
  </si>
  <si>
    <t>Y3_PANEL_REC_21-02</t>
  </si>
  <si>
    <t>Y3_PANEL_REC_21-01</t>
  </si>
  <si>
    <t>Y3_PANEL_REC_22-06</t>
  </si>
  <si>
    <t>Y3_PANEL_REC_22-05</t>
  </si>
  <si>
    <t>Y3_PANEL_REC_22-04</t>
  </si>
  <si>
    <t>Y3_PANEL_REC_22-03</t>
  </si>
  <si>
    <t>Y3_PANEL_REC_22-02</t>
  </si>
  <si>
    <t>Y3_PANEL_REC_22-01</t>
  </si>
  <si>
    <t>Y3_PANEL_REC_23-06</t>
  </si>
  <si>
    <t>Y3_PANEL_REC_23-05</t>
  </si>
  <si>
    <t>Y3_PANEL_REC_23-04</t>
  </si>
  <si>
    <t>Y3_PANEL_REC_23-03</t>
  </si>
  <si>
    <t>Y3_PANEL_REC_23-02</t>
  </si>
  <si>
    <t>Y3_PANEL_REC_23-01</t>
  </si>
  <si>
    <t>Y3_PANEL_REC_24-06</t>
  </si>
  <si>
    <t>Y3_PANEL_REC_24-05</t>
  </si>
  <si>
    <t>Y3_PANEL_REC_24-04</t>
  </si>
  <si>
    <t>Y3_PANEL_REC_24-03</t>
  </si>
  <si>
    <t>Y3_PANEL_REC_24-02</t>
  </si>
  <si>
    <t>Y3_PANEL_REC_24-01</t>
  </si>
  <si>
    <t>Y3_PANEL_REC_25-06</t>
  </si>
  <si>
    <t>Y3_PANEL_REC_25-05</t>
  </si>
  <si>
    <t>Y3_PANEL_REC_25-04</t>
  </si>
  <si>
    <t>Y3_PANEL_REC_25-03</t>
  </si>
  <si>
    <t>Y3_PANEL_REC_25-02</t>
  </si>
  <si>
    <t>Y3_PANEL_REC_25-01</t>
  </si>
  <si>
    <t>Y3_PANEL_REC_26-06</t>
  </si>
  <si>
    <t>Y3_PANEL_REC_26-05</t>
  </si>
  <si>
    <t>Y3_PANEL_REC_26-04</t>
  </si>
  <si>
    <t>Y3_PANEL_REC_26-03</t>
  </si>
  <si>
    <t>Y3_PANEL_REC_26-02</t>
  </si>
  <si>
    <t>Y3_PANEL_REC_26-01</t>
  </si>
  <si>
    <t>Y3_PANEL_REC_27-06</t>
  </si>
  <si>
    <t>Y3_PANEL_REC_27-05</t>
  </si>
  <si>
    <t>Y3_PANEL_REC_27-04</t>
  </si>
  <si>
    <t>Y3_PANEL_REC_27-03</t>
  </si>
  <si>
    <t>Y3_PANEL_REC_27-02</t>
  </si>
  <si>
    <t>Y3_PANEL_REC_27-01</t>
  </si>
  <si>
    <t>Y3_PANEL_REC_28-06</t>
  </si>
  <si>
    <t>Y3_PANEL_REC_28-05</t>
  </si>
  <si>
    <t>Y3_PANEL_REC_28-04</t>
  </si>
  <si>
    <t>Y3_PANEL_REC_28-03</t>
  </si>
  <si>
    <t>Y3_PANEL_REC_28-02</t>
  </si>
  <si>
    <t>Y3_PANEL_REC_28-01</t>
  </si>
  <si>
    <t>Y3_PANEL_REC_29-06</t>
  </si>
  <si>
    <t>Y3_PANEL_REC_29-05</t>
  </si>
  <si>
    <t>Y3_PANEL_REC_29-04</t>
  </si>
  <si>
    <t>Y3_PANEL_REC_29-03</t>
  </si>
  <si>
    <t>Y3_PANEL_REC_29-02</t>
  </si>
  <si>
    <t>Y3_PANEL_REC_29-01</t>
  </si>
  <si>
    <t>Y3_PANEL_REC_30-06</t>
  </si>
  <si>
    <t>Y3_PANEL_REC_30-05</t>
  </si>
  <si>
    <t>Y3_PANEL_REC_30-04</t>
  </si>
  <si>
    <t>Y3_PANEL_REC_30-03</t>
  </si>
  <si>
    <t>Y3_PANEL_REC_30-02</t>
  </si>
  <si>
    <t>Y3_PANEL_REC_30-01</t>
  </si>
  <si>
    <t>Y3_PANEL_REC_31-06</t>
  </si>
  <si>
    <t>Y3_PANEL_REC_31-05</t>
  </si>
  <si>
    <t>Y3_PANEL_REC_31-04</t>
  </si>
  <si>
    <t>Y3_PANEL_REC_31-03</t>
  </si>
  <si>
    <t>Y3_PANEL_REC_31-02</t>
  </si>
  <si>
    <t>Y3_PANEL_REC_31-01</t>
  </si>
  <si>
    <t>Y3_PANEL_REC_32-06</t>
  </si>
  <si>
    <t>Y3_PANEL_REC_32-05</t>
  </si>
  <si>
    <t>Y3_PANEL_REC_32-04</t>
  </si>
  <si>
    <t>Y3_PANEL_REC_32-03</t>
  </si>
  <si>
    <t>Y3_PANEL_REC_32-02</t>
  </si>
  <si>
    <t>Y3_PANEL_REC_32-01</t>
  </si>
  <si>
    <t>Y3_PANEL_REC_33-06</t>
  </si>
  <si>
    <t>Y3_PANEL_REC_33-05</t>
  </si>
  <si>
    <t>Y3_PANEL_REC_33-04</t>
  </si>
  <si>
    <t>Y3_PANEL_REC_33-03</t>
  </si>
  <si>
    <t>Y3_PANEL_REC_33-02</t>
  </si>
  <si>
    <t>Y3_PANEL_REC_33-01</t>
  </si>
  <si>
    <t>Y3_PANEL_REC_34-06</t>
  </si>
  <si>
    <t>Y3_PANEL_REC_34-05</t>
  </si>
  <si>
    <t>Y3_PANEL_REC_34-04</t>
  </si>
  <si>
    <t>Y3_PANEL_REC_34-03</t>
  </si>
  <si>
    <t>Y3_PANEL_REC_34-02</t>
  </si>
  <si>
    <t>Y3_PANEL_REC_34-01</t>
  </si>
  <si>
    <t>Y3_PANEL_REC_35-06</t>
  </si>
  <si>
    <t>Y3_PANEL_REC_35-05</t>
  </si>
  <si>
    <t>Y3_PANEL_REC_35-04</t>
  </si>
  <si>
    <t>Y3_PANEL_REC_35-03</t>
  </si>
  <si>
    <t>Y3_PANEL_REC_35-02</t>
  </si>
  <si>
    <t>Y3_PANEL_REC_35-01</t>
  </si>
  <si>
    <t>Y3_PANEL_REC_40-18</t>
  </si>
  <si>
    <t>Y3_PANEL_REC_40-17</t>
  </si>
  <si>
    <t>Y3_PANEL_REC_40-16</t>
  </si>
  <si>
    <t>Y3_PANEL_REC_40-15</t>
  </si>
  <si>
    <t>Y3_PANEL_REC_40-14</t>
  </si>
  <si>
    <t>Y3_PANEL_REC_40-13</t>
  </si>
  <si>
    <t>Y3_PANEL_REC_41-18</t>
  </si>
  <si>
    <t>Y3_PANEL_REC_41-17</t>
  </si>
  <si>
    <t>Y3_PANEL_REC_41-16</t>
  </si>
  <si>
    <t>Y3_PANEL_REC_41-15</t>
  </si>
  <si>
    <t>Y3_PANEL_REC_41-14</t>
  </si>
  <si>
    <t>Y3_PANEL_REC_41-13</t>
  </si>
  <si>
    <t>Y3_PANEL_REC_42-18</t>
  </si>
  <si>
    <t>Y3_PANEL_REC_42-17</t>
  </si>
  <si>
    <t>Y3_PANEL_REC_42-16</t>
  </si>
  <si>
    <t>Y3_PANEL_REC_42-15</t>
  </si>
  <si>
    <t>Y3_PANEL_REC_42-14</t>
  </si>
  <si>
    <t>Y3_PANEL_REC_42-13</t>
  </si>
  <si>
    <t>Y3_PANEL_REC_43-18</t>
  </si>
  <si>
    <t>Y3_PANEL_REC_43-17</t>
  </si>
  <si>
    <t>Y3_PANEL_REC_43-16</t>
  </si>
  <si>
    <t>Y3_PANEL_REC_43-15</t>
  </si>
  <si>
    <t>Y3_PANEL_REC_43-14</t>
  </si>
  <si>
    <t>Y3_PANEL_REC_43-13</t>
  </si>
  <si>
    <t>Y3_PANEL_REC_44-18</t>
  </si>
  <si>
    <t>Y3_PANEL_REC_44-17</t>
  </si>
  <si>
    <t>Y3_PANEL_REC_44-16</t>
  </si>
  <si>
    <t>Y3_PANEL_REC_44-15</t>
  </si>
  <si>
    <t>Y3_PANEL_REC_44-14</t>
  </si>
  <si>
    <t>Y3_PANEL_REC_44-13</t>
  </si>
  <si>
    <t>Y3_PANEL_REC_45-18</t>
  </si>
  <si>
    <t>Y3_PANEL_REC_45-17</t>
  </si>
  <si>
    <t>Y3_PANEL_REC_45-16</t>
  </si>
  <si>
    <t>Y3_PANEL_REC_45-15</t>
  </si>
  <si>
    <t>Y3_PANEL_REC_45-14</t>
  </si>
  <si>
    <t>Y3_PANEL_REC_45-13</t>
  </si>
  <si>
    <t>Y3_PANEL_REC_46-18</t>
  </si>
  <si>
    <t>Y3_PANEL_REC_46-17</t>
  </si>
  <si>
    <t>Y3_PANEL_REC_46-16</t>
  </si>
  <si>
    <t>Y3_PANEL_REC_46-15</t>
  </si>
  <si>
    <t>Y3_PANEL_REC_46-14</t>
  </si>
  <si>
    <t>Y3_PANEL_REC_46-13</t>
  </si>
  <si>
    <t>Y3_PANEL_REC_47-18</t>
  </si>
  <si>
    <t>Y3_PANEL_REC_47-17</t>
  </si>
  <si>
    <t>Y3_PANEL_REC_47-16</t>
  </si>
  <si>
    <t>Y3_PANEL_REC_47-15</t>
  </si>
  <si>
    <t>Y3_PANEL_REC_47-14</t>
  </si>
  <si>
    <t>Y3_PANEL_REC_47-13</t>
  </si>
  <si>
    <t>Y3_PANEL_REC_48-18</t>
  </si>
  <si>
    <t>Y3_PANEL_REC_48-17</t>
  </si>
  <si>
    <t>Y3_PANEL_REC_48-16</t>
  </si>
  <si>
    <t>Y3_PANEL_REC_48-15</t>
  </si>
  <si>
    <t>Y3_PANEL_REC_48-14</t>
  </si>
  <si>
    <t>Y3_PANEL_REC_48-13</t>
  </si>
  <si>
    <t>Y3_PANEL_REC_49-18</t>
  </si>
  <si>
    <t>Y3_PANEL_REC_49-17</t>
  </si>
  <si>
    <t>Y3_PANEL_REC_49-16</t>
  </si>
  <si>
    <t>Y3_PANEL_REC_49-15</t>
  </si>
  <si>
    <t>Y3_PANEL_REC_49-14</t>
  </si>
  <si>
    <t>Y3_PANEL_REC_49-13</t>
  </si>
  <si>
    <t>Y3_PANEL_REC_50-18</t>
  </si>
  <si>
    <t>Y3_PANEL_REC_50-17</t>
  </si>
  <si>
    <t>Y3_PANEL_REC_50-16</t>
  </si>
  <si>
    <t>Y3_PANEL_REC_50-15</t>
  </si>
  <si>
    <t>Y3_PANEL_REC_50-14</t>
  </si>
  <si>
    <t>Y3_PANEL_REC_50-13</t>
  </si>
  <si>
    <t>Y3_PANEL_REC_51-18</t>
  </si>
  <si>
    <t>Y3_PANEL_REC_51-17</t>
  </si>
  <si>
    <t>Y3_PANEL_REC_51-16</t>
  </si>
  <si>
    <t>Y3_PANEL_REC_51-15</t>
  </si>
  <si>
    <t>Y3_PANEL_REC_51-14</t>
  </si>
  <si>
    <t>Y3_PANEL_REC_51-13</t>
  </si>
  <si>
    <t>Y3_PANEL_REC_52-18</t>
  </si>
  <si>
    <t>Y3_PANEL_REC_52-17</t>
  </si>
  <si>
    <t>Y3_PANEL_REC_52-16</t>
  </si>
  <si>
    <t>Y3_PANEL_REC_52-15</t>
  </si>
  <si>
    <t>Y3_PANEL_REC_52-14</t>
  </si>
  <si>
    <t>Y3_PANEL_REC_52-13</t>
  </si>
  <si>
    <t>Y3_PANEL_REC_53-18</t>
  </si>
  <si>
    <t>Y3_PANEL_REC_53-17</t>
  </si>
  <si>
    <t>Y3_PANEL_REC_53-16</t>
  </si>
  <si>
    <t>Y3_PANEL_REC_53-15</t>
  </si>
  <si>
    <t>Y3_PANEL_REC_53-14</t>
  </si>
  <si>
    <t>Y3_PANEL_REC_53-13</t>
  </si>
  <si>
    <t>Y3_PANEL_REC_54-18</t>
  </si>
  <si>
    <t>Y3_PANEL_REC_54-17</t>
  </si>
  <si>
    <t>Y3_PANEL_REC_54-16</t>
  </si>
  <si>
    <t>Y3_PANEL_REC_54-15</t>
  </si>
  <si>
    <t>Y3_PANEL_REC_54-14</t>
  </si>
  <si>
    <t>Y3_PANEL_REC_54-13</t>
  </si>
  <si>
    <t>Y3_PANEL_REC_55-18</t>
  </si>
  <si>
    <t>Y3_PANEL_REC_55-17</t>
  </si>
  <si>
    <t>Y3_PANEL_REC_55-16</t>
  </si>
  <si>
    <t>Y3_PANEL_REC_55-15</t>
  </si>
  <si>
    <t>Y3_PANEL_REC_55-14</t>
  </si>
  <si>
    <t>Y3_PANEL_REC_55-13</t>
  </si>
  <si>
    <t>Y3_PANEL_REC_56-18</t>
  </si>
  <si>
    <t>Y3_PANEL_REC_56-17</t>
  </si>
  <si>
    <t>Y3_PANEL_REC_56-16</t>
  </si>
  <si>
    <t>Y3_PANEL_REC_56-15</t>
  </si>
  <si>
    <t>Y3_PANEL_REC_56-14</t>
  </si>
  <si>
    <t>Y3_PANEL_REC_56-13</t>
  </si>
  <si>
    <t>Y3_PANEL_REC_57-18</t>
  </si>
  <si>
    <t>Y3_PANEL_REC_57-17</t>
  </si>
  <si>
    <t>Y3_PANEL_REC_57-16</t>
  </si>
  <si>
    <t>Y3_PANEL_REC_57-15</t>
  </si>
  <si>
    <t>Y3_PANEL_REC_57-14</t>
  </si>
  <si>
    <t>Y3_PANEL_REC_57-13</t>
  </si>
  <si>
    <t>Y3_PANEL_REC_58-18</t>
  </si>
  <si>
    <t>Y3_PANEL_REC_58-17</t>
  </si>
  <si>
    <t>Y3_PANEL_REC_58-16</t>
  </si>
  <si>
    <t>Y3_PANEL_REC_58-15</t>
  </si>
  <si>
    <t>Y3_PANEL_REC_58-14</t>
  </si>
  <si>
    <t>Y3_PANEL_REC_58-13</t>
  </si>
  <si>
    <t>Y3_PANEL_REC_59-18</t>
  </si>
  <si>
    <t>Y3_PANEL_REC_59-17</t>
  </si>
  <si>
    <t>Y3_PANEL_REC_59-16</t>
  </si>
  <si>
    <t>Y3_PANEL_REC_59-15</t>
  </si>
  <si>
    <t>Y3_PANEL_REC_59-14</t>
  </si>
  <si>
    <t>Y3_PANEL_REC_59-13</t>
  </si>
  <si>
    <t>Y3_PANEL_REC_60-18</t>
  </si>
  <si>
    <t>Y3_PANEL_REC_60-17</t>
  </si>
  <si>
    <t>Y3_PANEL_REC_60-16</t>
  </si>
  <si>
    <t>Y3_PANEL_REC_60-15</t>
  </si>
  <si>
    <t>Y3_PANEL_REC_60-14</t>
  </si>
  <si>
    <t>Y3_PANEL_REC_60-13</t>
  </si>
  <si>
    <t>Y3_PANEL_REC_61-18</t>
  </si>
  <si>
    <t>Y3_PANEL_REC_61-17</t>
  </si>
  <si>
    <t>Y3_PANEL_REC_61-16</t>
  </si>
  <si>
    <t>Y3_PANEL_REC_61-15</t>
  </si>
  <si>
    <t>Y3_PANEL_REC_61-14</t>
  </si>
  <si>
    <t>Y3_PANEL_REC_61-13</t>
  </si>
  <si>
    <t>Y3_PANEL_REC_62-18</t>
  </si>
  <si>
    <t>Y3_PANEL_REC_62-17</t>
  </si>
  <si>
    <t>Y3_PANEL_REC_62-16</t>
  </si>
  <si>
    <t>Y3_PANEL_REC_62-15</t>
  </si>
  <si>
    <t>Y3_PANEL_REC_62-14</t>
  </si>
  <si>
    <t>Y3_PANEL_REC_62-13</t>
  </si>
  <si>
    <t>Y3_PANEL_REC_63-18</t>
  </si>
  <si>
    <t>Y3_PANEL_REC_63-17</t>
  </si>
  <si>
    <t>Y3_PANEL_REC_63-16</t>
  </si>
  <si>
    <t>Y3_PANEL_REC_63-15</t>
  </si>
  <si>
    <t>Y3_PANEL_REC_63-14</t>
  </si>
  <si>
    <t>Y3_PANEL_REC_63-13</t>
  </si>
  <si>
    <t>Y3_PANEL_REC_64-18</t>
  </si>
  <si>
    <t>Y3_PANEL_REC_64-17</t>
  </si>
  <si>
    <t>Y3_PANEL_REC_64-16</t>
  </si>
  <si>
    <t>Y3_PANEL_REC_64-15</t>
  </si>
  <si>
    <t>Y3_PANEL_REC_64-14</t>
  </si>
  <si>
    <t>Y3_PANEL_REC_64-13</t>
  </si>
  <si>
    <t>Y3_PANEL_REC_65-18</t>
  </si>
  <si>
    <t>Y3_PANEL_REC_65-17</t>
  </si>
  <si>
    <t>Y3_PANEL_REC_65-16</t>
  </si>
  <si>
    <t>Y3_PANEL_REC_65-15</t>
  </si>
  <si>
    <t>Y3_PANEL_REC_65-14</t>
  </si>
  <si>
    <t>Y3_PANEL_REC_65-13</t>
  </si>
  <si>
    <t>Y3_PANEL_REC_66-18</t>
  </si>
  <si>
    <t>Y3_PANEL_REC_66-17</t>
  </si>
  <si>
    <t>Y3_PANEL_REC_66-16</t>
  </si>
  <si>
    <t>Y3_PANEL_REC_66-15</t>
  </si>
  <si>
    <t>Y3_PANEL_REC_66-14</t>
  </si>
  <si>
    <t>Y3_PANEL_REC_66-13</t>
  </si>
  <si>
    <t>Y3_PANEL_REC_67-18</t>
  </si>
  <si>
    <t>Y3_PANEL_REC_67-17</t>
  </si>
  <si>
    <t>Y3_PANEL_REC_67-16</t>
  </si>
  <si>
    <t>Y3_PANEL_REC_67-15</t>
  </si>
  <si>
    <t>Y3_PANEL_REC_67-14</t>
  </si>
  <si>
    <t>Y3_PANEL_REC_67-13</t>
  </si>
  <si>
    <t>Y3_PANEL_REC_68-18</t>
  </si>
  <si>
    <t>Y3_PANEL_REC_68-17</t>
  </si>
  <si>
    <t>Y3_PANEL_REC_68-16</t>
  </si>
  <si>
    <t>Y3_PANEL_REC_68-15</t>
  </si>
  <si>
    <t>Y3_PANEL_REC_68-14</t>
  </si>
  <si>
    <t>Y3_PANEL_REC_68-13</t>
  </si>
  <si>
    <t>Y3_PANEL_REC_69-18</t>
  </si>
  <si>
    <t>Y3_PANEL_REC_69-17</t>
  </si>
  <si>
    <t>Y3_PANEL_REC_69-16</t>
  </si>
  <si>
    <t>Y3_PANEL_REC_69-15</t>
  </si>
  <si>
    <t>Y3_PANEL_REC_69-14</t>
  </si>
  <si>
    <t>Y3_PANEL_REC_69-13</t>
  </si>
  <si>
    <t>Y3_PANEL_REC_70-18</t>
  </si>
  <si>
    <t>Y3_PANEL_REC_70-17</t>
  </si>
  <si>
    <t>Y3_PANEL_REC_70-16</t>
  </si>
  <si>
    <t>Y3_PANEL_REC_70-15</t>
  </si>
  <si>
    <t>Y3_PANEL_REC_70-14</t>
  </si>
  <si>
    <t>Y3_PANEL_REC_70-13</t>
  </si>
  <si>
    <t>Y3_PANEL_REC_71-18</t>
  </si>
  <si>
    <t>Y3_PANEL_REC_71-17</t>
  </si>
  <si>
    <t>Y3_PANEL_REC_71-16</t>
  </si>
  <si>
    <t>Y3_PANEL_REC_71-15</t>
  </si>
  <si>
    <t>Y3_PANEL_REC_71-14</t>
  </si>
  <si>
    <t>Y3_PANEL_REC_71-13</t>
  </si>
  <si>
    <t>Y3_PANEL_REC_72-18</t>
  </si>
  <si>
    <t>Y3_PANEL_REC_72-17</t>
  </si>
  <si>
    <t>Y3_PANEL_REC_72-16</t>
  </si>
  <si>
    <t>Y3_PANEL_REC_72-15</t>
  </si>
  <si>
    <t>Y3_PANEL_REC_72-14</t>
  </si>
  <si>
    <t>Y3_PANEL_REC_72-13</t>
  </si>
  <si>
    <t>Y3_PANEL_REC_73-18</t>
  </si>
  <si>
    <t>Y3_PANEL_REC_73-17</t>
  </si>
  <si>
    <t>Y3_PANEL_REC_73-16</t>
  </si>
  <si>
    <t>Y3_PANEL_REC_73-15</t>
  </si>
  <si>
    <t>Y3_PANEL_REC_73-14</t>
  </si>
  <si>
    <t>Y3_PANEL_REC_73-13</t>
  </si>
  <si>
    <t>Y3_PANEL_REC_40-12</t>
  </si>
  <si>
    <t>bloc2</t>
  </si>
  <si>
    <t>Y3_PANEL_REC_40-11</t>
  </si>
  <si>
    <t>Y3_PANEL_REC_40-10</t>
  </si>
  <si>
    <t>Y3_PANEL_REC_40-09</t>
  </si>
  <si>
    <t>Y3_PANEL_REC_40-08</t>
  </si>
  <si>
    <t>Y3_PANEL_REC_40-07</t>
  </si>
  <si>
    <t>Y3_PANEL_REC_41-12</t>
  </si>
  <si>
    <t>Y3_PANEL_REC_41-11</t>
  </si>
  <si>
    <t>Y3_PANEL_REC_41-10</t>
  </si>
  <si>
    <t>Y3_PANEL_REC_41-09</t>
  </si>
  <si>
    <t>Y3_PANEL_REC_41-08</t>
  </si>
  <si>
    <t>Y3_PANEL_REC_41-07</t>
  </si>
  <si>
    <t>Y3_PANEL_REC_42-12</t>
  </si>
  <si>
    <t>Y3_PANEL_REC_42-11</t>
  </si>
  <si>
    <t>Y3_PANEL_REC_42-10</t>
  </si>
  <si>
    <t>Y3_PANEL_REC_42-09</t>
  </si>
  <si>
    <t>Y3_PANEL_REC_42-08</t>
  </si>
  <si>
    <t>Y3_PANEL_REC_42-07</t>
  </si>
  <si>
    <t>Y3_PANEL_REC_43-12</t>
  </si>
  <si>
    <t>Y3_PANEL_REC_43-11</t>
  </si>
  <si>
    <t>Y3_PANEL_REC_43-10</t>
  </si>
  <si>
    <t>Y3_PANEL_REC_43-09</t>
  </si>
  <si>
    <t>Y3_PANEL_REC_43-08</t>
  </si>
  <si>
    <t>Y3_PANEL_REC_43-07</t>
  </si>
  <si>
    <t>Y3_PANEL_REC_44-12</t>
  </si>
  <si>
    <t>Y3_PANEL_REC_44-11</t>
  </si>
  <si>
    <t>Y3_PANEL_REC_44-10</t>
  </si>
  <si>
    <t>Y3_PANEL_REC_44-09</t>
  </si>
  <si>
    <t>Y3_PANEL_REC_44-08</t>
  </si>
  <si>
    <t>Y3_PANEL_REC_44-07</t>
  </si>
  <si>
    <t>Y3_PANEL_REC_45-12</t>
  </si>
  <si>
    <t>Y3_PANEL_REC_45-11</t>
  </si>
  <si>
    <t>Y3_PANEL_REC_45-10</t>
  </si>
  <si>
    <t>Y3_PANEL_REC_45-09</t>
  </si>
  <si>
    <t>Y3_PANEL_REC_45-08</t>
  </si>
  <si>
    <t>Y3_PANEL_REC_45-07</t>
  </si>
  <si>
    <t>Y3_PANEL_REC_46-12</t>
  </si>
  <si>
    <t>Y3_PANEL_REC_46-11</t>
  </si>
  <si>
    <t>Y3_PANEL_REC_46-10</t>
  </si>
  <si>
    <t>Y3_PANEL_REC_46-09</t>
  </si>
  <si>
    <t>Y3_PANEL_REC_46-08</t>
  </si>
  <si>
    <t>Y3_PANEL_REC_46-07</t>
  </si>
  <si>
    <t>Y3_PANEL_REC_47-12</t>
  </si>
  <si>
    <t>Y3_PANEL_REC_47-11</t>
  </si>
  <si>
    <t>Y3_PANEL_REC_47-10</t>
  </si>
  <si>
    <t>Y3_PANEL_REC_47-09</t>
  </si>
  <si>
    <t>Y3_PANEL_REC_47-08</t>
  </si>
  <si>
    <t>Y3_PANEL_REC_47-07</t>
  </si>
  <si>
    <t>Y3_PANEL_REC_48-12</t>
  </si>
  <si>
    <t>Y3_PANEL_REC_48-11</t>
  </si>
  <si>
    <t>Y3_PANEL_REC_48-10</t>
  </si>
  <si>
    <t>Y3_PANEL_REC_48-09</t>
  </si>
  <si>
    <t>Y3_PANEL_REC_48-08</t>
  </si>
  <si>
    <t>Y3_PANEL_REC_48-07</t>
  </si>
  <si>
    <t>Y3_PANEL_REC_49-12</t>
  </si>
  <si>
    <t>Y3_PANEL_REC_49-11</t>
  </si>
  <si>
    <t>Y3_PANEL_REC_49-10</t>
  </si>
  <si>
    <t>Y3_PANEL_REC_49-09</t>
  </si>
  <si>
    <t>Y3_PANEL_REC_49-08</t>
  </si>
  <si>
    <t>Y3_PANEL_REC_49-07</t>
  </si>
  <si>
    <t>Y3_PANEL_REC_50-12</t>
  </si>
  <si>
    <t>Y3_PANEL_REC_50-11</t>
  </si>
  <si>
    <t>Y3_PANEL_REC_50-10</t>
  </si>
  <si>
    <t>Y3_PANEL_REC_50-09</t>
  </si>
  <si>
    <t>Y3_PANEL_REC_50-08</t>
  </si>
  <si>
    <t>Y3_PANEL_REC_50-07</t>
  </si>
  <si>
    <t>Y3_PANEL_REC_51-12</t>
  </si>
  <si>
    <t>Y3_PANEL_REC_51-11</t>
  </si>
  <si>
    <t>Y3_PANEL_REC_51-10</t>
  </si>
  <si>
    <t>Y3_PANEL_REC_51-09</t>
  </si>
  <si>
    <t>Y3_PANEL_REC_51-08</t>
  </si>
  <si>
    <t>Y3_PANEL_REC_51-07</t>
  </si>
  <si>
    <t>Y3_PANEL_REC_52-12</t>
  </si>
  <si>
    <t>Y3_PANEL_REC_52-11</t>
  </si>
  <si>
    <t>Y3_PANEL_REC_52-10</t>
  </si>
  <si>
    <t>Y3_PANEL_REC_52-09</t>
  </si>
  <si>
    <t>Y3_PANEL_REC_52-08</t>
  </si>
  <si>
    <t>Y3_PANEL_REC_52-07</t>
  </si>
  <si>
    <t>Y3_PANEL_REC_53-12</t>
  </si>
  <si>
    <t>Y3_PANEL_REC_53-11</t>
  </si>
  <si>
    <t>Y3_PANEL_REC_53-10</t>
  </si>
  <si>
    <t>Y3_PANEL_REC_53-09</t>
  </si>
  <si>
    <t>Y3_PANEL_REC_53-08</t>
  </si>
  <si>
    <t>Y3_PANEL_REC_53-07</t>
  </si>
  <si>
    <t>Y3_PANEL_REC_54-12</t>
  </si>
  <si>
    <t>Y3_PANEL_REC_54-11</t>
  </si>
  <si>
    <t>Y3_PANEL_REC_54-10</t>
  </si>
  <si>
    <t>Y3_PANEL_REC_54-09</t>
  </si>
  <si>
    <t>Y3_PANEL_REC_54-08</t>
  </si>
  <si>
    <t>Y3_PANEL_REC_54-07</t>
  </si>
  <si>
    <t>Y3_PANEL_REC_55-12</t>
  </si>
  <si>
    <t>Y3_PANEL_REC_55-11</t>
  </si>
  <si>
    <t>Y3_PANEL_REC_55-10</t>
  </si>
  <si>
    <t>Y3_PANEL_REC_55-09</t>
  </si>
  <si>
    <t>Y3_PANEL_REC_55-08</t>
  </si>
  <si>
    <t>Y3_PANEL_REC_55-07</t>
  </si>
  <si>
    <t>Y3_PANEL_REC_56-12</t>
  </si>
  <si>
    <t>Y3_PANEL_REC_56-11</t>
  </si>
  <si>
    <t>Y3_PANEL_REC_56-10</t>
  </si>
  <si>
    <t>Y3_PANEL_REC_56-09</t>
  </si>
  <si>
    <t>Y3_PANEL_REC_56-08</t>
  </si>
  <si>
    <t>Y3_PANEL_REC_56-07</t>
  </si>
  <si>
    <t>Y3_PANEL_REC_57-12</t>
  </si>
  <si>
    <t>Y3_PANEL_REC_57-11</t>
  </si>
  <si>
    <t>Y3_PANEL_REC_57-10</t>
  </si>
  <si>
    <t>Y3_PANEL_REC_57-09</t>
  </si>
  <si>
    <t>Y3_PANEL_REC_57-08</t>
  </si>
  <si>
    <t>Y3_PANEL_REC_57-07</t>
  </si>
  <si>
    <t>Y3_PANEL_REC_58-12</t>
  </si>
  <si>
    <t>Y3_PANEL_REC_58-11</t>
  </si>
  <si>
    <t>Y3_PANEL_REC_58-10</t>
  </si>
  <si>
    <t>Y3_PANEL_REC_58-09</t>
  </si>
  <si>
    <t>Y3_PANEL_REC_58-08</t>
  </si>
  <si>
    <t>Y3_PANEL_REC_58-07</t>
  </si>
  <si>
    <t>Y3_PANEL_REC_59-12</t>
  </si>
  <si>
    <t>Y3_PANEL_REC_59-11</t>
  </si>
  <si>
    <t>Y3_PANEL_REC_59-10</t>
  </si>
  <si>
    <t>Y3_PANEL_REC_59-09</t>
  </si>
  <si>
    <t>Y3_PANEL_REC_59-08</t>
  </si>
  <si>
    <t>Y3_PANEL_REC_59-07</t>
  </si>
  <si>
    <t>Y3_PANEL_REC_60-12</t>
  </si>
  <si>
    <t>Y3_PANEL_REC_60-11</t>
  </si>
  <si>
    <t>Y3_PANEL_REC_60-10</t>
  </si>
  <si>
    <t>Y3_PANEL_REC_60-09</t>
  </si>
  <si>
    <t>Y3_PANEL_REC_60-08</t>
  </si>
  <si>
    <t>Y3_PANEL_REC_60-07</t>
  </si>
  <si>
    <t>Y3_PANEL_REC_61-12</t>
  </si>
  <si>
    <t>Y3_PANEL_REC_61-11</t>
  </si>
  <si>
    <t>Y3_PANEL_REC_61-10</t>
  </si>
  <si>
    <t>Y3_PANEL_REC_61-09</t>
  </si>
  <si>
    <t>Y3_PANEL_REC_61-08</t>
  </si>
  <si>
    <t>Y3_PANEL_REC_61-07</t>
  </si>
  <si>
    <t>Y3_PANEL_REC_62-12</t>
  </si>
  <si>
    <t>Y3_PANEL_REC_62-11</t>
  </si>
  <si>
    <t>Y3_PANEL_REC_62-10</t>
  </si>
  <si>
    <t>Y3_PANEL_REC_62-09</t>
  </si>
  <si>
    <t>Y3_PANEL_REC_62-08</t>
  </si>
  <si>
    <t>Y3_PANEL_REC_62-07</t>
  </si>
  <si>
    <t>Y3_PANEL_REC_63-12</t>
  </si>
  <si>
    <t>Y3_PANEL_REC_63-11</t>
  </si>
  <si>
    <t>Y3_PANEL_REC_63-10</t>
  </si>
  <si>
    <t>Y3_PANEL_REC_63-09</t>
  </si>
  <si>
    <t>Y3_PANEL_REC_63-08</t>
  </si>
  <si>
    <t>Y3_PANEL_REC_63-07</t>
  </si>
  <si>
    <t>Y3_PANEL_REC_64-12</t>
  </si>
  <si>
    <t>Y3_PANEL_REC_64-11</t>
  </si>
  <si>
    <t>Y3_PANEL_REC_64-10</t>
  </si>
  <si>
    <t>Y3_PANEL_REC_64-09</t>
  </si>
  <si>
    <t>Y3_PANEL_REC_64-08</t>
  </si>
  <si>
    <t>Y3_PANEL_REC_64-07</t>
  </si>
  <si>
    <t>Y3_PANEL_REC_65-12</t>
  </si>
  <si>
    <t>Y3_PANEL_REC_65-11</t>
  </si>
  <si>
    <t>Y3_PANEL_REC_65-10</t>
  </si>
  <si>
    <t>Y3_PANEL_REC_65-09</t>
  </si>
  <si>
    <t>Y3_PANEL_REC_65-08</t>
  </si>
  <si>
    <t>Y3_PANEL_REC_65-07</t>
  </si>
  <si>
    <t>Y3_PANEL_REC_66-12</t>
  </si>
  <si>
    <t>Y3_PANEL_REC_66-11</t>
  </si>
  <si>
    <t>Y3_PANEL_REC_66-10</t>
  </si>
  <si>
    <t>Y3_PANEL_REC_66-09</t>
  </si>
  <si>
    <t>Y3_PANEL_REC_66-08</t>
  </si>
  <si>
    <t>Y3_PANEL_REC_66-07</t>
  </si>
  <si>
    <t>Y3_PANEL_REC_67-12</t>
  </si>
  <si>
    <t>Y3_PANEL_REC_67-11</t>
  </si>
  <si>
    <t>Y3_PANEL_REC_67-10</t>
  </si>
  <si>
    <t>Y3_PANEL_REC_67-09</t>
  </si>
  <si>
    <t>Y3_PANEL_REC_67-08</t>
  </si>
  <si>
    <t>Y3_PANEL_REC_67-07</t>
  </si>
  <si>
    <t>Y3_PANEL_REC_68-12</t>
  </si>
  <si>
    <t>Y3_PANEL_REC_68-11</t>
  </si>
  <si>
    <t>Y3_PANEL_REC_68-10</t>
  </si>
  <si>
    <t>Y3_PANEL_REC_68-09</t>
  </si>
  <si>
    <t>Y3_PANEL_REC_68-08</t>
  </si>
  <si>
    <t>Y3_PANEL_REC_68-07</t>
  </si>
  <si>
    <t>Y3_PANEL_REC_69-12</t>
  </si>
  <si>
    <t>Y3_PANEL_REC_69-11</t>
  </si>
  <si>
    <t>Y3_PANEL_REC_69-10</t>
  </si>
  <si>
    <t>Y3_PANEL_REC_69-09</t>
  </si>
  <si>
    <t>Y3_PANEL_REC_69-08</t>
  </si>
  <si>
    <t>Y3_PANEL_REC_69-07</t>
  </si>
  <si>
    <t>Y3_PANEL_REC_70-12</t>
  </si>
  <si>
    <t>Y3_PANEL_REC_70-11</t>
  </si>
  <si>
    <t>Y3_PANEL_REC_70-10</t>
  </si>
  <si>
    <t>Y3_PANEL_REC_70-09</t>
  </si>
  <si>
    <t>Y3_PANEL_REC_70-08</t>
  </si>
  <si>
    <t>Y3_PANEL_REC_70-07</t>
  </si>
  <si>
    <t>Y3_PANEL_REC_71-12</t>
  </si>
  <si>
    <t>Y3_PANEL_REC_71-11</t>
  </si>
  <si>
    <t>Y3_PANEL_REC_71-10</t>
  </si>
  <si>
    <t>Y3_PANEL_REC_71-09</t>
  </si>
  <si>
    <t>Y3_PANEL_REC_71-08</t>
  </si>
  <si>
    <t>Y3_PANEL_REC_71-07</t>
  </si>
  <si>
    <t>Y3_PANEL_REC_72-12</t>
  </si>
  <si>
    <t>Y3_PANEL_REC_72-11</t>
  </si>
  <si>
    <t>Y3_PANEL_REC_72-10</t>
  </si>
  <si>
    <t>Y3_PANEL_REC_72-09</t>
  </si>
  <si>
    <t>Y3_PANEL_REC_72-08</t>
  </si>
  <si>
    <t>Y3_PANEL_REC_72-07</t>
  </si>
  <si>
    <t>Y3_PANEL_REC_73-12</t>
  </si>
  <si>
    <t>Y3_PANEL_REC_73-11</t>
  </si>
  <si>
    <t>Y3_PANEL_REC_73-10</t>
  </si>
  <si>
    <t>Y3_PANEL_REC_73-09</t>
  </si>
  <si>
    <t>Y3_PANEL_REC_73-08</t>
  </si>
  <si>
    <t>Y3_PANEL_REC_73-07</t>
  </si>
  <si>
    <t>Y3_PANEL_REC_40-06</t>
  </si>
  <si>
    <t>Y3_PANEL_REC_40-05</t>
  </si>
  <si>
    <t>Y3_PANEL_REC_40-04</t>
  </si>
  <si>
    <t>Y3_PANEL_REC_40-03</t>
  </si>
  <si>
    <t>Y3_PANEL_REC_40-02</t>
  </si>
  <si>
    <t>Y3_PANEL_REC_40-01</t>
  </si>
  <si>
    <t>Y3_PANEL_REC_41-06</t>
  </si>
  <si>
    <t>Y3_PANEL_REC_41-05</t>
  </si>
  <si>
    <t>Y3_PANEL_REC_41-04</t>
  </si>
  <si>
    <t>Y3_PANEL_REC_41-03</t>
  </si>
  <si>
    <t>Y3_PANEL_REC_41-02</t>
  </si>
  <si>
    <t>Y3_PANEL_REC_41-01</t>
  </si>
  <si>
    <t>Y3_PANEL_REC_42-06</t>
  </si>
  <si>
    <t>Y3_PANEL_REC_42-05</t>
  </si>
  <si>
    <t>Y3_PANEL_REC_42-04</t>
  </si>
  <si>
    <t>Y3_PANEL_REC_42-03</t>
  </si>
  <si>
    <t>Y3_PANEL_REC_42-02</t>
  </si>
  <si>
    <t>Y3_PANEL_REC_42-01</t>
  </si>
  <si>
    <t>Y3_PANEL_REC_43-06</t>
  </si>
  <si>
    <t>Y3_PANEL_REC_43-05</t>
  </si>
  <si>
    <t>Y3_PANEL_REC_43-04</t>
  </si>
  <si>
    <t>Y3_PANEL_REC_43-03</t>
  </si>
  <si>
    <t>Y3_PANEL_REC_43-02</t>
  </si>
  <si>
    <t>Y3_PANEL_REC_43-01</t>
  </si>
  <si>
    <t>Y3_PANEL_REC_44-06</t>
  </si>
  <si>
    <t>Y3_PANEL_REC_44-05</t>
  </si>
  <si>
    <t>Y3_PANEL_REC_44-04</t>
  </si>
  <si>
    <t>Y3_PANEL_REC_44-03</t>
  </si>
  <si>
    <t>Y3_PANEL_REC_44-02</t>
  </si>
  <si>
    <t>Y3_PANEL_REC_44-01</t>
  </si>
  <si>
    <t>Y3_PANEL_REC_45-06</t>
  </si>
  <si>
    <t>Y3_PANEL_REC_45-05</t>
  </si>
  <si>
    <t>Y3_PANEL_REC_45-04</t>
  </si>
  <si>
    <t>Y3_PANEL_REC_45-03</t>
  </si>
  <si>
    <t>Y3_PANEL_REC_45-02</t>
  </si>
  <si>
    <t>Y3_PANEL_REC_45-01</t>
  </si>
  <si>
    <t>Y3_PANEL_REC_46-06</t>
  </si>
  <si>
    <t>Y3_PANEL_REC_46-05</t>
  </si>
  <si>
    <t>Y3_PANEL_REC_46-04</t>
  </si>
  <si>
    <t>Y3_PANEL_REC_46-03</t>
  </si>
  <si>
    <t>Y3_PANEL_REC_46-02</t>
  </si>
  <si>
    <t>Y3_PANEL_REC_46-01</t>
  </si>
  <si>
    <t>Y3_PANEL_REC_47-06</t>
  </si>
  <si>
    <t>Y3_PANEL_REC_47-05</t>
  </si>
  <si>
    <t>Y3_PANEL_REC_47-04</t>
  </si>
  <si>
    <t>Y3_PANEL_REC_47-03</t>
  </si>
  <si>
    <t>Y3_PANEL_REC_47-02</t>
  </si>
  <si>
    <t>Y3_PANEL_REC_47-01</t>
  </si>
  <si>
    <t>Y3_PANEL_REC_48-06</t>
  </si>
  <si>
    <t>Y3_PANEL_REC_48-05</t>
  </si>
  <si>
    <t>Y3_PANEL_REC_48-04</t>
  </si>
  <si>
    <t>Y3_PANEL_REC_48-03</t>
  </si>
  <si>
    <t>Y3_PANEL_REC_48-02</t>
  </si>
  <si>
    <t>Y3_PANEL_REC_48-01</t>
  </si>
  <si>
    <t>Y3_PANEL_REC_49-06</t>
  </si>
  <si>
    <t>Y3_PANEL_REC_49-05</t>
  </si>
  <si>
    <t>Y3_PANEL_REC_49-04</t>
  </si>
  <si>
    <t>Y3_PANEL_REC_49-03</t>
  </si>
  <si>
    <t>Y3_PANEL_REC_49-02</t>
  </si>
  <si>
    <t>Y3_PANEL_REC_49-01</t>
  </si>
  <si>
    <t>Y3_PANEL_REC_50-06</t>
  </si>
  <si>
    <t>Y3_PANEL_REC_50-05</t>
  </si>
  <si>
    <t>Y3_PANEL_REC_50-04</t>
  </si>
  <si>
    <t>Y3_PANEL_REC_50-03</t>
  </si>
  <si>
    <t>Y3_PANEL_REC_50-02</t>
  </si>
  <si>
    <t>Y3_PANEL_REC_50-01</t>
  </si>
  <si>
    <t>Y3_PANEL_REC_51-06</t>
  </si>
  <si>
    <t>Y3_PANEL_REC_51-05</t>
  </si>
  <si>
    <t>Y3_PANEL_REC_51-04</t>
  </si>
  <si>
    <t>Y3_PANEL_REC_51-03</t>
  </si>
  <si>
    <t>Y3_PANEL_REC_51-02</t>
  </si>
  <si>
    <t>Y3_PANEL_REC_51-01</t>
  </si>
  <si>
    <t>Y3_PANEL_REC_52-06</t>
  </si>
  <si>
    <t>Y3_PANEL_REC_52-05</t>
  </si>
  <si>
    <t>Y3_PANEL_REC_52-04</t>
  </si>
  <si>
    <t>Y3_PANEL_REC_52-03</t>
  </si>
  <si>
    <t>Y3_PANEL_REC_52-02</t>
  </si>
  <si>
    <t>Y3_PANEL_REC_52-01</t>
  </si>
  <si>
    <t>Y3_PANEL_REC_53-06</t>
  </si>
  <si>
    <t>Y3_PANEL_REC_53-05</t>
  </si>
  <si>
    <t>Y3_PANEL_REC_53-04</t>
  </si>
  <si>
    <t>Y3_PANEL_REC_53-03</t>
  </si>
  <si>
    <t>Y3_PANEL_REC_53-02</t>
  </si>
  <si>
    <t>Y3_PANEL_REC_53-01</t>
  </si>
  <si>
    <t>Y3_PANEL_REC_54-06</t>
  </si>
  <si>
    <t>Y3_PANEL_REC_54-05</t>
  </si>
  <si>
    <t>Y3_PANEL_REC_54-04</t>
  </si>
  <si>
    <t>Y3_PANEL_REC_54-03</t>
  </si>
  <si>
    <t>Y3_PANEL_REC_54-02</t>
  </si>
  <si>
    <t>Y3_PANEL_REC_54-01</t>
  </si>
  <si>
    <t>Y3_PANEL_REC_55-06</t>
  </si>
  <si>
    <t>Y3_PANEL_REC_55-05</t>
  </si>
  <si>
    <t>Y3_PANEL_REC_55-04</t>
  </si>
  <si>
    <t>Y3_PANEL_REC_55-03</t>
  </si>
  <si>
    <t>Y3_PANEL_REC_55-02</t>
  </si>
  <si>
    <t>Y3_PANEL_REC_55-01</t>
  </si>
  <si>
    <t>Y3_PANEL_REC_56-06</t>
  </si>
  <si>
    <t>Y3_PANEL_REC_56-05</t>
  </si>
  <si>
    <t>Y3_PANEL_REC_56-04</t>
  </si>
  <si>
    <t>Y3_PANEL_REC_56-03</t>
  </si>
  <si>
    <t>Y3_PANEL_REC_56-02</t>
  </si>
  <si>
    <t>Y3_PANEL_REC_56-01</t>
  </si>
  <si>
    <t>Y3_PANEL_REC_57-06</t>
  </si>
  <si>
    <t>Y3_PANEL_REC_57-05</t>
  </si>
  <si>
    <t>Y3_PANEL_REC_57-04</t>
  </si>
  <si>
    <t>Y3_PANEL_REC_57-03</t>
  </si>
  <si>
    <t>Y3_PANEL_REC_57-02</t>
  </si>
  <si>
    <t>Y3_PANEL_REC_57-01</t>
  </si>
  <si>
    <t>Y3_PANEL_REC_58-06</t>
  </si>
  <si>
    <t>Y3_PANEL_REC_58-05</t>
  </si>
  <si>
    <t>Y3_PANEL_REC_58-04</t>
  </si>
  <si>
    <t>Y3_PANEL_REC_58-03</t>
  </si>
  <si>
    <t>Y3_PANEL_REC_58-02</t>
  </si>
  <si>
    <t>Y3_PANEL_REC_58-01</t>
  </si>
  <si>
    <t>Y3_PANEL_REC_59-06</t>
  </si>
  <si>
    <t>Y3_PANEL_REC_59-05</t>
  </si>
  <si>
    <t>Y3_PANEL_REC_59-04</t>
  </si>
  <si>
    <t>Y3_PANEL_REC_59-03</t>
  </si>
  <si>
    <t>Y3_PANEL_REC_59-02</t>
  </si>
  <si>
    <t>Y3_PANEL_REC_59-01</t>
  </si>
  <si>
    <t>Y3_PANEL_REC_60-06</t>
  </si>
  <si>
    <t>Y3_PANEL_REC_60-05</t>
  </si>
  <si>
    <t>Y3_PANEL_REC_60-04</t>
  </si>
  <si>
    <t>Y3_PANEL_REC_60-03</t>
  </si>
  <si>
    <t>Y3_PANEL_REC_60-02</t>
  </si>
  <si>
    <t>Y3_PANEL_REC_60-01</t>
  </si>
  <si>
    <t>Y3_PANEL_REC_61-06</t>
  </si>
  <si>
    <t>Y3_PANEL_REC_61-05</t>
  </si>
  <si>
    <t>Y3_PANEL_REC_61-04</t>
  </si>
  <si>
    <t>Y3_PANEL_REC_61-03</t>
  </si>
  <si>
    <t>Y3_PANEL_REC_61-02</t>
  </si>
  <si>
    <t>Y3_PANEL_REC_61-01</t>
  </si>
  <si>
    <t>Y3_PANEL_REC_62-06</t>
  </si>
  <si>
    <t>Y3_PANEL_REC_62-05</t>
  </si>
  <si>
    <t>Y3_PANEL_REC_62-04</t>
  </si>
  <si>
    <t>Y3_PANEL_REC_62-03</t>
  </si>
  <si>
    <t>Y3_PANEL_REC_62-02</t>
  </si>
  <si>
    <t>Y3_PANEL_REC_62-01</t>
  </si>
  <si>
    <t>Y3_PANEL_REC_63-06</t>
  </si>
  <si>
    <t>Y3_PANEL_REC_63-05</t>
  </si>
  <si>
    <t>Y3_PANEL_REC_63-04</t>
  </si>
  <si>
    <t>Y3_PANEL_REC_63-03</t>
  </si>
  <si>
    <t>Y3_PANEL_REC_63-02</t>
  </si>
  <si>
    <t>Y3_PANEL_REC_63-01</t>
  </si>
  <si>
    <t>Y3_PANEL_REC_64-06</t>
  </si>
  <si>
    <t>Y3_PANEL_REC_64-05</t>
  </si>
  <si>
    <t>Y3_PANEL_REC_64-04</t>
  </si>
  <si>
    <t>Y3_PANEL_REC_64-03</t>
  </si>
  <si>
    <t>Y3_PANEL_REC_64-02</t>
  </si>
  <si>
    <t>Y3_PANEL_REC_64-01</t>
  </si>
  <si>
    <t>Y3_PANEL_REC_65-06</t>
  </si>
  <si>
    <t>Y3_PANEL_REC_65-05</t>
  </si>
  <si>
    <t>Y3_PANEL_REC_65-04</t>
  </si>
  <si>
    <t>Y3_PANEL_REC_65-03</t>
  </si>
  <si>
    <t>Y3_PANEL_REC_65-02</t>
  </si>
  <si>
    <t>Y3_PANEL_REC_65-01</t>
  </si>
  <si>
    <t>Y3_PANEL_REC_66-06</t>
  </si>
  <si>
    <t>Y3_PANEL_REC_66-05</t>
  </si>
  <si>
    <t>Y3_PANEL_REC_66-04</t>
  </si>
  <si>
    <t>Y3_PANEL_REC_66-03</t>
  </si>
  <si>
    <t>Y3_PANEL_REC_66-02</t>
  </si>
  <si>
    <t>Y3_PANEL_REC_66-01</t>
  </si>
  <si>
    <t>Y3_PANEL_REC_67-06</t>
  </si>
  <si>
    <t>Y3_PANEL_REC_67-05</t>
  </si>
  <si>
    <t>Y3_PANEL_REC_67-04</t>
  </si>
  <si>
    <t>Y3_PANEL_REC_67-03</t>
  </si>
  <si>
    <t>Y3_PANEL_REC_67-02</t>
  </si>
  <si>
    <t>Y3_PANEL_REC_67-01</t>
  </si>
  <si>
    <t>Y3_PANEL_REC_68-06</t>
  </si>
  <si>
    <t>Y3_PANEL_REC_68-05</t>
  </si>
  <si>
    <t>Y3_PANEL_REC_68-04</t>
  </si>
  <si>
    <t>Y3_PANEL_REC_68-03</t>
  </si>
  <si>
    <t>Y3_PANEL_REC_68-02</t>
  </si>
  <si>
    <t>Y3_PANEL_REC_68-01</t>
  </si>
  <si>
    <t>Y3_PANEL_REC_69-06</t>
  </si>
  <si>
    <t>Y3_PANEL_REC_69-05</t>
  </si>
  <si>
    <t>Y3_PANEL_REC_69-04</t>
  </si>
  <si>
    <t>Y3_PANEL_REC_69-03</t>
  </si>
  <si>
    <t>Y3_PANEL_REC_69-02</t>
  </si>
  <si>
    <t>Y3_PANEL_REC_69-01</t>
  </si>
  <si>
    <t>Y3_PANEL_REC_70-06</t>
  </si>
  <si>
    <t>Y3_PANEL_REC_70-05</t>
  </si>
  <si>
    <t>Y3_PANEL_REC_70-04</t>
  </si>
  <si>
    <t>Y3_PANEL_REC_70-03</t>
  </si>
  <si>
    <t>Y3_PANEL_REC_70-02</t>
  </si>
  <si>
    <t>Y3_PANEL_REC_70-01</t>
  </si>
  <si>
    <t>Y3_PANEL_REC_71-06</t>
  </si>
  <si>
    <t>Y3_PANEL_REC_71-05</t>
  </si>
  <si>
    <t>Y3_PANEL_REC_71-04</t>
  </si>
  <si>
    <t>Y3_PANEL_REC_71-03</t>
  </si>
  <si>
    <t>Y3_PANEL_REC_71-02</t>
  </si>
  <si>
    <t>Y3_PANEL_REC_71-01</t>
  </si>
  <si>
    <t>Y3_PANEL_REC_72-06</t>
  </si>
  <si>
    <t>Y3_PANEL_REC_72-05</t>
  </si>
  <si>
    <t>Y3_PANEL_REC_72-04</t>
  </si>
  <si>
    <t>Y3_PANEL_REC_72-03</t>
  </si>
  <si>
    <t>Y3_PANEL_REC_72-02</t>
  </si>
  <si>
    <t>Y3_PANEL_REC_72-01</t>
  </si>
  <si>
    <t>Y3_PANEL_REC_73-06</t>
  </si>
  <si>
    <t>Y3_PANEL_REC_73-05</t>
  </si>
  <si>
    <t>Y3_PANEL_REC_73-04</t>
  </si>
  <si>
    <t>Y3_PANEL_REC_73-03</t>
  </si>
  <si>
    <t>Y3_PANEL_REC_73-02</t>
  </si>
  <si>
    <t>Y3_PANEL_REC_73-01</t>
  </si>
  <si>
    <t>Y3_PANEL_REC_02-07</t>
  </si>
  <si>
    <t>Y3_PANEL_REC_02-08</t>
  </si>
  <si>
    <t>Y3_PANEL_REC_02-09</t>
  </si>
  <si>
    <t>Y3_PANEL_REC_02-10</t>
  </si>
  <si>
    <t>Y3_PANEL_REC_02-11</t>
  </si>
  <si>
    <t>Y3_PANEL_REC_02-12</t>
  </si>
  <si>
    <t>Y3_PANEL_REC_03-07</t>
  </si>
  <si>
    <t>Y3_PANEL_REC_03-08</t>
  </si>
  <si>
    <t>Y3_PANEL_REC_03-09</t>
  </si>
  <si>
    <t>Y3_PANEL_REC_03-10</t>
  </si>
  <si>
    <t>Y3_PANEL_REC_03-11</t>
  </si>
  <si>
    <t>Y3_PANEL_REC_03-12</t>
  </si>
  <si>
    <t>Y3_PANEL_REC_04-07</t>
  </si>
  <si>
    <t>Y3_PANEL_REC_04-08</t>
  </si>
  <si>
    <t>Y3_PANEL_REC_04-09</t>
  </si>
  <si>
    <t>Y3_PANEL_REC_04-10</t>
  </si>
  <si>
    <t>Y3_PANEL_REC_04-11</t>
  </si>
  <si>
    <t>Y3_PANEL_REC_04-12</t>
  </si>
  <si>
    <t>Y3_PANEL_REC_05-07</t>
  </si>
  <si>
    <t>Y3_PANEL_REC_05-08</t>
  </si>
  <si>
    <t>Y3_PANEL_REC_05-09</t>
  </si>
  <si>
    <t>Y3_PANEL_REC_05-10</t>
  </si>
  <si>
    <t>Y3_PANEL_REC_05-11</t>
  </si>
  <si>
    <t>Y3_PANEL_REC_05-12</t>
  </si>
  <si>
    <t>Y3_PANEL_REC_06-07</t>
  </si>
  <si>
    <t>Y3_PANEL_REC_06-08</t>
  </si>
  <si>
    <t>Y3_PANEL_REC_06-09</t>
  </si>
  <si>
    <t>Y3_PANEL_REC_06-10</t>
  </si>
  <si>
    <t>Y3_PANEL_REC_06-11</t>
  </si>
  <si>
    <t>Y3_PANEL_REC_06-12</t>
  </si>
  <si>
    <t>Y3_PANEL_REC_07-07</t>
  </si>
  <si>
    <t>Y3_PANEL_REC_07-08</t>
  </si>
  <si>
    <t>Y3_PANEL_REC_07-09</t>
  </si>
  <si>
    <t>Y3_PANEL_REC_07-10</t>
  </si>
  <si>
    <t>Y3_PANEL_REC_07-11</t>
  </si>
  <si>
    <t>Y3_PANEL_REC_07-12</t>
  </si>
  <si>
    <t>Y3_PANEL_REC_08-07</t>
  </si>
  <si>
    <t>Y3_PANEL_REC_08-08</t>
  </si>
  <si>
    <t>Y3_PANEL_REC_08-09</t>
  </si>
  <si>
    <t>Y3_PANEL_REC_08-10</t>
  </si>
  <si>
    <t>Y3_PANEL_REC_08-11</t>
  </si>
  <si>
    <t>Y3_PANEL_REC_08-12</t>
  </si>
  <si>
    <t>Y3_PANEL_REC_09-07</t>
  </si>
  <si>
    <t>Y3_PANEL_REC_09-08</t>
  </si>
  <si>
    <t>Y3_PANEL_REC_09-09</t>
  </si>
  <si>
    <t>Y3_PANEL_REC_09-10</t>
  </si>
  <si>
    <t>Y3_PANEL_REC_09-11</t>
  </si>
  <si>
    <t>Y3_PANEL_REC_09-12</t>
  </si>
  <si>
    <t>Y3_PANEL_REC_10-07</t>
  </si>
  <si>
    <t>Y3_PANEL_REC_10-08</t>
  </si>
  <si>
    <t>Y3_PANEL_REC_10-09</t>
  </si>
  <si>
    <t>Y3_PANEL_REC_10-10</t>
  </si>
  <si>
    <t>Y3_PANEL_REC_10-11</t>
  </si>
  <si>
    <t>Y3_PANEL_REC_10-12</t>
  </si>
  <si>
    <t>Y3_PANEL_REC_11-07</t>
  </si>
  <si>
    <t>Y3_PANEL_REC_11-08</t>
  </si>
  <si>
    <t>Y3_PANEL_REC_11-09</t>
  </si>
  <si>
    <t>Y3_PANEL_REC_11-10</t>
  </si>
  <si>
    <t>Y3_PANEL_REC_11-11</t>
  </si>
  <si>
    <t>Y3_PANEL_REC_11-12</t>
  </si>
  <si>
    <t>Y3_PANEL_REC_12-07</t>
  </si>
  <si>
    <t>Y3_PANEL_REC_12-08</t>
  </si>
  <si>
    <t>Y3_PANEL_REC_12-09</t>
  </si>
  <si>
    <t>Y3_PANEL_REC_12-10</t>
  </si>
  <si>
    <t>Y3_PANEL_REC_12-11</t>
  </si>
  <si>
    <t>Y3_PANEL_REC_12-12</t>
  </si>
  <si>
    <t>Y3_PANEL_REC_13-07</t>
  </si>
  <si>
    <t>Y3_PANEL_REC_13-08</t>
  </si>
  <si>
    <t>Y3_PANEL_REC_13-09</t>
  </si>
  <si>
    <t>Y3_PANEL_REC_13-10</t>
  </si>
  <si>
    <t>Y3_PANEL_REC_13-11</t>
  </si>
  <si>
    <t>Y3_PANEL_REC_13-12</t>
  </si>
  <si>
    <t>Y3_PANEL_REC_14-07</t>
  </si>
  <si>
    <t>Y3_PANEL_REC_14-08</t>
  </si>
  <si>
    <t>Y3_PANEL_REC_14-09</t>
  </si>
  <si>
    <t>Y3_PANEL_REC_14-10</t>
  </si>
  <si>
    <t>Y3_PANEL_REC_14-11</t>
  </si>
  <si>
    <t>Y3_PANEL_REC_14-12</t>
  </si>
  <si>
    <t>Y3_PANEL_REC_15-07</t>
  </si>
  <si>
    <t>Y3_PANEL_REC_15-08</t>
  </si>
  <si>
    <t>Y3_PANEL_REC_15-09</t>
  </si>
  <si>
    <t>Y3_PANEL_REC_15-10</t>
  </si>
  <si>
    <t>Y3_PANEL_REC_15-11</t>
  </si>
  <si>
    <t>Y3_PANEL_REC_15-12</t>
  </si>
  <si>
    <t>Y3_PANEL_REC_16-07</t>
  </si>
  <si>
    <t>Y3_PANEL_REC_16-08</t>
  </si>
  <si>
    <t>Y3_PANEL_REC_16-09</t>
  </si>
  <si>
    <t>Y3_PANEL_REC_16-10</t>
  </si>
  <si>
    <t>Y3_PANEL_REC_16-11</t>
  </si>
  <si>
    <t>Y3_PANEL_REC_16-12</t>
  </si>
  <si>
    <t>Y3_PANEL_REC_17-07</t>
  </si>
  <si>
    <t>Y3_PANEL_REC_17-08</t>
  </si>
  <si>
    <t>Y3_PANEL_REC_17-09</t>
  </si>
  <si>
    <t>Y3_PANEL_REC_17-10</t>
  </si>
  <si>
    <t>Y3_PANEL_REC_17-11</t>
  </si>
  <si>
    <t>Y3_PANEL_REC_17-12</t>
  </si>
  <si>
    <t>Y3_PANEL_REC_18-07</t>
  </si>
  <si>
    <t>Y3_PANEL_REC_18-08</t>
  </si>
  <si>
    <t>Y3_PANEL_REC_18-09</t>
  </si>
  <si>
    <t>Y3_PANEL_REC_18-10</t>
  </si>
  <si>
    <t>Y3_PANEL_REC_18-11</t>
  </si>
  <si>
    <t>Y3_PANEL_REC_18-12</t>
  </si>
  <si>
    <t>Y3_PANEL_REC_19-07</t>
  </si>
  <si>
    <t>Y3_PANEL_REC_19-08</t>
  </si>
  <si>
    <t>Y3_PANEL_REC_19-09</t>
  </si>
  <si>
    <t>Y3_PANEL_REC_19-10</t>
  </si>
  <si>
    <t>Y3_PANEL_REC_19-11</t>
  </si>
  <si>
    <t>Y3_PANEL_REC_19-12</t>
  </si>
  <si>
    <t>Y3_PANEL_REC_20-07</t>
  </si>
  <si>
    <t>Y3_PANEL_REC_20-08</t>
  </si>
  <si>
    <t>Y3_PANEL_REC_20-09</t>
  </si>
  <si>
    <t>Y3_PANEL_REC_20-10</t>
  </si>
  <si>
    <t>Y3_PANEL_REC_20-11</t>
  </si>
  <si>
    <t>Y3_PANEL_REC_20-12</t>
  </si>
  <si>
    <t>Y3_PANEL_REC_21-07</t>
  </si>
  <si>
    <t>Y3_PANEL_REC_21-08</t>
  </si>
  <si>
    <t>Y3_PANEL_REC_21-09</t>
  </si>
  <si>
    <t>Y3_PANEL_REC_21-10</t>
  </si>
  <si>
    <t>Y3_PANEL_REC_21-11</t>
  </si>
  <si>
    <t>Y3_PANEL_REC_21-12</t>
  </si>
  <si>
    <t>Y3_PANEL_REC_22-07</t>
  </si>
  <si>
    <t>Y3_PANEL_REC_22-08</t>
  </si>
  <si>
    <t>Y3_PANEL_REC_22-09</t>
  </si>
  <si>
    <t>Y3_PANEL_REC_22-10</t>
  </si>
  <si>
    <t>Y3_PANEL_REC_22-11</t>
  </si>
  <si>
    <t>Y3_PANEL_REC_22-12</t>
  </si>
  <si>
    <t>Y3_PANEL_REC_23-07</t>
  </si>
  <si>
    <t>Y3_PANEL_REC_23-08</t>
  </si>
  <si>
    <t>Y3_PANEL_REC_23-09</t>
  </si>
  <si>
    <t>Y3_PANEL_REC_23-10</t>
  </si>
  <si>
    <t>Y3_PANEL_REC_23-11</t>
  </si>
  <si>
    <t>Y3_PANEL_REC_23-12</t>
  </si>
  <si>
    <t>Y3_PANEL_REC_24-07</t>
  </si>
  <si>
    <t>Y3_PANEL_REC_24-08</t>
  </si>
  <si>
    <t>Y3_PANEL_REC_24-09</t>
  </si>
  <si>
    <t>Y3_PANEL_REC_24-10</t>
  </si>
  <si>
    <t>Y3_PANEL_REC_24-11</t>
  </si>
  <si>
    <t>Y3_PANEL_REC_24-12</t>
  </si>
  <si>
    <t>Y3_PANEL_REC_25-07</t>
  </si>
  <si>
    <t>Y3_PANEL_REC_25-08</t>
  </si>
  <si>
    <t>Y3_PANEL_REC_25-09</t>
  </si>
  <si>
    <t>Y3_PANEL_REC_25-10</t>
  </si>
  <si>
    <t>Y3_PANEL_REC_25-11</t>
  </si>
  <si>
    <t>Y3_PANEL_REC_25-12</t>
  </si>
  <si>
    <t>Y3_PANEL_REC_26-07</t>
  </si>
  <si>
    <t>Y3_PANEL_REC_26-08</t>
  </si>
  <si>
    <t>Y3_PANEL_REC_26-09</t>
  </si>
  <si>
    <t>Y3_PANEL_REC_26-10</t>
  </si>
  <si>
    <t>Y3_PANEL_REC_26-11</t>
  </si>
  <si>
    <t>Y3_PANEL_REC_26-12</t>
  </si>
  <si>
    <t>Y3_PANEL_REC_27-07</t>
  </si>
  <si>
    <t>Y3_PANEL_REC_27-08</t>
  </si>
  <si>
    <t>Y3_PANEL_REC_27-09</t>
  </si>
  <si>
    <t>Y3_PANEL_REC_27-10</t>
  </si>
  <si>
    <t>Y3_PANEL_REC_27-11</t>
  </si>
  <si>
    <t>Y3_PANEL_REC_27-12</t>
  </si>
  <si>
    <t>Y3_PANEL_REC_28-07</t>
  </si>
  <si>
    <t>Y3_PANEL_REC_28-08</t>
  </si>
  <si>
    <t>Y3_PANEL_REC_28-09</t>
  </si>
  <si>
    <t>Y3_PANEL_REC_28-10</t>
  </si>
  <si>
    <t>Y3_PANEL_REC_28-11</t>
  </si>
  <si>
    <t>Y3_PANEL_REC_28-12</t>
  </si>
  <si>
    <t>Y3_PANEL_REC_29-07</t>
  </si>
  <si>
    <t>Y3_PANEL_REC_29-08</t>
  </si>
  <si>
    <t>Y3_PANEL_REC_29-09</t>
  </si>
  <si>
    <t>Y3_PANEL_REC_29-10</t>
  </si>
  <si>
    <t>Y3_PANEL_REC_29-11</t>
  </si>
  <si>
    <t>Y3_PANEL_REC_29-12</t>
  </si>
  <si>
    <t>Y3_PANEL_REC_30-07</t>
  </si>
  <si>
    <t>Y3_PANEL_REC_30-08</t>
  </si>
  <si>
    <t>Y3_PANEL_REC_30-09</t>
  </si>
  <si>
    <t>Y3_PANEL_REC_30-10</t>
  </si>
  <si>
    <t>Y3_PANEL_REC_30-11</t>
  </si>
  <si>
    <t>Y3_PANEL_REC_30-12</t>
  </si>
  <si>
    <t>Y3_PANEL_REC_31-07</t>
  </si>
  <si>
    <t>Y3_PANEL_REC_31-08</t>
  </si>
  <si>
    <t>Y3_PANEL_REC_31-09</t>
  </si>
  <si>
    <t>Y3_PANEL_REC_31-10</t>
  </si>
  <si>
    <t>Y3_PANEL_REC_31-11</t>
  </si>
  <si>
    <t>Y3_PANEL_REC_31-12</t>
  </si>
  <si>
    <t>Y3_PANEL_REC_32-07</t>
  </si>
  <si>
    <t>Y3_PANEL_REC_32-08</t>
  </si>
  <si>
    <t>Y3_PANEL_REC_32-09</t>
  </si>
  <si>
    <t>Y3_PANEL_REC_32-10</t>
  </si>
  <si>
    <t>Y3_PANEL_REC_32-11</t>
  </si>
  <si>
    <t>Y3_PANEL_REC_32-12</t>
  </si>
  <si>
    <t>Y3_PANEL_REC_33-07</t>
  </si>
  <si>
    <t>Y3_PANEL_REC_33-08</t>
  </si>
  <si>
    <t>Y3_PANEL_REC_33-09</t>
  </si>
  <si>
    <t>Y3_PANEL_REC_33-10</t>
  </si>
  <si>
    <t>Y3_PANEL_REC_33-11</t>
  </si>
  <si>
    <t>Y3_PANEL_REC_33-12</t>
  </si>
  <si>
    <t>Y3_PANEL_REC_34-07</t>
  </si>
  <si>
    <t>Y3_PANEL_REC_34-08</t>
  </si>
  <si>
    <t>Y3_PANEL_REC_34-09</t>
  </si>
  <si>
    <t>Y3_PANEL_REC_34-10</t>
  </si>
  <si>
    <t>Y3_PANEL_REC_34-11</t>
  </si>
  <si>
    <t>Y3_PANEL_REC_34-12</t>
  </si>
  <si>
    <t>Y3_PANEL_REC_35-07</t>
  </si>
  <si>
    <t>Y3_PANEL_REC_35-08</t>
  </si>
  <si>
    <t>Y3_PANEL_REC_35-09</t>
  </si>
  <si>
    <t>Y3_PANEL_REC_35-10</t>
  </si>
  <si>
    <t>Y3_PANEL_REC_35-11</t>
  </si>
  <si>
    <t>Y3_PANEL_REC_35-12</t>
  </si>
  <si>
    <t>SURFACE (m2)</t>
  </si>
  <si>
    <t>PANEL Y3 - RECOLTE 2015</t>
  </si>
  <si>
    <t>Essai</t>
  </si>
  <si>
    <t>N°Plan</t>
  </si>
  <si>
    <t>ID_RAPSODYN</t>
  </si>
  <si>
    <t>Code champ_2014/2015</t>
  </si>
  <si>
    <t>Accession</t>
  </si>
  <si>
    <t>Panel_Y3</t>
  </si>
  <si>
    <t>RAPSO_002</t>
  </si>
  <si>
    <t>Y3-G001</t>
  </si>
  <si>
    <t>RAPSO_008</t>
  </si>
  <si>
    <t>Y3-G002</t>
  </si>
  <si>
    <t>RAPSO_011</t>
  </si>
  <si>
    <t>Y3-G003</t>
  </si>
  <si>
    <t>RAPSO_013</t>
  </si>
  <si>
    <t>Y3-G004</t>
  </si>
  <si>
    <t>RAPSO_014</t>
  </si>
  <si>
    <t>Y3-G005</t>
  </si>
  <si>
    <t>RAPSO_023</t>
  </si>
  <si>
    <t>Y3-G006</t>
  </si>
  <si>
    <t>RAPSO_027</t>
  </si>
  <si>
    <t>Y3-G007</t>
  </si>
  <si>
    <t>RAPSO_029</t>
  </si>
  <si>
    <t>Y3-G008</t>
  </si>
  <si>
    <t>RAPSO_030</t>
  </si>
  <si>
    <t>Y3-G009</t>
  </si>
  <si>
    <t>RAPSO_033</t>
  </si>
  <si>
    <t>Y3-G010</t>
  </si>
  <si>
    <t>RAPSO_035</t>
  </si>
  <si>
    <t>Y3-G011</t>
  </si>
  <si>
    <t>RAPSO_038</t>
  </si>
  <si>
    <t>Y3-G012</t>
  </si>
  <si>
    <t>RAPSO_040</t>
  </si>
  <si>
    <t>Y3-G013</t>
  </si>
  <si>
    <t>RAPSO_041</t>
  </si>
  <si>
    <t>Y3-G014</t>
  </si>
  <si>
    <t>RAPSO_043</t>
  </si>
  <si>
    <t>Y3-G015</t>
  </si>
  <si>
    <t>RAPSO_046</t>
  </si>
  <si>
    <t>Y3-G016</t>
  </si>
  <si>
    <t>RAPSO_050</t>
  </si>
  <si>
    <t>Y3-G017</t>
  </si>
  <si>
    <t>RAPSO_051</t>
  </si>
  <si>
    <t>Y3-G018</t>
  </si>
  <si>
    <t>RAPSO_053</t>
  </si>
  <si>
    <t>Y3-G019</t>
  </si>
  <si>
    <t>RAPSO_062</t>
  </si>
  <si>
    <t>Y3-G020</t>
  </si>
  <si>
    <t>RAPSO_063</t>
  </si>
  <si>
    <t>Y3-G021</t>
  </si>
  <si>
    <t>RAPSO_068</t>
  </si>
  <si>
    <t>Y3-G022</t>
  </si>
  <si>
    <t>RAPSO_070</t>
  </si>
  <si>
    <t>Y3-G023</t>
  </si>
  <si>
    <t>RAPSO_072</t>
  </si>
  <si>
    <t>Y3-G024</t>
  </si>
  <si>
    <t>RAPSO_073</t>
  </si>
  <si>
    <t>Y3-G025</t>
  </si>
  <si>
    <t>RAPSO_075</t>
  </si>
  <si>
    <t>Y3-G026</t>
  </si>
  <si>
    <t>RAPSO_076</t>
  </si>
  <si>
    <t>Y3-G027</t>
  </si>
  <si>
    <t>Bienvenu - R33</t>
  </si>
  <si>
    <t>RAPSO_077</t>
  </si>
  <si>
    <t>Y3-G028</t>
  </si>
  <si>
    <t>RAPSO_080</t>
  </si>
  <si>
    <t>Y3-G029</t>
  </si>
  <si>
    <t>RAPSO_081</t>
  </si>
  <si>
    <t>Y3-G030</t>
  </si>
  <si>
    <t>RAPSO_084</t>
  </si>
  <si>
    <t>Y3-G031</t>
  </si>
  <si>
    <t>RAPSO_085</t>
  </si>
  <si>
    <t>Y3-G032</t>
  </si>
  <si>
    <t>RAPSO_099</t>
  </si>
  <si>
    <t>Y3-G033</t>
  </si>
  <si>
    <t>RAPSO_102</t>
  </si>
  <si>
    <t>Y3-G034</t>
  </si>
  <si>
    <t>RAPSO_108</t>
  </si>
  <si>
    <t>Y3-G035</t>
  </si>
  <si>
    <t>RAPSO_115</t>
  </si>
  <si>
    <t>Y3-G036</t>
  </si>
  <si>
    <t>RAPSO_122</t>
  </si>
  <si>
    <t>Y3-G037</t>
  </si>
  <si>
    <t>RAPSO_124</t>
  </si>
  <si>
    <t>Y3-G038</t>
  </si>
  <si>
    <t>RAPSO_128</t>
  </si>
  <si>
    <t>Y3-G039</t>
  </si>
  <si>
    <t>RAPSO_130</t>
  </si>
  <si>
    <t>Y3-G040</t>
  </si>
  <si>
    <t>RAPSO_131</t>
  </si>
  <si>
    <t>Y3-G041</t>
  </si>
  <si>
    <t>RAPSO_132</t>
  </si>
  <si>
    <t>Y3-G042</t>
  </si>
  <si>
    <t>RAPSO_135</t>
  </si>
  <si>
    <t>Y3-G043</t>
  </si>
  <si>
    <t>RAPSO_138</t>
  </si>
  <si>
    <t>Y3-G044</t>
  </si>
  <si>
    <t>RAPSO_139</t>
  </si>
  <si>
    <t>Y3-G045</t>
  </si>
  <si>
    <t>RAPSO_140</t>
  </si>
  <si>
    <t>Y3-G046</t>
  </si>
  <si>
    <t>RAPSO_144</t>
  </si>
  <si>
    <t>Y3-G047</t>
  </si>
  <si>
    <t>RAPSO_146</t>
  </si>
  <si>
    <t>Y3-G048</t>
  </si>
  <si>
    <t>Bolko - POH 285</t>
  </si>
  <si>
    <t>RAPSO_148</t>
  </si>
  <si>
    <t>Y3-G049</t>
  </si>
  <si>
    <t>RAPSO_154</t>
  </si>
  <si>
    <t>Y3-G050</t>
  </si>
  <si>
    <t>RAPSO_155</t>
  </si>
  <si>
    <t>Y3-G051</t>
  </si>
  <si>
    <t>RAPSO_156</t>
  </si>
  <si>
    <t>Y3-G052</t>
  </si>
  <si>
    <t>RAPSO_158</t>
  </si>
  <si>
    <t>Y3-G053</t>
  </si>
  <si>
    <t>RAPSO_160</t>
  </si>
  <si>
    <t>Y3-G054</t>
  </si>
  <si>
    <t>RAPSO_162</t>
  </si>
  <si>
    <t>Y3-G055</t>
  </si>
  <si>
    <t>RAPSO_165</t>
  </si>
  <si>
    <t>Y3-G056</t>
  </si>
  <si>
    <t>RAPSO_167</t>
  </si>
  <si>
    <t>Y3-G057</t>
  </si>
  <si>
    <t>RAPSO_168</t>
  </si>
  <si>
    <t>Y3-G058</t>
  </si>
  <si>
    <t>RAPSO_171</t>
  </si>
  <si>
    <t>Y3-G059</t>
  </si>
  <si>
    <t>RAPSO_174</t>
  </si>
  <si>
    <t>Y3-G060</t>
  </si>
  <si>
    <t>RAPSO_175</t>
  </si>
  <si>
    <t>Y3-G061</t>
  </si>
  <si>
    <t>RAPSO_176</t>
  </si>
  <si>
    <t>Y3-G062</t>
  </si>
  <si>
    <t>RAPSO_178</t>
  </si>
  <si>
    <t>Y3-G063</t>
  </si>
  <si>
    <t>RAPSO_180</t>
  </si>
  <si>
    <t>Y3-G064</t>
  </si>
  <si>
    <t>RAPSO_181</t>
  </si>
  <si>
    <t>Y3-G065</t>
  </si>
  <si>
    <t>RAPSO_187</t>
  </si>
  <si>
    <t>Y3-G066</t>
  </si>
  <si>
    <t>RAPSO_190</t>
  </si>
  <si>
    <t>Y3-G067</t>
  </si>
  <si>
    <t>RAPSO_193</t>
  </si>
  <si>
    <t>Y3-G068</t>
  </si>
  <si>
    <t>RAPSO_199</t>
  </si>
  <si>
    <t>Y3-G069</t>
  </si>
  <si>
    <t>RAPSO_202</t>
  </si>
  <si>
    <t>Y3-G070</t>
  </si>
  <si>
    <t>RAPSO_203</t>
  </si>
  <si>
    <t>Y3-G071</t>
  </si>
  <si>
    <t>RAPSO_207</t>
  </si>
  <si>
    <t>Y3-G072</t>
  </si>
  <si>
    <t>RAPSO_208</t>
  </si>
  <si>
    <t>Y3-G073</t>
  </si>
  <si>
    <t>RAPSO_209</t>
  </si>
  <si>
    <t>Y3-G074</t>
  </si>
  <si>
    <t>RAPSO_213</t>
  </si>
  <si>
    <t>Y3-G075</t>
  </si>
  <si>
    <t>RAPSO_215</t>
  </si>
  <si>
    <t>Y3-G076</t>
  </si>
  <si>
    <t>RAPSO_216</t>
  </si>
  <si>
    <t>Y3-G077</t>
  </si>
  <si>
    <t>RAPSO_219</t>
  </si>
  <si>
    <t>Y3-G078</t>
  </si>
  <si>
    <t>RAPSO_220</t>
  </si>
  <si>
    <t>Y3-G079</t>
  </si>
  <si>
    <t>RAPSO_222</t>
  </si>
  <si>
    <t>Y3-G080</t>
  </si>
  <si>
    <t>RAPSO_226</t>
  </si>
  <si>
    <t>Y3-G081</t>
  </si>
  <si>
    <t>RAPSO_227</t>
  </si>
  <si>
    <t>Y3-G082</t>
  </si>
  <si>
    <t>RAPSO_230</t>
  </si>
  <si>
    <t>Y3-G083</t>
  </si>
  <si>
    <t>RAPSO_231</t>
  </si>
  <si>
    <t>Y3-G084</t>
  </si>
  <si>
    <t>RAPSO_232</t>
  </si>
  <si>
    <t>Y3-G085</t>
  </si>
  <si>
    <t>RAPSO_234</t>
  </si>
  <si>
    <t>Y3-G086</t>
  </si>
  <si>
    <t>RAPSO_235</t>
  </si>
  <si>
    <t>Y3-G087</t>
  </si>
  <si>
    <t>RAPSO_238</t>
  </si>
  <si>
    <t>Y3-G088</t>
  </si>
  <si>
    <t>RAPSO_243</t>
  </si>
  <si>
    <t>Y3-G089</t>
  </si>
  <si>
    <t>RAPSO_245</t>
  </si>
  <si>
    <t>Y3-G090</t>
  </si>
  <si>
    <t>RAPSO_246</t>
  </si>
  <si>
    <t>Y3-G091</t>
  </si>
  <si>
    <t>RAPSO_248</t>
  </si>
  <si>
    <t>Y3-G092</t>
  </si>
  <si>
    <t>RAPSO_251</t>
  </si>
  <si>
    <t>Y3-G093</t>
  </si>
  <si>
    <t>RAPSO_253</t>
  </si>
  <si>
    <t>Y3-G094</t>
  </si>
  <si>
    <t>RAPSO_254</t>
  </si>
  <si>
    <t>Y3-G095</t>
  </si>
  <si>
    <t>RAPSO_256</t>
  </si>
  <si>
    <t>Y3-G096</t>
  </si>
  <si>
    <t>RAPSO_258</t>
  </si>
  <si>
    <t>Y3-G097</t>
  </si>
  <si>
    <t>RAPSO_259</t>
  </si>
  <si>
    <t>Y3-G098</t>
  </si>
  <si>
    <t>RAPSO_260</t>
  </si>
  <si>
    <t>Y3-G099</t>
  </si>
  <si>
    <t>RAPSO_261</t>
  </si>
  <si>
    <t>Y3-G100</t>
  </si>
  <si>
    <t>RAPSO_263</t>
  </si>
  <si>
    <t>Y3-G101</t>
  </si>
  <si>
    <t>RAPSO_265</t>
  </si>
  <si>
    <t>Y3-G102</t>
  </si>
  <si>
    <t>RAPSO_266</t>
  </si>
  <si>
    <t>Y3-G103</t>
  </si>
  <si>
    <t>RAPSO_267</t>
  </si>
  <si>
    <t>Y3-G104</t>
  </si>
  <si>
    <t>RAPSO_270</t>
  </si>
  <si>
    <t>Y3-G105</t>
  </si>
  <si>
    <t>RAPSO_271</t>
  </si>
  <si>
    <t>Y3-G106</t>
  </si>
  <si>
    <t>RAPSO_273</t>
  </si>
  <si>
    <t>Y3-G107</t>
  </si>
  <si>
    <t>RAPSO_277</t>
  </si>
  <si>
    <t>Y3-G108</t>
  </si>
  <si>
    <t>RAPSO_278</t>
  </si>
  <si>
    <t>Y3-G109</t>
  </si>
  <si>
    <t>RAPSO_281</t>
  </si>
  <si>
    <t>Y3-G110</t>
  </si>
  <si>
    <t>RAPSO_282</t>
  </si>
  <si>
    <t>Y3-G111</t>
  </si>
  <si>
    <t>RAPSO_292</t>
  </si>
  <si>
    <t>Y3-G112</t>
  </si>
  <si>
    <t>RAPSO_342</t>
  </si>
  <si>
    <t>Y3-G113</t>
  </si>
  <si>
    <t>RAPSO_343</t>
  </si>
  <si>
    <t>Y3-G114</t>
  </si>
  <si>
    <t>RAPSO_356</t>
  </si>
  <si>
    <t>Y3-G115</t>
  </si>
  <si>
    <t>RAPSO_363</t>
  </si>
  <si>
    <t>Y3-G116</t>
  </si>
  <si>
    <t>RAPSO_368</t>
  </si>
  <si>
    <t>Y3-G117</t>
  </si>
  <si>
    <t>RAPSO_375</t>
  </si>
  <si>
    <t>Y3-G118</t>
  </si>
  <si>
    <t>RAPSO_382</t>
  </si>
  <si>
    <t>Y3-G119</t>
  </si>
  <si>
    <t>RAPSO_395</t>
  </si>
  <si>
    <t>Y3-G120</t>
  </si>
  <si>
    <t>RAPSO_406</t>
  </si>
  <si>
    <t>Y3-G121</t>
  </si>
  <si>
    <t>RAPSO_430</t>
  </si>
  <si>
    <t>Y3-G122</t>
  </si>
  <si>
    <t>BRA_005</t>
  </si>
  <si>
    <t>Y3-G123</t>
  </si>
  <si>
    <t>BRA_006</t>
  </si>
  <si>
    <t>Y3-G124</t>
  </si>
  <si>
    <t>BRA_007</t>
  </si>
  <si>
    <t>Y3-G125</t>
  </si>
  <si>
    <t>BRA_008</t>
  </si>
  <si>
    <t>Y3-G126</t>
  </si>
  <si>
    <t>BRA_009</t>
  </si>
  <si>
    <t>Y3-G127</t>
  </si>
  <si>
    <t>BRA_011</t>
  </si>
  <si>
    <t>Y3-G128</t>
  </si>
  <si>
    <t>MP001</t>
  </si>
  <si>
    <t>Y3-G129</t>
  </si>
  <si>
    <t>MP003</t>
  </si>
  <si>
    <t>Y3-G130</t>
  </si>
  <si>
    <t>RAPSO_294</t>
  </si>
  <si>
    <t>Y3-G131</t>
  </si>
  <si>
    <t>RAPSO_295</t>
  </si>
  <si>
    <t>Y3-G132</t>
  </si>
  <si>
    <t>RAPSO_296</t>
  </si>
  <si>
    <t>Y3-G133</t>
  </si>
  <si>
    <t>RAPSO_297</t>
  </si>
  <si>
    <t>Y3-G134</t>
  </si>
  <si>
    <t>RAPSO_298</t>
  </si>
  <si>
    <t>Y3-G135</t>
  </si>
  <si>
    <t>RAPSO_299</t>
  </si>
  <si>
    <t>Y3-G136</t>
  </si>
  <si>
    <t>RAPSO_300</t>
  </si>
  <si>
    <t>Y3-G137</t>
  </si>
  <si>
    <t>RAPSO_301</t>
  </si>
  <si>
    <t>Y3-G138</t>
  </si>
  <si>
    <t>RAPSO_302</t>
  </si>
  <si>
    <t>Y3-G139</t>
  </si>
  <si>
    <t>RAPSO_303</t>
  </si>
  <si>
    <t>Y3-G140</t>
  </si>
  <si>
    <t>RAPSO_304</t>
  </si>
  <si>
    <t>Y3-G141</t>
  </si>
  <si>
    <t>RAPSO_305</t>
  </si>
  <si>
    <t>Y3-G142</t>
  </si>
  <si>
    <t>RAPSO_306</t>
  </si>
  <si>
    <t>Y3-G143</t>
  </si>
  <si>
    <t>RAPSO_307</t>
  </si>
  <si>
    <t>Y3-G144</t>
  </si>
  <si>
    <t>RAPSO_308</t>
  </si>
  <si>
    <t>Y3-G145</t>
  </si>
  <si>
    <t>RAPSO_309</t>
  </si>
  <si>
    <t>Y3-G146</t>
  </si>
  <si>
    <t>RAPSO_310</t>
  </si>
  <si>
    <t>Y3-G147</t>
  </si>
  <si>
    <t>RAPSO_311</t>
  </si>
  <si>
    <t>Y3-G148</t>
  </si>
  <si>
    <t>RAPSO_312</t>
  </si>
  <si>
    <t>Y3-G149</t>
  </si>
  <si>
    <t>RAPSO_313</t>
  </si>
  <si>
    <t>Y3-G150</t>
  </si>
  <si>
    <t>RAPSO_314</t>
  </si>
  <si>
    <t>Y3-G151</t>
  </si>
  <si>
    <t>RAPSO_315</t>
  </si>
  <si>
    <t>Y3-G152</t>
  </si>
  <si>
    <t>RAPSO_316</t>
  </si>
  <si>
    <t>Y3-G153</t>
  </si>
  <si>
    <t>RAPSO_317</t>
  </si>
  <si>
    <t>Y3-G154</t>
  </si>
  <si>
    <t>RAPSO_318</t>
  </si>
  <si>
    <t>Y3-G155</t>
  </si>
  <si>
    <t>RAPSO_319</t>
  </si>
  <si>
    <t>Y3-G156</t>
  </si>
  <si>
    <t>RAPSO_320</t>
  </si>
  <si>
    <t>Y3-G157</t>
  </si>
  <si>
    <t>RAPSO_321</t>
  </si>
  <si>
    <t>Y3-G158</t>
  </si>
  <si>
    <t>RAPSO_322</t>
  </si>
  <si>
    <t>Y3-G159</t>
  </si>
  <si>
    <t>RAPSO_323</t>
  </si>
  <si>
    <t>Y3-G160</t>
  </si>
  <si>
    <t>RAPSO_324</t>
  </si>
  <si>
    <t>Y3-G161</t>
  </si>
  <si>
    <t>RAPSO_325</t>
  </si>
  <si>
    <t>Y3-G162</t>
  </si>
  <si>
    <t>RAPSO_326</t>
  </si>
  <si>
    <t>Y3-G163</t>
  </si>
  <si>
    <t>RAPSO_327</t>
  </si>
  <si>
    <t>Y3-G164</t>
  </si>
  <si>
    <t>RAPSO_328</t>
  </si>
  <si>
    <t>Y3-G165</t>
  </si>
  <si>
    <t>RAPSO_329</t>
  </si>
  <si>
    <t>Y3-G166</t>
  </si>
  <si>
    <t>RAPSO_330</t>
  </si>
  <si>
    <t>Y3-G167</t>
  </si>
  <si>
    <t>RAPSO_331</t>
  </si>
  <si>
    <t>Y3-G168</t>
  </si>
  <si>
    <t>RAPSO_332</t>
  </si>
  <si>
    <t>Y3-G169</t>
  </si>
  <si>
    <t>RAPSO_333</t>
  </si>
  <si>
    <t>Y3-G170</t>
  </si>
  <si>
    <t>RAPSO_334</t>
  </si>
  <si>
    <t>Y3-G171</t>
  </si>
  <si>
    <t>RAPSO_470</t>
  </si>
  <si>
    <t>Y3-G172</t>
  </si>
  <si>
    <t>RAPSO_Compl_01 (euralis)</t>
  </si>
  <si>
    <t>RAPSO_471</t>
  </si>
  <si>
    <t>Y3-G173</t>
  </si>
  <si>
    <t>RAPSO_Compl_02 (euralis)</t>
  </si>
  <si>
    <t>RAPSO_472</t>
  </si>
  <si>
    <t>Y3-G174</t>
  </si>
  <si>
    <t>RAPSO_473</t>
  </si>
  <si>
    <t>Y3-G175</t>
  </si>
  <si>
    <t>RAPSO_476</t>
  </si>
  <si>
    <t>Y3-G176</t>
  </si>
  <si>
    <t>RAPSO_477</t>
  </si>
  <si>
    <t>Y3-G177</t>
  </si>
  <si>
    <t>RAPSO_478</t>
  </si>
  <si>
    <t>Y3-G178</t>
  </si>
  <si>
    <t>RAPSO_479</t>
  </si>
  <si>
    <t>Y3-G179</t>
  </si>
  <si>
    <t>RAPSO_480</t>
  </si>
  <si>
    <t>Y3-G180</t>
  </si>
  <si>
    <t>RAPSO_006</t>
  </si>
  <si>
    <t>Y3-G181</t>
  </si>
  <si>
    <t>RAPSO_009</t>
  </si>
  <si>
    <t>Y3-G182</t>
  </si>
  <si>
    <t>RAPSO_015</t>
  </si>
  <si>
    <t>Y3-G183</t>
  </si>
  <si>
    <t>RAPSO_017</t>
  </si>
  <si>
    <t>Y3-G184</t>
  </si>
  <si>
    <t>RAPSO_057</t>
  </si>
  <si>
    <t>Y3-G185</t>
  </si>
  <si>
    <t>RAPSO_064</t>
  </si>
  <si>
    <t>Y3-G186</t>
  </si>
  <si>
    <t>RAPSO_067</t>
  </si>
  <si>
    <t>Y3-G187</t>
  </si>
  <si>
    <t>RAPSO_091</t>
  </si>
  <si>
    <t>Y3-G188</t>
  </si>
  <si>
    <t>RAPSO_098</t>
  </si>
  <si>
    <t>Y3-G189</t>
  </si>
  <si>
    <t>RAPSO_105</t>
  </si>
  <si>
    <t>Y3-G190</t>
  </si>
  <si>
    <t>RAPSO_112</t>
  </si>
  <si>
    <t>Y3-G191</t>
  </si>
  <si>
    <t>RAPSO_125</t>
  </si>
  <si>
    <t>Y3-G192</t>
  </si>
  <si>
    <t>RAPSO_152</t>
  </si>
  <si>
    <t>Y3-G193</t>
  </si>
  <si>
    <t>RAPSO_335</t>
  </si>
  <si>
    <t>Y3-G194</t>
  </si>
  <si>
    <t>RAPSO_387</t>
  </si>
  <si>
    <t>Y3-G195</t>
  </si>
  <si>
    <t>RAPSO_402</t>
  </si>
  <si>
    <t>Y3-G196</t>
  </si>
  <si>
    <t>RAPSO_411</t>
  </si>
  <si>
    <t>Y3-G197</t>
  </si>
  <si>
    <t>RAPSO_415</t>
  </si>
  <si>
    <t>Y3-G198</t>
  </si>
  <si>
    <t>RAPSO_418</t>
  </si>
  <si>
    <t>Y3-G199</t>
  </si>
  <si>
    <t>RAPSO_419</t>
  </si>
  <si>
    <t>Y3-G200</t>
  </si>
  <si>
    <t>RAPSO_437</t>
  </si>
  <si>
    <t>Y3-G201</t>
  </si>
  <si>
    <t>RAPSO_456</t>
  </si>
  <si>
    <t>Y3-G202</t>
  </si>
  <si>
    <t>BRA_010</t>
  </si>
  <si>
    <t>Y3-G203</t>
  </si>
  <si>
    <t>Temoin</t>
  </si>
  <si>
    <t>Y3-Te1</t>
  </si>
  <si>
    <t>Aviso-T</t>
  </si>
  <si>
    <t>Montego-T</t>
  </si>
  <si>
    <t>na</t>
  </si>
  <si>
    <t>Entourage</t>
  </si>
  <si>
    <t>Bordure</t>
  </si>
  <si>
    <t>Alpaga</t>
  </si>
  <si>
    <t>Bordure témoin</t>
  </si>
  <si>
    <t>RDT (q/ha)</t>
  </si>
  <si>
    <t>PMG (g)</t>
  </si>
  <si>
    <t>Seed Nb</t>
  </si>
  <si>
    <t>O (%)</t>
  </si>
  <si>
    <t>Pr (%)</t>
  </si>
  <si>
    <t>C22:1</t>
  </si>
  <si>
    <t>GSL</t>
  </si>
  <si>
    <t>Code RAPSO</t>
  </si>
  <si>
    <t>LE RHEU (P22 - La Gruche)</t>
  </si>
  <si>
    <t>24 accessions à problèmes (essai à part) = 144 plots</t>
  </si>
  <si>
    <t>Echantillons perdus à la récolte = 8 plots</t>
  </si>
  <si>
    <t>20/04/15</t>
  </si>
  <si>
    <t>24/04/15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</si>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</sst>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name val="Calibri"/>
      <family val="2"/>
    </font>
    <font>
      <b/>
      <sz val="36"/>
      <name val="Calibri"/>
      <family val="2"/>
    </font>
    <font>
      <b/>
      <sz val="36"/>
      <name val="Arial"/>
      <family val="2"/>
    </font>
    <font>
      <b/>
      <sz val="24"/>
      <name val="Calibri"/>
      <family val="2"/>
    </font>
    <font>
      <b/>
      <sz val="10"/>
      <name val="Calibri"/>
      <family val="2"/>
    </font>
    <font>
      <b/>
      <sz val="10"/>
      <name val="Courier New"/>
      <family val="3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indexed="17"/>
      <name val="Calibri"/>
      <family val="2"/>
    </font>
    <font>
      <sz val="10"/>
      <color indexed="10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1" fillId="2" borderId="1" applyNumberFormat="0" applyFont="0" applyAlignment="0" applyProtection="0"/>
    <xf numFmtId="0" fontId="1" fillId="0" borderId="0"/>
    <xf numFmtId="0" fontId="2" fillId="0" borderId="0"/>
    <xf numFmtId="0" fontId="2" fillId="0" borderId="0"/>
    <xf numFmtId="0" fontId="21" fillId="0" borderId="0"/>
  </cellStyleXfs>
  <cellXfs count="76">
    <xf numFmtId="0" fontId="0" fillId="0" borderId="0" xfId="0"/>
    <xf numFmtId="0" fontId="3" fillId="0" borderId="0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4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left" vertical="center"/>
    </xf>
    <xf numFmtId="0" fontId="3" fillId="0" borderId="2" xfId="2" applyNumberFormat="1" applyFont="1" applyFill="1" applyBorder="1" applyAlignment="1">
      <alignment horizontal="center" vertical="center"/>
    </xf>
    <xf numFmtId="0" fontId="4" fillId="0" borderId="2" xfId="2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2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0" xfId="0" applyFont="1" applyFill="1"/>
    <xf numFmtId="2" fontId="7" fillId="0" borderId="2" xfId="0" applyNumberFormat="1" applyFont="1" applyBorder="1" applyAlignment="1">
      <alignment horizontal="center"/>
    </xf>
    <xf numFmtId="2" fontId="7" fillId="0" borderId="2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2" fontId="7" fillId="0" borderId="2" xfId="2" applyNumberFormat="1" applyFont="1" applyBorder="1" applyAlignment="1">
      <alignment horizontal="center"/>
    </xf>
    <xf numFmtId="0" fontId="13" fillId="6" borderId="0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11" fillId="6" borderId="0" xfId="0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vertical="center" wrapText="1"/>
    </xf>
    <xf numFmtId="0" fontId="13" fillId="0" borderId="3" xfId="5" applyNumberFormat="1" applyFont="1" applyFill="1" applyBorder="1" applyAlignment="1">
      <alignment horizontal="center" vertical="center" wrapText="1"/>
    </xf>
    <xf numFmtId="0" fontId="13" fillId="0" borderId="0" xfId="0" applyFont="1" applyBorder="1"/>
    <xf numFmtId="0" fontId="6" fillId="0" borderId="4" xfId="0" applyFont="1" applyBorder="1" applyAlignment="1">
      <alignment horizontal="center"/>
    </xf>
    <xf numFmtId="0" fontId="15" fillId="0" borderId="4" xfId="5" applyNumberFormat="1" applyFont="1" applyFill="1" applyBorder="1" applyAlignment="1">
      <alignment horizontal="center" vertical="center"/>
    </xf>
    <xf numFmtId="0" fontId="6" fillId="0" borderId="4" xfId="5" applyNumberFormat="1" applyFont="1" applyFill="1" applyBorder="1" applyAlignment="1">
      <alignment horizontal="center" vertical="center"/>
    </xf>
    <xf numFmtId="0" fontId="17" fillId="0" borderId="0" xfId="0" applyFont="1" applyBorder="1"/>
    <xf numFmtId="0" fontId="6" fillId="0" borderId="0" xfId="0" applyFont="1" applyBorder="1"/>
    <xf numFmtId="0" fontId="6" fillId="0" borderId="4" xfId="5" applyFont="1" applyFill="1" applyBorder="1" applyAlignment="1">
      <alignment horizontal="center" vertical="center"/>
    </xf>
    <xf numFmtId="0" fontId="18" fillId="0" borderId="0" xfId="0" applyFont="1" applyBorder="1"/>
    <xf numFmtId="0" fontId="15" fillId="0" borderId="4" xfId="5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9" fillId="0" borderId="4" xfId="5" applyNumberFormat="1" applyFont="1" applyFill="1" applyBorder="1" applyAlignment="1">
      <alignment horizontal="center" vertical="center"/>
    </xf>
    <xf numFmtId="0" fontId="17" fillId="0" borderId="4" xfId="5" applyNumberFormat="1" applyFont="1" applyFill="1" applyBorder="1" applyAlignment="1">
      <alignment horizontal="center" vertical="center"/>
    </xf>
    <xf numFmtId="0" fontId="17" fillId="0" borderId="4" xfId="5" applyFont="1" applyFill="1" applyBorder="1" applyAlignment="1">
      <alignment horizontal="center" vertical="center"/>
    </xf>
    <xf numFmtId="0" fontId="19" fillId="7" borderId="4" xfId="5" applyNumberFormat="1" applyFont="1" applyFill="1" applyBorder="1" applyAlignment="1">
      <alignment horizontal="center" vertical="center"/>
    </xf>
    <xf numFmtId="0" fontId="17" fillId="7" borderId="4" xfId="5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5" fillId="8" borderId="2" xfId="2" applyNumberFormat="1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16" fillId="0" borderId="0" xfId="0" applyFont="1"/>
    <xf numFmtId="0" fontId="12" fillId="4" borderId="0" xfId="0" applyFont="1" applyFill="1" applyBorder="1" applyAlignment="1">
      <alignment horizontal="center" vertical="center" wrapText="1"/>
    </xf>
    <xf numFmtId="0" fontId="4" fillId="9" borderId="2" xfId="0" applyNumberFormat="1" applyFont="1" applyFill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/>
    </xf>
    <xf numFmtId="164" fontId="20" fillId="0" borderId="3" xfId="0" applyNumberFormat="1" applyFont="1" applyBorder="1" applyAlignment="1">
      <alignment horizontal="center"/>
    </xf>
    <xf numFmtId="14" fontId="16" fillId="0" borderId="3" xfId="0" applyNumberFormat="1" applyFont="1" applyBorder="1"/>
    <xf numFmtId="49" fontId="16" fillId="0" borderId="3" xfId="0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5" fillId="0" borderId="4" xfId="2" applyNumberFormat="1" applyFont="1" applyFill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/>
    </xf>
  </cellXfs>
  <cellStyles count="8">
    <cellStyle name="Commentaire 2" xfId="3"/>
    <cellStyle name="Normal" xfId="0" builtinId="0"/>
    <cellStyle name="Normal 2 2" xfId="2"/>
    <cellStyle name="Normal 2 2 2" xfId="7"/>
    <cellStyle name="Normal 3" xfId="4"/>
    <cellStyle name="Normal 4" xfId="1"/>
    <cellStyle name="Normal 5" xfId="5"/>
    <cellStyle name="Normal_Metapop_list_final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esi\AppData\Local\Temp\RAPSODYN_Y3_Plan%20recoltes-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BOUC~1\AppData\Local\Temp\RAPSODYN_Y3_Plan%20recoltes-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cdesign_data"/>
      <sheetName val="Liste_genot_total"/>
      <sheetName val="Panel + canopy-A-B version long"/>
      <sheetName val="Panel +canopy-A-B version court"/>
      <sheetName val="nombre acc."/>
      <sheetName val="Panel +canopy-A-B"/>
      <sheetName val="Panel2 + canopy-B2"/>
      <sheetName val="canopy-A2_CB"/>
      <sheetName val="Canopy-A2"/>
      <sheetName val="Panel +canopy-A-B_dispositi (2"/>
      <sheetName val="Recolte Machine"/>
      <sheetName val="random_total"/>
      <sheetName val="liste parcellaire"/>
      <sheetName val="random_ETQ"/>
      <sheetName val="Liste_genot_ET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A1" t="str">
            <v>N°Plan</v>
          </cell>
          <cell r="B1" t="str">
            <v>ID_RAPSODYN</v>
          </cell>
          <cell r="C1" t="str">
            <v>Code champ_2014/2015</v>
          </cell>
          <cell r="D1" t="str">
            <v>Accession</v>
          </cell>
        </row>
        <row r="2">
          <cell r="A2">
            <v>1</v>
          </cell>
          <cell r="B2" t="str">
            <v>RAPSO_002</v>
          </cell>
          <cell r="C2" t="str">
            <v>Y3-G001</v>
          </cell>
          <cell r="D2" t="str">
            <v>Alsace 1360</v>
          </cell>
        </row>
        <row r="3">
          <cell r="A3">
            <v>2</v>
          </cell>
          <cell r="B3" t="str">
            <v>RAPSO_008</v>
          </cell>
          <cell r="C3" t="str">
            <v>Y3-G002</v>
          </cell>
          <cell r="D3" t="str">
            <v>Fertodi elit</v>
          </cell>
        </row>
        <row r="4">
          <cell r="A4">
            <v>3</v>
          </cell>
          <cell r="B4" t="str">
            <v>RAPSO_011</v>
          </cell>
          <cell r="C4" t="str">
            <v>Y3-G003</v>
          </cell>
          <cell r="D4" t="str">
            <v>Gaspard</v>
          </cell>
        </row>
        <row r="5">
          <cell r="A5">
            <v>4</v>
          </cell>
          <cell r="B5" t="str">
            <v>RAPSO_013</v>
          </cell>
          <cell r="C5" t="str">
            <v>Y3-G004</v>
          </cell>
          <cell r="D5" t="str">
            <v>Gesunder</v>
          </cell>
        </row>
        <row r="6">
          <cell r="A6">
            <v>5</v>
          </cell>
          <cell r="B6" t="str">
            <v>RAPSO_014</v>
          </cell>
          <cell r="C6" t="str">
            <v>Y3-G005</v>
          </cell>
          <cell r="D6" t="str">
            <v>Goldgelber Zarter Butter</v>
          </cell>
        </row>
        <row r="7">
          <cell r="A7">
            <v>6</v>
          </cell>
          <cell r="B7" t="str">
            <v>RAPSO_023</v>
          </cell>
          <cell r="C7" t="str">
            <v>Y3-G006</v>
          </cell>
          <cell r="D7" t="str">
            <v>Lembke</v>
          </cell>
        </row>
        <row r="8">
          <cell r="A8">
            <v>7</v>
          </cell>
          <cell r="B8" t="str">
            <v>RAPSO_027</v>
          </cell>
          <cell r="C8" t="str">
            <v>Y3-G007</v>
          </cell>
          <cell r="D8" t="str">
            <v>Major</v>
          </cell>
        </row>
        <row r="9">
          <cell r="A9">
            <v>8</v>
          </cell>
          <cell r="B9" t="str">
            <v>RAPSO_029</v>
          </cell>
          <cell r="C9" t="str">
            <v>Y3-G008</v>
          </cell>
          <cell r="D9" t="str">
            <v>Markus</v>
          </cell>
        </row>
        <row r="10">
          <cell r="A10">
            <v>9</v>
          </cell>
          <cell r="B10" t="str">
            <v>RAPSO_030</v>
          </cell>
          <cell r="C10" t="str">
            <v>Y3-G009</v>
          </cell>
          <cell r="D10" t="str">
            <v>Matador</v>
          </cell>
        </row>
        <row r="11">
          <cell r="A11">
            <v>10</v>
          </cell>
          <cell r="B11" t="str">
            <v>RAPSO_033</v>
          </cell>
          <cell r="C11" t="str">
            <v>Y3-G010</v>
          </cell>
          <cell r="D11" t="str">
            <v>Moldavia</v>
          </cell>
        </row>
        <row r="12">
          <cell r="A12">
            <v>11</v>
          </cell>
          <cell r="B12" t="str">
            <v>RAPSO_035</v>
          </cell>
          <cell r="C12" t="str">
            <v>Y3-G011</v>
          </cell>
          <cell r="D12" t="str">
            <v>Nain de Hambourg</v>
          </cell>
        </row>
        <row r="13">
          <cell r="A13">
            <v>12</v>
          </cell>
          <cell r="B13" t="str">
            <v>RAPSO_038</v>
          </cell>
          <cell r="C13" t="str">
            <v>Y3-G012</v>
          </cell>
          <cell r="D13" t="str">
            <v>Oleski</v>
          </cell>
        </row>
        <row r="14">
          <cell r="A14">
            <v>13</v>
          </cell>
          <cell r="B14" t="str">
            <v>RAPSO_040</v>
          </cell>
          <cell r="C14" t="str">
            <v>Y3-G013</v>
          </cell>
          <cell r="D14" t="str">
            <v>Olquell Gulzover</v>
          </cell>
        </row>
        <row r="15">
          <cell r="A15">
            <v>14</v>
          </cell>
          <cell r="B15" t="str">
            <v>RAPSO_041</v>
          </cell>
          <cell r="C15" t="str">
            <v>Y3-G014</v>
          </cell>
          <cell r="D15" t="str">
            <v>Orléans</v>
          </cell>
        </row>
        <row r="16">
          <cell r="A16">
            <v>15</v>
          </cell>
          <cell r="B16" t="str">
            <v>RAPSO_043</v>
          </cell>
          <cell r="C16" t="str">
            <v>Y3-G015</v>
          </cell>
          <cell r="D16" t="str">
            <v>Polux</v>
          </cell>
        </row>
        <row r="17">
          <cell r="A17">
            <v>16</v>
          </cell>
          <cell r="B17" t="str">
            <v>RAPSO_046</v>
          </cell>
          <cell r="C17" t="str">
            <v>Y3-G016</v>
          </cell>
          <cell r="D17" t="str">
            <v>Prerouska</v>
          </cell>
        </row>
        <row r="18">
          <cell r="A18">
            <v>17</v>
          </cell>
          <cell r="B18" t="str">
            <v>RAPSO_050</v>
          </cell>
          <cell r="C18" t="str">
            <v>Y3-G017</v>
          </cell>
          <cell r="D18" t="str">
            <v>QuedLinburger Platzfester</v>
          </cell>
        </row>
        <row r="19">
          <cell r="A19">
            <v>18</v>
          </cell>
          <cell r="B19" t="str">
            <v>RAPSO_051</v>
          </cell>
          <cell r="C19" t="str">
            <v>Y3-G018</v>
          </cell>
          <cell r="D19" t="str">
            <v>Ramses</v>
          </cell>
        </row>
        <row r="20">
          <cell r="A20">
            <v>19</v>
          </cell>
          <cell r="B20" t="str">
            <v>RAPSO_053</v>
          </cell>
          <cell r="C20" t="str">
            <v>Y3-G019</v>
          </cell>
          <cell r="D20" t="str">
            <v>Rapol</v>
          </cell>
        </row>
        <row r="21">
          <cell r="A21">
            <v>20</v>
          </cell>
          <cell r="B21" t="str">
            <v>RAPSO_062</v>
          </cell>
          <cell r="C21" t="str">
            <v>Y3-G020</v>
          </cell>
          <cell r="D21" t="str">
            <v>Titus</v>
          </cell>
        </row>
        <row r="22">
          <cell r="A22">
            <v>21</v>
          </cell>
          <cell r="B22" t="str">
            <v>RAPSO_063</v>
          </cell>
          <cell r="C22" t="str">
            <v>Y3-G021</v>
          </cell>
          <cell r="D22" t="str">
            <v>Tonus</v>
          </cell>
        </row>
        <row r="23">
          <cell r="A23">
            <v>22</v>
          </cell>
          <cell r="B23" t="str">
            <v>RAPSO_068</v>
          </cell>
          <cell r="C23" t="str">
            <v>Y3-G022</v>
          </cell>
          <cell r="D23" t="str">
            <v>Zeruca</v>
          </cell>
        </row>
        <row r="24">
          <cell r="A24">
            <v>23</v>
          </cell>
          <cell r="B24" t="str">
            <v>RAPSO_070</v>
          </cell>
          <cell r="C24" t="str">
            <v>Y3-G023</v>
          </cell>
          <cell r="D24" t="str">
            <v>Askari</v>
          </cell>
        </row>
        <row r="25">
          <cell r="A25">
            <v>24</v>
          </cell>
          <cell r="B25" t="str">
            <v>RAPSO_072</v>
          </cell>
          <cell r="C25" t="str">
            <v>Y3-G024</v>
          </cell>
          <cell r="D25" t="str">
            <v>Aztec</v>
          </cell>
        </row>
        <row r="26">
          <cell r="A26">
            <v>25</v>
          </cell>
          <cell r="B26" t="str">
            <v>RAPSO_073</v>
          </cell>
          <cell r="C26" t="str">
            <v>Y3-G025</v>
          </cell>
          <cell r="D26" t="str">
            <v>Belinda</v>
          </cell>
        </row>
        <row r="27">
          <cell r="A27">
            <v>26</v>
          </cell>
          <cell r="B27" t="str">
            <v>RAPSO_075</v>
          </cell>
          <cell r="C27" t="str">
            <v>Y3-G026</v>
          </cell>
          <cell r="D27" t="str">
            <v>Beryl</v>
          </cell>
        </row>
        <row r="28">
          <cell r="A28">
            <v>27</v>
          </cell>
          <cell r="B28" t="str">
            <v>RAPSO_076</v>
          </cell>
          <cell r="C28" t="str">
            <v>Y3-G027</v>
          </cell>
          <cell r="D28" t="str">
            <v>Bienvenu - R33</v>
          </cell>
        </row>
        <row r="29">
          <cell r="A29">
            <v>28</v>
          </cell>
          <cell r="B29" t="str">
            <v>RAPSO_077</v>
          </cell>
          <cell r="C29" t="str">
            <v>Y3-G028</v>
          </cell>
          <cell r="D29" t="str">
            <v>Brink</v>
          </cell>
        </row>
        <row r="30">
          <cell r="A30">
            <v>29</v>
          </cell>
          <cell r="B30" t="str">
            <v>RAPSO_080</v>
          </cell>
          <cell r="C30" t="str">
            <v>Y3-G029</v>
          </cell>
          <cell r="D30" t="str">
            <v>Constable</v>
          </cell>
        </row>
        <row r="31">
          <cell r="A31">
            <v>30</v>
          </cell>
          <cell r="B31" t="str">
            <v>RAPSO_081</v>
          </cell>
          <cell r="C31" t="str">
            <v>Y3-G030</v>
          </cell>
          <cell r="D31" t="str">
            <v>Doral</v>
          </cell>
        </row>
        <row r="32">
          <cell r="A32">
            <v>31</v>
          </cell>
          <cell r="B32" t="str">
            <v>RAPSO_084</v>
          </cell>
          <cell r="C32" t="str">
            <v>Y3-G031</v>
          </cell>
          <cell r="D32" t="str">
            <v>Emil</v>
          </cell>
        </row>
        <row r="33">
          <cell r="A33">
            <v>32</v>
          </cell>
          <cell r="B33" t="str">
            <v>RAPSO_085</v>
          </cell>
          <cell r="C33" t="str">
            <v>Y3-G032</v>
          </cell>
          <cell r="D33" t="str">
            <v>Expander</v>
          </cell>
        </row>
        <row r="34">
          <cell r="A34">
            <v>33</v>
          </cell>
          <cell r="B34" t="str">
            <v>RAPSO_099</v>
          </cell>
          <cell r="C34" t="str">
            <v>Y3-G033</v>
          </cell>
          <cell r="D34" t="str">
            <v>Kurander</v>
          </cell>
        </row>
        <row r="35">
          <cell r="A35">
            <v>34</v>
          </cell>
          <cell r="B35" t="str">
            <v>RAPSO_102</v>
          </cell>
          <cell r="C35" t="str">
            <v>Y3-G034</v>
          </cell>
          <cell r="D35" t="str">
            <v>Lesira</v>
          </cell>
        </row>
        <row r="36">
          <cell r="A36">
            <v>35</v>
          </cell>
          <cell r="B36" t="str">
            <v>RAPSO_108</v>
          </cell>
          <cell r="C36" t="str">
            <v>Y3-G035</v>
          </cell>
          <cell r="D36" t="str">
            <v>Mikado</v>
          </cell>
        </row>
        <row r="37">
          <cell r="A37">
            <v>36</v>
          </cell>
          <cell r="B37" t="str">
            <v>RAPSO_115</v>
          </cell>
          <cell r="C37" t="str">
            <v>Y3-G036</v>
          </cell>
          <cell r="D37" t="str">
            <v>Rafal</v>
          </cell>
        </row>
        <row r="38">
          <cell r="A38">
            <v>37</v>
          </cell>
          <cell r="B38" t="str">
            <v>RAPSO_122</v>
          </cell>
          <cell r="C38" t="str">
            <v>Y3-G037</v>
          </cell>
          <cell r="D38" t="str">
            <v>Start</v>
          </cell>
        </row>
        <row r="39">
          <cell r="A39">
            <v>38</v>
          </cell>
          <cell r="B39" t="str">
            <v>RAPSO_124</v>
          </cell>
          <cell r="C39" t="str">
            <v>Y3-G038</v>
          </cell>
          <cell r="D39" t="str">
            <v>Valdor</v>
          </cell>
        </row>
        <row r="40">
          <cell r="A40">
            <v>39</v>
          </cell>
          <cell r="B40" t="str">
            <v>RAPSO_128</v>
          </cell>
          <cell r="C40" t="str">
            <v>Y3-G039</v>
          </cell>
          <cell r="D40" t="str">
            <v>Adriana</v>
          </cell>
        </row>
        <row r="41">
          <cell r="A41">
            <v>40</v>
          </cell>
          <cell r="B41" t="str">
            <v>RAPSO_130</v>
          </cell>
          <cell r="C41" t="str">
            <v>Y3-G040</v>
          </cell>
          <cell r="D41" t="str">
            <v>Akamar</v>
          </cell>
        </row>
        <row r="42">
          <cell r="A42">
            <v>41</v>
          </cell>
          <cell r="B42" t="str">
            <v>RAPSO_131</v>
          </cell>
          <cell r="C42" t="str">
            <v>Y3-G041</v>
          </cell>
          <cell r="D42" t="str">
            <v>Alesi</v>
          </cell>
        </row>
        <row r="43">
          <cell r="A43">
            <v>42</v>
          </cell>
          <cell r="B43" t="str">
            <v>RAPSO_132</v>
          </cell>
          <cell r="C43" t="str">
            <v>Y3-G042</v>
          </cell>
          <cell r="D43" t="str">
            <v>Aligator</v>
          </cell>
        </row>
        <row r="44">
          <cell r="A44">
            <v>43</v>
          </cell>
          <cell r="B44" t="str">
            <v>RAPSO_135</v>
          </cell>
          <cell r="C44" t="str">
            <v>Y3-G043</v>
          </cell>
          <cell r="D44" t="str">
            <v>Amber</v>
          </cell>
        </row>
        <row r="45">
          <cell r="A45">
            <v>44</v>
          </cell>
          <cell r="B45" t="str">
            <v>RAPSO_138</v>
          </cell>
          <cell r="C45" t="str">
            <v>Y3-G044</v>
          </cell>
          <cell r="D45" t="str">
            <v>Ariana</v>
          </cell>
        </row>
        <row r="46">
          <cell r="A46">
            <v>45</v>
          </cell>
          <cell r="B46" t="str">
            <v>RAPSO_139</v>
          </cell>
          <cell r="C46" t="str">
            <v>Y3-G045</v>
          </cell>
          <cell r="D46" t="str">
            <v>Atlantic</v>
          </cell>
        </row>
        <row r="47">
          <cell r="A47">
            <v>46</v>
          </cell>
          <cell r="B47" t="str">
            <v>RAPSO_140</v>
          </cell>
          <cell r="C47" t="str">
            <v>Y3-G046</v>
          </cell>
          <cell r="D47" t="str">
            <v>Aurum</v>
          </cell>
        </row>
        <row r="48">
          <cell r="A48">
            <v>47</v>
          </cell>
          <cell r="B48" t="str">
            <v>RAPSO_144</v>
          </cell>
          <cell r="C48" t="str">
            <v>Y3-G047</v>
          </cell>
          <cell r="D48" t="str">
            <v>Bellini</v>
          </cell>
        </row>
        <row r="49">
          <cell r="A49">
            <v>48</v>
          </cell>
          <cell r="B49" t="str">
            <v>RAPSO_146</v>
          </cell>
          <cell r="C49" t="str">
            <v>Y3-G048</v>
          </cell>
          <cell r="D49" t="str">
            <v>Bolko - POH 285</v>
          </cell>
        </row>
        <row r="50">
          <cell r="A50">
            <v>49</v>
          </cell>
          <cell r="B50" t="str">
            <v>RAPSO_148</v>
          </cell>
          <cell r="C50" t="str">
            <v>Y3-G049</v>
          </cell>
          <cell r="D50" t="str">
            <v>Boston</v>
          </cell>
        </row>
        <row r="51">
          <cell r="A51">
            <v>50</v>
          </cell>
          <cell r="B51" t="str">
            <v>RAPSO_154</v>
          </cell>
          <cell r="C51" t="str">
            <v>Y3-G050</v>
          </cell>
          <cell r="D51" t="str">
            <v>Campala</v>
          </cell>
        </row>
        <row r="52">
          <cell r="A52">
            <v>51</v>
          </cell>
          <cell r="B52" t="str">
            <v>RAPSO_155</v>
          </cell>
          <cell r="C52" t="str">
            <v>Y3-G051</v>
          </cell>
          <cell r="D52" t="str">
            <v>Canberra</v>
          </cell>
        </row>
        <row r="53">
          <cell r="A53">
            <v>52</v>
          </cell>
          <cell r="B53" t="str">
            <v>RAPSO_156</v>
          </cell>
          <cell r="C53" t="str">
            <v>Y3-G052</v>
          </cell>
          <cell r="D53" t="str">
            <v>Cancan</v>
          </cell>
        </row>
        <row r="54">
          <cell r="A54">
            <v>53</v>
          </cell>
          <cell r="B54" t="str">
            <v>RAPSO_158</v>
          </cell>
          <cell r="C54" t="str">
            <v>Y3-G053</v>
          </cell>
          <cell r="D54" t="str">
            <v>Capitol</v>
          </cell>
        </row>
        <row r="55">
          <cell r="A55">
            <v>54</v>
          </cell>
          <cell r="B55" t="str">
            <v>RAPSO_160</v>
          </cell>
          <cell r="C55" t="str">
            <v>Y3-G054</v>
          </cell>
          <cell r="D55" t="str">
            <v>Capricorn</v>
          </cell>
        </row>
        <row r="56">
          <cell r="A56">
            <v>55</v>
          </cell>
          <cell r="B56" t="str">
            <v>RAPSO_162</v>
          </cell>
          <cell r="C56" t="str">
            <v>Y3-G055</v>
          </cell>
          <cell r="D56" t="str">
            <v>CAPVERT</v>
          </cell>
        </row>
        <row r="57">
          <cell r="A57">
            <v>56</v>
          </cell>
          <cell r="B57" t="str">
            <v>RAPSO_165</v>
          </cell>
          <cell r="C57" t="str">
            <v>Y3-G056</v>
          </cell>
          <cell r="D57" t="str">
            <v>Ceres</v>
          </cell>
        </row>
        <row r="58">
          <cell r="A58">
            <v>57</v>
          </cell>
          <cell r="B58" t="str">
            <v>RAPSO_167</v>
          </cell>
          <cell r="C58" t="str">
            <v>Y3-G057</v>
          </cell>
          <cell r="D58" t="str">
            <v>Chelsi</v>
          </cell>
        </row>
        <row r="59">
          <cell r="A59">
            <v>58</v>
          </cell>
          <cell r="B59" t="str">
            <v>RAPSO_168</v>
          </cell>
          <cell r="C59" t="str">
            <v>Y3-G058</v>
          </cell>
          <cell r="D59" t="str">
            <v>Cheops</v>
          </cell>
        </row>
        <row r="60">
          <cell r="A60">
            <v>59</v>
          </cell>
          <cell r="B60" t="str">
            <v>RAPSO_171</v>
          </cell>
          <cell r="C60" t="str">
            <v>Y3-G059</v>
          </cell>
          <cell r="D60" t="str">
            <v>Colvert</v>
          </cell>
        </row>
        <row r="61">
          <cell r="A61">
            <v>60</v>
          </cell>
          <cell r="B61" t="str">
            <v>RAPSO_174</v>
          </cell>
          <cell r="C61" t="str">
            <v>Y3-G060</v>
          </cell>
          <cell r="D61" t="str">
            <v>Contact</v>
          </cell>
        </row>
        <row r="62">
          <cell r="A62">
            <v>61</v>
          </cell>
          <cell r="B62" t="str">
            <v>RAPSO_175</v>
          </cell>
          <cell r="C62" t="str">
            <v>Y3-G061</v>
          </cell>
          <cell r="D62" t="str">
            <v>Courage</v>
          </cell>
        </row>
        <row r="63">
          <cell r="A63">
            <v>62</v>
          </cell>
          <cell r="B63" t="str">
            <v>RAPSO_176</v>
          </cell>
          <cell r="C63" t="str">
            <v>Y3-G062</v>
          </cell>
          <cell r="D63" t="str">
            <v>Darmor</v>
          </cell>
        </row>
        <row r="64">
          <cell r="A64">
            <v>63</v>
          </cell>
          <cell r="B64" t="str">
            <v>RAPSO_178</v>
          </cell>
          <cell r="C64" t="str">
            <v>Y3-G063</v>
          </cell>
          <cell r="D64" t="str">
            <v>Doublol</v>
          </cell>
        </row>
        <row r="65">
          <cell r="A65">
            <v>64</v>
          </cell>
          <cell r="B65" t="str">
            <v>RAPSO_180</v>
          </cell>
          <cell r="C65" t="str">
            <v>Y3-G064</v>
          </cell>
          <cell r="D65" t="str">
            <v>Ecrin</v>
          </cell>
        </row>
        <row r="66">
          <cell r="A66">
            <v>65</v>
          </cell>
          <cell r="B66" t="str">
            <v>RAPSO_181</v>
          </cell>
          <cell r="C66" t="str">
            <v>Y3-G065</v>
          </cell>
          <cell r="D66" t="str">
            <v>Eleonore</v>
          </cell>
        </row>
        <row r="67">
          <cell r="A67">
            <v>66</v>
          </cell>
          <cell r="B67" t="str">
            <v>RAPSO_187</v>
          </cell>
          <cell r="C67" t="str">
            <v>Y3-G066</v>
          </cell>
          <cell r="D67" t="str">
            <v>Escort</v>
          </cell>
        </row>
        <row r="68">
          <cell r="A68">
            <v>67</v>
          </cell>
          <cell r="B68" t="str">
            <v>RAPSO_190</v>
          </cell>
          <cell r="C68" t="str">
            <v>Y3-G067</v>
          </cell>
          <cell r="D68" t="str">
            <v>Evri</v>
          </cell>
        </row>
        <row r="69">
          <cell r="A69">
            <v>68</v>
          </cell>
          <cell r="B69" t="str">
            <v>RAPSO_193</v>
          </cell>
          <cell r="C69" t="str">
            <v>Y3-G068</v>
          </cell>
          <cell r="D69" t="str">
            <v>Express</v>
          </cell>
        </row>
        <row r="70">
          <cell r="A70">
            <v>69</v>
          </cell>
          <cell r="B70" t="str">
            <v>RAPSO_199</v>
          </cell>
          <cell r="C70" t="str">
            <v>Y3-G069</v>
          </cell>
          <cell r="D70" t="str">
            <v>Frederic</v>
          </cell>
        </row>
        <row r="71">
          <cell r="A71">
            <v>70</v>
          </cell>
          <cell r="B71" t="str">
            <v>RAPSO_202</v>
          </cell>
          <cell r="C71" t="str">
            <v>Y3-G070</v>
          </cell>
          <cell r="D71" t="str">
            <v>Goeland</v>
          </cell>
        </row>
        <row r="72">
          <cell r="A72">
            <v>71</v>
          </cell>
          <cell r="B72" t="str">
            <v>RAPSO_203</v>
          </cell>
          <cell r="C72" t="str">
            <v>Y3-G071</v>
          </cell>
          <cell r="D72" t="str">
            <v>Grizzly</v>
          </cell>
        </row>
        <row r="73">
          <cell r="A73">
            <v>72</v>
          </cell>
          <cell r="B73" t="str">
            <v>RAPSO_207</v>
          </cell>
          <cell r="C73" t="str">
            <v>Y3-G072</v>
          </cell>
          <cell r="D73" t="str">
            <v>Ibex</v>
          </cell>
        </row>
        <row r="74">
          <cell r="A74">
            <v>73</v>
          </cell>
          <cell r="B74" t="str">
            <v>RAPSO_208</v>
          </cell>
          <cell r="C74" t="str">
            <v>Y3-G073</v>
          </cell>
          <cell r="D74" t="str">
            <v>Idol</v>
          </cell>
        </row>
        <row r="75">
          <cell r="A75">
            <v>74</v>
          </cell>
          <cell r="B75" t="str">
            <v>RAPSO_209</v>
          </cell>
          <cell r="C75" t="str">
            <v>Y3-G074</v>
          </cell>
          <cell r="D75" t="str">
            <v>Inca</v>
          </cell>
        </row>
        <row r="76">
          <cell r="A76">
            <v>75</v>
          </cell>
          <cell r="B76" t="str">
            <v>RAPSO_213</v>
          </cell>
          <cell r="C76" t="str">
            <v>Y3-G075</v>
          </cell>
          <cell r="D76" t="str">
            <v>Jetton</v>
          </cell>
        </row>
        <row r="77">
          <cell r="A77">
            <v>76</v>
          </cell>
          <cell r="B77" t="str">
            <v>RAPSO_215</v>
          </cell>
          <cell r="C77" t="str">
            <v>Y3-G076</v>
          </cell>
          <cell r="D77" t="str">
            <v>Kadore</v>
          </cell>
        </row>
        <row r="78">
          <cell r="A78">
            <v>77</v>
          </cell>
          <cell r="B78" t="str">
            <v>RAPSO_216</v>
          </cell>
          <cell r="C78" t="str">
            <v>Y3-G077</v>
          </cell>
          <cell r="D78" t="str">
            <v>Kosto</v>
          </cell>
        </row>
        <row r="79">
          <cell r="A79">
            <v>78</v>
          </cell>
          <cell r="B79" t="str">
            <v>RAPSO_219</v>
          </cell>
          <cell r="C79" t="str">
            <v>Y3-G078</v>
          </cell>
          <cell r="D79" t="str">
            <v>Lewis</v>
          </cell>
        </row>
        <row r="80">
          <cell r="A80">
            <v>79</v>
          </cell>
          <cell r="B80" t="str">
            <v>RAPSO_220</v>
          </cell>
          <cell r="C80" t="str">
            <v>Y3-G079</v>
          </cell>
          <cell r="D80" t="str">
            <v>Liberator</v>
          </cell>
        </row>
        <row r="81">
          <cell r="A81">
            <v>80</v>
          </cell>
          <cell r="B81" t="str">
            <v>RAPSO_222</v>
          </cell>
          <cell r="C81" t="str">
            <v>Y3-G080</v>
          </cell>
          <cell r="D81" t="str">
            <v>Licorne</v>
          </cell>
        </row>
        <row r="82">
          <cell r="A82">
            <v>81</v>
          </cell>
          <cell r="B82" t="str">
            <v>RAPSO_226</v>
          </cell>
          <cell r="C82" t="str">
            <v>Y3-G081</v>
          </cell>
          <cell r="D82" t="str">
            <v>Lioness</v>
          </cell>
        </row>
        <row r="83">
          <cell r="A83">
            <v>82</v>
          </cell>
          <cell r="B83" t="str">
            <v>RAPSO_227</v>
          </cell>
          <cell r="C83" t="str">
            <v>Y3-G082</v>
          </cell>
          <cell r="D83" t="str">
            <v>Liporta</v>
          </cell>
        </row>
        <row r="84">
          <cell r="A84">
            <v>83</v>
          </cell>
          <cell r="B84" t="str">
            <v>RAPSO_230</v>
          </cell>
          <cell r="C84" t="str">
            <v>Y3-G083</v>
          </cell>
          <cell r="D84" t="str">
            <v>Lirabon</v>
          </cell>
        </row>
        <row r="85">
          <cell r="A85">
            <v>84</v>
          </cell>
          <cell r="B85" t="str">
            <v>RAPSO_231</v>
          </cell>
          <cell r="C85" t="str">
            <v>Y3-G084</v>
          </cell>
          <cell r="D85" t="str">
            <v>Lirajet</v>
          </cell>
        </row>
        <row r="86">
          <cell r="A86">
            <v>85</v>
          </cell>
          <cell r="B86" t="str">
            <v>RAPSO_232</v>
          </cell>
          <cell r="C86" t="str">
            <v>Y3-G085</v>
          </cell>
          <cell r="D86" t="str">
            <v>Madrigal</v>
          </cell>
        </row>
        <row r="87">
          <cell r="A87">
            <v>86</v>
          </cell>
          <cell r="B87" t="str">
            <v>RAPSO_234</v>
          </cell>
          <cell r="C87" t="str">
            <v>Y3-G086</v>
          </cell>
          <cell r="D87" t="str">
            <v>Makila</v>
          </cell>
        </row>
        <row r="88">
          <cell r="A88">
            <v>87</v>
          </cell>
          <cell r="B88" t="str">
            <v>RAPSO_235</v>
          </cell>
          <cell r="C88" t="str">
            <v>Y3-G087</v>
          </cell>
          <cell r="D88" t="str">
            <v>Mar</v>
          </cell>
        </row>
        <row r="89">
          <cell r="A89">
            <v>88</v>
          </cell>
          <cell r="B89" t="str">
            <v>RAPSO_238</v>
          </cell>
          <cell r="C89" t="str">
            <v>Y3-G088</v>
          </cell>
          <cell r="D89" t="str">
            <v>Milena</v>
          </cell>
        </row>
        <row r="90">
          <cell r="A90">
            <v>89</v>
          </cell>
          <cell r="B90" t="str">
            <v>RAPSO_243</v>
          </cell>
          <cell r="C90" t="str">
            <v>Y3-G089</v>
          </cell>
          <cell r="D90" t="str">
            <v>Montego</v>
          </cell>
        </row>
        <row r="91">
          <cell r="A91">
            <v>90</v>
          </cell>
          <cell r="B91" t="str">
            <v>RAPSO_245</v>
          </cell>
          <cell r="C91" t="str">
            <v>Y3-G090</v>
          </cell>
          <cell r="D91" t="str">
            <v>Navajo</v>
          </cell>
        </row>
        <row r="92">
          <cell r="A92">
            <v>91</v>
          </cell>
          <cell r="B92" t="str">
            <v>RAPSO_246</v>
          </cell>
          <cell r="C92" t="str">
            <v>Y3-G091</v>
          </cell>
          <cell r="D92" t="str">
            <v>NSL 96-25</v>
          </cell>
        </row>
        <row r="93">
          <cell r="A93">
            <v>92</v>
          </cell>
          <cell r="B93" t="str">
            <v>RAPSO_248</v>
          </cell>
          <cell r="C93" t="str">
            <v>Y3-G092</v>
          </cell>
          <cell r="D93" t="str">
            <v>Oase</v>
          </cell>
        </row>
        <row r="94">
          <cell r="A94">
            <v>93</v>
          </cell>
          <cell r="B94" t="str">
            <v>RAPSO_251</v>
          </cell>
          <cell r="C94" t="str">
            <v>Y3-G093</v>
          </cell>
          <cell r="D94" t="str">
            <v>Olymp</v>
          </cell>
        </row>
        <row r="95">
          <cell r="A95">
            <v>94</v>
          </cell>
          <cell r="B95" t="str">
            <v>RAPSO_253</v>
          </cell>
          <cell r="C95" t="str">
            <v>Y3-G094</v>
          </cell>
          <cell r="D95" t="str">
            <v>Pacific</v>
          </cell>
        </row>
        <row r="96">
          <cell r="A96">
            <v>95</v>
          </cell>
          <cell r="B96" t="str">
            <v>RAPSO_254</v>
          </cell>
          <cell r="C96" t="str">
            <v>Y3-G095</v>
          </cell>
          <cell r="D96" t="str">
            <v>PAYROL</v>
          </cell>
        </row>
        <row r="97">
          <cell r="A97">
            <v>96</v>
          </cell>
          <cell r="B97" t="str">
            <v>RAPSO_256</v>
          </cell>
          <cell r="C97" t="str">
            <v>Y3-G096</v>
          </cell>
          <cell r="D97" t="str">
            <v>Pollen</v>
          </cell>
        </row>
        <row r="98">
          <cell r="A98">
            <v>97</v>
          </cell>
          <cell r="B98" t="str">
            <v>RAPSO_258</v>
          </cell>
          <cell r="C98" t="str">
            <v>Y3-G097</v>
          </cell>
          <cell r="D98" t="str">
            <v>Potomac</v>
          </cell>
        </row>
        <row r="99">
          <cell r="A99">
            <v>98</v>
          </cell>
          <cell r="B99" t="str">
            <v>RAPSO_259</v>
          </cell>
          <cell r="C99" t="str">
            <v>Y3-G098</v>
          </cell>
          <cell r="D99" t="str">
            <v>Prince</v>
          </cell>
        </row>
        <row r="100">
          <cell r="A100">
            <v>99</v>
          </cell>
          <cell r="B100" t="str">
            <v>RAPSO_260</v>
          </cell>
          <cell r="C100" t="str">
            <v>Y3-G099</v>
          </cell>
          <cell r="D100" t="str">
            <v>Recital</v>
          </cell>
        </row>
        <row r="101">
          <cell r="A101">
            <v>100</v>
          </cell>
          <cell r="B101" t="str">
            <v>RAPSO_261</v>
          </cell>
          <cell r="C101" t="str">
            <v>Y3-G100</v>
          </cell>
          <cell r="D101" t="str">
            <v>Remy</v>
          </cell>
        </row>
        <row r="102">
          <cell r="A102">
            <v>101</v>
          </cell>
          <cell r="B102" t="str">
            <v>RAPSO_263</v>
          </cell>
          <cell r="C102" t="str">
            <v>Y3-G101</v>
          </cell>
          <cell r="D102" t="str">
            <v>Rocket</v>
          </cell>
        </row>
        <row r="103">
          <cell r="A103">
            <v>102</v>
          </cell>
          <cell r="B103" t="str">
            <v>RAPSO_265</v>
          </cell>
          <cell r="C103" t="str">
            <v>Y3-G102</v>
          </cell>
          <cell r="D103" t="str">
            <v>Roxet</v>
          </cell>
        </row>
        <row r="104">
          <cell r="A104">
            <v>103</v>
          </cell>
          <cell r="B104" t="str">
            <v>RAPSO_266</v>
          </cell>
          <cell r="C104" t="str">
            <v>Y3-G103</v>
          </cell>
          <cell r="D104" t="str">
            <v>Sahara</v>
          </cell>
        </row>
        <row r="105">
          <cell r="A105">
            <v>104</v>
          </cell>
          <cell r="B105" t="str">
            <v>RAPSO_267</v>
          </cell>
          <cell r="C105" t="str">
            <v>Y3-G104</v>
          </cell>
          <cell r="D105" t="str">
            <v>Salomont</v>
          </cell>
        </row>
        <row r="106">
          <cell r="A106">
            <v>105</v>
          </cell>
          <cell r="B106" t="str">
            <v>RAPSO_270</v>
          </cell>
          <cell r="C106" t="str">
            <v>Y3-G105</v>
          </cell>
          <cell r="D106" t="str">
            <v>Shogun</v>
          </cell>
        </row>
        <row r="107">
          <cell r="A107">
            <v>106</v>
          </cell>
          <cell r="B107" t="str">
            <v>RAPSO_271</v>
          </cell>
          <cell r="C107" t="str">
            <v>Y3-G106</v>
          </cell>
          <cell r="D107" t="str">
            <v>SW Gospel</v>
          </cell>
        </row>
        <row r="108">
          <cell r="A108">
            <v>107</v>
          </cell>
          <cell r="B108" t="str">
            <v>RAPSO_273</v>
          </cell>
          <cell r="C108" t="str">
            <v>Y3-G107</v>
          </cell>
          <cell r="D108" t="str">
            <v>TAROX</v>
          </cell>
        </row>
        <row r="109">
          <cell r="A109">
            <v>108</v>
          </cell>
          <cell r="B109" t="str">
            <v>RAPSO_277</v>
          </cell>
          <cell r="C109" t="str">
            <v>Y3-G108</v>
          </cell>
          <cell r="D109" t="str">
            <v>Tenor</v>
          </cell>
        </row>
        <row r="110">
          <cell r="A110">
            <v>109</v>
          </cell>
          <cell r="B110" t="str">
            <v>RAPSO_278</v>
          </cell>
          <cell r="C110" t="str">
            <v>Y3-G109</v>
          </cell>
          <cell r="D110" t="str">
            <v>TOR</v>
          </cell>
        </row>
        <row r="111">
          <cell r="A111">
            <v>110</v>
          </cell>
          <cell r="B111" t="str">
            <v>RAPSO_281</v>
          </cell>
          <cell r="C111" t="str">
            <v>Y3-G110</v>
          </cell>
          <cell r="D111" t="str">
            <v>Tradition</v>
          </cell>
        </row>
        <row r="112">
          <cell r="A112">
            <v>111</v>
          </cell>
          <cell r="B112" t="str">
            <v>RAPSO_282</v>
          </cell>
          <cell r="C112" t="str">
            <v>Y3-G111</v>
          </cell>
          <cell r="D112" t="str">
            <v>Twister</v>
          </cell>
        </row>
        <row r="113">
          <cell r="A113">
            <v>112</v>
          </cell>
          <cell r="B113" t="str">
            <v>RAPSO_292</v>
          </cell>
          <cell r="C113" t="str">
            <v>Y3-G112</v>
          </cell>
          <cell r="D113" t="str">
            <v>Zorro</v>
          </cell>
        </row>
        <row r="114">
          <cell r="A114">
            <v>113</v>
          </cell>
          <cell r="B114" t="str">
            <v>RAPSO_342</v>
          </cell>
          <cell r="C114" t="str">
            <v>Y3-G113</v>
          </cell>
          <cell r="D114" t="str">
            <v>Madora2-DS3</v>
          </cell>
        </row>
        <row r="115">
          <cell r="A115">
            <v>114</v>
          </cell>
          <cell r="B115" t="str">
            <v>RAPSO_343</v>
          </cell>
          <cell r="C115" t="str">
            <v>Y3-G114</v>
          </cell>
          <cell r="D115" t="str">
            <v>Madora3-DS1</v>
          </cell>
        </row>
        <row r="116">
          <cell r="A116">
            <v>115</v>
          </cell>
          <cell r="B116" t="str">
            <v>RAPSO_356</v>
          </cell>
          <cell r="C116" t="str">
            <v>Y3-G115</v>
          </cell>
          <cell r="D116" t="str">
            <v>Regal2-DS1</v>
          </cell>
        </row>
        <row r="117">
          <cell r="A117">
            <v>116</v>
          </cell>
          <cell r="B117" t="str">
            <v>RAPSO_363</v>
          </cell>
          <cell r="C117" t="str">
            <v>Y3-G116</v>
          </cell>
          <cell r="D117" t="str">
            <v xml:space="preserve">MANSHOLTS </v>
          </cell>
        </row>
        <row r="118">
          <cell r="A118">
            <v>117</v>
          </cell>
          <cell r="B118" t="str">
            <v>RAPSO_368</v>
          </cell>
          <cell r="C118" t="str">
            <v>Y3-G117</v>
          </cell>
          <cell r="D118" t="str">
            <v xml:space="preserve">BLAGODATNYI </v>
          </cell>
        </row>
        <row r="119">
          <cell r="A119">
            <v>118</v>
          </cell>
          <cell r="B119" t="str">
            <v>RAPSO_375</v>
          </cell>
          <cell r="C119" t="str">
            <v>Y3-G118</v>
          </cell>
          <cell r="D119" t="str">
            <v xml:space="preserve">CETMEKI </v>
          </cell>
        </row>
        <row r="120">
          <cell r="A120">
            <v>119</v>
          </cell>
          <cell r="B120" t="str">
            <v>RAPSO_382</v>
          </cell>
          <cell r="C120" t="str">
            <v>Y3-G119</v>
          </cell>
          <cell r="D120" t="str">
            <v xml:space="preserve">DEBRUDER DIPPES </v>
          </cell>
        </row>
        <row r="121">
          <cell r="A121">
            <v>120</v>
          </cell>
          <cell r="B121" t="str">
            <v>RAPSO_395</v>
          </cell>
          <cell r="C121" t="str">
            <v>Y3-G120</v>
          </cell>
          <cell r="D121" t="str">
            <v xml:space="preserve">HOCHZUCHT REPOLE </v>
          </cell>
        </row>
        <row r="122">
          <cell r="A122">
            <v>121</v>
          </cell>
          <cell r="B122" t="str">
            <v>RAPSO_406</v>
          </cell>
          <cell r="C122" t="str">
            <v>Y3-G121</v>
          </cell>
          <cell r="D122" t="str">
            <v xml:space="preserve">KORMOVOI SKRIVERSKYI </v>
          </cell>
        </row>
        <row r="123">
          <cell r="A123">
            <v>122</v>
          </cell>
          <cell r="B123" t="str">
            <v>RAPSO_430</v>
          </cell>
          <cell r="C123" t="str">
            <v>Y3-G122</v>
          </cell>
          <cell r="D123" t="str">
            <v xml:space="preserve">RANGI </v>
          </cell>
        </row>
        <row r="124">
          <cell r="A124">
            <v>123</v>
          </cell>
          <cell r="B124" t="str">
            <v>BRA_005</v>
          </cell>
          <cell r="C124" t="str">
            <v>Y3-G123</v>
          </cell>
          <cell r="D124" t="str">
            <v>Sarepta</v>
          </cell>
        </row>
        <row r="125">
          <cell r="A125">
            <v>124</v>
          </cell>
          <cell r="B125" t="str">
            <v>BRA_006</v>
          </cell>
          <cell r="C125" t="str">
            <v>Y3-G124</v>
          </cell>
          <cell r="D125" t="str">
            <v>Bristol</v>
          </cell>
        </row>
        <row r="126">
          <cell r="A126">
            <v>125</v>
          </cell>
          <cell r="B126" t="str">
            <v>BRA_007</v>
          </cell>
          <cell r="C126" t="str">
            <v>Y3-G125</v>
          </cell>
          <cell r="D126" t="str">
            <v>Tosca</v>
          </cell>
        </row>
        <row r="127">
          <cell r="A127">
            <v>126</v>
          </cell>
          <cell r="B127" t="str">
            <v>BRA_008</v>
          </cell>
          <cell r="C127" t="str">
            <v>Y3-G126</v>
          </cell>
          <cell r="D127" t="str">
            <v>Aviso</v>
          </cell>
        </row>
        <row r="128">
          <cell r="A128">
            <v>127</v>
          </cell>
          <cell r="B128" t="str">
            <v>BRA_009</v>
          </cell>
          <cell r="C128" t="str">
            <v>Y3-G127</v>
          </cell>
          <cell r="D128" t="str">
            <v>Jupiter</v>
          </cell>
        </row>
        <row r="129">
          <cell r="A129">
            <v>128</v>
          </cell>
          <cell r="B129" t="str">
            <v>BRA_011</v>
          </cell>
          <cell r="C129" t="str">
            <v>Y3-G128</v>
          </cell>
          <cell r="D129" t="str">
            <v>Lembke</v>
          </cell>
        </row>
        <row r="130">
          <cell r="A130">
            <v>129</v>
          </cell>
          <cell r="B130" t="str">
            <v>MP001</v>
          </cell>
          <cell r="C130" t="str">
            <v>Y3-G129</v>
          </cell>
          <cell r="D130" t="str">
            <v>Astrid</v>
          </cell>
        </row>
        <row r="131">
          <cell r="A131">
            <v>130</v>
          </cell>
          <cell r="B131" t="str">
            <v>MP003</v>
          </cell>
          <cell r="C131" t="str">
            <v>Y3-G130</v>
          </cell>
          <cell r="D131" t="str">
            <v>Mohican</v>
          </cell>
        </row>
        <row r="132">
          <cell r="A132">
            <v>131</v>
          </cell>
          <cell r="B132" t="str">
            <v>RAPSO_294</v>
          </cell>
          <cell r="C132" t="str">
            <v>Y3-G131</v>
          </cell>
          <cell r="D132" t="str">
            <v>ES-AGATHA</v>
          </cell>
        </row>
        <row r="133">
          <cell r="A133">
            <v>132</v>
          </cell>
          <cell r="B133" t="str">
            <v>RAPSO_295</v>
          </cell>
          <cell r="C133" t="str">
            <v>Y3-G132</v>
          </cell>
          <cell r="D133" t="str">
            <v>ES-ALEGRIA</v>
          </cell>
        </row>
        <row r="134">
          <cell r="A134">
            <v>133</v>
          </cell>
          <cell r="B134" t="str">
            <v>RAPSO_296</v>
          </cell>
          <cell r="C134" t="str">
            <v>Y3-G133</v>
          </cell>
          <cell r="D134" t="str">
            <v>ES-ALIENOR</v>
          </cell>
        </row>
        <row r="135">
          <cell r="A135">
            <v>134</v>
          </cell>
          <cell r="B135" t="str">
            <v>RAPSO_297</v>
          </cell>
          <cell r="C135" t="str">
            <v>Y3-G134</v>
          </cell>
          <cell r="D135" t="str">
            <v>ES-CENTAURE</v>
          </cell>
        </row>
        <row r="136">
          <cell r="A136">
            <v>135</v>
          </cell>
          <cell r="B136" t="str">
            <v>RAPSO_298</v>
          </cell>
          <cell r="C136" t="str">
            <v>Y3-G135</v>
          </cell>
          <cell r="D136" t="str">
            <v>ES-CUBIC</v>
          </cell>
        </row>
        <row r="137">
          <cell r="A137">
            <v>136</v>
          </cell>
          <cell r="B137" t="str">
            <v>RAPSO_299</v>
          </cell>
          <cell r="C137" t="str">
            <v>Y3-G136</v>
          </cell>
          <cell r="D137" t="str">
            <v>ESC1132</v>
          </cell>
        </row>
        <row r="138">
          <cell r="A138">
            <v>137</v>
          </cell>
          <cell r="B138" t="str">
            <v>RAPSO_300</v>
          </cell>
          <cell r="C138" t="str">
            <v>Y3-G137</v>
          </cell>
          <cell r="D138" t="str">
            <v>ES-ANTONIA</v>
          </cell>
        </row>
        <row r="139">
          <cell r="A139">
            <v>138</v>
          </cell>
          <cell r="B139" t="str">
            <v>RAPSO_301</v>
          </cell>
          <cell r="C139" t="str">
            <v>Y3-G138</v>
          </cell>
          <cell r="D139" t="str">
            <v>ES-BRAVA</v>
          </cell>
        </row>
        <row r="140">
          <cell r="A140">
            <v>139</v>
          </cell>
          <cell r="B140" t="str">
            <v>RAPSO_302</v>
          </cell>
          <cell r="C140" t="str">
            <v>Y3-G139</v>
          </cell>
          <cell r="D140" t="str">
            <v>ES-VENUS</v>
          </cell>
        </row>
        <row r="141">
          <cell r="A141">
            <v>140</v>
          </cell>
          <cell r="B141" t="str">
            <v>RAPSO_303</v>
          </cell>
          <cell r="C141" t="str">
            <v>Y3-G140</v>
          </cell>
          <cell r="D141" t="str">
            <v>ES-VIPER</v>
          </cell>
        </row>
        <row r="142">
          <cell r="A142">
            <v>141</v>
          </cell>
          <cell r="B142" t="str">
            <v>RAPSO_304</v>
          </cell>
          <cell r="C142" t="str">
            <v>Y3-G141</v>
          </cell>
          <cell r="D142" t="str">
            <v>ADRIANA</v>
          </cell>
        </row>
        <row r="143">
          <cell r="A143">
            <v>142</v>
          </cell>
          <cell r="B143" t="str">
            <v>RAPSO_305</v>
          </cell>
          <cell r="C143" t="str">
            <v>Y3-G142</v>
          </cell>
          <cell r="D143" t="str">
            <v>AMILLIA</v>
          </cell>
        </row>
        <row r="144">
          <cell r="A144">
            <v>143</v>
          </cell>
          <cell r="B144" t="str">
            <v>RAPSO_306</v>
          </cell>
          <cell r="C144" t="str">
            <v>Y3-G143</v>
          </cell>
          <cell r="D144" t="str">
            <v xml:space="preserve">ANGELINA </v>
          </cell>
        </row>
        <row r="145">
          <cell r="A145">
            <v>144</v>
          </cell>
          <cell r="B145" t="str">
            <v>RAPSO_307</v>
          </cell>
          <cell r="C145" t="str">
            <v>Y3-G144</v>
          </cell>
          <cell r="D145" t="str">
            <v xml:space="preserve">COOPER </v>
          </cell>
        </row>
        <row r="146">
          <cell r="A146">
            <v>145</v>
          </cell>
          <cell r="B146" t="str">
            <v>RAPSO_308</v>
          </cell>
          <cell r="C146" t="str">
            <v>Y3-G145</v>
          </cell>
          <cell r="D146" t="str">
            <v xml:space="preserve">LADOGA </v>
          </cell>
        </row>
        <row r="147">
          <cell r="A147">
            <v>146</v>
          </cell>
          <cell r="B147" t="str">
            <v>RAPSO_309</v>
          </cell>
          <cell r="C147" t="str">
            <v>Y3-G146</v>
          </cell>
          <cell r="D147" t="str">
            <v>MANITOBA</v>
          </cell>
        </row>
        <row r="148">
          <cell r="A148">
            <v>147</v>
          </cell>
          <cell r="B148" t="str">
            <v>RAPSO_310</v>
          </cell>
          <cell r="C148" t="str">
            <v>Y3-G147</v>
          </cell>
          <cell r="D148" t="str">
            <v xml:space="preserve">OKAPI </v>
          </cell>
        </row>
        <row r="149">
          <cell r="A149">
            <v>148</v>
          </cell>
          <cell r="B149" t="str">
            <v>RAPSO_311</v>
          </cell>
          <cell r="C149" t="str">
            <v>Y3-G148</v>
          </cell>
          <cell r="D149" t="str">
            <v>ONTARIO</v>
          </cell>
        </row>
        <row r="150">
          <cell r="A150">
            <v>149</v>
          </cell>
          <cell r="B150" t="str">
            <v>RAPSO_312</v>
          </cell>
          <cell r="C150" t="str">
            <v>Y3-G149</v>
          </cell>
          <cell r="D150" t="str">
            <v>PAMELA</v>
          </cell>
        </row>
        <row r="151">
          <cell r="A151">
            <v>150</v>
          </cell>
          <cell r="B151" t="str">
            <v>RAPSO_313</v>
          </cell>
          <cell r="C151" t="str">
            <v>Y3-G150</v>
          </cell>
          <cell r="D151" t="str">
            <v>TASMAN</v>
          </cell>
        </row>
        <row r="152">
          <cell r="A152">
            <v>151</v>
          </cell>
          <cell r="B152" t="str">
            <v>RAPSO_314</v>
          </cell>
          <cell r="C152" t="str">
            <v>Y3-G151</v>
          </cell>
          <cell r="D152" t="str">
            <v>Maccarena</v>
          </cell>
        </row>
        <row r="153">
          <cell r="A153">
            <v>152</v>
          </cell>
          <cell r="B153" t="str">
            <v>RAPSO_315</v>
          </cell>
          <cell r="C153" t="str">
            <v>Y3-G152</v>
          </cell>
          <cell r="D153" t="str">
            <v>RAGT-01</v>
          </cell>
        </row>
        <row r="154">
          <cell r="A154">
            <v>153</v>
          </cell>
          <cell r="B154" t="str">
            <v>RAPSO_316</v>
          </cell>
          <cell r="C154" t="str">
            <v>Y3-G153</v>
          </cell>
          <cell r="D154" t="str">
            <v>RAGT-02</v>
          </cell>
        </row>
        <row r="155">
          <cell r="A155">
            <v>154</v>
          </cell>
          <cell r="B155" t="str">
            <v>RAPSO_317</v>
          </cell>
          <cell r="C155" t="str">
            <v>Y3-G154</v>
          </cell>
          <cell r="D155" t="str">
            <v>RAGT-03</v>
          </cell>
        </row>
        <row r="156">
          <cell r="A156">
            <v>155</v>
          </cell>
          <cell r="B156" t="str">
            <v>RAPSO_318</v>
          </cell>
          <cell r="C156" t="str">
            <v>Y3-G155</v>
          </cell>
          <cell r="D156" t="str">
            <v>RAGT-04</v>
          </cell>
        </row>
        <row r="157">
          <cell r="A157">
            <v>156</v>
          </cell>
          <cell r="B157" t="str">
            <v>RAPSO_319</v>
          </cell>
          <cell r="C157" t="str">
            <v>Y3-G156</v>
          </cell>
          <cell r="D157" t="str">
            <v>RAGT-05</v>
          </cell>
        </row>
        <row r="158">
          <cell r="A158">
            <v>157</v>
          </cell>
          <cell r="B158" t="str">
            <v>RAPSO_320</v>
          </cell>
          <cell r="C158" t="str">
            <v>Y3-G157</v>
          </cell>
          <cell r="D158" t="str">
            <v>RAGT-06</v>
          </cell>
        </row>
        <row r="159">
          <cell r="A159">
            <v>158</v>
          </cell>
          <cell r="B159" t="str">
            <v>RAPSO_321</v>
          </cell>
          <cell r="C159" t="str">
            <v>Y3-G158</v>
          </cell>
          <cell r="D159" t="str">
            <v>RAGT-07</v>
          </cell>
        </row>
        <row r="160">
          <cell r="A160">
            <v>159</v>
          </cell>
          <cell r="B160" t="str">
            <v>RAPSO_322</v>
          </cell>
          <cell r="C160" t="str">
            <v>Y3-G159</v>
          </cell>
          <cell r="D160" t="str">
            <v>RAGT-08</v>
          </cell>
        </row>
        <row r="161">
          <cell r="A161">
            <v>160</v>
          </cell>
          <cell r="B161" t="str">
            <v>RAPSO_323</v>
          </cell>
          <cell r="C161" t="str">
            <v>Y3-G160</v>
          </cell>
          <cell r="D161" t="str">
            <v>RAGT-09</v>
          </cell>
        </row>
        <row r="162">
          <cell r="A162">
            <v>161</v>
          </cell>
          <cell r="B162" t="str">
            <v>RAPSO_324</v>
          </cell>
          <cell r="C162" t="str">
            <v>Y3-G161</v>
          </cell>
          <cell r="D162" t="str">
            <v>RAGT-10</v>
          </cell>
        </row>
        <row r="163">
          <cell r="A163">
            <v>162</v>
          </cell>
          <cell r="B163" t="str">
            <v>RAPSO_325</v>
          </cell>
          <cell r="C163" t="str">
            <v>Y3-G162</v>
          </cell>
          <cell r="D163" t="str">
            <v>SYN01</v>
          </cell>
        </row>
        <row r="164">
          <cell r="A164">
            <v>163</v>
          </cell>
          <cell r="B164" t="str">
            <v>RAPSO_326</v>
          </cell>
          <cell r="C164" t="str">
            <v>Y3-G163</v>
          </cell>
          <cell r="D164" t="str">
            <v>SYN02</v>
          </cell>
        </row>
        <row r="165">
          <cell r="A165">
            <v>164</v>
          </cell>
          <cell r="B165" t="str">
            <v>RAPSO_327</v>
          </cell>
          <cell r="C165" t="str">
            <v>Y3-G164</v>
          </cell>
          <cell r="D165" t="str">
            <v>SYN03</v>
          </cell>
        </row>
        <row r="166">
          <cell r="A166">
            <v>165</v>
          </cell>
          <cell r="B166" t="str">
            <v>RAPSO_328</v>
          </cell>
          <cell r="C166" t="str">
            <v>Y3-G165</v>
          </cell>
          <cell r="D166" t="str">
            <v>SYN04</v>
          </cell>
        </row>
        <row r="167">
          <cell r="A167">
            <v>166</v>
          </cell>
          <cell r="B167" t="str">
            <v>RAPSO_329</v>
          </cell>
          <cell r="C167" t="str">
            <v>Y3-G166</v>
          </cell>
          <cell r="D167" t="str">
            <v>SYN05</v>
          </cell>
        </row>
        <row r="168">
          <cell r="A168">
            <v>167</v>
          </cell>
          <cell r="B168" t="str">
            <v>RAPSO_330</v>
          </cell>
          <cell r="C168" t="str">
            <v>Y3-G167</v>
          </cell>
          <cell r="D168" t="str">
            <v>SYN06</v>
          </cell>
        </row>
        <row r="169">
          <cell r="A169">
            <v>168</v>
          </cell>
          <cell r="B169" t="str">
            <v>RAPSO_331</v>
          </cell>
          <cell r="C169" t="str">
            <v>Y3-G168</v>
          </cell>
          <cell r="D169" t="str">
            <v>SYN07</v>
          </cell>
        </row>
        <row r="170">
          <cell r="A170">
            <v>169</v>
          </cell>
          <cell r="B170" t="str">
            <v>RAPSO_332</v>
          </cell>
          <cell r="C170" t="str">
            <v>Y3-G169</v>
          </cell>
          <cell r="D170" t="str">
            <v>SYN08</v>
          </cell>
        </row>
        <row r="171">
          <cell r="A171">
            <v>170</v>
          </cell>
          <cell r="B171" t="str">
            <v>RAPSO_333</v>
          </cell>
          <cell r="C171" t="str">
            <v>Y3-G170</v>
          </cell>
          <cell r="D171" t="str">
            <v>SYN09</v>
          </cell>
        </row>
        <row r="172">
          <cell r="A172">
            <v>171</v>
          </cell>
          <cell r="B172" t="str">
            <v>RAPSO_334</v>
          </cell>
          <cell r="C172" t="str">
            <v>Y3-G171</v>
          </cell>
          <cell r="D172" t="str">
            <v>SYN10</v>
          </cell>
        </row>
        <row r="173">
          <cell r="A173">
            <v>172</v>
          </cell>
          <cell r="B173" t="str">
            <v>RAPSO_470</v>
          </cell>
          <cell r="C173" t="str">
            <v>Y3-G172</v>
          </cell>
          <cell r="D173" t="str">
            <v>RAPSO_Compl_01 (euralis)</v>
          </cell>
        </row>
        <row r="174">
          <cell r="A174">
            <v>173</v>
          </cell>
          <cell r="B174" t="str">
            <v>RAPSO_471</v>
          </cell>
          <cell r="C174" t="str">
            <v>Y3-G173</v>
          </cell>
          <cell r="D174" t="str">
            <v>RAPSO_Compl_02 (euralis)</v>
          </cell>
        </row>
        <row r="175">
          <cell r="A175">
            <v>174</v>
          </cell>
          <cell r="B175" t="str">
            <v>RAPSO_472</v>
          </cell>
          <cell r="C175" t="str">
            <v>Y3-G174</v>
          </cell>
          <cell r="D175" t="str">
            <v>Pendulum</v>
          </cell>
        </row>
        <row r="176">
          <cell r="A176">
            <v>175</v>
          </cell>
          <cell r="B176" t="str">
            <v>RAPSO_473</v>
          </cell>
          <cell r="C176" t="str">
            <v>Y3-G175</v>
          </cell>
          <cell r="D176" t="str">
            <v>Anastasia</v>
          </cell>
        </row>
        <row r="177">
          <cell r="A177">
            <v>176</v>
          </cell>
          <cell r="B177" t="str">
            <v>RAPSO_476</v>
          </cell>
          <cell r="C177" t="str">
            <v>Y3-G176</v>
          </cell>
          <cell r="D177" t="str">
            <v>RAGT-13</v>
          </cell>
        </row>
        <row r="178">
          <cell r="A178">
            <v>177</v>
          </cell>
          <cell r="B178" t="str">
            <v>RAPSO_477</v>
          </cell>
          <cell r="C178" t="str">
            <v>Y3-G177</v>
          </cell>
          <cell r="D178" t="str">
            <v>RAGT-14</v>
          </cell>
        </row>
        <row r="179">
          <cell r="A179">
            <v>178</v>
          </cell>
          <cell r="B179" t="str">
            <v>RAPSO_478</v>
          </cell>
          <cell r="C179" t="str">
            <v>Y3-G178</v>
          </cell>
          <cell r="D179" t="str">
            <v>RAGT-15</v>
          </cell>
        </row>
        <row r="180">
          <cell r="A180">
            <v>179</v>
          </cell>
          <cell r="B180" t="str">
            <v>RAPSO_479</v>
          </cell>
          <cell r="C180" t="str">
            <v>Y3-G179</v>
          </cell>
          <cell r="D180" t="str">
            <v>SYNG11</v>
          </cell>
        </row>
        <row r="181">
          <cell r="A181">
            <v>180</v>
          </cell>
          <cell r="B181" t="str">
            <v>RAPSO_480</v>
          </cell>
          <cell r="C181" t="str">
            <v>Y3-G180</v>
          </cell>
          <cell r="D181" t="str">
            <v>SYNG12</v>
          </cell>
        </row>
        <row r="182">
          <cell r="A182">
            <v>181</v>
          </cell>
          <cell r="B182" t="str">
            <v>RAPSO_006</v>
          </cell>
          <cell r="C182" t="str">
            <v>Y3-G181</v>
          </cell>
          <cell r="D182" t="str">
            <v>Dublianski</v>
          </cell>
        </row>
        <row r="183">
          <cell r="A183">
            <v>182</v>
          </cell>
          <cell r="B183" t="str">
            <v>RAPSO_009</v>
          </cell>
          <cell r="C183" t="str">
            <v>Y3-G182</v>
          </cell>
          <cell r="D183" t="str">
            <v>Forto</v>
          </cell>
        </row>
        <row r="184">
          <cell r="A184">
            <v>183</v>
          </cell>
          <cell r="B184" t="str">
            <v>RAPSO_015</v>
          </cell>
          <cell r="C184" t="str">
            <v>Y3-G183</v>
          </cell>
          <cell r="D184" t="str">
            <v>Gorczanski</v>
          </cell>
        </row>
        <row r="185">
          <cell r="A185">
            <v>184</v>
          </cell>
          <cell r="B185" t="str">
            <v>RAPSO_017</v>
          </cell>
          <cell r="C185" t="str">
            <v>Y3-G184</v>
          </cell>
          <cell r="D185" t="str">
            <v>Gross Luzewiter</v>
          </cell>
        </row>
        <row r="186">
          <cell r="A186">
            <v>185</v>
          </cell>
          <cell r="B186" t="str">
            <v>RAPSO_057</v>
          </cell>
          <cell r="C186" t="str">
            <v>Y3-G185</v>
          </cell>
          <cell r="D186" t="str">
            <v>Sinus</v>
          </cell>
        </row>
        <row r="187">
          <cell r="A187">
            <v>186</v>
          </cell>
          <cell r="B187" t="str">
            <v>RAPSO_064</v>
          </cell>
          <cell r="C187" t="str">
            <v>Y3-G186</v>
          </cell>
          <cell r="D187" t="str">
            <v>Victor</v>
          </cell>
        </row>
        <row r="188">
          <cell r="A188">
            <v>187</v>
          </cell>
          <cell r="B188" t="str">
            <v>RAPSO_067</v>
          </cell>
          <cell r="C188" t="str">
            <v>Y3-G187</v>
          </cell>
          <cell r="D188" t="str">
            <v>Warzanwski</v>
          </cell>
        </row>
        <row r="189">
          <cell r="A189">
            <v>188</v>
          </cell>
          <cell r="B189" t="str">
            <v>RAPSO_091</v>
          </cell>
          <cell r="C189" t="str">
            <v>Y3-G188</v>
          </cell>
          <cell r="D189" t="str">
            <v>Janpol</v>
          </cell>
        </row>
        <row r="190">
          <cell r="A190">
            <v>189</v>
          </cell>
          <cell r="B190" t="str">
            <v>RAPSO_098</v>
          </cell>
          <cell r="C190" t="str">
            <v>Y3-G189</v>
          </cell>
          <cell r="D190" t="str">
            <v>Korina</v>
          </cell>
        </row>
        <row r="191">
          <cell r="A191">
            <v>190</v>
          </cell>
          <cell r="B191" t="str">
            <v>RAPSO_105</v>
          </cell>
          <cell r="C191" t="str">
            <v>Y3-G190</v>
          </cell>
          <cell r="D191" t="str">
            <v>Ligora</v>
          </cell>
        </row>
        <row r="192">
          <cell r="A192">
            <v>191</v>
          </cell>
          <cell r="B192" t="str">
            <v>RAPSO_112</v>
          </cell>
          <cell r="C192" t="str">
            <v>Y3-G191</v>
          </cell>
          <cell r="D192" t="str">
            <v>Primor</v>
          </cell>
        </row>
        <row r="193">
          <cell r="A193">
            <v>192</v>
          </cell>
          <cell r="B193" t="str">
            <v>RAPSO_125</v>
          </cell>
          <cell r="C193" t="str">
            <v>Y3-G192</v>
          </cell>
          <cell r="D193" t="str">
            <v>WIRA</v>
          </cell>
        </row>
        <row r="194">
          <cell r="A194">
            <v>193</v>
          </cell>
          <cell r="B194" t="str">
            <v>RAPSO_152</v>
          </cell>
          <cell r="C194" t="str">
            <v>Y3-G193</v>
          </cell>
          <cell r="D194" t="str">
            <v>Caddy</v>
          </cell>
        </row>
        <row r="195">
          <cell r="A195">
            <v>194</v>
          </cell>
          <cell r="B195" t="str">
            <v>RAPSO_335</v>
          </cell>
          <cell r="C195" t="str">
            <v>Y3-G194</v>
          </cell>
          <cell r="D195" t="str">
            <v>Kromerska1-DS1</v>
          </cell>
        </row>
        <row r="196">
          <cell r="A196">
            <v>195</v>
          </cell>
          <cell r="B196" t="str">
            <v>RAPSO_387</v>
          </cell>
          <cell r="C196" t="str">
            <v>Y3-G195</v>
          </cell>
          <cell r="D196" t="str">
            <v xml:space="preserve">EZSTERHAZY N.ST </v>
          </cell>
        </row>
        <row r="197">
          <cell r="A197">
            <v>196</v>
          </cell>
          <cell r="B197" t="str">
            <v>RAPSO_402</v>
          </cell>
          <cell r="C197" t="str">
            <v>Y3-G196</v>
          </cell>
          <cell r="D197" t="str">
            <v xml:space="preserve">KOMBI </v>
          </cell>
        </row>
        <row r="198">
          <cell r="A198">
            <v>197</v>
          </cell>
          <cell r="B198" t="str">
            <v>RAPSO_411</v>
          </cell>
          <cell r="C198" t="str">
            <v>Y3-G197</v>
          </cell>
          <cell r="D198" t="str">
            <v xml:space="preserve">LJUBLANA </v>
          </cell>
        </row>
        <row r="199">
          <cell r="A199">
            <v>198</v>
          </cell>
          <cell r="B199" t="str">
            <v>RAPSO_415</v>
          </cell>
          <cell r="C199" t="str">
            <v>Y3-G198</v>
          </cell>
          <cell r="D199" t="str">
            <v xml:space="preserve">MYTNINSKYI-2 </v>
          </cell>
        </row>
        <row r="200">
          <cell r="A200">
            <v>199</v>
          </cell>
          <cell r="B200" t="str">
            <v>RAPSO_418</v>
          </cell>
          <cell r="C200" t="str">
            <v>Y3-G199</v>
          </cell>
          <cell r="D200" t="str">
            <v xml:space="preserve">NIEDERARNBACHER </v>
          </cell>
        </row>
        <row r="201">
          <cell r="A201">
            <v>200</v>
          </cell>
          <cell r="B201" t="str">
            <v>RAPSO_419</v>
          </cell>
          <cell r="C201" t="str">
            <v>Y3-G200</v>
          </cell>
          <cell r="D201" t="str">
            <v xml:space="preserve">NOVOCHARTORYISKYI </v>
          </cell>
        </row>
        <row r="202">
          <cell r="A202">
            <v>201</v>
          </cell>
          <cell r="B202" t="str">
            <v>RAPSO_437</v>
          </cell>
          <cell r="C202" t="str">
            <v>Y3-G201</v>
          </cell>
          <cell r="D202" t="str">
            <v xml:space="preserve">SNITYNSKYI </v>
          </cell>
        </row>
        <row r="203">
          <cell r="A203">
            <v>202</v>
          </cell>
          <cell r="B203" t="str">
            <v>RAPSO_456</v>
          </cell>
          <cell r="C203" t="str">
            <v>Y3-G202</v>
          </cell>
          <cell r="D203" t="str">
            <v xml:space="preserve">KRASNODARSKYI </v>
          </cell>
        </row>
        <row r="204">
          <cell r="A204">
            <v>203</v>
          </cell>
          <cell r="B204" t="str">
            <v>BRA_010</v>
          </cell>
          <cell r="C204" t="str">
            <v>Y3-G203</v>
          </cell>
          <cell r="D204" t="str">
            <v>Quinta</v>
          </cell>
        </row>
        <row r="205">
          <cell r="A205">
            <v>204</v>
          </cell>
          <cell r="B205" t="str">
            <v>Temoin</v>
          </cell>
          <cell r="C205" t="str">
            <v>Y3-Te1</v>
          </cell>
          <cell r="D205" t="str">
            <v>Aviso</v>
          </cell>
        </row>
        <row r="206">
          <cell r="A206" t="str">
            <v>B</v>
          </cell>
          <cell r="B206" t="str">
            <v>na</v>
          </cell>
          <cell r="C206" t="str">
            <v>Bordure</v>
          </cell>
          <cell r="D206" t="str">
            <v>Alpaga</v>
          </cell>
        </row>
        <row r="207">
          <cell r="A207">
            <v>205</v>
          </cell>
          <cell r="B207" t="str">
            <v>na</v>
          </cell>
          <cell r="C207" t="str">
            <v>Bordure Vide</v>
          </cell>
          <cell r="D207" t="str">
            <v>sol nu</v>
          </cell>
        </row>
        <row r="208">
          <cell r="A208" t="str">
            <v>B Av</v>
          </cell>
          <cell r="B208" t="str">
            <v>BRA_008</v>
          </cell>
          <cell r="C208" t="str">
            <v>Bordure témoin</v>
          </cell>
          <cell r="D208" t="str">
            <v>Aviso-T</v>
          </cell>
        </row>
        <row r="209">
          <cell r="A209" t="str">
            <v>B Mt</v>
          </cell>
          <cell r="B209" t="str">
            <v>RAPSO_243</v>
          </cell>
          <cell r="C209" t="str">
            <v>Bordure témoin</v>
          </cell>
          <cell r="D209" t="str">
            <v>Montego-T</v>
          </cell>
        </row>
        <row r="210">
          <cell r="A210" t="str">
            <v>N°Plan</v>
          </cell>
          <cell r="B210" t="str">
            <v>ID_RAPSODYN</v>
          </cell>
          <cell r="C210" t="str">
            <v>Code champ_2014/2015</v>
          </cell>
          <cell r="D210" t="str">
            <v>Accession</v>
          </cell>
        </row>
        <row r="211">
          <cell r="A211">
            <v>1</v>
          </cell>
          <cell r="B211" t="str">
            <v>RAPSO_135</v>
          </cell>
          <cell r="C211" t="str">
            <v>Y3-CA2-G1</v>
          </cell>
          <cell r="D211" t="str">
            <v>Amber</v>
          </cell>
        </row>
        <row r="212">
          <cell r="A212">
            <v>2</v>
          </cell>
          <cell r="B212" t="str">
            <v>MP001</v>
          </cell>
          <cell r="C212" t="str">
            <v>Y3-CA2-G2</v>
          </cell>
          <cell r="D212" t="str">
            <v>Astrid</v>
          </cell>
        </row>
        <row r="213">
          <cell r="A213">
            <v>3</v>
          </cell>
          <cell r="B213" t="str">
            <v>BRA_008</v>
          </cell>
          <cell r="C213" t="str">
            <v>Y3-CA2-G3</v>
          </cell>
          <cell r="D213" t="str">
            <v>Aviso</v>
          </cell>
        </row>
        <row r="214">
          <cell r="A214">
            <v>4</v>
          </cell>
          <cell r="B214" t="str">
            <v>RAPSO_146</v>
          </cell>
          <cell r="C214" t="str">
            <v>Y3-CA2-G4</v>
          </cell>
          <cell r="D214" t="str">
            <v>Bolko - POH 285</v>
          </cell>
        </row>
        <row r="215">
          <cell r="A215">
            <v>5</v>
          </cell>
          <cell r="B215" t="str">
            <v>RAPSO_193</v>
          </cell>
          <cell r="C215" t="str">
            <v>Y3-CA2-G5</v>
          </cell>
          <cell r="D215" t="str">
            <v>Express</v>
          </cell>
        </row>
        <row r="216">
          <cell r="A216">
            <v>6</v>
          </cell>
          <cell r="B216" t="str">
            <v>MP003</v>
          </cell>
          <cell r="C216" t="str">
            <v>Y3-CA2-G6</v>
          </cell>
          <cell r="D216" t="str">
            <v>Mohican</v>
          </cell>
        </row>
        <row r="217">
          <cell r="A217">
            <v>7</v>
          </cell>
          <cell r="B217" t="str">
            <v>RAPSO_243</v>
          </cell>
          <cell r="C217" t="str">
            <v>Y3-CA2-G7</v>
          </cell>
          <cell r="D217" t="str">
            <v>Montego</v>
          </cell>
        </row>
        <row r="218">
          <cell r="A218">
            <v>8</v>
          </cell>
          <cell r="B218" t="str">
            <v>RAPSO_256</v>
          </cell>
          <cell r="C218" t="str">
            <v>Y3-CA2-G8</v>
          </cell>
          <cell r="D218" t="str">
            <v>Pollen</v>
          </cell>
        </row>
        <row r="219">
          <cell r="A219" t="str">
            <v>B</v>
          </cell>
          <cell r="B219" t="str">
            <v>na</v>
          </cell>
          <cell r="C219" t="str">
            <v>Bordure</v>
          </cell>
          <cell r="D219" t="str">
            <v>Alpaga</v>
          </cell>
        </row>
        <row r="220">
          <cell r="A220">
            <v>205</v>
          </cell>
          <cell r="B220" t="str">
            <v>na</v>
          </cell>
          <cell r="C220" t="str">
            <v>Bordure Vide</v>
          </cell>
          <cell r="D220" t="str">
            <v>sol nu</v>
          </cell>
        </row>
        <row r="221">
          <cell r="A221" t="str">
            <v>B Av</v>
          </cell>
          <cell r="B221" t="str">
            <v>BRA_008</v>
          </cell>
          <cell r="C221" t="str">
            <v>Bordure témoin</v>
          </cell>
          <cell r="D221" t="str">
            <v>Aviso-T</v>
          </cell>
        </row>
        <row r="222">
          <cell r="A222" t="str">
            <v>B Mt</v>
          </cell>
          <cell r="B222" t="str">
            <v>RAPSO_243</v>
          </cell>
          <cell r="C222" t="str">
            <v>Bordure témoin</v>
          </cell>
          <cell r="D222" t="str">
            <v>Montego-T</v>
          </cell>
        </row>
        <row r="223">
          <cell r="A223" t="str">
            <v>N°Plan</v>
          </cell>
          <cell r="B223" t="str">
            <v>ID_RAPSODYN</v>
          </cell>
          <cell r="C223" t="str">
            <v>Code champ_2014/2015</v>
          </cell>
          <cell r="D223" t="str">
            <v>Accession</v>
          </cell>
        </row>
        <row r="224">
          <cell r="A224">
            <v>1</v>
          </cell>
          <cell r="B224" t="str">
            <v>RAPSO_243</v>
          </cell>
          <cell r="C224" t="str">
            <v>Cb2-Y3-G089</v>
          </cell>
          <cell r="D224" t="str">
            <v>Montego</v>
          </cell>
        </row>
        <row r="225">
          <cell r="A225">
            <v>2</v>
          </cell>
          <cell r="B225" t="str">
            <v>RAPSO_271</v>
          </cell>
          <cell r="C225" t="str">
            <v>Cb2-Y3-G106</v>
          </cell>
          <cell r="D225" t="str">
            <v>SW Gospel</v>
          </cell>
        </row>
        <row r="226">
          <cell r="A226">
            <v>3</v>
          </cell>
          <cell r="B226" t="str">
            <v>RAPSO_193</v>
          </cell>
          <cell r="C226" t="str">
            <v>Cb2-Y3-G068</v>
          </cell>
          <cell r="D226" t="str">
            <v>Express</v>
          </cell>
        </row>
        <row r="227">
          <cell r="A227">
            <v>4</v>
          </cell>
          <cell r="B227" t="str">
            <v>RAPSO_325</v>
          </cell>
          <cell r="C227" t="str">
            <v>Cb2-Y3-G162</v>
          </cell>
          <cell r="D227" t="str">
            <v>SYN01</v>
          </cell>
        </row>
        <row r="228">
          <cell r="A228">
            <v>5</v>
          </cell>
          <cell r="B228" t="str">
            <v>RAPSO_178</v>
          </cell>
          <cell r="C228" t="str">
            <v>Cb2-Y3-G063</v>
          </cell>
          <cell r="D228" t="str">
            <v>Doublol</v>
          </cell>
        </row>
        <row r="229">
          <cell r="A229">
            <v>6</v>
          </cell>
          <cell r="B229" t="str">
            <v>RAPSO_122</v>
          </cell>
          <cell r="C229" t="str">
            <v>Cb2-Y3-G037</v>
          </cell>
          <cell r="D229" t="str">
            <v>Start</v>
          </cell>
        </row>
        <row r="230">
          <cell r="A230">
            <v>7</v>
          </cell>
          <cell r="B230" t="str">
            <v>RAPSO_190</v>
          </cell>
          <cell r="C230" t="str">
            <v>Cb2-Y3-G067</v>
          </cell>
          <cell r="D230" t="str">
            <v>Evri</v>
          </cell>
        </row>
        <row r="231">
          <cell r="A231">
            <v>8</v>
          </cell>
          <cell r="B231" t="str">
            <v>RAPSO_115</v>
          </cell>
          <cell r="C231" t="str">
            <v>Cb2-Y3-G036</v>
          </cell>
          <cell r="D231" t="str">
            <v>Rafal</v>
          </cell>
        </row>
        <row r="232">
          <cell r="A232">
            <v>9</v>
          </cell>
          <cell r="B232" t="str">
            <v>RAPSO_068</v>
          </cell>
          <cell r="C232" t="str">
            <v>Cb2-Y3-G022</v>
          </cell>
          <cell r="D232" t="str">
            <v>Zeruca</v>
          </cell>
        </row>
        <row r="233">
          <cell r="A233">
            <v>10</v>
          </cell>
          <cell r="B233" t="str">
            <v>RAPSO_281</v>
          </cell>
          <cell r="C233" t="str">
            <v>Cb2-Y3-G110</v>
          </cell>
          <cell r="D233" t="str">
            <v>Tradition</v>
          </cell>
        </row>
        <row r="234">
          <cell r="A234">
            <v>11</v>
          </cell>
          <cell r="B234" t="str">
            <v>RAPSO_041</v>
          </cell>
          <cell r="C234" t="str">
            <v>Cb2-Y3-G014</v>
          </cell>
          <cell r="D234" t="str">
            <v>Orléans</v>
          </cell>
        </row>
        <row r="235">
          <cell r="A235">
            <v>12</v>
          </cell>
          <cell r="B235" t="str">
            <v>RAPSO_144</v>
          </cell>
          <cell r="C235" t="str">
            <v>Cb2-Y3-G047</v>
          </cell>
          <cell r="D235" t="str">
            <v>Bellini</v>
          </cell>
        </row>
        <row r="236">
          <cell r="A236">
            <v>13</v>
          </cell>
          <cell r="B236" t="str">
            <v>RAPSO_085</v>
          </cell>
          <cell r="C236" t="str">
            <v>Cb2-Y3-G032</v>
          </cell>
          <cell r="D236" t="str">
            <v>Expander</v>
          </cell>
        </row>
        <row r="237">
          <cell r="A237">
            <v>14</v>
          </cell>
          <cell r="B237" t="str">
            <v>RAPSO_248</v>
          </cell>
          <cell r="C237" t="str">
            <v>Cb2-Y3-G092</v>
          </cell>
          <cell r="D237" t="str">
            <v>Oase</v>
          </cell>
        </row>
        <row r="238">
          <cell r="A238">
            <v>15</v>
          </cell>
          <cell r="B238" t="str">
            <v>RAPSO_300</v>
          </cell>
          <cell r="C238" t="str">
            <v>Cb2-Y3-G137</v>
          </cell>
          <cell r="D238" t="str">
            <v>ES-ANTONIA</v>
          </cell>
        </row>
        <row r="239">
          <cell r="A239">
            <v>16</v>
          </cell>
          <cell r="B239" t="str">
            <v>RAPSO_139</v>
          </cell>
          <cell r="C239" t="str">
            <v>Cb2-Y3-G045</v>
          </cell>
          <cell r="D239" t="str">
            <v>Atlantic</v>
          </cell>
        </row>
        <row r="240">
          <cell r="A240">
            <v>17</v>
          </cell>
          <cell r="B240" t="str">
            <v>RAPSO_254</v>
          </cell>
          <cell r="C240" t="str">
            <v>Cb2-Y3-G095</v>
          </cell>
          <cell r="D240" t="str">
            <v>PAYROL</v>
          </cell>
        </row>
        <row r="241">
          <cell r="A241">
            <v>18</v>
          </cell>
          <cell r="B241" t="str">
            <v>RAPSO_297</v>
          </cell>
          <cell r="C241" t="str">
            <v>Cb2-Y3-G134</v>
          </cell>
          <cell r="D241" t="str">
            <v>ES-CENTAURE</v>
          </cell>
        </row>
        <row r="242">
          <cell r="A242">
            <v>19</v>
          </cell>
          <cell r="B242" t="str">
            <v>RAPSO_013</v>
          </cell>
          <cell r="C242" t="str">
            <v>Cb2-Y3-G004</v>
          </cell>
          <cell r="D242" t="str">
            <v>Gesunder</v>
          </cell>
        </row>
        <row r="243">
          <cell r="A243">
            <v>20</v>
          </cell>
          <cell r="B243" t="str">
            <v>RAPSO_277</v>
          </cell>
          <cell r="C243" t="str">
            <v>Cb2-Y3-G108</v>
          </cell>
          <cell r="D243" t="str">
            <v>Tenor</v>
          </cell>
        </row>
        <row r="244">
          <cell r="A244">
            <v>21</v>
          </cell>
          <cell r="B244" t="str">
            <v>RAPSO_207</v>
          </cell>
          <cell r="C244" t="str">
            <v>Cb2-Y3-G072</v>
          </cell>
          <cell r="D244" t="str">
            <v>Ibex</v>
          </cell>
        </row>
        <row r="245">
          <cell r="A245">
            <v>22</v>
          </cell>
          <cell r="B245" t="str">
            <v>RAPSO_292</v>
          </cell>
          <cell r="C245" t="str">
            <v>Cb2-Y3-G112</v>
          </cell>
          <cell r="D245" t="str">
            <v>Zorro</v>
          </cell>
        </row>
        <row r="246">
          <cell r="A246">
            <v>23</v>
          </cell>
          <cell r="B246" t="str">
            <v>RAPSO_258</v>
          </cell>
          <cell r="C246" t="str">
            <v>Cb2-Y3-G097</v>
          </cell>
          <cell r="D246" t="str">
            <v>Potomac</v>
          </cell>
        </row>
        <row r="247">
          <cell r="A247">
            <v>24</v>
          </cell>
          <cell r="B247" t="str">
            <v>RAPSO_313</v>
          </cell>
          <cell r="C247" t="str">
            <v>Cb2-Y3-G150</v>
          </cell>
          <cell r="D247" t="str">
            <v>TASMAN</v>
          </cell>
        </row>
        <row r="248">
          <cell r="A248">
            <v>25</v>
          </cell>
          <cell r="B248" t="str">
            <v>RAPSO_315</v>
          </cell>
          <cell r="C248" t="str">
            <v>Cb2-Y3-G152</v>
          </cell>
          <cell r="D248" t="str">
            <v>RAGT-01</v>
          </cell>
        </row>
        <row r="249">
          <cell r="A249">
            <v>26</v>
          </cell>
          <cell r="B249" t="str">
            <v>RAPSO_263</v>
          </cell>
          <cell r="C249" t="str">
            <v>Cb2-Y3-G101</v>
          </cell>
          <cell r="D249" t="str">
            <v>Rocket</v>
          </cell>
        </row>
        <row r="250">
          <cell r="A250">
            <v>27</v>
          </cell>
          <cell r="B250" t="str">
            <v>RAPSO_226</v>
          </cell>
          <cell r="C250" t="str">
            <v>Cb2-Y3-G081</v>
          </cell>
          <cell r="D250" t="str">
            <v>Lioness</v>
          </cell>
        </row>
        <row r="251">
          <cell r="A251">
            <v>28</v>
          </cell>
          <cell r="B251" t="str">
            <v>RAPSO_266</v>
          </cell>
          <cell r="C251" t="str">
            <v>Cb2-Y3-G103</v>
          </cell>
          <cell r="D251" t="str">
            <v>Sahara</v>
          </cell>
        </row>
        <row r="252">
          <cell r="A252">
            <v>29</v>
          </cell>
          <cell r="B252" t="str">
            <v>RAPSO_472</v>
          </cell>
          <cell r="C252" t="str">
            <v>Cb2-Y3-G174</v>
          </cell>
          <cell r="D252" t="str">
            <v>Pendulum</v>
          </cell>
        </row>
        <row r="253">
          <cell r="A253">
            <v>30</v>
          </cell>
          <cell r="B253" t="str">
            <v>RAPSO_181</v>
          </cell>
          <cell r="C253" t="str">
            <v>Cb2-Y3-G065</v>
          </cell>
          <cell r="D253" t="str">
            <v>Eleonore</v>
          </cell>
        </row>
        <row r="254">
          <cell r="A254">
            <v>31</v>
          </cell>
          <cell r="B254" t="str">
            <v>RAPSO_260</v>
          </cell>
          <cell r="C254" t="str">
            <v>Cb2-Y3-G099</v>
          </cell>
          <cell r="D254" t="str">
            <v>Recital</v>
          </cell>
        </row>
        <row r="255">
          <cell r="A255">
            <v>32</v>
          </cell>
          <cell r="B255" t="str">
            <v>RAPSO_329</v>
          </cell>
          <cell r="C255" t="str">
            <v>Cb2-Y3-G166</v>
          </cell>
          <cell r="D255" t="str">
            <v>SYN05</v>
          </cell>
        </row>
        <row r="256">
          <cell r="A256">
            <v>33</v>
          </cell>
          <cell r="B256" t="str">
            <v>RAPSO_256</v>
          </cell>
          <cell r="C256" t="str">
            <v>Cb2-Y3-G096</v>
          </cell>
          <cell r="D256" t="str">
            <v>Pollen</v>
          </cell>
        </row>
        <row r="257">
          <cell r="A257">
            <v>34</v>
          </cell>
          <cell r="B257" t="str">
            <v>RAPSO_030</v>
          </cell>
          <cell r="C257" t="str">
            <v>Cb2-Y3-G009</v>
          </cell>
          <cell r="D257" t="str">
            <v>Matador</v>
          </cell>
        </row>
        <row r="258">
          <cell r="A258">
            <v>35</v>
          </cell>
          <cell r="B258" t="str">
            <v>RAPSO_321</v>
          </cell>
          <cell r="C258" t="str">
            <v>Cb2-Y3-G158</v>
          </cell>
          <cell r="D258" t="str">
            <v>RAGT-07</v>
          </cell>
        </row>
        <row r="259">
          <cell r="A259">
            <v>36</v>
          </cell>
          <cell r="B259" t="str">
            <v>RAPSO_038</v>
          </cell>
          <cell r="C259" t="str">
            <v>Cb2-Y3-G012</v>
          </cell>
          <cell r="D259" t="str">
            <v>Oleski</v>
          </cell>
        </row>
        <row r="260">
          <cell r="A260">
            <v>37</v>
          </cell>
          <cell r="B260" t="str">
            <v>RAPSO_213</v>
          </cell>
          <cell r="C260" t="str">
            <v>Cb2-Y3-G075</v>
          </cell>
          <cell r="D260" t="str">
            <v>Jetton</v>
          </cell>
        </row>
        <row r="261">
          <cell r="A261">
            <v>38</v>
          </cell>
          <cell r="B261" t="str">
            <v>RAPSO_331</v>
          </cell>
          <cell r="C261" t="str">
            <v>Cb2-Y3-G168</v>
          </cell>
          <cell r="D261" t="str">
            <v>SYN07</v>
          </cell>
        </row>
        <row r="262">
          <cell r="A262">
            <v>39</v>
          </cell>
          <cell r="B262" t="str">
            <v>RAPSO_232</v>
          </cell>
          <cell r="C262" t="str">
            <v>Cb2-Y3-G085</v>
          </cell>
          <cell r="D262" t="str">
            <v>Madrigal</v>
          </cell>
        </row>
        <row r="263">
          <cell r="A263">
            <v>40</v>
          </cell>
          <cell r="B263" t="str">
            <v>RAPSO_477</v>
          </cell>
          <cell r="C263" t="str">
            <v>Cb2-Y3-G177</v>
          </cell>
          <cell r="D263" t="str">
            <v>RAGT-14</v>
          </cell>
        </row>
        <row r="264">
          <cell r="A264">
            <v>41</v>
          </cell>
          <cell r="B264" t="str">
            <v>RAPSO_175</v>
          </cell>
          <cell r="C264" t="str">
            <v>Cb2-Y3-G061</v>
          </cell>
          <cell r="D264" t="str">
            <v>Courage</v>
          </cell>
        </row>
        <row r="265">
          <cell r="A265">
            <v>42</v>
          </cell>
          <cell r="B265" t="str">
            <v>RAPSO_314</v>
          </cell>
          <cell r="C265" t="str">
            <v>Cb2-Y3-G151</v>
          </cell>
          <cell r="D265" t="str">
            <v>Maccarena</v>
          </cell>
        </row>
        <row r="266">
          <cell r="A266">
            <v>43</v>
          </cell>
          <cell r="B266" t="str">
            <v>RAPSO_343</v>
          </cell>
          <cell r="C266" t="str">
            <v>Cb2-Y3-G114</v>
          </cell>
          <cell r="D266" t="str">
            <v>Madora3-DS1</v>
          </cell>
        </row>
        <row r="267">
          <cell r="A267">
            <v>44</v>
          </cell>
          <cell r="B267" t="str">
            <v>RAPSO_330</v>
          </cell>
          <cell r="C267" t="str">
            <v>Cb2-Y3-G167</v>
          </cell>
          <cell r="D267" t="str">
            <v>SYN06</v>
          </cell>
        </row>
        <row r="268">
          <cell r="A268">
            <v>45</v>
          </cell>
          <cell r="B268" t="str">
            <v>RAPSO_323</v>
          </cell>
          <cell r="C268" t="str">
            <v>Cb2-Y3-G160</v>
          </cell>
          <cell r="D268" t="str">
            <v>RAGT-09</v>
          </cell>
        </row>
        <row r="269">
          <cell r="A269">
            <v>46</v>
          </cell>
          <cell r="B269" t="str">
            <v>RAPSO_246</v>
          </cell>
          <cell r="C269" t="str">
            <v>Cb2-Y3-G091</v>
          </cell>
          <cell r="D269" t="str">
            <v>NSL 96-25</v>
          </cell>
        </row>
        <row r="270">
          <cell r="A270">
            <v>47</v>
          </cell>
          <cell r="B270" t="str">
            <v>RAPSO_334</v>
          </cell>
          <cell r="C270" t="str">
            <v>Cb2-Y3-G171</v>
          </cell>
          <cell r="D270" t="str">
            <v>SYN10</v>
          </cell>
        </row>
        <row r="271">
          <cell r="A271">
            <v>48</v>
          </cell>
          <cell r="B271" t="str">
            <v>RAPSO_165</v>
          </cell>
          <cell r="C271" t="str">
            <v>Cb2-Y3-G056</v>
          </cell>
          <cell r="D271" t="str">
            <v>Ceres</v>
          </cell>
        </row>
        <row r="272">
          <cell r="A272">
            <v>49</v>
          </cell>
          <cell r="B272" t="str">
            <v>RAPSO_301</v>
          </cell>
          <cell r="C272" t="str">
            <v>Cb2-Y3-G138</v>
          </cell>
          <cell r="D272" t="str">
            <v>ES-BRAVA</v>
          </cell>
        </row>
        <row r="273">
          <cell r="A273">
            <v>50</v>
          </cell>
          <cell r="B273" t="str">
            <v>RAPSO_324</v>
          </cell>
          <cell r="C273" t="str">
            <v>Cb2-Y3-G161</v>
          </cell>
          <cell r="D273" t="str">
            <v>RAGT-10</v>
          </cell>
        </row>
        <row r="274">
          <cell r="A274">
            <v>51</v>
          </cell>
          <cell r="B274" t="str">
            <v>RAPSO_282</v>
          </cell>
          <cell r="C274" t="str">
            <v>Cb2-Y3-G111</v>
          </cell>
          <cell r="D274" t="str">
            <v>Twister</v>
          </cell>
        </row>
        <row r="275">
          <cell r="A275">
            <v>52</v>
          </cell>
          <cell r="B275" t="str">
            <v>RAPSO_303</v>
          </cell>
          <cell r="C275" t="str">
            <v>Cb2-Y3-G140</v>
          </cell>
          <cell r="D275" t="str">
            <v>ES-VIPER</v>
          </cell>
        </row>
        <row r="276">
          <cell r="A276">
            <v>53</v>
          </cell>
          <cell r="B276" t="str">
            <v>RAPSO_261</v>
          </cell>
          <cell r="C276" t="str">
            <v>Cb2-Y3-G100</v>
          </cell>
          <cell r="D276" t="str">
            <v>Remy</v>
          </cell>
        </row>
        <row r="277">
          <cell r="A277">
            <v>54</v>
          </cell>
          <cell r="B277" t="str">
            <v>RAPSO_245</v>
          </cell>
          <cell r="C277" t="str">
            <v>Cb2-Y3-G090</v>
          </cell>
          <cell r="D277" t="str">
            <v>Navajo</v>
          </cell>
        </row>
        <row r="278">
          <cell r="A278">
            <v>55</v>
          </cell>
          <cell r="B278" t="str">
            <v>RAPSO_308</v>
          </cell>
          <cell r="C278" t="str">
            <v>Cb2-Y3-G145</v>
          </cell>
          <cell r="D278" t="str">
            <v>LADOGA</v>
          </cell>
        </row>
        <row r="279">
          <cell r="A279">
            <v>56</v>
          </cell>
          <cell r="B279" t="str">
            <v>RAPSO_307</v>
          </cell>
          <cell r="C279" t="str">
            <v>Cb2-Y3-G144</v>
          </cell>
          <cell r="D279" t="str">
            <v>COOPER</v>
          </cell>
        </row>
        <row r="280">
          <cell r="A280">
            <v>57</v>
          </cell>
          <cell r="B280" t="str">
            <v>RAPSO_171</v>
          </cell>
          <cell r="C280" t="str">
            <v>Cb2-Y3-G059</v>
          </cell>
          <cell r="D280" t="str">
            <v>Colvert</v>
          </cell>
        </row>
        <row r="281">
          <cell r="A281">
            <v>58</v>
          </cell>
          <cell r="B281" t="str">
            <v>RAPSO_084</v>
          </cell>
          <cell r="C281" t="str">
            <v>Cb2-Y3-G031</v>
          </cell>
          <cell r="D281" t="str">
            <v>Emil</v>
          </cell>
        </row>
        <row r="282">
          <cell r="A282">
            <v>59</v>
          </cell>
          <cell r="B282" t="str">
            <v>RAPSO_102</v>
          </cell>
          <cell r="C282" t="str">
            <v>Cb2-Y3-G034</v>
          </cell>
          <cell r="D282" t="str">
            <v>Lesira</v>
          </cell>
        </row>
        <row r="283">
          <cell r="A283">
            <v>60</v>
          </cell>
          <cell r="B283" t="str">
            <v>RAPSO_311</v>
          </cell>
          <cell r="C283" t="str">
            <v>Cb2-Y3-G148</v>
          </cell>
          <cell r="D283" t="str">
            <v>ONTARIO</v>
          </cell>
        </row>
        <row r="284">
          <cell r="A284">
            <v>61</v>
          </cell>
          <cell r="B284" t="str">
            <v>RAPSO_081</v>
          </cell>
          <cell r="C284" t="str">
            <v>Cb2-Y3-G030</v>
          </cell>
          <cell r="D284" t="str">
            <v>Doral</v>
          </cell>
        </row>
        <row r="285">
          <cell r="A285">
            <v>62</v>
          </cell>
          <cell r="B285" t="str">
            <v>RAPSO_209</v>
          </cell>
          <cell r="C285" t="str">
            <v>Cb2-Y3-G074</v>
          </cell>
          <cell r="D285" t="str">
            <v>Inca</v>
          </cell>
        </row>
        <row r="286">
          <cell r="A286">
            <v>63</v>
          </cell>
          <cell r="B286" t="str">
            <v>RAPSO_027</v>
          </cell>
          <cell r="C286" t="str">
            <v>Cb2-Y3-G007</v>
          </cell>
          <cell r="D286" t="str">
            <v>Major</v>
          </cell>
        </row>
        <row r="287">
          <cell r="A287">
            <v>64</v>
          </cell>
          <cell r="B287" t="str">
            <v>RAPSO_187</v>
          </cell>
          <cell r="C287" t="str">
            <v>Cb2-Y3-G066</v>
          </cell>
          <cell r="D287" t="str">
            <v>Escort</v>
          </cell>
        </row>
        <row r="288">
          <cell r="A288">
            <v>65</v>
          </cell>
          <cell r="B288" t="str">
            <v>MP003</v>
          </cell>
          <cell r="C288" t="str">
            <v>Cb2-Y3-G130</v>
          </cell>
          <cell r="D288" t="str">
            <v>Mohican</v>
          </cell>
        </row>
        <row r="289">
          <cell r="A289">
            <v>66</v>
          </cell>
          <cell r="B289" t="str">
            <v>RAPSO_072</v>
          </cell>
          <cell r="C289" t="str">
            <v>Cb2-Y3-G024</v>
          </cell>
          <cell r="D289" t="str">
            <v>Aztec</v>
          </cell>
        </row>
        <row r="290">
          <cell r="A290">
            <v>67</v>
          </cell>
          <cell r="B290" t="str">
            <v>RAPSO_375</v>
          </cell>
          <cell r="C290" t="str">
            <v>Cb2-Y3-G118</v>
          </cell>
          <cell r="D290" t="str">
            <v xml:space="preserve">CETMEKI </v>
          </cell>
        </row>
        <row r="291">
          <cell r="A291">
            <v>68</v>
          </cell>
          <cell r="B291" t="str">
            <v>RAPSO_265</v>
          </cell>
          <cell r="C291" t="str">
            <v>Cb2-Y3-G102</v>
          </cell>
          <cell r="D291" t="str">
            <v>Roxet</v>
          </cell>
        </row>
        <row r="292">
          <cell r="A292">
            <v>69</v>
          </cell>
          <cell r="B292" t="str">
            <v>RAPSO_220</v>
          </cell>
          <cell r="C292" t="str">
            <v>Cb2-Y3-G079</v>
          </cell>
          <cell r="D292" t="str">
            <v>Liberator</v>
          </cell>
        </row>
        <row r="293">
          <cell r="A293">
            <v>70</v>
          </cell>
          <cell r="B293" t="str">
            <v>RAPSO_476</v>
          </cell>
          <cell r="C293" t="str">
            <v>Cb2-Y3-G176</v>
          </cell>
          <cell r="D293" t="str">
            <v>RAGT-13</v>
          </cell>
        </row>
        <row r="294">
          <cell r="A294">
            <v>71</v>
          </cell>
          <cell r="B294" t="str">
            <v>RAPSO_174</v>
          </cell>
          <cell r="C294" t="str">
            <v>Cb2-Y3-G060</v>
          </cell>
          <cell r="D294" t="str">
            <v>Contact</v>
          </cell>
        </row>
        <row r="295">
          <cell r="A295">
            <v>72</v>
          </cell>
          <cell r="B295" t="str">
            <v>RAPSO_327</v>
          </cell>
          <cell r="C295" t="str">
            <v>Cb2-Y3-G164</v>
          </cell>
          <cell r="D295" t="str">
            <v>SYN03</v>
          </cell>
        </row>
        <row r="296">
          <cell r="A296">
            <v>73</v>
          </cell>
          <cell r="B296" t="str">
            <v>BRA_008</v>
          </cell>
          <cell r="C296" t="str">
            <v>Cb2-Y3-G126</v>
          </cell>
          <cell r="D296" t="str">
            <v>Aviso</v>
          </cell>
        </row>
        <row r="297">
          <cell r="A297">
            <v>74</v>
          </cell>
          <cell r="B297" t="str">
            <v>RAPSO_342</v>
          </cell>
          <cell r="C297" t="str">
            <v>Cb2-Y3-G113</v>
          </cell>
          <cell r="D297" t="str">
            <v>Madora2-DS3</v>
          </cell>
        </row>
        <row r="298">
          <cell r="A298">
            <v>75</v>
          </cell>
          <cell r="B298" t="str">
            <v>RAPSO_473</v>
          </cell>
          <cell r="C298" t="str">
            <v>Cb2-Y3-G175</v>
          </cell>
          <cell r="D298" t="str">
            <v>Anastasia</v>
          </cell>
        </row>
        <row r="299">
          <cell r="A299">
            <v>76</v>
          </cell>
          <cell r="B299" t="str">
            <v>RAPSO_075</v>
          </cell>
          <cell r="C299" t="str">
            <v>Cb2-Y3-G026</v>
          </cell>
          <cell r="D299" t="str">
            <v>Beryl</v>
          </cell>
        </row>
        <row r="300">
          <cell r="A300">
            <v>77</v>
          </cell>
          <cell r="B300" t="str">
            <v>RAPSO_326</v>
          </cell>
          <cell r="C300" t="str">
            <v>Cb2-Y3-G163</v>
          </cell>
          <cell r="D300" t="str">
            <v>SYN02</v>
          </cell>
        </row>
        <row r="301">
          <cell r="A301">
            <v>78</v>
          </cell>
          <cell r="B301" t="str">
            <v>RAPSO_480</v>
          </cell>
          <cell r="C301" t="str">
            <v>Cb2-Y3-G180</v>
          </cell>
          <cell r="D301" t="str">
            <v>SYNG12</v>
          </cell>
        </row>
        <row r="302">
          <cell r="A302">
            <v>79</v>
          </cell>
          <cell r="B302" t="str">
            <v>RAPSO_317</v>
          </cell>
          <cell r="C302" t="str">
            <v>Cb2-Y3-G154</v>
          </cell>
          <cell r="D302" t="str">
            <v>RAGT-03</v>
          </cell>
        </row>
        <row r="303">
          <cell r="A303">
            <v>80</v>
          </cell>
          <cell r="B303" t="str">
            <v>RAPSO_306</v>
          </cell>
          <cell r="C303" t="str">
            <v>Cb2-Y3-G143</v>
          </cell>
          <cell r="D303" t="str">
            <v>ANGELINA</v>
          </cell>
        </row>
        <row r="304">
          <cell r="A304">
            <v>81</v>
          </cell>
          <cell r="B304" t="str">
            <v>RAPSO_310</v>
          </cell>
          <cell r="C304" t="str">
            <v>Cb2-Y3-G147</v>
          </cell>
          <cell r="D304" t="str">
            <v>OKAPI</v>
          </cell>
        </row>
        <row r="305">
          <cell r="A305">
            <v>82</v>
          </cell>
          <cell r="B305" t="str">
            <v>RAPSO_148</v>
          </cell>
          <cell r="C305" t="str">
            <v>Cb2-Y3-G049</v>
          </cell>
          <cell r="D305" t="str">
            <v>Boston</v>
          </cell>
        </row>
        <row r="306">
          <cell r="A306">
            <v>83</v>
          </cell>
          <cell r="B306" t="str">
            <v>RAPSO_235</v>
          </cell>
          <cell r="C306" t="str">
            <v>Cb2-Y3-G087</v>
          </cell>
          <cell r="D306" t="str">
            <v>Mar</v>
          </cell>
        </row>
        <row r="307">
          <cell r="A307">
            <v>84</v>
          </cell>
          <cell r="B307" t="str">
            <v>RAPSO_124</v>
          </cell>
          <cell r="C307" t="str">
            <v>Cb2-Y3-G038</v>
          </cell>
          <cell r="D307" t="str">
            <v>Valdor</v>
          </cell>
        </row>
        <row r="308">
          <cell r="A308">
            <v>85</v>
          </cell>
          <cell r="B308" t="str">
            <v>RAPSO_294</v>
          </cell>
          <cell r="C308" t="str">
            <v>Cb2-Y3-G131</v>
          </cell>
          <cell r="D308" t="str">
            <v>ES-AGATHA</v>
          </cell>
        </row>
        <row r="309">
          <cell r="A309">
            <v>86</v>
          </cell>
          <cell r="B309" t="str">
            <v>RAPSO_051</v>
          </cell>
          <cell r="C309" t="str">
            <v>Cb2-Y3-G018</v>
          </cell>
          <cell r="D309" t="str">
            <v>Ramses</v>
          </cell>
        </row>
        <row r="310">
          <cell r="A310">
            <v>87</v>
          </cell>
          <cell r="B310" t="str">
            <v>RAPSO_312</v>
          </cell>
          <cell r="C310" t="str">
            <v>Cb2-Y3-G149</v>
          </cell>
          <cell r="D310" t="str">
            <v>PAMELA</v>
          </cell>
        </row>
        <row r="311">
          <cell r="A311">
            <v>88</v>
          </cell>
          <cell r="B311" t="str">
            <v>RAPSO_227</v>
          </cell>
          <cell r="C311" t="str">
            <v>Cb2-Y3-G082</v>
          </cell>
          <cell r="D311" t="str">
            <v>Liporta</v>
          </cell>
        </row>
        <row r="312">
          <cell r="A312">
            <v>89</v>
          </cell>
          <cell r="B312" t="str">
            <v>RAPSO_128</v>
          </cell>
          <cell r="C312" t="str">
            <v>Cb2-Y3-G039</v>
          </cell>
          <cell r="D312" t="str">
            <v>Adriana</v>
          </cell>
        </row>
        <row r="313">
          <cell r="A313">
            <v>90</v>
          </cell>
          <cell r="B313" t="str">
            <v>RAPSO_318</v>
          </cell>
          <cell r="C313" t="str">
            <v>Cb2-Y3-G155</v>
          </cell>
          <cell r="D313" t="str">
            <v>RAGT-04</v>
          </cell>
        </row>
        <row r="314">
          <cell r="A314">
            <v>91</v>
          </cell>
          <cell r="B314" t="str">
            <v>RAPSO_356</v>
          </cell>
          <cell r="C314" t="str">
            <v>Cb2-Y3-G115</v>
          </cell>
          <cell r="D314" t="str">
            <v>Regal2-DS1</v>
          </cell>
        </row>
        <row r="315">
          <cell r="A315">
            <v>92</v>
          </cell>
          <cell r="B315" t="str">
            <v>RAPSO_135</v>
          </cell>
          <cell r="C315" t="str">
            <v>Cb2-Y3-G043</v>
          </cell>
          <cell r="D315" t="str">
            <v>Amber</v>
          </cell>
        </row>
        <row r="316">
          <cell r="A316">
            <v>93</v>
          </cell>
          <cell r="B316" t="str">
            <v>RAPSO_238</v>
          </cell>
          <cell r="C316" t="str">
            <v>Cb2-Y3-G088</v>
          </cell>
          <cell r="D316" t="str">
            <v>Milena</v>
          </cell>
        </row>
        <row r="317">
          <cell r="A317">
            <v>94</v>
          </cell>
          <cell r="B317" t="str">
            <v>RAPSO_309</v>
          </cell>
          <cell r="C317" t="str">
            <v>Cb2-Y3-G146</v>
          </cell>
          <cell r="D317" t="str">
            <v>MANITOBA</v>
          </cell>
        </row>
        <row r="318">
          <cell r="A318">
            <v>95</v>
          </cell>
          <cell r="B318" t="str">
            <v>MP001</v>
          </cell>
          <cell r="C318" t="str">
            <v>Cb2-Y3-G129</v>
          </cell>
          <cell r="D318" t="str">
            <v>Astrid</v>
          </cell>
        </row>
        <row r="319">
          <cell r="A319">
            <v>96</v>
          </cell>
          <cell r="B319" t="str">
            <v>RAPSO_158</v>
          </cell>
          <cell r="C319" t="str">
            <v>Cb2-Y3-G053</v>
          </cell>
          <cell r="D319" t="str">
            <v>Capitol</v>
          </cell>
        </row>
        <row r="320">
          <cell r="A320">
            <v>97</v>
          </cell>
          <cell r="B320" t="str">
            <v>BRA_009</v>
          </cell>
          <cell r="C320" t="str">
            <v>Cb2-Y3-G127</v>
          </cell>
          <cell r="D320" t="str">
            <v>Jupiter</v>
          </cell>
        </row>
        <row r="321">
          <cell r="A321">
            <v>98</v>
          </cell>
          <cell r="B321" t="str">
            <v>RAPSO_146</v>
          </cell>
          <cell r="C321" t="str">
            <v>Cb2-Y3-G048</v>
          </cell>
          <cell r="D321" t="str">
            <v>Bolko - POH 285</v>
          </cell>
        </row>
        <row r="322">
          <cell r="A322">
            <v>99</v>
          </cell>
          <cell r="B322" t="str">
            <v>BRA_008</v>
          </cell>
          <cell r="C322" t="str">
            <v>Cb2-Y3-Av-T</v>
          </cell>
          <cell r="D322" t="str">
            <v>Aviso-T</v>
          </cell>
        </row>
        <row r="323">
          <cell r="A323">
            <v>100</v>
          </cell>
          <cell r="B323" t="str">
            <v>RAPSO_243</v>
          </cell>
          <cell r="C323" t="str">
            <v>Cb2-Y3-Mt-T</v>
          </cell>
          <cell r="D323" t="str">
            <v>Montego-T</v>
          </cell>
        </row>
        <row r="324">
          <cell r="A324">
            <v>101</v>
          </cell>
          <cell r="B324" t="str">
            <v>na</v>
          </cell>
          <cell r="C324" t="str">
            <v>Cb2-Y3-Al-T1</v>
          </cell>
          <cell r="D324" t="str">
            <v>Alpaga-T</v>
          </cell>
        </row>
        <row r="325">
          <cell r="A325">
            <v>102</v>
          </cell>
          <cell r="B325" t="str">
            <v>na</v>
          </cell>
          <cell r="C325" t="str">
            <v>Cb2-Y3-Al-T2</v>
          </cell>
          <cell r="D325" t="str">
            <v>Alpaga-T</v>
          </cell>
        </row>
        <row r="326">
          <cell r="A326" t="str">
            <v>B</v>
          </cell>
          <cell r="B326" t="str">
            <v>na</v>
          </cell>
          <cell r="C326" t="str">
            <v>Bordure</v>
          </cell>
          <cell r="D326" t="str">
            <v>Alpaga</v>
          </cell>
        </row>
        <row r="327">
          <cell r="A327">
            <v>205</v>
          </cell>
          <cell r="B327" t="str">
            <v>na</v>
          </cell>
          <cell r="C327" t="str">
            <v>Bordure Vide</v>
          </cell>
          <cell r="D327" t="str">
            <v>sol nu</v>
          </cell>
        </row>
        <row r="328">
          <cell r="A328" t="str">
            <v>B Av</v>
          </cell>
          <cell r="B328" t="str">
            <v>BRA_008</v>
          </cell>
          <cell r="C328" t="str">
            <v>Bordure témoin</v>
          </cell>
          <cell r="D328" t="str">
            <v>Aviso-T</v>
          </cell>
        </row>
        <row r="329">
          <cell r="A329" t="str">
            <v>B Mt</v>
          </cell>
          <cell r="B329" t="str">
            <v>RAPSO_243</v>
          </cell>
          <cell r="C329" t="str">
            <v>Bordure témoin</v>
          </cell>
          <cell r="D329" t="str">
            <v>Montego-T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cdesign_data"/>
      <sheetName val="Liste_genot_total"/>
      <sheetName val="Panel + canopy-A-B version long"/>
      <sheetName val="Panel +canopy-A-B version court"/>
      <sheetName val="nombre acc."/>
      <sheetName val="Panel +canopy-A-B"/>
      <sheetName val="Panel2 + canopy-B2"/>
      <sheetName val="canopy-A2_CB"/>
      <sheetName val="Canopy-A2"/>
      <sheetName val="Panel +canopy-A-B_dispositi (2"/>
      <sheetName val="random_total"/>
      <sheetName val="liste parcellaire"/>
      <sheetName val="random_ETQ"/>
      <sheetName val="Liste_genot_ETQ"/>
      <sheetName val="Recolte Machine"/>
      <sheetName val="etiquettes CANOPY-A"/>
      <sheetName val="etiquettes CANOPY-B"/>
      <sheetName val="etiquettes Pan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N°Plan</v>
          </cell>
          <cell r="B1" t="str">
            <v>ID_RAPSODYN</v>
          </cell>
          <cell r="C1" t="str">
            <v>Code champ_2014/2015</v>
          </cell>
          <cell r="D1" t="str">
            <v>Accession</v>
          </cell>
        </row>
        <row r="2">
          <cell r="A2">
            <v>1</v>
          </cell>
          <cell r="B2" t="str">
            <v>RAPSO_002</v>
          </cell>
          <cell r="C2" t="str">
            <v>Y3-G001</v>
          </cell>
          <cell r="D2" t="str">
            <v>Alsace 1360</v>
          </cell>
        </row>
        <row r="3">
          <cell r="A3">
            <v>2</v>
          </cell>
          <cell r="B3" t="str">
            <v>RAPSO_008</v>
          </cell>
          <cell r="C3" t="str">
            <v>Y3-G002</v>
          </cell>
          <cell r="D3" t="str">
            <v>Fertodi elit</v>
          </cell>
        </row>
        <row r="4">
          <cell r="A4">
            <v>3</v>
          </cell>
          <cell r="B4" t="str">
            <v>RAPSO_011</v>
          </cell>
          <cell r="C4" t="str">
            <v>Y3-G003</v>
          </cell>
          <cell r="D4" t="str">
            <v>Gaspard</v>
          </cell>
        </row>
        <row r="5">
          <cell r="A5">
            <v>4</v>
          </cell>
          <cell r="B5" t="str">
            <v>RAPSO_013</v>
          </cell>
          <cell r="C5" t="str">
            <v>Y3-G004</v>
          </cell>
          <cell r="D5" t="str">
            <v>Gesunder</v>
          </cell>
        </row>
        <row r="6">
          <cell r="A6">
            <v>5</v>
          </cell>
          <cell r="B6" t="str">
            <v>RAPSO_014</v>
          </cell>
          <cell r="C6" t="str">
            <v>Y3-G005</v>
          </cell>
          <cell r="D6" t="str">
            <v>Goldgelber Zarter Butter</v>
          </cell>
        </row>
        <row r="7">
          <cell r="A7">
            <v>6</v>
          </cell>
          <cell r="B7" t="str">
            <v>RAPSO_023</v>
          </cell>
          <cell r="C7" t="str">
            <v>Y3-G006</v>
          </cell>
          <cell r="D7" t="str">
            <v>Lembke</v>
          </cell>
        </row>
        <row r="8">
          <cell r="A8">
            <v>7</v>
          </cell>
          <cell r="B8" t="str">
            <v>RAPSO_027</v>
          </cell>
          <cell r="C8" t="str">
            <v>Y3-G007</v>
          </cell>
          <cell r="D8" t="str">
            <v>Major</v>
          </cell>
        </row>
        <row r="9">
          <cell r="A9">
            <v>8</v>
          </cell>
          <cell r="B9" t="str">
            <v>RAPSO_029</v>
          </cell>
          <cell r="C9" t="str">
            <v>Y3-G008</v>
          </cell>
          <cell r="D9" t="str">
            <v>Markus</v>
          </cell>
        </row>
        <row r="10">
          <cell r="A10">
            <v>9</v>
          </cell>
          <cell r="B10" t="str">
            <v>RAPSO_030</v>
          </cell>
          <cell r="C10" t="str">
            <v>Y3-G009</v>
          </cell>
          <cell r="D10" t="str">
            <v>Matador</v>
          </cell>
        </row>
        <row r="11">
          <cell r="A11">
            <v>10</v>
          </cell>
          <cell r="B11" t="str">
            <v>RAPSO_033</v>
          </cell>
          <cell r="C11" t="str">
            <v>Y3-G010</v>
          </cell>
          <cell r="D11" t="str">
            <v>Moldavia</v>
          </cell>
        </row>
        <row r="12">
          <cell r="A12">
            <v>11</v>
          </cell>
          <cell r="B12" t="str">
            <v>RAPSO_035</v>
          </cell>
          <cell r="C12" t="str">
            <v>Y3-G011</v>
          </cell>
          <cell r="D12" t="str">
            <v>Nain de Hambourg</v>
          </cell>
        </row>
        <row r="13">
          <cell r="A13">
            <v>12</v>
          </cell>
          <cell r="B13" t="str">
            <v>RAPSO_038</v>
          </cell>
          <cell r="C13" t="str">
            <v>Y3-G012</v>
          </cell>
          <cell r="D13" t="str">
            <v>Oleski</v>
          </cell>
        </row>
        <row r="14">
          <cell r="A14">
            <v>13</v>
          </cell>
          <cell r="B14" t="str">
            <v>RAPSO_040</v>
          </cell>
          <cell r="C14" t="str">
            <v>Y3-G013</v>
          </cell>
          <cell r="D14" t="str">
            <v>Olquell Gulzover</v>
          </cell>
        </row>
        <row r="15">
          <cell r="A15">
            <v>14</v>
          </cell>
          <cell r="B15" t="str">
            <v>RAPSO_041</v>
          </cell>
          <cell r="C15" t="str">
            <v>Y3-G014</v>
          </cell>
          <cell r="D15" t="str">
            <v>Orléans</v>
          </cell>
        </row>
        <row r="16">
          <cell r="A16">
            <v>15</v>
          </cell>
          <cell r="B16" t="str">
            <v>RAPSO_043</v>
          </cell>
          <cell r="C16" t="str">
            <v>Y3-G015</v>
          </cell>
          <cell r="D16" t="str">
            <v>Polux</v>
          </cell>
        </row>
        <row r="17">
          <cell r="A17">
            <v>16</v>
          </cell>
          <cell r="B17" t="str">
            <v>RAPSO_046</v>
          </cell>
          <cell r="C17" t="str">
            <v>Y3-G016</v>
          </cell>
          <cell r="D17" t="str">
            <v>Prerouska</v>
          </cell>
        </row>
        <row r="18">
          <cell r="A18">
            <v>17</v>
          </cell>
          <cell r="B18" t="str">
            <v>RAPSO_050</v>
          </cell>
          <cell r="C18" t="str">
            <v>Y3-G017</v>
          </cell>
          <cell r="D18" t="str">
            <v>QuedLinburger Platzfester</v>
          </cell>
        </row>
        <row r="19">
          <cell r="A19">
            <v>18</v>
          </cell>
          <cell r="B19" t="str">
            <v>RAPSO_051</v>
          </cell>
          <cell r="C19" t="str">
            <v>Y3-G018</v>
          </cell>
          <cell r="D19" t="str">
            <v>Ramses</v>
          </cell>
        </row>
        <row r="20">
          <cell r="A20">
            <v>19</v>
          </cell>
          <cell r="B20" t="str">
            <v>RAPSO_053</v>
          </cell>
          <cell r="C20" t="str">
            <v>Y3-G019</v>
          </cell>
          <cell r="D20" t="str">
            <v>Rapol</v>
          </cell>
        </row>
        <row r="21">
          <cell r="A21">
            <v>20</v>
          </cell>
          <cell r="B21" t="str">
            <v>RAPSO_062</v>
          </cell>
          <cell r="C21" t="str">
            <v>Y3-G020</v>
          </cell>
          <cell r="D21" t="str">
            <v>Titus</v>
          </cell>
        </row>
        <row r="22">
          <cell r="A22">
            <v>21</v>
          </cell>
          <cell r="B22" t="str">
            <v>RAPSO_063</v>
          </cell>
          <cell r="C22" t="str">
            <v>Y3-G021</v>
          </cell>
          <cell r="D22" t="str">
            <v>Tonus</v>
          </cell>
        </row>
        <row r="23">
          <cell r="A23">
            <v>22</v>
          </cell>
          <cell r="B23" t="str">
            <v>RAPSO_068</v>
          </cell>
          <cell r="C23" t="str">
            <v>Y3-G022</v>
          </cell>
          <cell r="D23" t="str">
            <v>Zeruca</v>
          </cell>
        </row>
        <row r="24">
          <cell r="A24">
            <v>23</v>
          </cell>
          <cell r="B24" t="str">
            <v>RAPSO_070</v>
          </cell>
          <cell r="C24" t="str">
            <v>Y3-G023</v>
          </cell>
          <cell r="D24" t="str">
            <v>Askari</v>
          </cell>
        </row>
        <row r="25">
          <cell r="A25">
            <v>24</v>
          </cell>
          <cell r="B25" t="str">
            <v>RAPSO_072</v>
          </cell>
          <cell r="C25" t="str">
            <v>Y3-G024</v>
          </cell>
          <cell r="D25" t="str">
            <v>Aztec</v>
          </cell>
        </row>
        <row r="26">
          <cell r="A26">
            <v>25</v>
          </cell>
          <cell r="B26" t="str">
            <v>RAPSO_073</v>
          </cell>
          <cell r="C26" t="str">
            <v>Y3-G025</v>
          </cell>
          <cell r="D26" t="str">
            <v>Belinda</v>
          </cell>
        </row>
        <row r="27">
          <cell r="A27">
            <v>26</v>
          </cell>
          <cell r="B27" t="str">
            <v>RAPSO_075</v>
          </cell>
          <cell r="C27" t="str">
            <v>Y3-G026</v>
          </cell>
          <cell r="D27" t="str">
            <v>Beryl</v>
          </cell>
        </row>
        <row r="28">
          <cell r="A28">
            <v>27</v>
          </cell>
          <cell r="B28" t="str">
            <v>RAPSO_076</v>
          </cell>
          <cell r="C28" t="str">
            <v>Y3-G027</v>
          </cell>
          <cell r="D28" t="str">
            <v>Bienvenu - R33</v>
          </cell>
        </row>
        <row r="29">
          <cell r="A29">
            <v>28</v>
          </cell>
          <cell r="B29" t="str">
            <v>RAPSO_077</v>
          </cell>
          <cell r="C29" t="str">
            <v>Y3-G028</v>
          </cell>
          <cell r="D29" t="str">
            <v>Brink</v>
          </cell>
        </row>
        <row r="30">
          <cell r="A30">
            <v>29</v>
          </cell>
          <cell r="B30" t="str">
            <v>RAPSO_080</v>
          </cell>
          <cell r="C30" t="str">
            <v>Y3-G029</v>
          </cell>
          <cell r="D30" t="str">
            <v>Constable</v>
          </cell>
        </row>
        <row r="31">
          <cell r="A31">
            <v>30</v>
          </cell>
          <cell r="B31" t="str">
            <v>RAPSO_081</v>
          </cell>
          <cell r="C31" t="str">
            <v>Y3-G030</v>
          </cell>
          <cell r="D31" t="str">
            <v>Doral</v>
          </cell>
        </row>
        <row r="32">
          <cell r="A32">
            <v>31</v>
          </cell>
          <cell r="B32" t="str">
            <v>RAPSO_084</v>
          </cell>
          <cell r="C32" t="str">
            <v>Y3-G031</v>
          </cell>
          <cell r="D32" t="str">
            <v>Emil</v>
          </cell>
        </row>
        <row r="33">
          <cell r="A33">
            <v>32</v>
          </cell>
          <cell r="B33" t="str">
            <v>RAPSO_085</v>
          </cell>
          <cell r="C33" t="str">
            <v>Y3-G032</v>
          </cell>
          <cell r="D33" t="str">
            <v>Expander</v>
          </cell>
        </row>
        <row r="34">
          <cell r="A34">
            <v>33</v>
          </cell>
          <cell r="B34" t="str">
            <v>RAPSO_099</v>
          </cell>
          <cell r="C34" t="str">
            <v>Y3-G033</v>
          </cell>
          <cell r="D34" t="str">
            <v>Kurander</v>
          </cell>
        </row>
        <row r="35">
          <cell r="A35">
            <v>34</v>
          </cell>
          <cell r="B35" t="str">
            <v>RAPSO_102</v>
          </cell>
          <cell r="C35" t="str">
            <v>Y3-G034</v>
          </cell>
          <cell r="D35" t="str">
            <v>Lesira</v>
          </cell>
        </row>
        <row r="36">
          <cell r="A36">
            <v>35</v>
          </cell>
          <cell r="B36" t="str">
            <v>RAPSO_108</v>
          </cell>
          <cell r="C36" t="str">
            <v>Y3-G035</v>
          </cell>
          <cell r="D36" t="str">
            <v>Mikado</v>
          </cell>
        </row>
        <row r="37">
          <cell r="A37">
            <v>36</v>
          </cell>
          <cell r="B37" t="str">
            <v>RAPSO_115</v>
          </cell>
          <cell r="C37" t="str">
            <v>Y3-G036</v>
          </cell>
          <cell r="D37" t="str">
            <v>Rafal</v>
          </cell>
        </row>
        <row r="38">
          <cell r="A38">
            <v>37</v>
          </cell>
          <cell r="B38" t="str">
            <v>RAPSO_122</v>
          </cell>
          <cell r="C38" t="str">
            <v>Y3-G037</v>
          </cell>
          <cell r="D38" t="str">
            <v>Start</v>
          </cell>
        </row>
        <row r="39">
          <cell r="A39">
            <v>38</v>
          </cell>
          <cell r="B39" t="str">
            <v>RAPSO_124</v>
          </cell>
          <cell r="C39" t="str">
            <v>Y3-G038</v>
          </cell>
          <cell r="D39" t="str">
            <v>Valdor</v>
          </cell>
        </row>
        <row r="40">
          <cell r="A40">
            <v>39</v>
          </cell>
          <cell r="B40" t="str">
            <v>RAPSO_128</v>
          </cell>
          <cell r="C40" t="str">
            <v>Y3-G039</v>
          </cell>
          <cell r="D40" t="str">
            <v>Adriana</v>
          </cell>
        </row>
        <row r="41">
          <cell r="A41">
            <v>40</v>
          </cell>
          <cell r="B41" t="str">
            <v>RAPSO_130</v>
          </cell>
          <cell r="C41" t="str">
            <v>Y3-G040</v>
          </cell>
          <cell r="D41" t="str">
            <v>Akamar</v>
          </cell>
        </row>
        <row r="42">
          <cell r="A42">
            <v>41</v>
          </cell>
          <cell r="B42" t="str">
            <v>RAPSO_131</v>
          </cell>
          <cell r="C42" t="str">
            <v>Y3-G041</v>
          </cell>
          <cell r="D42" t="str">
            <v>Alesi</v>
          </cell>
        </row>
        <row r="43">
          <cell r="A43">
            <v>42</v>
          </cell>
          <cell r="B43" t="str">
            <v>RAPSO_132</v>
          </cell>
          <cell r="C43" t="str">
            <v>Y3-G042</v>
          </cell>
          <cell r="D43" t="str">
            <v>Aligator</v>
          </cell>
        </row>
        <row r="44">
          <cell r="A44">
            <v>43</v>
          </cell>
          <cell r="B44" t="str">
            <v>RAPSO_135</v>
          </cell>
          <cell r="C44" t="str">
            <v>Y3-G043</v>
          </cell>
          <cell r="D44" t="str">
            <v>Amber</v>
          </cell>
        </row>
        <row r="45">
          <cell r="A45">
            <v>44</v>
          </cell>
          <cell r="B45" t="str">
            <v>RAPSO_138</v>
          </cell>
          <cell r="C45" t="str">
            <v>Y3-G044</v>
          </cell>
          <cell r="D45" t="str">
            <v>Ariana</v>
          </cell>
        </row>
        <row r="46">
          <cell r="A46">
            <v>45</v>
          </cell>
          <cell r="B46" t="str">
            <v>RAPSO_139</v>
          </cell>
          <cell r="C46" t="str">
            <v>Y3-G045</v>
          </cell>
          <cell r="D46" t="str">
            <v>Atlantic</v>
          </cell>
        </row>
        <row r="47">
          <cell r="A47">
            <v>46</v>
          </cell>
          <cell r="B47" t="str">
            <v>RAPSO_140</v>
          </cell>
          <cell r="C47" t="str">
            <v>Y3-G046</v>
          </cell>
          <cell r="D47" t="str">
            <v>Aurum</v>
          </cell>
        </row>
        <row r="48">
          <cell r="A48">
            <v>47</v>
          </cell>
          <cell r="B48" t="str">
            <v>RAPSO_144</v>
          </cell>
          <cell r="C48" t="str">
            <v>Y3-G047</v>
          </cell>
          <cell r="D48" t="str">
            <v>Bellini</v>
          </cell>
        </row>
        <row r="49">
          <cell r="A49">
            <v>48</v>
          </cell>
          <cell r="B49" t="str">
            <v>RAPSO_146</v>
          </cell>
          <cell r="C49" t="str">
            <v>Y3-G048</v>
          </cell>
          <cell r="D49" t="str">
            <v>Bolko - POH 285</v>
          </cell>
        </row>
        <row r="50">
          <cell r="A50">
            <v>49</v>
          </cell>
          <cell r="B50" t="str">
            <v>RAPSO_148</v>
          </cell>
          <cell r="C50" t="str">
            <v>Y3-G049</v>
          </cell>
          <cell r="D50" t="str">
            <v>Boston</v>
          </cell>
        </row>
        <row r="51">
          <cell r="A51">
            <v>50</v>
          </cell>
          <cell r="B51" t="str">
            <v>RAPSO_154</v>
          </cell>
          <cell r="C51" t="str">
            <v>Y3-G050</v>
          </cell>
          <cell r="D51" t="str">
            <v>Campala</v>
          </cell>
        </row>
        <row r="52">
          <cell r="A52">
            <v>51</v>
          </cell>
          <cell r="B52" t="str">
            <v>RAPSO_155</v>
          </cell>
          <cell r="C52" t="str">
            <v>Y3-G051</v>
          </cell>
          <cell r="D52" t="str">
            <v>Canberra</v>
          </cell>
        </row>
        <row r="53">
          <cell r="A53">
            <v>52</v>
          </cell>
          <cell r="B53" t="str">
            <v>RAPSO_156</v>
          </cell>
          <cell r="C53" t="str">
            <v>Y3-G052</v>
          </cell>
          <cell r="D53" t="str">
            <v>Cancan</v>
          </cell>
        </row>
        <row r="54">
          <cell r="A54">
            <v>53</v>
          </cell>
          <cell r="B54" t="str">
            <v>RAPSO_158</v>
          </cell>
          <cell r="C54" t="str">
            <v>Y3-G053</v>
          </cell>
          <cell r="D54" t="str">
            <v>Capitol</v>
          </cell>
        </row>
        <row r="55">
          <cell r="A55">
            <v>54</v>
          </cell>
          <cell r="B55" t="str">
            <v>RAPSO_160</v>
          </cell>
          <cell r="C55" t="str">
            <v>Y3-G054</v>
          </cell>
          <cell r="D55" t="str">
            <v>Capricorn</v>
          </cell>
        </row>
        <row r="56">
          <cell r="A56">
            <v>55</v>
          </cell>
          <cell r="B56" t="str">
            <v>RAPSO_162</v>
          </cell>
          <cell r="C56" t="str">
            <v>Y3-G055</v>
          </cell>
          <cell r="D56" t="str">
            <v>CAPVERT</v>
          </cell>
        </row>
        <row r="57">
          <cell r="A57">
            <v>56</v>
          </cell>
          <cell r="B57" t="str">
            <v>RAPSO_165</v>
          </cell>
          <cell r="C57" t="str">
            <v>Y3-G056</v>
          </cell>
          <cell r="D57" t="str">
            <v>Ceres</v>
          </cell>
        </row>
        <row r="58">
          <cell r="A58">
            <v>57</v>
          </cell>
          <cell r="B58" t="str">
            <v>RAPSO_167</v>
          </cell>
          <cell r="C58" t="str">
            <v>Y3-G057</v>
          </cell>
          <cell r="D58" t="str">
            <v>Chelsi</v>
          </cell>
        </row>
        <row r="59">
          <cell r="A59">
            <v>58</v>
          </cell>
          <cell r="B59" t="str">
            <v>RAPSO_168</v>
          </cell>
          <cell r="C59" t="str">
            <v>Y3-G058</v>
          </cell>
          <cell r="D59" t="str">
            <v>Cheops</v>
          </cell>
        </row>
        <row r="60">
          <cell r="A60">
            <v>59</v>
          </cell>
          <cell r="B60" t="str">
            <v>RAPSO_171</v>
          </cell>
          <cell r="C60" t="str">
            <v>Y3-G059</v>
          </cell>
          <cell r="D60" t="str">
            <v>Colvert</v>
          </cell>
        </row>
        <row r="61">
          <cell r="A61">
            <v>60</v>
          </cell>
          <cell r="B61" t="str">
            <v>RAPSO_174</v>
          </cell>
          <cell r="C61" t="str">
            <v>Y3-G060</v>
          </cell>
          <cell r="D61" t="str">
            <v>Contact</v>
          </cell>
        </row>
        <row r="62">
          <cell r="A62">
            <v>61</v>
          </cell>
          <cell r="B62" t="str">
            <v>RAPSO_175</v>
          </cell>
          <cell r="C62" t="str">
            <v>Y3-G061</v>
          </cell>
          <cell r="D62" t="str">
            <v>Courage</v>
          </cell>
        </row>
        <row r="63">
          <cell r="A63">
            <v>62</v>
          </cell>
          <cell r="B63" t="str">
            <v>RAPSO_176</v>
          </cell>
          <cell r="C63" t="str">
            <v>Y3-G062</v>
          </cell>
          <cell r="D63" t="str">
            <v>Darmor</v>
          </cell>
        </row>
        <row r="64">
          <cell r="A64">
            <v>63</v>
          </cell>
          <cell r="B64" t="str">
            <v>RAPSO_178</v>
          </cell>
          <cell r="C64" t="str">
            <v>Y3-G063</v>
          </cell>
          <cell r="D64" t="str">
            <v>Doublol</v>
          </cell>
        </row>
        <row r="65">
          <cell r="A65">
            <v>64</v>
          </cell>
          <cell r="B65" t="str">
            <v>RAPSO_180</v>
          </cell>
          <cell r="C65" t="str">
            <v>Y3-G064</v>
          </cell>
          <cell r="D65" t="str">
            <v>Ecrin</v>
          </cell>
        </row>
        <row r="66">
          <cell r="A66">
            <v>65</v>
          </cell>
          <cell r="B66" t="str">
            <v>RAPSO_181</v>
          </cell>
          <cell r="C66" t="str">
            <v>Y3-G065</v>
          </cell>
          <cell r="D66" t="str">
            <v>Eleonore</v>
          </cell>
        </row>
        <row r="67">
          <cell r="A67">
            <v>66</v>
          </cell>
          <cell r="B67" t="str">
            <v>RAPSO_187</v>
          </cell>
          <cell r="C67" t="str">
            <v>Y3-G066</v>
          </cell>
          <cell r="D67" t="str">
            <v>Escort</v>
          </cell>
        </row>
        <row r="68">
          <cell r="A68">
            <v>67</v>
          </cell>
          <cell r="B68" t="str">
            <v>RAPSO_190</v>
          </cell>
          <cell r="C68" t="str">
            <v>Y3-G067</v>
          </cell>
          <cell r="D68" t="str">
            <v>Evri</v>
          </cell>
        </row>
        <row r="69">
          <cell r="A69">
            <v>68</v>
          </cell>
          <cell r="B69" t="str">
            <v>RAPSO_193</v>
          </cell>
          <cell r="C69" t="str">
            <v>Y3-G068</v>
          </cell>
          <cell r="D69" t="str">
            <v>Express</v>
          </cell>
        </row>
        <row r="70">
          <cell r="A70">
            <v>69</v>
          </cell>
          <cell r="B70" t="str">
            <v>RAPSO_199</v>
          </cell>
          <cell r="C70" t="str">
            <v>Y3-G069</v>
          </cell>
          <cell r="D70" t="str">
            <v>Frederic</v>
          </cell>
        </row>
        <row r="71">
          <cell r="A71">
            <v>70</v>
          </cell>
          <cell r="B71" t="str">
            <v>RAPSO_202</v>
          </cell>
          <cell r="C71" t="str">
            <v>Y3-G070</v>
          </cell>
          <cell r="D71" t="str">
            <v>Goeland</v>
          </cell>
        </row>
        <row r="72">
          <cell r="A72">
            <v>71</v>
          </cell>
          <cell r="B72" t="str">
            <v>RAPSO_203</v>
          </cell>
          <cell r="C72" t="str">
            <v>Y3-G071</v>
          </cell>
          <cell r="D72" t="str">
            <v>Grizzly</v>
          </cell>
        </row>
        <row r="73">
          <cell r="A73">
            <v>72</v>
          </cell>
          <cell r="B73" t="str">
            <v>RAPSO_207</v>
          </cell>
          <cell r="C73" t="str">
            <v>Y3-G072</v>
          </cell>
          <cell r="D73" t="str">
            <v>Ibex</v>
          </cell>
        </row>
        <row r="74">
          <cell r="A74">
            <v>73</v>
          </cell>
          <cell r="B74" t="str">
            <v>RAPSO_208</v>
          </cell>
          <cell r="C74" t="str">
            <v>Y3-G073</v>
          </cell>
          <cell r="D74" t="str">
            <v>Idol</v>
          </cell>
        </row>
        <row r="75">
          <cell r="A75">
            <v>74</v>
          </cell>
          <cell r="B75" t="str">
            <v>RAPSO_209</v>
          </cell>
          <cell r="C75" t="str">
            <v>Y3-G074</v>
          </cell>
          <cell r="D75" t="str">
            <v>Inca</v>
          </cell>
        </row>
        <row r="76">
          <cell r="A76">
            <v>75</v>
          </cell>
          <cell r="B76" t="str">
            <v>RAPSO_213</v>
          </cell>
          <cell r="C76" t="str">
            <v>Y3-G075</v>
          </cell>
          <cell r="D76" t="str">
            <v>Jetton</v>
          </cell>
        </row>
        <row r="77">
          <cell r="A77">
            <v>76</v>
          </cell>
          <cell r="B77" t="str">
            <v>RAPSO_215</v>
          </cell>
          <cell r="C77" t="str">
            <v>Y3-G076</v>
          </cell>
          <cell r="D77" t="str">
            <v>Kadore</v>
          </cell>
        </row>
        <row r="78">
          <cell r="A78">
            <v>77</v>
          </cell>
          <cell r="B78" t="str">
            <v>RAPSO_216</v>
          </cell>
          <cell r="C78" t="str">
            <v>Y3-G077</v>
          </cell>
          <cell r="D78" t="str">
            <v>Kosto</v>
          </cell>
        </row>
        <row r="79">
          <cell r="A79">
            <v>78</v>
          </cell>
          <cell r="B79" t="str">
            <v>RAPSO_219</v>
          </cell>
          <cell r="C79" t="str">
            <v>Y3-G078</v>
          </cell>
          <cell r="D79" t="str">
            <v>Lewis</v>
          </cell>
        </row>
        <row r="80">
          <cell r="A80">
            <v>79</v>
          </cell>
          <cell r="B80" t="str">
            <v>RAPSO_220</v>
          </cell>
          <cell r="C80" t="str">
            <v>Y3-G079</v>
          </cell>
          <cell r="D80" t="str">
            <v>Liberator</v>
          </cell>
        </row>
        <row r="81">
          <cell r="A81">
            <v>80</v>
          </cell>
          <cell r="B81" t="str">
            <v>RAPSO_222</v>
          </cell>
          <cell r="C81" t="str">
            <v>Y3-G080</v>
          </cell>
          <cell r="D81" t="str">
            <v>Licorne</v>
          </cell>
        </row>
        <row r="82">
          <cell r="A82">
            <v>81</v>
          </cell>
          <cell r="B82" t="str">
            <v>RAPSO_226</v>
          </cell>
          <cell r="C82" t="str">
            <v>Y3-G081</v>
          </cell>
          <cell r="D82" t="str">
            <v>Lioness</v>
          </cell>
        </row>
        <row r="83">
          <cell r="A83">
            <v>82</v>
          </cell>
          <cell r="B83" t="str">
            <v>RAPSO_227</v>
          </cell>
          <cell r="C83" t="str">
            <v>Y3-G082</v>
          </cell>
          <cell r="D83" t="str">
            <v>Liporta</v>
          </cell>
        </row>
        <row r="84">
          <cell r="A84">
            <v>83</v>
          </cell>
          <cell r="B84" t="str">
            <v>RAPSO_230</v>
          </cell>
          <cell r="C84" t="str">
            <v>Y3-G083</v>
          </cell>
          <cell r="D84" t="str">
            <v>Lirabon</v>
          </cell>
        </row>
        <row r="85">
          <cell r="A85">
            <v>84</v>
          </cell>
          <cell r="B85" t="str">
            <v>RAPSO_231</v>
          </cell>
          <cell r="C85" t="str">
            <v>Y3-G084</v>
          </cell>
          <cell r="D85" t="str">
            <v>Lirajet</v>
          </cell>
        </row>
        <row r="86">
          <cell r="A86">
            <v>85</v>
          </cell>
          <cell r="B86" t="str">
            <v>RAPSO_232</v>
          </cell>
          <cell r="C86" t="str">
            <v>Y3-G085</v>
          </cell>
          <cell r="D86" t="str">
            <v>Madrigal</v>
          </cell>
        </row>
        <row r="87">
          <cell r="A87">
            <v>86</v>
          </cell>
          <cell r="B87" t="str">
            <v>RAPSO_234</v>
          </cell>
          <cell r="C87" t="str">
            <v>Y3-G086</v>
          </cell>
          <cell r="D87" t="str">
            <v>Makila</v>
          </cell>
        </row>
        <row r="88">
          <cell r="A88">
            <v>87</v>
          </cell>
          <cell r="B88" t="str">
            <v>RAPSO_235</v>
          </cell>
          <cell r="C88" t="str">
            <v>Y3-G087</v>
          </cell>
          <cell r="D88" t="str">
            <v>Mar</v>
          </cell>
        </row>
        <row r="89">
          <cell r="A89">
            <v>88</v>
          </cell>
          <cell r="B89" t="str">
            <v>RAPSO_238</v>
          </cell>
          <cell r="C89" t="str">
            <v>Y3-G088</v>
          </cell>
          <cell r="D89" t="str">
            <v>Milena</v>
          </cell>
        </row>
        <row r="90">
          <cell r="A90">
            <v>89</v>
          </cell>
          <cell r="B90" t="str">
            <v>RAPSO_243</v>
          </cell>
          <cell r="C90" t="str">
            <v>Y3-G089</v>
          </cell>
          <cell r="D90" t="str">
            <v>Montego</v>
          </cell>
        </row>
        <row r="91">
          <cell r="A91">
            <v>90</v>
          </cell>
          <cell r="B91" t="str">
            <v>RAPSO_245</v>
          </cell>
          <cell r="C91" t="str">
            <v>Y3-G090</v>
          </cell>
          <cell r="D91" t="str">
            <v>Navajo</v>
          </cell>
        </row>
        <row r="92">
          <cell r="A92">
            <v>91</v>
          </cell>
          <cell r="B92" t="str">
            <v>RAPSO_246</v>
          </cell>
          <cell r="C92" t="str">
            <v>Y3-G091</v>
          </cell>
          <cell r="D92" t="str">
            <v>NSL 96-25</v>
          </cell>
        </row>
        <row r="93">
          <cell r="A93">
            <v>92</v>
          </cell>
          <cell r="B93" t="str">
            <v>RAPSO_248</v>
          </cell>
          <cell r="C93" t="str">
            <v>Y3-G092</v>
          </cell>
          <cell r="D93" t="str">
            <v>Oase</v>
          </cell>
        </row>
        <row r="94">
          <cell r="A94">
            <v>93</v>
          </cell>
          <cell r="B94" t="str">
            <v>RAPSO_251</v>
          </cell>
          <cell r="C94" t="str">
            <v>Y3-G093</v>
          </cell>
          <cell r="D94" t="str">
            <v>Olymp</v>
          </cell>
        </row>
        <row r="95">
          <cell r="A95">
            <v>94</v>
          </cell>
          <cell r="B95" t="str">
            <v>RAPSO_253</v>
          </cell>
          <cell r="C95" t="str">
            <v>Y3-G094</v>
          </cell>
          <cell r="D95" t="str">
            <v>Pacific</v>
          </cell>
        </row>
        <row r="96">
          <cell r="A96">
            <v>95</v>
          </cell>
          <cell r="B96" t="str">
            <v>RAPSO_254</v>
          </cell>
          <cell r="C96" t="str">
            <v>Y3-G095</v>
          </cell>
          <cell r="D96" t="str">
            <v>PAYROL</v>
          </cell>
        </row>
        <row r="97">
          <cell r="A97">
            <v>96</v>
          </cell>
          <cell r="B97" t="str">
            <v>RAPSO_256</v>
          </cell>
          <cell r="C97" t="str">
            <v>Y3-G096</v>
          </cell>
          <cell r="D97" t="str">
            <v>Pollen</v>
          </cell>
        </row>
        <row r="98">
          <cell r="A98">
            <v>97</v>
          </cell>
          <cell r="B98" t="str">
            <v>RAPSO_258</v>
          </cell>
          <cell r="C98" t="str">
            <v>Y3-G097</v>
          </cell>
          <cell r="D98" t="str">
            <v>Potomac</v>
          </cell>
        </row>
        <row r="99">
          <cell r="A99">
            <v>98</v>
          </cell>
          <cell r="B99" t="str">
            <v>RAPSO_259</v>
          </cell>
          <cell r="C99" t="str">
            <v>Y3-G098</v>
          </cell>
          <cell r="D99" t="str">
            <v>Prince</v>
          </cell>
        </row>
        <row r="100">
          <cell r="A100">
            <v>99</v>
          </cell>
          <cell r="B100" t="str">
            <v>RAPSO_260</v>
          </cell>
          <cell r="C100" t="str">
            <v>Y3-G099</v>
          </cell>
          <cell r="D100" t="str">
            <v>Recital</v>
          </cell>
        </row>
        <row r="101">
          <cell r="A101">
            <v>100</v>
          </cell>
          <cell r="B101" t="str">
            <v>RAPSO_261</v>
          </cell>
          <cell r="C101" t="str">
            <v>Y3-G100</v>
          </cell>
          <cell r="D101" t="str">
            <v>Remy</v>
          </cell>
        </row>
        <row r="102">
          <cell r="A102">
            <v>101</v>
          </cell>
          <cell r="B102" t="str">
            <v>RAPSO_263</v>
          </cell>
          <cell r="C102" t="str">
            <v>Y3-G101</v>
          </cell>
          <cell r="D102" t="str">
            <v>Rocket</v>
          </cell>
        </row>
        <row r="103">
          <cell r="A103">
            <v>102</v>
          </cell>
          <cell r="B103" t="str">
            <v>RAPSO_265</v>
          </cell>
          <cell r="C103" t="str">
            <v>Y3-G102</v>
          </cell>
          <cell r="D103" t="str">
            <v>Roxet</v>
          </cell>
        </row>
        <row r="104">
          <cell r="A104">
            <v>103</v>
          </cell>
          <cell r="B104" t="str">
            <v>RAPSO_266</v>
          </cell>
          <cell r="C104" t="str">
            <v>Y3-G103</v>
          </cell>
          <cell r="D104" t="str">
            <v>Sahara</v>
          </cell>
        </row>
        <row r="105">
          <cell r="A105">
            <v>104</v>
          </cell>
          <cell r="B105" t="str">
            <v>RAPSO_267</v>
          </cell>
          <cell r="C105" t="str">
            <v>Y3-G104</v>
          </cell>
          <cell r="D105" t="str">
            <v>Salomont</v>
          </cell>
        </row>
        <row r="106">
          <cell r="A106">
            <v>105</v>
          </cell>
          <cell r="B106" t="str">
            <v>RAPSO_270</v>
          </cell>
          <cell r="C106" t="str">
            <v>Y3-G105</v>
          </cell>
          <cell r="D106" t="str">
            <v>Shogun</v>
          </cell>
        </row>
        <row r="107">
          <cell r="A107">
            <v>106</v>
          </cell>
          <cell r="B107" t="str">
            <v>RAPSO_271</v>
          </cell>
          <cell r="C107" t="str">
            <v>Y3-G106</v>
          </cell>
          <cell r="D107" t="str">
            <v>SW Gospel</v>
          </cell>
        </row>
        <row r="108">
          <cell r="A108">
            <v>107</v>
          </cell>
          <cell r="B108" t="str">
            <v>RAPSO_273</v>
          </cell>
          <cell r="C108" t="str">
            <v>Y3-G107</v>
          </cell>
          <cell r="D108" t="str">
            <v>TAROX</v>
          </cell>
        </row>
        <row r="109">
          <cell r="A109">
            <v>108</v>
          </cell>
          <cell r="B109" t="str">
            <v>RAPSO_277</v>
          </cell>
          <cell r="C109" t="str">
            <v>Y3-G108</v>
          </cell>
          <cell r="D109" t="str">
            <v>Tenor</v>
          </cell>
        </row>
        <row r="110">
          <cell r="A110">
            <v>109</v>
          </cell>
          <cell r="B110" t="str">
            <v>RAPSO_278</v>
          </cell>
          <cell r="C110" t="str">
            <v>Y3-G109</v>
          </cell>
          <cell r="D110" t="str">
            <v>TOR</v>
          </cell>
        </row>
        <row r="111">
          <cell r="A111">
            <v>110</v>
          </cell>
          <cell r="B111" t="str">
            <v>RAPSO_281</v>
          </cell>
          <cell r="C111" t="str">
            <v>Y3-G110</v>
          </cell>
          <cell r="D111" t="str">
            <v>Tradition</v>
          </cell>
        </row>
        <row r="112">
          <cell r="A112">
            <v>111</v>
          </cell>
          <cell r="B112" t="str">
            <v>RAPSO_282</v>
          </cell>
          <cell r="C112" t="str">
            <v>Y3-G111</v>
          </cell>
          <cell r="D112" t="str">
            <v>Twister</v>
          </cell>
        </row>
        <row r="113">
          <cell r="A113">
            <v>112</v>
          </cell>
          <cell r="B113" t="str">
            <v>RAPSO_292</v>
          </cell>
          <cell r="C113" t="str">
            <v>Y3-G112</v>
          </cell>
          <cell r="D113" t="str">
            <v>Zorro</v>
          </cell>
        </row>
        <row r="114">
          <cell r="A114">
            <v>113</v>
          </cell>
          <cell r="B114" t="str">
            <v>RAPSO_342</v>
          </cell>
          <cell r="C114" t="str">
            <v>Y3-G113</v>
          </cell>
          <cell r="D114" t="str">
            <v>Madora2-DS3</v>
          </cell>
        </row>
        <row r="115">
          <cell r="A115">
            <v>114</v>
          </cell>
          <cell r="B115" t="str">
            <v>RAPSO_343</v>
          </cell>
          <cell r="C115" t="str">
            <v>Y3-G114</v>
          </cell>
          <cell r="D115" t="str">
            <v>Madora3-DS1</v>
          </cell>
        </row>
        <row r="116">
          <cell r="A116">
            <v>115</v>
          </cell>
          <cell r="B116" t="str">
            <v>RAPSO_356</v>
          </cell>
          <cell r="C116" t="str">
            <v>Y3-G115</v>
          </cell>
          <cell r="D116" t="str">
            <v>Regal2-DS1</v>
          </cell>
        </row>
        <row r="117">
          <cell r="A117">
            <v>116</v>
          </cell>
          <cell r="B117" t="str">
            <v>RAPSO_363</v>
          </cell>
          <cell r="C117" t="str">
            <v>Y3-G116</v>
          </cell>
          <cell r="D117" t="str">
            <v xml:space="preserve">MANSHOLTS </v>
          </cell>
        </row>
        <row r="118">
          <cell r="A118">
            <v>117</v>
          </cell>
          <cell r="B118" t="str">
            <v>RAPSO_368</v>
          </cell>
          <cell r="C118" t="str">
            <v>Y3-G117</v>
          </cell>
          <cell r="D118" t="str">
            <v xml:space="preserve">BLAGODATNYI </v>
          </cell>
        </row>
        <row r="119">
          <cell r="A119">
            <v>118</v>
          </cell>
          <cell r="B119" t="str">
            <v>RAPSO_375</v>
          </cell>
          <cell r="C119" t="str">
            <v>Y3-G118</v>
          </cell>
          <cell r="D119" t="str">
            <v xml:space="preserve">CETMEKI </v>
          </cell>
        </row>
        <row r="120">
          <cell r="A120">
            <v>119</v>
          </cell>
          <cell r="B120" t="str">
            <v>RAPSO_382</v>
          </cell>
          <cell r="C120" t="str">
            <v>Y3-G119</v>
          </cell>
          <cell r="D120" t="str">
            <v xml:space="preserve">DEBRUDER DIPPES </v>
          </cell>
        </row>
        <row r="121">
          <cell r="A121">
            <v>120</v>
          </cell>
          <cell r="B121" t="str">
            <v>RAPSO_395</v>
          </cell>
          <cell r="C121" t="str">
            <v>Y3-G120</v>
          </cell>
          <cell r="D121" t="str">
            <v xml:space="preserve">HOCHZUCHT REPOLE </v>
          </cell>
        </row>
        <row r="122">
          <cell r="A122">
            <v>121</v>
          </cell>
          <cell r="B122" t="str">
            <v>RAPSO_406</v>
          </cell>
          <cell r="C122" t="str">
            <v>Y3-G121</v>
          </cell>
          <cell r="D122" t="str">
            <v xml:space="preserve">KORMOVOI SKRIVERSKYI </v>
          </cell>
        </row>
        <row r="123">
          <cell r="A123">
            <v>122</v>
          </cell>
          <cell r="B123" t="str">
            <v>RAPSO_430</v>
          </cell>
          <cell r="C123" t="str">
            <v>Y3-G122</v>
          </cell>
          <cell r="D123" t="str">
            <v xml:space="preserve">RANGI </v>
          </cell>
        </row>
        <row r="124">
          <cell r="A124">
            <v>123</v>
          </cell>
          <cell r="B124" t="str">
            <v>BRA_005</v>
          </cell>
          <cell r="C124" t="str">
            <v>Y3-G123</v>
          </cell>
          <cell r="D124" t="str">
            <v>Sarepta</v>
          </cell>
        </row>
        <row r="125">
          <cell r="A125">
            <v>124</v>
          </cell>
          <cell r="B125" t="str">
            <v>BRA_006</v>
          </cell>
          <cell r="C125" t="str">
            <v>Y3-G124</v>
          </cell>
          <cell r="D125" t="str">
            <v>Bristol</v>
          </cell>
        </row>
        <row r="126">
          <cell r="A126">
            <v>125</v>
          </cell>
          <cell r="B126" t="str">
            <v>BRA_007</v>
          </cell>
          <cell r="C126" t="str">
            <v>Y3-G125</v>
          </cell>
          <cell r="D126" t="str">
            <v>Tosca</v>
          </cell>
        </row>
        <row r="127">
          <cell r="A127">
            <v>126</v>
          </cell>
          <cell r="B127" t="str">
            <v>BRA_008</v>
          </cell>
          <cell r="C127" t="str">
            <v>Y3-G126</v>
          </cell>
          <cell r="D127" t="str">
            <v>Aviso</v>
          </cell>
        </row>
        <row r="128">
          <cell r="A128">
            <v>127</v>
          </cell>
          <cell r="B128" t="str">
            <v>BRA_009</v>
          </cell>
          <cell r="C128" t="str">
            <v>Y3-G127</v>
          </cell>
          <cell r="D128" t="str">
            <v>Jupiter</v>
          </cell>
        </row>
        <row r="129">
          <cell r="A129">
            <v>128</v>
          </cell>
          <cell r="B129" t="str">
            <v>BRA_011</v>
          </cell>
          <cell r="C129" t="str">
            <v>Y3-G128</v>
          </cell>
          <cell r="D129" t="str">
            <v>Lembke</v>
          </cell>
        </row>
        <row r="130">
          <cell r="A130">
            <v>129</v>
          </cell>
          <cell r="B130" t="str">
            <v>MP001</v>
          </cell>
          <cell r="C130" t="str">
            <v>Y3-G129</v>
          </cell>
          <cell r="D130" t="str">
            <v>Astrid</v>
          </cell>
        </row>
        <row r="131">
          <cell r="A131">
            <v>130</v>
          </cell>
          <cell r="B131" t="str">
            <v>MP003</v>
          </cell>
          <cell r="C131" t="str">
            <v>Y3-G130</v>
          </cell>
          <cell r="D131" t="str">
            <v>Mohican</v>
          </cell>
        </row>
        <row r="132">
          <cell r="A132">
            <v>131</v>
          </cell>
          <cell r="B132" t="str">
            <v>RAPSO_294</v>
          </cell>
          <cell r="C132" t="str">
            <v>Y3-G131</v>
          </cell>
          <cell r="D132" t="str">
            <v>ES-AGATHA</v>
          </cell>
        </row>
        <row r="133">
          <cell r="A133">
            <v>132</v>
          </cell>
          <cell r="B133" t="str">
            <v>RAPSO_295</v>
          </cell>
          <cell r="C133" t="str">
            <v>Y3-G132</v>
          </cell>
          <cell r="D133" t="str">
            <v>ES-ALEGRIA</v>
          </cell>
        </row>
        <row r="134">
          <cell r="A134">
            <v>133</v>
          </cell>
          <cell r="B134" t="str">
            <v>RAPSO_296</v>
          </cell>
          <cell r="C134" t="str">
            <v>Y3-G133</v>
          </cell>
          <cell r="D134" t="str">
            <v>ES-ALIENOR</v>
          </cell>
        </row>
        <row r="135">
          <cell r="A135">
            <v>134</v>
          </cell>
          <cell r="B135" t="str">
            <v>RAPSO_297</v>
          </cell>
          <cell r="C135" t="str">
            <v>Y3-G134</v>
          </cell>
          <cell r="D135" t="str">
            <v>ES-CENTAURE</v>
          </cell>
        </row>
        <row r="136">
          <cell r="A136">
            <v>135</v>
          </cell>
          <cell r="B136" t="str">
            <v>RAPSO_298</v>
          </cell>
          <cell r="C136" t="str">
            <v>Y3-G135</v>
          </cell>
          <cell r="D136" t="str">
            <v>ES-CUBIC</v>
          </cell>
        </row>
        <row r="137">
          <cell r="A137">
            <v>136</v>
          </cell>
          <cell r="B137" t="str">
            <v>RAPSO_299</v>
          </cell>
          <cell r="C137" t="str">
            <v>Y3-G136</v>
          </cell>
          <cell r="D137" t="str">
            <v>ESC1132</v>
          </cell>
        </row>
        <row r="138">
          <cell r="A138">
            <v>137</v>
          </cell>
          <cell r="B138" t="str">
            <v>RAPSO_300</v>
          </cell>
          <cell r="C138" t="str">
            <v>Y3-G137</v>
          </cell>
          <cell r="D138" t="str">
            <v>ES-ANTONIA</v>
          </cell>
        </row>
        <row r="139">
          <cell r="A139">
            <v>138</v>
          </cell>
          <cell r="B139" t="str">
            <v>RAPSO_301</v>
          </cell>
          <cell r="C139" t="str">
            <v>Y3-G138</v>
          </cell>
          <cell r="D139" t="str">
            <v>ES-BRAVA</v>
          </cell>
        </row>
        <row r="140">
          <cell r="A140">
            <v>139</v>
          </cell>
          <cell r="B140" t="str">
            <v>RAPSO_302</v>
          </cell>
          <cell r="C140" t="str">
            <v>Y3-G139</v>
          </cell>
          <cell r="D140" t="str">
            <v>ES-VENUS</v>
          </cell>
        </row>
        <row r="141">
          <cell r="A141">
            <v>140</v>
          </cell>
          <cell r="B141" t="str">
            <v>RAPSO_303</v>
          </cell>
          <cell r="C141" t="str">
            <v>Y3-G140</v>
          </cell>
          <cell r="D141" t="str">
            <v>ES-VIPER</v>
          </cell>
        </row>
        <row r="142">
          <cell r="A142">
            <v>141</v>
          </cell>
          <cell r="B142" t="str">
            <v>RAPSO_304</v>
          </cell>
          <cell r="C142" t="str">
            <v>Y3-G141</v>
          </cell>
          <cell r="D142" t="str">
            <v>ADRIANA</v>
          </cell>
        </row>
        <row r="143">
          <cell r="A143">
            <v>142</v>
          </cell>
          <cell r="B143" t="str">
            <v>RAPSO_305</v>
          </cell>
          <cell r="C143" t="str">
            <v>Y3-G142</v>
          </cell>
          <cell r="D143" t="str">
            <v>AMILLIA</v>
          </cell>
        </row>
        <row r="144">
          <cell r="A144">
            <v>143</v>
          </cell>
          <cell r="B144" t="str">
            <v>RAPSO_306</v>
          </cell>
          <cell r="C144" t="str">
            <v>Y3-G143</v>
          </cell>
          <cell r="D144" t="str">
            <v xml:space="preserve">ANGELINA </v>
          </cell>
        </row>
        <row r="145">
          <cell r="A145">
            <v>144</v>
          </cell>
          <cell r="B145" t="str">
            <v>RAPSO_307</v>
          </cell>
          <cell r="C145" t="str">
            <v>Y3-G144</v>
          </cell>
          <cell r="D145" t="str">
            <v xml:space="preserve">COOPER </v>
          </cell>
        </row>
        <row r="146">
          <cell r="A146">
            <v>145</v>
          </cell>
          <cell r="B146" t="str">
            <v>RAPSO_308</v>
          </cell>
          <cell r="C146" t="str">
            <v>Y3-G145</v>
          </cell>
          <cell r="D146" t="str">
            <v xml:space="preserve">LADOGA </v>
          </cell>
        </row>
        <row r="147">
          <cell r="A147">
            <v>146</v>
          </cell>
          <cell r="B147" t="str">
            <v>RAPSO_309</v>
          </cell>
          <cell r="C147" t="str">
            <v>Y3-G146</v>
          </cell>
          <cell r="D147" t="str">
            <v>MANITOBA</v>
          </cell>
        </row>
        <row r="148">
          <cell r="A148">
            <v>147</v>
          </cell>
          <cell r="B148" t="str">
            <v>RAPSO_310</v>
          </cell>
          <cell r="C148" t="str">
            <v>Y3-G147</v>
          </cell>
          <cell r="D148" t="str">
            <v xml:space="preserve">OKAPI </v>
          </cell>
        </row>
        <row r="149">
          <cell r="A149">
            <v>148</v>
          </cell>
          <cell r="B149" t="str">
            <v>RAPSO_311</v>
          </cell>
          <cell r="C149" t="str">
            <v>Y3-G148</v>
          </cell>
          <cell r="D149" t="str">
            <v>ONTARIO</v>
          </cell>
        </row>
        <row r="150">
          <cell r="A150">
            <v>149</v>
          </cell>
          <cell r="B150" t="str">
            <v>RAPSO_312</v>
          </cell>
          <cell r="C150" t="str">
            <v>Y3-G149</v>
          </cell>
          <cell r="D150" t="str">
            <v>PAMELA</v>
          </cell>
        </row>
        <row r="151">
          <cell r="A151">
            <v>150</v>
          </cell>
          <cell r="B151" t="str">
            <v>RAPSO_313</v>
          </cell>
          <cell r="C151" t="str">
            <v>Y3-G150</v>
          </cell>
          <cell r="D151" t="str">
            <v>TASMAN</v>
          </cell>
        </row>
        <row r="152">
          <cell r="A152">
            <v>151</v>
          </cell>
          <cell r="B152" t="str">
            <v>RAPSO_314</v>
          </cell>
          <cell r="C152" t="str">
            <v>Y3-G151</v>
          </cell>
          <cell r="D152" t="str">
            <v>Maccarena</v>
          </cell>
        </row>
        <row r="153">
          <cell r="A153">
            <v>152</v>
          </cell>
          <cell r="B153" t="str">
            <v>RAPSO_315</v>
          </cell>
          <cell r="C153" t="str">
            <v>Y3-G152</v>
          </cell>
          <cell r="D153" t="str">
            <v>RAGT-01</v>
          </cell>
        </row>
        <row r="154">
          <cell r="A154">
            <v>153</v>
          </cell>
          <cell r="B154" t="str">
            <v>RAPSO_316</v>
          </cell>
          <cell r="C154" t="str">
            <v>Y3-G153</v>
          </cell>
          <cell r="D154" t="str">
            <v>RAGT-02</v>
          </cell>
        </row>
        <row r="155">
          <cell r="A155">
            <v>154</v>
          </cell>
          <cell r="B155" t="str">
            <v>RAPSO_317</v>
          </cell>
          <cell r="C155" t="str">
            <v>Y3-G154</v>
          </cell>
          <cell r="D155" t="str">
            <v>RAGT-03</v>
          </cell>
        </row>
        <row r="156">
          <cell r="A156">
            <v>155</v>
          </cell>
          <cell r="B156" t="str">
            <v>RAPSO_318</v>
          </cell>
          <cell r="C156" t="str">
            <v>Y3-G155</v>
          </cell>
          <cell r="D156" t="str">
            <v>RAGT-04</v>
          </cell>
        </row>
        <row r="157">
          <cell r="A157">
            <v>156</v>
          </cell>
          <cell r="B157" t="str">
            <v>RAPSO_319</v>
          </cell>
          <cell r="C157" t="str">
            <v>Y3-G156</v>
          </cell>
          <cell r="D157" t="str">
            <v>RAGT-05</v>
          </cell>
        </row>
        <row r="158">
          <cell r="A158">
            <v>157</v>
          </cell>
          <cell r="B158" t="str">
            <v>RAPSO_320</v>
          </cell>
          <cell r="C158" t="str">
            <v>Y3-G157</v>
          </cell>
          <cell r="D158" t="str">
            <v>RAGT-06</v>
          </cell>
        </row>
        <row r="159">
          <cell r="A159">
            <v>158</v>
          </cell>
          <cell r="B159" t="str">
            <v>RAPSO_321</v>
          </cell>
          <cell r="C159" t="str">
            <v>Y3-G158</v>
          </cell>
          <cell r="D159" t="str">
            <v>RAGT-07</v>
          </cell>
        </row>
        <row r="160">
          <cell r="A160">
            <v>159</v>
          </cell>
          <cell r="B160" t="str">
            <v>RAPSO_322</v>
          </cell>
          <cell r="C160" t="str">
            <v>Y3-G159</v>
          </cell>
          <cell r="D160" t="str">
            <v>RAGT-08</v>
          </cell>
        </row>
        <row r="161">
          <cell r="A161">
            <v>160</v>
          </cell>
          <cell r="B161" t="str">
            <v>RAPSO_323</v>
          </cell>
          <cell r="C161" t="str">
            <v>Y3-G160</v>
          </cell>
          <cell r="D161" t="str">
            <v>RAGT-09</v>
          </cell>
        </row>
        <row r="162">
          <cell r="A162">
            <v>161</v>
          </cell>
          <cell r="B162" t="str">
            <v>RAPSO_324</v>
          </cell>
          <cell r="C162" t="str">
            <v>Y3-G161</v>
          </cell>
          <cell r="D162" t="str">
            <v>RAGT-10</v>
          </cell>
        </row>
        <row r="163">
          <cell r="A163">
            <v>162</v>
          </cell>
          <cell r="B163" t="str">
            <v>RAPSO_325</v>
          </cell>
          <cell r="C163" t="str">
            <v>Y3-G162</v>
          </cell>
          <cell r="D163" t="str">
            <v>SYN01</v>
          </cell>
        </row>
        <row r="164">
          <cell r="A164">
            <v>163</v>
          </cell>
          <cell r="B164" t="str">
            <v>RAPSO_326</v>
          </cell>
          <cell r="C164" t="str">
            <v>Y3-G163</v>
          </cell>
          <cell r="D164" t="str">
            <v>SYN02</v>
          </cell>
        </row>
        <row r="165">
          <cell r="A165">
            <v>164</v>
          </cell>
          <cell r="B165" t="str">
            <v>RAPSO_327</v>
          </cell>
          <cell r="C165" t="str">
            <v>Y3-G164</v>
          </cell>
          <cell r="D165" t="str">
            <v>SYN03</v>
          </cell>
        </row>
        <row r="166">
          <cell r="A166">
            <v>165</v>
          </cell>
          <cell r="B166" t="str">
            <v>RAPSO_328</v>
          </cell>
          <cell r="C166" t="str">
            <v>Y3-G165</v>
          </cell>
          <cell r="D166" t="str">
            <v>SYN04</v>
          </cell>
        </row>
        <row r="167">
          <cell r="A167">
            <v>166</v>
          </cell>
          <cell r="B167" t="str">
            <v>RAPSO_329</v>
          </cell>
          <cell r="C167" t="str">
            <v>Y3-G166</v>
          </cell>
          <cell r="D167" t="str">
            <v>SYN05</v>
          </cell>
        </row>
        <row r="168">
          <cell r="A168">
            <v>167</v>
          </cell>
          <cell r="B168" t="str">
            <v>RAPSO_330</v>
          </cell>
          <cell r="C168" t="str">
            <v>Y3-G167</v>
          </cell>
          <cell r="D168" t="str">
            <v>SYN06</v>
          </cell>
        </row>
        <row r="169">
          <cell r="A169">
            <v>168</v>
          </cell>
          <cell r="B169" t="str">
            <v>RAPSO_331</v>
          </cell>
          <cell r="C169" t="str">
            <v>Y3-G168</v>
          </cell>
          <cell r="D169" t="str">
            <v>SYN07</v>
          </cell>
        </row>
        <row r="170">
          <cell r="A170">
            <v>169</v>
          </cell>
          <cell r="B170" t="str">
            <v>RAPSO_332</v>
          </cell>
          <cell r="C170" t="str">
            <v>Y3-G169</v>
          </cell>
          <cell r="D170" t="str">
            <v>SYN08</v>
          </cell>
        </row>
        <row r="171">
          <cell r="A171">
            <v>170</v>
          </cell>
          <cell r="B171" t="str">
            <v>RAPSO_333</v>
          </cell>
          <cell r="C171" t="str">
            <v>Y3-G170</v>
          </cell>
          <cell r="D171" t="str">
            <v>SYN09</v>
          </cell>
        </row>
        <row r="172">
          <cell r="A172">
            <v>171</v>
          </cell>
          <cell r="B172" t="str">
            <v>RAPSO_334</v>
          </cell>
          <cell r="C172" t="str">
            <v>Y3-G171</v>
          </cell>
          <cell r="D172" t="str">
            <v>SYN10</v>
          </cell>
        </row>
        <row r="173">
          <cell r="A173">
            <v>172</v>
          </cell>
          <cell r="B173" t="str">
            <v>RAPSO_470</v>
          </cell>
          <cell r="C173" t="str">
            <v>Y3-G172</v>
          </cell>
          <cell r="D173" t="str">
            <v>RAPSO_Compl_01 (euralis)</v>
          </cell>
        </row>
        <row r="174">
          <cell r="A174">
            <v>173</v>
          </cell>
          <cell r="B174" t="str">
            <v>RAPSO_471</v>
          </cell>
          <cell r="C174" t="str">
            <v>Y3-G173</v>
          </cell>
          <cell r="D174" t="str">
            <v>RAPSO_Compl_02 (euralis)</v>
          </cell>
        </row>
        <row r="175">
          <cell r="A175">
            <v>174</v>
          </cell>
          <cell r="B175" t="str">
            <v>RAPSO_472</v>
          </cell>
          <cell r="C175" t="str">
            <v>Y3-G174</v>
          </cell>
          <cell r="D175" t="str">
            <v>Pendulum</v>
          </cell>
        </row>
        <row r="176">
          <cell r="A176">
            <v>175</v>
          </cell>
          <cell r="B176" t="str">
            <v>RAPSO_473</v>
          </cell>
          <cell r="C176" t="str">
            <v>Y3-G175</v>
          </cell>
          <cell r="D176" t="str">
            <v>Anastasia</v>
          </cell>
        </row>
        <row r="177">
          <cell r="A177">
            <v>176</v>
          </cell>
          <cell r="B177" t="str">
            <v>RAPSO_476</v>
          </cell>
          <cell r="C177" t="str">
            <v>Y3-G176</v>
          </cell>
          <cell r="D177" t="str">
            <v>RAGT-13</v>
          </cell>
        </row>
        <row r="178">
          <cell r="A178">
            <v>177</v>
          </cell>
          <cell r="B178" t="str">
            <v>RAPSO_477</v>
          </cell>
          <cell r="C178" t="str">
            <v>Y3-G177</v>
          </cell>
          <cell r="D178" t="str">
            <v>RAGT-14</v>
          </cell>
        </row>
        <row r="179">
          <cell r="A179">
            <v>178</v>
          </cell>
          <cell r="B179" t="str">
            <v>RAPSO_478</v>
          </cell>
          <cell r="C179" t="str">
            <v>Y3-G178</v>
          </cell>
          <cell r="D179" t="str">
            <v>RAGT-15</v>
          </cell>
        </row>
        <row r="180">
          <cell r="A180">
            <v>179</v>
          </cell>
          <cell r="B180" t="str">
            <v>RAPSO_479</v>
          </cell>
          <cell r="C180" t="str">
            <v>Y3-G179</v>
          </cell>
          <cell r="D180" t="str">
            <v>SYNG11</v>
          </cell>
        </row>
        <row r="181">
          <cell r="A181">
            <v>180</v>
          </cell>
          <cell r="B181" t="str">
            <v>RAPSO_480</v>
          </cell>
          <cell r="C181" t="str">
            <v>Y3-G180</v>
          </cell>
          <cell r="D181" t="str">
            <v>SYNG12</v>
          </cell>
        </row>
        <row r="182">
          <cell r="A182">
            <v>181</v>
          </cell>
          <cell r="B182" t="str">
            <v>RAPSO_006</v>
          </cell>
          <cell r="C182" t="str">
            <v>Y3-G181</v>
          </cell>
          <cell r="D182" t="str">
            <v>Dublianski</v>
          </cell>
        </row>
        <row r="183">
          <cell r="A183">
            <v>182</v>
          </cell>
          <cell r="B183" t="str">
            <v>RAPSO_009</v>
          </cell>
          <cell r="C183" t="str">
            <v>Y3-G182</v>
          </cell>
          <cell r="D183" t="str">
            <v>Forto</v>
          </cell>
        </row>
        <row r="184">
          <cell r="A184">
            <v>183</v>
          </cell>
          <cell r="B184" t="str">
            <v>RAPSO_015</v>
          </cell>
          <cell r="C184" t="str">
            <v>Y3-G183</v>
          </cell>
          <cell r="D184" t="str">
            <v>Gorczanski</v>
          </cell>
        </row>
        <row r="185">
          <cell r="A185">
            <v>184</v>
          </cell>
          <cell r="B185" t="str">
            <v>RAPSO_017</v>
          </cell>
          <cell r="C185" t="str">
            <v>Y3-G184</v>
          </cell>
          <cell r="D185" t="str">
            <v>Gross Luzewiter</v>
          </cell>
        </row>
        <row r="186">
          <cell r="A186">
            <v>185</v>
          </cell>
          <cell r="B186" t="str">
            <v>RAPSO_057</v>
          </cell>
          <cell r="C186" t="str">
            <v>Y3-G185</v>
          </cell>
          <cell r="D186" t="str">
            <v>Sinus</v>
          </cell>
        </row>
        <row r="187">
          <cell r="A187">
            <v>186</v>
          </cell>
          <cell r="B187" t="str">
            <v>RAPSO_064</v>
          </cell>
          <cell r="C187" t="str">
            <v>Y3-G186</v>
          </cell>
          <cell r="D187" t="str">
            <v>Victor</v>
          </cell>
        </row>
        <row r="188">
          <cell r="A188">
            <v>187</v>
          </cell>
          <cell r="B188" t="str">
            <v>RAPSO_067</v>
          </cell>
          <cell r="C188" t="str">
            <v>Y3-G187</v>
          </cell>
          <cell r="D188" t="str">
            <v>Warzanwski</v>
          </cell>
        </row>
        <row r="189">
          <cell r="A189">
            <v>188</v>
          </cell>
          <cell r="B189" t="str">
            <v>RAPSO_091</v>
          </cell>
          <cell r="C189" t="str">
            <v>Y3-G188</v>
          </cell>
          <cell r="D189" t="str">
            <v>Janpol</v>
          </cell>
        </row>
        <row r="190">
          <cell r="A190">
            <v>189</v>
          </cell>
          <cell r="B190" t="str">
            <v>RAPSO_098</v>
          </cell>
          <cell r="C190" t="str">
            <v>Y3-G189</v>
          </cell>
          <cell r="D190" t="str">
            <v>Korina</v>
          </cell>
        </row>
        <row r="191">
          <cell r="A191">
            <v>190</v>
          </cell>
          <cell r="B191" t="str">
            <v>RAPSO_105</v>
          </cell>
          <cell r="C191" t="str">
            <v>Y3-G190</v>
          </cell>
          <cell r="D191" t="str">
            <v>Ligora</v>
          </cell>
        </row>
        <row r="192">
          <cell r="A192">
            <v>191</v>
          </cell>
          <cell r="B192" t="str">
            <v>RAPSO_112</v>
          </cell>
          <cell r="C192" t="str">
            <v>Y3-G191</v>
          </cell>
          <cell r="D192" t="str">
            <v>Primor</v>
          </cell>
        </row>
        <row r="193">
          <cell r="A193">
            <v>192</v>
          </cell>
          <cell r="B193" t="str">
            <v>RAPSO_125</v>
          </cell>
          <cell r="C193" t="str">
            <v>Y3-G192</v>
          </cell>
          <cell r="D193" t="str">
            <v>WIRA</v>
          </cell>
        </row>
        <row r="194">
          <cell r="A194">
            <v>193</v>
          </cell>
          <cell r="B194" t="str">
            <v>RAPSO_152</v>
          </cell>
          <cell r="C194" t="str">
            <v>Y3-G193</v>
          </cell>
          <cell r="D194" t="str">
            <v>Caddy</v>
          </cell>
        </row>
        <row r="195">
          <cell r="A195">
            <v>194</v>
          </cell>
          <cell r="B195" t="str">
            <v>RAPSO_335</v>
          </cell>
          <cell r="C195" t="str">
            <v>Y3-G194</v>
          </cell>
          <cell r="D195" t="str">
            <v>Kromerska1-DS1</v>
          </cell>
        </row>
        <row r="196">
          <cell r="A196">
            <v>195</v>
          </cell>
          <cell r="B196" t="str">
            <v>RAPSO_387</v>
          </cell>
          <cell r="C196" t="str">
            <v>Y3-G195</v>
          </cell>
          <cell r="D196" t="str">
            <v xml:space="preserve">EZSTERHAZY N.ST </v>
          </cell>
        </row>
        <row r="197">
          <cell r="A197">
            <v>196</v>
          </cell>
          <cell r="B197" t="str">
            <v>RAPSO_402</v>
          </cell>
          <cell r="C197" t="str">
            <v>Y3-G196</v>
          </cell>
          <cell r="D197" t="str">
            <v xml:space="preserve">KOMBI </v>
          </cell>
        </row>
        <row r="198">
          <cell r="A198">
            <v>197</v>
          </cell>
          <cell r="B198" t="str">
            <v>RAPSO_411</v>
          </cell>
          <cell r="C198" t="str">
            <v>Y3-G197</v>
          </cell>
          <cell r="D198" t="str">
            <v xml:space="preserve">LJUBLANA </v>
          </cell>
        </row>
        <row r="199">
          <cell r="A199">
            <v>198</v>
          </cell>
          <cell r="B199" t="str">
            <v>RAPSO_415</v>
          </cell>
          <cell r="C199" t="str">
            <v>Y3-G198</v>
          </cell>
          <cell r="D199" t="str">
            <v xml:space="preserve">MYTNINSKYI-2 </v>
          </cell>
        </row>
        <row r="200">
          <cell r="A200">
            <v>199</v>
          </cell>
          <cell r="B200" t="str">
            <v>RAPSO_418</v>
          </cell>
          <cell r="C200" t="str">
            <v>Y3-G199</v>
          </cell>
          <cell r="D200" t="str">
            <v xml:space="preserve">NIEDERARNBACHER </v>
          </cell>
        </row>
        <row r="201">
          <cell r="A201">
            <v>200</v>
          </cell>
          <cell r="B201" t="str">
            <v>RAPSO_419</v>
          </cell>
          <cell r="C201" t="str">
            <v>Y3-G200</v>
          </cell>
          <cell r="D201" t="str">
            <v xml:space="preserve">NOVOCHARTORYISKYI </v>
          </cell>
        </row>
        <row r="202">
          <cell r="A202">
            <v>201</v>
          </cell>
          <cell r="B202" t="str">
            <v>RAPSO_437</v>
          </cell>
          <cell r="C202" t="str">
            <v>Y3-G201</v>
          </cell>
          <cell r="D202" t="str">
            <v xml:space="preserve">SNITYNSKYI </v>
          </cell>
        </row>
        <row r="203">
          <cell r="A203">
            <v>202</v>
          </cell>
          <cell r="B203" t="str">
            <v>RAPSO_456</v>
          </cell>
          <cell r="C203" t="str">
            <v>Y3-G202</v>
          </cell>
          <cell r="D203" t="str">
            <v xml:space="preserve">KRASNODARSKYI </v>
          </cell>
        </row>
        <row r="204">
          <cell r="A204">
            <v>203</v>
          </cell>
          <cell r="B204" t="str">
            <v>BRA_010</v>
          </cell>
          <cell r="C204" t="str">
            <v>Y3-G203</v>
          </cell>
          <cell r="D204" t="str">
            <v>Quinta</v>
          </cell>
        </row>
        <row r="205">
          <cell r="A205">
            <v>204</v>
          </cell>
          <cell r="B205" t="str">
            <v>Temoin</v>
          </cell>
          <cell r="C205" t="str">
            <v>Y3-Te1</v>
          </cell>
          <cell r="D205" t="str">
            <v>Aviso</v>
          </cell>
        </row>
        <row r="206">
          <cell r="A206" t="str">
            <v>B</v>
          </cell>
          <cell r="B206" t="str">
            <v>na</v>
          </cell>
          <cell r="C206" t="str">
            <v>Bordure</v>
          </cell>
          <cell r="D206" t="str">
            <v>Alpaga</v>
          </cell>
        </row>
        <row r="207">
          <cell r="A207">
            <v>205</v>
          </cell>
          <cell r="B207" t="str">
            <v>na</v>
          </cell>
          <cell r="C207" t="str">
            <v>Bordure Vide</v>
          </cell>
          <cell r="D207" t="str">
            <v>sol nu</v>
          </cell>
        </row>
        <row r="208">
          <cell r="A208" t="str">
            <v>B Av</v>
          </cell>
          <cell r="B208" t="str">
            <v>BRA_008</v>
          </cell>
          <cell r="C208" t="str">
            <v>Bordure témoin</v>
          </cell>
          <cell r="D208" t="str">
            <v>Aviso-T</v>
          </cell>
        </row>
        <row r="209">
          <cell r="A209" t="str">
            <v>B Mt</v>
          </cell>
          <cell r="B209" t="str">
            <v>RAPSO_243</v>
          </cell>
          <cell r="C209" t="str">
            <v>Bordure témoin</v>
          </cell>
          <cell r="D209" t="str">
            <v>Montego-T</v>
          </cell>
        </row>
        <row r="210">
          <cell r="A210" t="str">
            <v>N°Plan</v>
          </cell>
          <cell r="B210" t="str">
            <v>ID_RAPSODYN</v>
          </cell>
          <cell r="C210" t="str">
            <v>Code champ_2014/2015</v>
          </cell>
          <cell r="D210" t="str">
            <v>Accession</v>
          </cell>
        </row>
        <row r="211">
          <cell r="A211">
            <v>1</v>
          </cell>
          <cell r="B211" t="str">
            <v>RAPSO_135</v>
          </cell>
          <cell r="C211" t="str">
            <v>Y3-CA2-G1</v>
          </cell>
          <cell r="D211" t="str">
            <v>Amber</v>
          </cell>
        </row>
        <row r="212">
          <cell r="A212">
            <v>2</v>
          </cell>
          <cell r="B212" t="str">
            <v>MP001</v>
          </cell>
          <cell r="C212" t="str">
            <v>Y3-CA2-G2</v>
          </cell>
          <cell r="D212" t="str">
            <v>Astrid</v>
          </cell>
        </row>
        <row r="213">
          <cell r="A213">
            <v>3</v>
          </cell>
          <cell r="B213" t="str">
            <v>BRA_008</v>
          </cell>
          <cell r="C213" t="str">
            <v>Y3-CA2-G3</v>
          </cell>
          <cell r="D213" t="str">
            <v>Aviso</v>
          </cell>
        </row>
        <row r="214">
          <cell r="A214">
            <v>4</v>
          </cell>
          <cell r="B214" t="str">
            <v>RAPSO_146</v>
          </cell>
          <cell r="C214" t="str">
            <v>Y3-CA2-G4</v>
          </cell>
          <cell r="D214" t="str">
            <v>Bolko - POH 285</v>
          </cell>
        </row>
        <row r="215">
          <cell r="A215">
            <v>5</v>
          </cell>
          <cell r="B215" t="str">
            <v>RAPSO_193</v>
          </cell>
          <cell r="C215" t="str">
            <v>Y3-CA2-G5</v>
          </cell>
          <cell r="D215" t="str">
            <v>Express</v>
          </cell>
        </row>
        <row r="216">
          <cell r="A216">
            <v>6</v>
          </cell>
          <cell r="B216" t="str">
            <v>MP003</v>
          </cell>
          <cell r="C216" t="str">
            <v>Y3-CA2-G6</v>
          </cell>
          <cell r="D216" t="str">
            <v>Mohican</v>
          </cell>
        </row>
        <row r="217">
          <cell r="A217">
            <v>7</v>
          </cell>
          <cell r="B217" t="str">
            <v>RAPSO_243</v>
          </cell>
          <cell r="C217" t="str">
            <v>Y3-CA2-G7</v>
          </cell>
          <cell r="D217" t="str">
            <v>Montego</v>
          </cell>
        </row>
        <row r="218">
          <cell r="A218">
            <v>8</v>
          </cell>
          <cell r="B218" t="str">
            <v>RAPSO_256</v>
          </cell>
          <cell r="C218" t="str">
            <v>Y3-CA2-G8</v>
          </cell>
          <cell r="D218" t="str">
            <v>Pollen</v>
          </cell>
        </row>
        <row r="219">
          <cell r="A219" t="str">
            <v>B</v>
          </cell>
          <cell r="B219" t="str">
            <v>na</v>
          </cell>
          <cell r="C219" t="str">
            <v>Bordure</v>
          </cell>
          <cell r="D219" t="str">
            <v>Alpaga</v>
          </cell>
        </row>
        <row r="220">
          <cell r="A220">
            <v>205</v>
          </cell>
          <cell r="B220" t="str">
            <v>na</v>
          </cell>
          <cell r="C220" t="str">
            <v>Bordure Vide</v>
          </cell>
          <cell r="D220" t="str">
            <v>sol nu</v>
          </cell>
        </row>
        <row r="221">
          <cell r="A221" t="str">
            <v>B Av</v>
          </cell>
          <cell r="B221" t="str">
            <v>BRA_008</v>
          </cell>
          <cell r="C221" t="str">
            <v>Bordure témoin</v>
          </cell>
          <cell r="D221" t="str">
            <v>Aviso-T</v>
          </cell>
        </row>
        <row r="222">
          <cell r="A222" t="str">
            <v>B Mt</v>
          </cell>
          <cell r="B222" t="str">
            <v>RAPSO_243</v>
          </cell>
          <cell r="C222" t="str">
            <v>Bordure témoin</v>
          </cell>
          <cell r="D222" t="str">
            <v>Montego-T</v>
          </cell>
        </row>
        <row r="223">
          <cell r="A223" t="str">
            <v>N°Plan</v>
          </cell>
          <cell r="B223" t="str">
            <v>ID_RAPSODYN</v>
          </cell>
          <cell r="C223" t="str">
            <v>Code champ_2014/2015</v>
          </cell>
          <cell r="D223" t="str">
            <v>Accession</v>
          </cell>
        </row>
        <row r="224">
          <cell r="A224">
            <v>1</v>
          </cell>
          <cell r="B224" t="str">
            <v>RAPSO_243</v>
          </cell>
          <cell r="C224" t="str">
            <v>Cb2-Y3-G089</v>
          </cell>
          <cell r="D224" t="str">
            <v>Montego</v>
          </cell>
        </row>
        <row r="225">
          <cell r="A225">
            <v>2</v>
          </cell>
          <cell r="B225" t="str">
            <v>RAPSO_271</v>
          </cell>
          <cell r="C225" t="str">
            <v>Cb2-Y3-G106</v>
          </cell>
          <cell r="D225" t="str">
            <v>SW Gospel</v>
          </cell>
        </row>
        <row r="226">
          <cell r="A226">
            <v>3</v>
          </cell>
          <cell r="B226" t="str">
            <v>RAPSO_193</v>
          </cell>
          <cell r="C226" t="str">
            <v>Cb2-Y3-G068</v>
          </cell>
          <cell r="D226" t="str">
            <v>Express</v>
          </cell>
        </row>
        <row r="227">
          <cell r="A227">
            <v>4</v>
          </cell>
          <cell r="B227" t="str">
            <v>RAPSO_325</v>
          </cell>
          <cell r="C227" t="str">
            <v>Cb2-Y3-G162</v>
          </cell>
          <cell r="D227" t="str">
            <v>SYN01</v>
          </cell>
        </row>
        <row r="228">
          <cell r="A228">
            <v>5</v>
          </cell>
          <cell r="B228" t="str">
            <v>RAPSO_178</v>
          </cell>
          <cell r="C228" t="str">
            <v>Cb2-Y3-G063</v>
          </cell>
          <cell r="D228" t="str">
            <v>Doublol</v>
          </cell>
        </row>
        <row r="229">
          <cell r="A229">
            <v>6</v>
          </cell>
          <cell r="B229" t="str">
            <v>RAPSO_122</v>
          </cell>
          <cell r="C229" t="str">
            <v>Cb2-Y3-G037</v>
          </cell>
          <cell r="D229" t="str">
            <v>Start</v>
          </cell>
        </row>
        <row r="230">
          <cell r="A230">
            <v>7</v>
          </cell>
          <cell r="B230" t="str">
            <v>RAPSO_190</v>
          </cell>
          <cell r="C230" t="str">
            <v>Cb2-Y3-G067</v>
          </cell>
          <cell r="D230" t="str">
            <v>Evri</v>
          </cell>
        </row>
        <row r="231">
          <cell r="A231">
            <v>8</v>
          </cell>
          <cell r="B231" t="str">
            <v>RAPSO_115</v>
          </cell>
          <cell r="C231" t="str">
            <v>Cb2-Y3-G036</v>
          </cell>
          <cell r="D231" t="str">
            <v>Rafal</v>
          </cell>
        </row>
        <row r="232">
          <cell r="A232">
            <v>9</v>
          </cell>
          <cell r="B232" t="str">
            <v>RAPSO_068</v>
          </cell>
          <cell r="C232" t="str">
            <v>Cb2-Y3-G022</v>
          </cell>
          <cell r="D232" t="str">
            <v>Zeruca</v>
          </cell>
        </row>
        <row r="233">
          <cell r="A233">
            <v>10</v>
          </cell>
          <cell r="B233" t="str">
            <v>RAPSO_281</v>
          </cell>
          <cell r="C233" t="str">
            <v>Cb2-Y3-G110</v>
          </cell>
          <cell r="D233" t="str">
            <v>Tradition</v>
          </cell>
        </row>
        <row r="234">
          <cell r="A234">
            <v>11</v>
          </cell>
          <cell r="B234" t="str">
            <v>RAPSO_041</v>
          </cell>
          <cell r="C234" t="str">
            <v>Cb2-Y3-G014</v>
          </cell>
          <cell r="D234" t="str">
            <v>Orléans</v>
          </cell>
        </row>
        <row r="235">
          <cell r="A235">
            <v>12</v>
          </cell>
          <cell r="B235" t="str">
            <v>RAPSO_144</v>
          </cell>
          <cell r="C235" t="str">
            <v>Cb2-Y3-G047</v>
          </cell>
          <cell r="D235" t="str">
            <v>Bellini</v>
          </cell>
        </row>
        <row r="236">
          <cell r="A236">
            <v>13</v>
          </cell>
          <cell r="B236" t="str">
            <v>RAPSO_085</v>
          </cell>
          <cell r="C236" t="str">
            <v>Cb2-Y3-G032</v>
          </cell>
          <cell r="D236" t="str">
            <v>Expander</v>
          </cell>
        </row>
        <row r="237">
          <cell r="A237">
            <v>14</v>
          </cell>
          <cell r="B237" t="str">
            <v>RAPSO_248</v>
          </cell>
          <cell r="C237" t="str">
            <v>Cb2-Y3-G092</v>
          </cell>
          <cell r="D237" t="str">
            <v>Oase</v>
          </cell>
        </row>
        <row r="238">
          <cell r="A238">
            <v>15</v>
          </cell>
          <cell r="B238" t="str">
            <v>RAPSO_300</v>
          </cell>
          <cell r="C238" t="str">
            <v>Cb2-Y3-G137</v>
          </cell>
          <cell r="D238" t="str">
            <v>ES-ANTONIA</v>
          </cell>
        </row>
        <row r="239">
          <cell r="A239">
            <v>16</v>
          </cell>
          <cell r="B239" t="str">
            <v>RAPSO_139</v>
          </cell>
          <cell r="C239" t="str">
            <v>Cb2-Y3-G045</v>
          </cell>
          <cell r="D239" t="str">
            <v>Atlantic</v>
          </cell>
        </row>
        <row r="240">
          <cell r="A240">
            <v>17</v>
          </cell>
          <cell r="B240" t="str">
            <v>RAPSO_254</v>
          </cell>
          <cell r="C240" t="str">
            <v>Cb2-Y3-G095</v>
          </cell>
          <cell r="D240" t="str">
            <v>PAYROL</v>
          </cell>
        </row>
        <row r="241">
          <cell r="A241">
            <v>18</v>
          </cell>
          <cell r="B241" t="str">
            <v>RAPSO_297</v>
          </cell>
          <cell r="C241" t="str">
            <v>Cb2-Y3-G134</v>
          </cell>
          <cell r="D241" t="str">
            <v>ES-CENTAURE</v>
          </cell>
        </row>
        <row r="242">
          <cell r="A242">
            <v>19</v>
          </cell>
          <cell r="B242" t="str">
            <v>RAPSO_013</v>
          </cell>
          <cell r="C242" t="str">
            <v>Cb2-Y3-G004</v>
          </cell>
          <cell r="D242" t="str">
            <v>Gesunder</v>
          </cell>
        </row>
        <row r="243">
          <cell r="A243">
            <v>20</v>
          </cell>
          <cell r="B243" t="str">
            <v>RAPSO_277</v>
          </cell>
          <cell r="C243" t="str">
            <v>Cb2-Y3-G108</v>
          </cell>
          <cell r="D243" t="str">
            <v>Tenor</v>
          </cell>
        </row>
        <row r="244">
          <cell r="A244">
            <v>21</v>
          </cell>
          <cell r="B244" t="str">
            <v>RAPSO_207</v>
          </cell>
          <cell r="C244" t="str">
            <v>Cb2-Y3-G072</v>
          </cell>
          <cell r="D244" t="str">
            <v>Ibex</v>
          </cell>
        </row>
        <row r="245">
          <cell r="A245">
            <v>22</v>
          </cell>
          <cell r="B245" t="str">
            <v>RAPSO_292</v>
          </cell>
          <cell r="C245" t="str">
            <v>Cb2-Y3-G112</v>
          </cell>
          <cell r="D245" t="str">
            <v>Zorro</v>
          </cell>
        </row>
        <row r="246">
          <cell r="A246">
            <v>23</v>
          </cell>
          <cell r="B246" t="str">
            <v>RAPSO_258</v>
          </cell>
          <cell r="C246" t="str">
            <v>Cb2-Y3-G097</v>
          </cell>
          <cell r="D246" t="str">
            <v>Potomac</v>
          </cell>
        </row>
        <row r="247">
          <cell r="A247">
            <v>24</v>
          </cell>
          <cell r="B247" t="str">
            <v>RAPSO_313</v>
          </cell>
          <cell r="C247" t="str">
            <v>Cb2-Y3-G150</v>
          </cell>
          <cell r="D247" t="str">
            <v>TASMAN</v>
          </cell>
        </row>
        <row r="248">
          <cell r="A248">
            <v>25</v>
          </cell>
          <cell r="B248" t="str">
            <v>RAPSO_315</v>
          </cell>
          <cell r="C248" t="str">
            <v>Cb2-Y3-G152</v>
          </cell>
          <cell r="D248" t="str">
            <v>RAGT-01</v>
          </cell>
        </row>
        <row r="249">
          <cell r="A249">
            <v>26</v>
          </cell>
          <cell r="B249" t="str">
            <v>RAPSO_263</v>
          </cell>
          <cell r="C249" t="str">
            <v>Cb2-Y3-G101</v>
          </cell>
          <cell r="D249" t="str">
            <v>Rocket</v>
          </cell>
        </row>
        <row r="250">
          <cell r="A250">
            <v>27</v>
          </cell>
          <cell r="B250" t="str">
            <v>RAPSO_226</v>
          </cell>
          <cell r="C250" t="str">
            <v>Cb2-Y3-G081</v>
          </cell>
          <cell r="D250" t="str">
            <v>Lioness</v>
          </cell>
        </row>
        <row r="251">
          <cell r="A251">
            <v>28</v>
          </cell>
          <cell r="B251" t="str">
            <v>RAPSO_266</v>
          </cell>
          <cell r="C251" t="str">
            <v>Cb2-Y3-G103</v>
          </cell>
          <cell r="D251" t="str">
            <v>Sahara</v>
          </cell>
        </row>
        <row r="252">
          <cell r="A252">
            <v>29</v>
          </cell>
          <cell r="B252" t="str">
            <v>RAPSO_472</v>
          </cell>
          <cell r="C252" t="str">
            <v>Cb2-Y3-G174</v>
          </cell>
          <cell r="D252" t="str">
            <v>Pendulum</v>
          </cell>
        </row>
        <row r="253">
          <cell r="A253">
            <v>30</v>
          </cell>
          <cell r="B253" t="str">
            <v>RAPSO_181</v>
          </cell>
          <cell r="C253" t="str">
            <v>Cb2-Y3-G065</v>
          </cell>
          <cell r="D253" t="str">
            <v>Eleonore</v>
          </cell>
        </row>
        <row r="254">
          <cell r="A254">
            <v>31</v>
          </cell>
          <cell r="B254" t="str">
            <v>RAPSO_260</v>
          </cell>
          <cell r="C254" t="str">
            <v>Cb2-Y3-G099</v>
          </cell>
          <cell r="D254" t="str">
            <v>Recital</v>
          </cell>
        </row>
        <row r="255">
          <cell r="A255">
            <v>32</v>
          </cell>
          <cell r="B255" t="str">
            <v>RAPSO_329</v>
          </cell>
          <cell r="C255" t="str">
            <v>Cb2-Y3-G166</v>
          </cell>
          <cell r="D255" t="str">
            <v>SYN05</v>
          </cell>
        </row>
        <row r="256">
          <cell r="A256">
            <v>33</v>
          </cell>
          <cell r="B256" t="str">
            <v>RAPSO_256</v>
          </cell>
          <cell r="C256" t="str">
            <v>Cb2-Y3-G096</v>
          </cell>
          <cell r="D256" t="str">
            <v>Pollen</v>
          </cell>
        </row>
        <row r="257">
          <cell r="A257">
            <v>34</v>
          </cell>
          <cell r="B257" t="str">
            <v>RAPSO_030</v>
          </cell>
          <cell r="C257" t="str">
            <v>Cb2-Y3-G009</v>
          </cell>
          <cell r="D257" t="str">
            <v>Matador</v>
          </cell>
        </row>
        <row r="258">
          <cell r="A258">
            <v>35</v>
          </cell>
          <cell r="B258" t="str">
            <v>RAPSO_321</v>
          </cell>
          <cell r="C258" t="str">
            <v>Cb2-Y3-G158</v>
          </cell>
          <cell r="D258" t="str">
            <v>RAGT-07</v>
          </cell>
        </row>
        <row r="259">
          <cell r="A259">
            <v>36</v>
          </cell>
          <cell r="B259" t="str">
            <v>RAPSO_038</v>
          </cell>
          <cell r="C259" t="str">
            <v>Cb2-Y3-G012</v>
          </cell>
          <cell r="D259" t="str">
            <v>Oleski</v>
          </cell>
        </row>
        <row r="260">
          <cell r="A260">
            <v>37</v>
          </cell>
          <cell r="B260" t="str">
            <v>RAPSO_213</v>
          </cell>
          <cell r="C260" t="str">
            <v>Cb2-Y3-G075</v>
          </cell>
          <cell r="D260" t="str">
            <v>Jetton</v>
          </cell>
        </row>
        <row r="261">
          <cell r="A261">
            <v>38</v>
          </cell>
          <cell r="B261" t="str">
            <v>RAPSO_331</v>
          </cell>
          <cell r="C261" t="str">
            <v>Cb2-Y3-G168</v>
          </cell>
          <cell r="D261" t="str">
            <v>SYN07</v>
          </cell>
        </row>
        <row r="262">
          <cell r="A262">
            <v>39</v>
          </cell>
          <cell r="B262" t="str">
            <v>RAPSO_232</v>
          </cell>
          <cell r="C262" t="str">
            <v>Cb2-Y3-G085</v>
          </cell>
          <cell r="D262" t="str">
            <v>Madrigal</v>
          </cell>
        </row>
        <row r="263">
          <cell r="A263">
            <v>40</v>
          </cell>
          <cell r="B263" t="str">
            <v>RAPSO_477</v>
          </cell>
          <cell r="C263" t="str">
            <v>Cb2-Y3-G177</v>
          </cell>
          <cell r="D263" t="str">
            <v>RAGT-14</v>
          </cell>
        </row>
        <row r="264">
          <cell r="A264">
            <v>41</v>
          </cell>
          <cell r="B264" t="str">
            <v>RAPSO_175</v>
          </cell>
          <cell r="C264" t="str">
            <v>Cb2-Y3-G061</v>
          </cell>
          <cell r="D264" t="str">
            <v>Courage</v>
          </cell>
        </row>
        <row r="265">
          <cell r="A265">
            <v>42</v>
          </cell>
          <cell r="B265" t="str">
            <v>RAPSO_314</v>
          </cell>
          <cell r="C265" t="str">
            <v>Cb2-Y3-G151</v>
          </cell>
          <cell r="D265" t="str">
            <v>Maccarena</v>
          </cell>
        </row>
        <row r="266">
          <cell r="A266">
            <v>43</v>
          </cell>
          <cell r="B266" t="str">
            <v>RAPSO_343</v>
          </cell>
          <cell r="C266" t="str">
            <v>Cb2-Y3-G114</v>
          </cell>
          <cell r="D266" t="str">
            <v>Madora3-DS1</v>
          </cell>
        </row>
        <row r="267">
          <cell r="A267">
            <v>44</v>
          </cell>
          <cell r="B267" t="str">
            <v>RAPSO_330</v>
          </cell>
          <cell r="C267" t="str">
            <v>Cb2-Y3-G167</v>
          </cell>
          <cell r="D267" t="str">
            <v>SYN06</v>
          </cell>
        </row>
        <row r="268">
          <cell r="A268">
            <v>45</v>
          </cell>
          <cell r="B268" t="str">
            <v>RAPSO_323</v>
          </cell>
          <cell r="C268" t="str">
            <v>Cb2-Y3-G160</v>
          </cell>
          <cell r="D268" t="str">
            <v>RAGT-09</v>
          </cell>
        </row>
        <row r="269">
          <cell r="A269">
            <v>46</v>
          </cell>
          <cell r="B269" t="str">
            <v>RAPSO_246</v>
          </cell>
          <cell r="C269" t="str">
            <v>Cb2-Y3-G091</v>
          </cell>
          <cell r="D269" t="str">
            <v>NSL 96-25</v>
          </cell>
        </row>
        <row r="270">
          <cell r="A270">
            <v>47</v>
          </cell>
          <cell r="B270" t="str">
            <v>RAPSO_334</v>
          </cell>
          <cell r="C270" t="str">
            <v>Cb2-Y3-G171</v>
          </cell>
          <cell r="D270" t="str">
            <v>SYN10</v>
          </cell>
        </row>
        <row r="271">
          <cell r="A271">
            <v>48</v>
          </cell>
          <cell r="B271" t="str">
            <v>RAPSO_165</v>
          </cell>
          <cell r="C271" t="str">
            <v>Cb2-Y3-G056</v>
          </cell>
          <cell r="D271" t="str">
            <v>Ceres</v>
          </cell>
        </row>
        <row r="272">
          <cell r="A272">
            <v>49</v>
          </cell>
          <cell r="B272" t="str">
            <v>RAPSO_301</v>
          </cell>
          <cell r="C272" t="str">
            <v>Cb2-Y3-G138</v>
          </cell>
          <cell r="D272" t="str">
            <v>ES-BRAVA</v>
          </cell>
        </row>
        <row r="273">
          <cell r="A273">
            <v>50</v>
          </cell>
          <cell r="B273" t="str">
            <v>RAPSO_324</v>
          </cell>
          <cell r="C273" t="str">
            <v>Cb2-Y3-G161</v>
          </cell>
          <cell r="D273" t="str">
            <v>RAGT-10</v>
          </cell>
        </row>
        <row r="274">
          <cell r="A274">
            <v>51</v>
          </cell>
          <cell r="B274" t="str">
            <v>RAPSO_282</v>
          </cell>
          <cell r="C274" t="str">
            <v>Cb2-Y3-G111</v>
          </cell>
          <cell r="D274" t="str">
            <v>Twister</v>
          </cell>
        </row>
        <row r="275">
          <cell r="A275">
            <v>52</v>
          </cell>
          <cell r="B275" t="str">
            <v>RAPSO_303</v>
          </cell>
          <cell r="C275" t="str">
            <v>Cb2-Y3-G140</v>
          </cell>
          <cell r="D275" t="str">
            <v>ES-VIPER</v>
          </cell>
        </row>
        <row r="276">
          <cell r="A276">
            <v>53</v>
          </cell>
          <cell r="B276" t="str">
            <v>RAPSO_261</v>
          </cell>
          <cell r="C276" t="str">
            <v>Cb2-Y3-G100</v>
          </cell>
          <cell r="D276" t="str">
            <v>Remy</v>
          </cell>
        </row>
        <row r="277">
          <cell r="A277">
            <v>54</v>
          </cell>
          <cell r="B277" t="str">
            <v>RAPSO_245</v>
          </cell>
          <cell r="C277" t="str">
            <v>Cb2-Y3-G090</v>
          </cell>
          <cell r="D277" t="str">
            <v>Navajo</v>
          </cell>
        </row>
        <row r="278">
          <cell r="A278">
            <v>55</v>
          </cell>
          <cell r="B278" t="str">
            <v>RAPSO_308</v>
          </cell>
          <cell r="C278" t="str">
            <v>Cb2-Y3-G145</v>
          </cell>
          <cell r="D278" t="str">
            <v>LADOGA</v>
          </cell>
        </row>
        <row r="279">
          <cell r="A279">
            <v>56</v>
          </cell>
          <cell r="B279" t="str">
            <v>RAPSO_307</v>
          </cell>
          <cell r="C279" t="str">
            <v>Cb2-Y3-G144</v>
          </cell>
          <cell r="D279" t="str">
            <v>COOPER</v>
          </cell>
        </row>
        <row r="280">
          <cell r="A280">
            <v>57</v>
          </cell>
          <cell r="B280" t="str">
            <v>RAPSO_171</v>
          </cell>
          <cell r="C280" t="str">
            <v>Cb2-Y3-G059</v>
          </cell>
          <cell r="D280" t="str">
            <v>Colvert</v>
          </cell>
        </row>
        <row r="281">
          <cell r="A281">
            <v>58</v>
          </cell>
          <cell r="B281" t="str">
            <v>RAPSO_084</v>
          </cell>
          <cell r="C281" t="str">
            <v>Cb2-Y3-G031</v>
          </cell>
          <cell r="D281" t="str">
            <v>Emil</v>
          </cell>
        </row>
        <row r="282">
          <cell r="A282">
            <v>59</v>
          </cell>
          <cell r="B282" t="str">
            <v>RAPSO_102</v>
          </cell>
          <cell r="C282" t="str">
            <v>Cb2-Y3-G034</v>
          </cell>
          <cell r="D282" t="str">
            <v>Lesira</v>
          </cell>
        </row>
        <row r="283">
          <cell r="A283">
            <v>60</v>
          </cell>
          <cell r="B283" t="str">
            <v>RAPSO_311</v>
          </cell>
          <cell r="C283" t="str">
            <v>Cb2-Y3-G148</v>
          </cell>
          <cell r="D283" t="str">
            <v>ONTARIO</v>
          </cell>
        </row>
        <row r="284">
          <cell r="A284">
            <v>61</v>
          </cell>
          <cell r="B284" t="str">
            <v>RAPSO_081</v>
          </cell>
          <cell r="C284" t="str">
            <v>Cb2-Y3-G030</v>
          </cell>
          <cell r="D284" t="str">
            <v>Doral</v>
          </cell>
        </row>
        <row r="285">
          <cell r="A285">
            <v>62</v>
          </cell>
          <cell r="B285" t="str">
            <v>RAPSO_209</v>
          </cell>
          <cell r="C285" t="str">
            <v>Cb2-Y3-G074</v>
          </cell>
          <cell r="D285" t="str">
            <v>Inca</v>
          </cell>
        </row>
        <row r="286">
          <cell r="A286">
            <v>63</v>
          </cell>
          <cell r="B286" t="str">
            <v>RAPSO_027</v>
          </cell>
          <cell r="C286" t="str">
            <v>Cb2-Y3-G007</v>
          </cell>
          <cell r="D286" t="str">
            <v>Major</v>
          </cell>
        </row>
        <row r="287">
          <cell r="A287">
            <v>64</v>
          </cell>
          <cell r="B287" t="str">
            <v>RAPSO_187</v>
          </cell>
          <cell r="C287" t="str">
            <v>Cb2-Y3-G066</v>
          </cell>
          <cell r="D287" t="str">
            <v>Escort</v>
          </cell>
        </row>
        <row r="288">
          <cell r="A288">
            <v>65</v>
          </cell>
          <cell r="B288" t="str">
            <v>MP003</v>
          </cell>
          <cell r="C288" t="str">
            <v>Cb2-Y3-G130</v>
          </cell>
          <cell r="D288" t="str">
            <v>Mohican</v>
          </cell>
        </row>
        <row r="289">
          <cell r="A289">
            <v>66</v>
          </cell>
          <cell r="B289" t="str">
            <v>RAPSO_072</v>
          </cell>
          <cell r="C289" t="str">
            <v>Cb2-Y3-G024</v>
          </cell>
          <cell r="D289" t="str">
            <v>Aztec</v>
          </cell>
        </row>
        <row r="290">
          <cell r="A290">
            <v>67</v>
          </cell>
          <cell r="B290" t="str">
            <v>RAPSO_375</v>
          </cell>
          <cell r="C290" t="str">
            <v>Cb2-Y3-G118</v>
          </cell>
          <cell r="D290" t="str">
            <v xml:space="preserve">CETMEKI </v>
          </cell>
        </row>
        <row r="291">
          <cell r="A291">
            <v>68</v>
          </cell>
          <cell r="B291" t="str">
            <v>RAPSO_265</v>
          </cell>
          <cell r="C291" t="str">
            <v>Cb2-Y3-G102</v>
          </cell>
          <cell r="D291" t="str">
            <v>Roxet</v>
          </cell>
        </row>
        <row r="292">
          <cell r="A292">
            <v>69</v>
          </cell>
          <cell r="B292" t="str">
            <v>RAPSO_220</v>
          </cell>
          <cell r="C292" t="str">
            <v>Cb2-Y3-G079</v>
          </cell>
          <cell r="D292" t="str">
            <v>Liberator</v>
          </cell>
        </row>
        <row r="293">
          <cell r="A293">
            <v>70</v>
          </cell>
          <cell r="B293" t="str">
            <v>RAPSO_476</v>
          </cell>
          <cell r="C293" t="str">
            <v>Cb2-Y3-G176</v>
          </cell>
          <cell r="D293" t="str">
            <v>RAGT-13</v>
          </cell>
        </row>
        <row r="294">
          <cell r="A294">
            <v>71</v>
          </cell>
          <cell r="B294" t="str">
            <v>RAPSO_174</v>
          </cell>
          <cell r="C294" t="str">
            <v>Cb2-Y3-G060</v>
          </cell>
          <cell r="D294" t="str">
            <v>Contact</v>
          </cell>
        </row>
        <row r="295">
          <cell r="A295">
            <v>72</v>
          </cell>
          <cell r="B295" t="str">
            <v>RAPSO_327</v>
          </cell>
          <cell r="C295" t="str">
            <v>Cb2-Y3-G164</v>
          </cell>
          <cell r="D295" t="str">
            <v>SYN03</v>
          </cell>
        </row>
        <row r="296">
          <cell r="A296">
            <v>73</v>
          </cell>
          <cell r="B296" t="str">
            <v>BRA_008</v>
          </cell>
          <cell r="C296" t="str">
            <v>Cb2-Y3-G126</v>
          </cell>
          <cell r="D296" t="str">
            <v>Aviso</v>
          </cell>
        </row>
        <row r="297">
          <cell r="A297">
            <v>74</v>
          </cell>
          <cell r="B297" t="str">
            <v>RAPSO_342</v>
          </cell>
          <cell r="C297" t="str">
            <v>Cb2-Y3-G113</v>
          </cell>
          <cell r="D297" t="str">
            <v>Madora2-DS3</v>
          </cell>
        </row>
        <row r="298">
          <cell r="A298">
            <v>75</v>
          </cell>
          <cell r="B298" t="str">
            <v>RAPSO_473</v>
          </cell>
          <cell r="C298" t="str">
            <v>Cb2-Y3-G175</v>
          </cell>
          <cell r="D298" t="str">
            <v>Anastasia</v>
          </cell>
        </row>
        <row r="299">
          <cell r="A299">
            <v>76</v>
          </cell>
          <cell r="B299" t="str">
            <v>RAPSO_075</v>
          </cell>
          <cell r="C299" t="str">
            <v>Cb2-Y3-G026</v>
          </cell>
          <cell r="D299" t="str">
            <v>Beryl</v>
          </cell>
        </row>
        <row r="300">
          <cell r="A300">
            <v>77</v>
          </cell>
          <cell r="B300" t="str">
            <v>RAPSO_326</v>
          </cell>
          <cell r="C300" t="str">
            <v>Cb2-Y3-G163</v>
          </cell>
          <cell r="D300" t="str">
            <v>SYN02</v>
          </cell>
        </row>
        <row r="301">
          <cell r="A301">
            <v>78</v>
          </cell>
          <cell r="B301" t="str">
            <v>RAPSO_480</v>
          </cell>
          <cell r="C301" t="str">
            <v>Cb2-Y3-G180</v>
          </cell>
          <cell r="D301" t="str">
            <v>SYNG12</v>
          </cell>
        </row>
        <row r="302">
          <cell r="A302">
            <v>79</v>
          </cell>
          <cell r="B302" t="str">
            <v>RAPSO_317</v>
          </cell>
          <cell r="C302" t="str">
            <v>Cb2-Y3-G154</v>
          </cell>
          <cell r="D302" t="str">
            <v>RAGT-03</v>
          </cell>
        </row>
        <row r="303">
          <cell r="A303">
            <v>80</v>
          </cell>
          <cell r="B303" t="str">
            <v>RAPSO_306</v>
          </cell>
          <cell r="C303" t="str">
            <v>Cb2-Y3-G143</v>
          </cell>
          <cell r="D303" t="str">
            <v>ANGELINA</v>
          </cell>
        </row>
        <row r="304">
          <cell r="A304">
            <v>81</v>
          </cell>
          <cell r="B304" t="str">
            <v>RAPSO_310</v>
          </cell>
          <cell r="C304" t="str">
            <v>Cb2-Y3-G147</v>
          </cell>
          <cell r="D304" t="str">
            <v>OKAPI</v>
          </cell>
        </row>
        <row r="305">
          <cell r="A305">
            <v>82</v>
          </cell>
          <cell r="B305" t="str">
            <v>RAPSO_148</v>
          </cell>
          <cell r="C305" t="str">
            <v>Cb2-Y3-G049</v>
          </cell>
          <cell r="D305" t="str">
            <v>Boston</v>
          </cell>
        </row>
        <row r="306">
          <cell r="A306">
            <v>83</v>
          </cell>
          <cell r="B306" t="str">
            <v>RAPSO_235</v>
          </cell>
          <cell r="C306" t="str">
            <v>Cb2-Y3-G087</v>
          </cell>
          <cell r="D306" t="str">
            <v>Mar</v>
          </cell>
        </row>
        <row r="307">
          <cell r="A307">
            <v>84</v>
          </cell>
          <cell r="B307" t="str">
            <v>RAPSO_124</v>
          </cell>
          <cell r="C307" t="str">
            <v>Cb2-Y3-G038</v>
          </cell>
          <cell r="D307" t="str">
            <v>Valdor</v>
          </cell>
        </row>
        <row r="308">
          <cell r="A308">
            <v>85</v>
          </cell>
          <cell r="B308" t="str">
            <v>RAPSO_294</v>
          </cell>
          <cell r="C308" t="str">
            <v>Cb2-Y3-G131</v>
          </cell>
          <cell r="D308" t="str">
            <v>ES-AGATHA</v>
          </cell>
        </row>
        <row r="309">
          <cell r="A309">
            <v>86</v>
          </cell>
          <cell r="B309" t="str">
            <v>RAPSO_051</v>
          </cell>
          <cell r="C309" t="str">
            <v>Cb2-Y3-G018</v>
          </cell>
          <cell r="D309" t="str">
            <v>Ramses</v>
          </cell>
        </row>
        <row r="310">
          <cell r="A310">
            <v>87</v>
          </cell>
          <cell r="B310" t="str">
            <v>RAPSO_312</v>
          </cell>
          <cell r="C310" t="str">
            <v>Cb2-Y3-G149</v>
          </cell>
          <cell r="D310" t="str">
            <v>PAMELA</v>
          </cell>
        </row>
        <row r="311">
          <cell r="A311">
            <v>88</v>
          </cell>
          <cell r="B311" t="str">
            <v>RAPSO_227</v>
          </cell>
          <cell r="C311" t="str">
            <v>Cb2-Y3-G082</v>
          </cell>
          <cell r="D311" t="str">
            <v>Liporta</v>
          </cell>
        </row>
        <row r="312">
          <cell r="A312">
            <v>89</v>
          </cell>
          <cell r="B312" t="str">
            <v>RAPSO_128</v>
          </cell>
          <cell r="C312" t="str">
            <v>Cb2-Y3-G039</v>
          </cell>
          <cell r="D312" t="str">
            <v>Adriana</v>
          </cell>
        </row>
        <row r="313">
          <cell r="A313">
            <v>90</v>
          </cell>
          <cell r="B313" t="str">
            <v>RAPSO_318</v>
          </cell>
          <cell r="C313" t="str">
            <v>Cb2-Y3-G155</v>
          </cell>
          <cell r="D313" t="str">
            <v>RAGT-04</v>
          </cell>
        </row>
        <row r="314">
          <cell r="A314">
            <v>91</v>
          </cell>
          <cell r="B314" t="str">
            <v>RAPSO_356</v>
          </cell>
          <cell r="C314" t="str">
            <v>Cb2-Y3-G115</v>
          </cell>
          <cell r="D314" t="str">
            <v>Regal2-DS1</v>
          </cell>
        </row>
        <row r="315">
          <cell r="A315">
            <v>92</v>
          </cell>
          <cell r="B315" t="str">
            <v>RAPSO_135</v>
          </cell>
          <cell r="C315" t="str">
            <v>Cb2-Y3-G043</v>
          </cell>
          <cell r="D315" t="str">
            <v>Amber</v>
          </cell>
        </row>
        <row r="316">
          <cell r="A316">
            <v>93</v>
          </cell>
          <cell r="B316" t="str">
            <v>RAPSO_238</v>
          </cell>
          <cell r="C316" t="str">
            <v>Cb2-Y3-G088</v>
          </cell>
          <cell r="D316" t="str">
            <v>Milena</v>
          </cell>
        </row>
        <row r="317">
          <cell r="A317">
            <v>94</v>
          </cell>
          <cell r="B317" t="str">
            <v>RAPSO_309</v>
          </cell>
          <cell r="C317" t="str">
            <v>Cb2-Y3-G146</v>
          </cell>
          <cell r="D317" t="str">
            <v>MANITOBA</v>
          </cell>
        </row>
        <row r="318">
          <cell r="A318">
            <v>95</v>
          </cell>
          <cell r="B318" t="str">
            <v>MP001</v>
          </cell>
          <cell r="C318" t="str">
            <v>Cb2-Y3-G129</v>
          </cell>
          <cell r="D318" t="str">
            <v>Astrid</v>
          </cell>
        </row>
        <row r="319">
          <cell r="A319">
            <v>96</v>
          </cell>
          <cell r="B319" t="str">
            <v>RAPSO_158</v>
          </cell>
          <cell r="C319" t="str">
            <v>Cb2-Y3-G053</v>
          </cell>
          <cell r="D319" t="str">
            <v>Capitol</v>
          </cell>
        </row>
        <row r="320">
          <cell r="A320">
            <v>97</v>
          </cell>
          <cell r="B320" t="str">
            <v>BRA_009</v>
          </cell>
          <cell r="C320" t="str">
            <v>Cb2-Y3-G127</v>
          </cell>
          <cell r="D320" t="str">
            <v>Jupiter</v>
          </cell>
        </row>
        <row r="321">
          <cell r="A321">
            <v>98</v>
          </cell>
          <cell r="B321" t="str">
            <v>RAPSO_146</v>
          </cell>
          <cell r="C321" t="str">
            <v>Cb2-Y3-G048</v>
          </cell>
          <cell r="D321" t="str">
            <v>Bolko - POH 285</v>
          </cell>
        </row>
        <row r="322">
          <cell r="A322">
            <v>99</v>
          </cell>
          <cell r="B322" t="str">
            <v>BRA_008</v>
          </cell>
          <cell r="C322" t="str">
            <v>Cb2-Y3-Av-T</v>
          </cell>
          <cell r="D322" t="str">
            <v>Aviso-T</v>
          </cell>
        </row>
        <row r="323">
          <cell r="A323">
            <v>100</v>
          </cell>
          <cell r="B323" t="str">
            <v>RAPSO_243</v>
          </cell>
          <cell r="C323" t="str">
            <v>Cb2-Y3-Mt-T</v>
          </cell>
          <cell r="D323" t="str">
            <v>Montego-T</v>
          </cell>
        </row>
        <row r="324">
          <cell r="A324">
            <v>101</v>
          </cell>
          <cell r="B324" t="str">
            <v>na</v>
          </cell>
          <cell r="C324" t="str">
            <v>Cb2-Y3-Al-T1</v>
          </cell>
          <cell r="D324" t="str">
            <v>Alpaga-T</v>
          </cell>
        </row>
        <row r="325">
          <cell r="A325">
            <v>102</v>
          </cell>
          <cell r="B325" t="str">
            <v>na</v>
          </cell>
          <cell r="C325" t="str">
            <v>Cb2-Y3-Al-T2</v>
          </cell>
          <cell r="D325" t="str">
            <v>Alpaga-T</v>
          </cell>
        </row>
        <row r="326">
          <cell r="A326" t="str">
            <v>B</v>
          </cell>
          <cell r="B326" t="str">
            <v>na</v>
          </cell>
          <cell r="C326" t="str">
            <v>Bordure</v>
          </cell>
          <cell r="D326" t="str">
            <v>Alpaga</v>
          </cell>
        </row>
        <row r="327">
          <cell r="A327">
            <v>205</v>
          </cell>
          <cell r="B327" t="str">
            <v>na</v>
          </cell>
          <cell r="C327" t="str">
            <v>Bordure Vide</v>
          </cell>
          <cell r="D327" t="str">
            <v>sol nu</v>
          </cell>
        </row>
        <row r="328">
          <cell r="A328" t="str">
            <v>B Av</v>
          </cell>
          <cell r="B328" t="str">
            <v>BRA_008</v>
          </cell>
          <cell r="C328" t="str">
            <v>Bordure témoin</v>
          </cell>
          <cell r="D328" t="str">
            <v>Aviso-T</v>
          </cell>
        </row>
        <row r="329">
          <cell r="A329" t="str">
            <v>B Mt</v>
          </cell>
          <cell r="B329" t="str">
            <v>RAPSO_243</v>
          </cell>
          <cell r="C329" t="str">
            <v>Bordure témoin</v>
          </cell>
          <cell r="D329" t="str">
            <v>Montego-T</v>
          </cell>
        </row>
      </sheetData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9"/>
  <sheetViews>
    <sheetView topLeftCell="A169" workbookViewId="0">
      <selection activeCell="C174" sqref="C174"/>
    </sheetView>
  </sheetViews>
  <sheetFormatPr baseColWidth="10" defaultRowHeight="15" x14ac:dyDescent="0.25"/>
  <cols>
    <col min="1" max="1" width="11.42578125" style="50"/>
    <col min="2" max="3" width="23.5703125" style="51" customWidth="1"/>
    <col min="4" max="4" width="26.5703125" style="5" customWidth="1"/>
    <col min="5" max="5" width="27.140625" style="50" customWidth="1"/>
    <col min="6" max="7" width="11.42578125" style="38"/>
    <col min="8" max="8" width="27.140625" style="50" customWidth="1"/>
    <col min="9" max="9" width="23.5703125" style="51" customWidth="1"/>
    <col min="10" max="16384" width="11.42578125" style="38"/>
  </cols>
  <sheetData>
    <row r="1" spans="1:9" s="33" customFormat="1" ht="12.95" customHeight="1" x14ac:dyDescent="0.2">
      <c r="A1" s="31" t="s">
        <v>1450</v>
      </c>
      <c r="B1" s="31" t="s">
        <v>1451</v>
      </c>
      <c r="C1" s="31" t="s">
        <v>1452</v>
      </c>
      <c r="D1" s="32" t="s">
        <v>1453</v>
      </c>
      <c r="E1" s="32" t="s">
        <v>1454</v>
      </c>
      <c r="H1" s="32" t="s">
        <v>1454</v>
      </c>
      <c r="I1" s="31" t="s">
        <v>1452</v>
      </c>
    </row>
    <row r="2" spans="1:9" s="37" customFormat="1" ht="12.95" customHeight="1" x14ac:dyDescent="0.2">
      <c r="A2" s="34" t="s">
        <v>1455</v>
      </c>
      <c r="B2" s="35">
        <v>1</v>
      </c>
      <c r="C2" s="35" t="s">
        <v>1456</v>
      </c>
      <c r="D2" s="36" t="s">
        <v>1457</v>
      </c>
      <c r="E2" s="36" t="s">
        <v>190</v>
      </c>
      <c r="H2" s="36" t="s">
        <v>190</v>
      </c>
      <c r="I2" s="35" t="s">
        <v>1456</v>
      </c>
    </row>
    <row r="3" spans="1:9" ht="12.95" customHeight="1" x14ac:dyDescent="0.2">
      <c r="A3" s="34" t="s">
        <v>1455</v>
      </c>
      <c r="B3" s="35">
        <v>2</v>
      </c>
      <c r="C3" s="35" t="s">
        <v>1458</v>
      </c>
      <c r="D3" s="36" t="s">
        <v>1459</v>
      </c>
      <c r="E3" s="36" t="s">
        <v>242</v>
      </c>
      <c r="H3" s="36" t="s">
        <v>242</v>
      </c>
      <c r="I3" s="35" t="s">
        <v>1458</v>
      </c>
    </row>
    <row r="4" spans="1:9" ht="12.95" customHeight="1" x14ac:dyDescent="0.2">
      <c r="A4" s="34" t="s">
        <v>1455</v>
      </c>
      <c r="B4" s="35">
        <v>3</v>
      </c>
      <c r="C4" s="35" t="s">
        <v>1460</v>
      </c>
      <c r="D4" s="36" t="s">
        <v>1461</v>
      </c>
      <c r="E4" s="36" t="s">
        <v>277</v>
      </c>
      <c r="H4" s="36" t="s">
        <v>277</v>
      </c>
      <c r="I4" s="35" t="s">
        <v>1460</v>
      </c>
    </row>
    <row r="5" spans="1:9" ht="12.95" customHeight="1" x14ac:dyDescent="0.2">
      <c r="A5" s="34" t="s">
        <v>1455</v>
      </c>
      <c r="B5" s="35">
        <v>4</v>
      </c>
      <c r="C5" s="35" t="s">
        <v>1462</v>
      </c>
      <c r="D5" s="36" t="s">
        <v>1463</v>
      </c>
      <c r="E5" s="36" t="s">
        <v>63</v>
      </c>
      <c r="H5" s="36" t="s">
        <v>63</v>
      </c>
      <c r="I5" s="35" t="s">
        <v>1462</v>
      </c>
    </row>
    <row r="6" spans="1:9" s="37" customFormat="1" ht="12.95" customHeight="1" x14ac:dyDescent="0.2">
      <c r="A6" s="34" t="s">
        <v>1455</v>
      </c>
      <c r="B6" s="35">
        <v>5</v>
      </c>
      <c r="C6" s="35" t="s">
        <v>1464</v>
      </c>
      <c r="D6" s="36" t="s">
        <v>1465</v>
      </c>
      <c r="E6" s="39" t="s">
        <v>203</v>
      </c>
      <c r="H6" s="39" t="s">
        <v>203</v>
      </c>
      <c r="I6" s="35" t="s">
        <v>1464</v>
      </c>
    </row>
    <row r="7" spans="1:9" s="37" customFormat="1" ht="12.95" customHeight="1" x14ac:dyDescent="0.2">
      <c r="A7" s="34" t="s">
        <v>1455</v>
      </c>
      <c r="B7" s="35">
        <v>6</v>
      </c>
      <c r="C7" s="35" t="s">
        <v>1466</v>
      </c>
      <c r="D7" s="36" t="s">
        <v>1467</v>
      </c>
      <c r="E7" s="36" t="s">
        <v>218</v>
      </c>
      <c r="H7" s="36" t="s">
        <v>218</v>
      </c>
      <c r="I7" s="35" t="s">
        <v>1466</v>
      </c>
    </row>
    <row r="8" spans="1:9" ht="12.95" customHeight="1" x14ac:dyDescent="0.2">
      <c r="A8" s="34" t="s">
        <v>1455</v>
      </c>
      <c r="B8" s="35">
        <v>7</v>
      </c>
      <c r="C8" s="35" t="s">
        <v>1468</v>
      </c>
      <c r="D8" s="36" t="s">
        <v>1469</v>
      </c>
      <c r="E8" s="36" t="s">
        <v>100</v>
      </c>
      <c r="H8" s="36" t="s">
        <v>100</v>
      </c>
      <c r="I8" s="35" t="s">
        <v>1468</v>
      </c>
    </row>
    <row r="9" spans="1:9" ht="12.95" customHeight="1" x14ac:dyDescent="0.2">
      <c r="A9" s="34" t="s">
        <v>1455</v>
      </c>
      <c r="B9" s="35">
        <v>8</v>
      </c>
      <c r="C9" s="35" t="s">
        <v>1470</v>
      </c>
      <c r="D9" s="36" t="s">
        <v>1471</v>
      </c>
      <c r="E9" s="36" t="s">
        <v>272</v>
      </c>
      <c r="H9" s="36" t="s">
        <v>272</v>
      </c>
      <c r="I9" s="35" t="s">
        <v>1470</v>
      </c>
    </row>
    <row r="10" spans="1:9" ht="12.95" customHeight="1" x14ac:dyDescent="0.2">
      <c r="A10" s="34" t="s">
        <v>1455</v>
      </c>
      <c r="B10" s="35">
        <v>9</v>
      </c>
      <c r="C10" s="35" t="s">
        <v>1472</v>
      </c>
      <c r="D10" s="36" t="s">
        <v>1473</v>
      </c>
      <c r="E10" s="36" t="s">
        <v>45</v>
      </c>
      <c r="H10" s="36" t="s">
        <v>45</v>
      </c>
      <c r="I10" s="35" t="s">
        <v>1472</v>
      </c>
    </row>
    <row r="11" spans="1:9" ht="12.95" customHeight="1" x14ac:dyDescent="0.2">
      <c r="A11" s="34" t="s">
        <v>1455</v>
      </c>
      <c r="B11" s="35">
        <v>10</v>
      </c>
      <c r="C11" s="35" t="s">
        <v>1474</v>
      </c>
      <c r="D11" s="36" t="s">
        <v>1475</v>
      </c>
      <c r="E11" s="36" t="s">
        <v>215</v>
      </c>
      <c r="H11" s="36" t="s">
        <v>215</v>
      </c>
      <c r="I11" s="35" t="s">
        <v>1474</v>
      </c>
    </row>
    <row r="12" spans="1:9" ht="12.95" customHeight="1" x14ac:dyDescent="0.2">
      <c r="A12" s="34" t="s">
        <v>1455</v>
      </c>
      <c r="B12" s="35">
        <v>11</v>
      </c>
      <c r="C12" s="35" t="s">
        <v>1476</v>
      </c>
      <c r="D12" s="36" t="s">
        <v>1477</v>
      </c>
      <c r="E12" s="36" t="s">
        <v>172</v>
      </c>
      <c r="H12" s="36" t="s">
        <v>172</v>
      </c>
      <c r="I12" s="35" t="s">
        <v>1476</v>
      </c>
    </row>
    <row r="13" spans="1:9" ht="12.95" customHeight="1" x14ac:dyDescent="0.2">
      <c r="A13" s="34" t="s">
        <v>1455</v>
      </c>
      <c r="B13" s="35">
        <v>12</v>
      </c>
      <c r="C13" s="35" t="s">
        <v>1478</v>
      </c>
      <c r="D13" s="36" t="s">
        <v>1479</v>
      </c>
      <c r="E13" s="36" t="s">
        <v>86</v>
      </c>
      <c r="H13" s="36" t="s">
        <v>86</v>
      </c>
      <c r="I13" s="35" t="s">
        <v>1478</v>
      </c>
    </row>
    <row r="14" spans="1:9" ht="12.95" customHeight="1" x14ac:dyDescent="0.2">
      <c r="A14" s="34" t="s">
        <v>1455</v>
      </c>
      <c r="B14" s="35">
        <v>13</v>
      </c>
      <c r="C14" s="35" t="s">
        <v>1480</v>
      </c>
      <c r="D14" s="36" t="s">
        <v>1481</v>
      </c>
      <c r="E14" s="36" t="s">
        <v>186</v>
      </c>
      <c r="H14" s="36" t="s">
        <v>186</v>
      </c>
      <c r="I14" s="35" t="s">
        <v>1480</v>
      </c>
    </row>
    <row r="15" spans="1:9" ht="12.95" customHeight="1" x14ac:dyDescent="0.2">
      <c r="A15" s="34" t="s">
        <v>1455</v>
      </c>
      <c r="B15" s="35">
        <v>14</v>
      </c>
      <c r="C15" s="35" t="s">
        <v>1482</v>
      </c>
      <c r="D15" s="36" t="s">
        <v>1483</v>
      </c>
      <c r="E15" s="36" t="s">
        <v>70</v>
      </c>
      <c r="H15" s="36" t="s">
        <v>70</v>
      </c>
      <c r="I15" s="35" t="s">
        <v>1482</v>
      </c>
    </row>
    <row r="16" spans="1:9" ht="12.95" customHeight="1" x14ac:dyDescent="0.2">
      <c r="A16" s="34" t="s">
        <v>1455</v>
      </c>
      <c r="B16" s="35">
        <v>15</v>
      </c>
      <c r="C16" s="35" t="s">
        <v>1484</v>
      </c>
      <c r="D16" s="36" t="s">
        <v>1485</v>
      </c>
      <c r="E16" s="36" t="s">
        <v>171</v>
      </c>
      <c r="H16" s="36" t="s">
        <v>171</v>
      </c>
      <c r="I16" s="35" t="s">
        <v>1484</v>
      </c>
    </row>
    <row r="17" spans="1:9" ht="12.95" customHeight="1" x14ac:dyDescent="0.2">
      <c r="A17" s="34" t="s">
        <v>1455</v>
      </c>
      <c r="B17" s="35">
        <v>16</v>
      </c>
      <c r="C17" s="35" t="s">
        <v>1486</v>
      </c>
      <c r="D17" s="36" t="s">
        <v>1487</v>
      </c>
      <c r="E17" s="36" t="s">
        <v>266</v>
      </c>
      <c r="H17" s="36" t="s">
        <v>266</v>
      </c>
      <c r="I17" s="35" t="s">
        <v>1486</v>
      </c>
    </row>
    <row r="18" spans="1:9" s="40" customFormat="1" ht="12.95" customHeight="1" x14ac:dyDescent="0.2">
      <c r="A18" s="34" t="s">
        <v>1455</v>
      </c>
      <c r="B18" s="35">
        <v>17</v>
      </c>
      <c r="C18" s="35" t="s">
        <v>1488</v>
      </c>
      <c r="D18" s="36" t="s">
        <v>1489</v>
      </c>
      <c r="E18" s="36" t="s">
        <v>164</v>
      </c>
      <c r="H18" s="36" t="s">
        <v>164</v>
      </c>
      <c r="I18" s="35" t="s">
        <v>1488</v>
      </c>
    </row>
    <row r="19" spans="1:9" ht="12.95" customHeight="1" x14ac:dyDescent="0.2">
      <c r="A19" s="34" t="s">
        <v>1455</v>
      </c>
      <c r="B19" s="35">
        <v>18</v>
      </c>
      <c r="C19" s="35" t="s">
        <v>1490</v>
      </c>
      <c r="D19" s="36" t="s">
        <v>1491</v>
      </c>
      <c r="E19" s="36" t="s">
        <v>67</v>
      </c>
      <c r="H19" s="36" t="s">
        <v>67</v>
      </c>
      <c r="I19" s="35" t="s">
        <v>1490</v>
      </c>
    </row>
    <row r="20" spans="1:9" ht="12.95" customHeight="1" x14ac:dyDescent="0.2">
      <c r="A20" s="34" t="s">
        <v>1455</v>
      </c>
      <c r="B20" s="35">
        <v>19</v>
      </c>
      <c r="C20" s="35" t="s">
        <v>1492</v>
      </c>
      <c r="D20" s="36" t="s">
        <v>1493</v>
      </c>
      <c r="E20" s="36" t="s">
        <v>205</v>
      </c>
      <c r="H20" s="36" t="s">
        <v>205</v>
      </c>
      <c r="I20" s="35" t="s">
        <v>1492</v>
      </c>
    </row>
    <row r="21" spans="1:9" ht="12.95" customHeight="1" x14ac:dyDescent="0.2">
      <c r="A21" s="34" t="s">
        <v>1455</v>
      </c>
      <c r="B21" s="35">
        <v>20</v>
      </c>
      <c r="C21" s="35" t="s">
        <v>1494</v>
      </c>
      <c r="D21" s="36" t="s">
        <v>1495</v>
      </c>
      <c r="E21" s="36" t="s">
        <v>181</v>
      </c>
      <c r="H21" s="36" t="s">
        <v>181</v>
      </c>
      <c r="I21" s="35" t="s">
        <v>1494</v>
      </c>
    </row>
    <row r="22" spans="1:9" ht="12.95" customHeight="1" x14ac:dyDescent="0.2">
      <c r="A22" s="34" t="s">
        <v>1455</v>
      </c>
      <c r="B22" s="35">
        <v>21</v>
      </c>
      <c r="C22" s="35" t="s">
        <v>1496</v>
      </c>
      <c r="D22" s="36" t="s">
        <v>1497</v>
      </c>
      <c r="E22" s="36" t="s">
        <v>159</v>
      </c>
      <c r="H22" s="36" t="s">
        <v>159</v>
      </c>
      <c r="I22" s="35" t="s">
        <v>1496</v>
      </c>
    </row>
    <row r="23" spans="1:9" s="40" customFormat="1" ht="12.95" customHeight="1" x14ac:dyDescent="0.2">
      <c r="A23" s="34" t="s">
        <v>1455</v>
      </c>
      <c r="B23" s="35">
        <v>22</v>
      </c>
      <c r="C23" s="35" t="s">
        <v>1498</v>
      </c>
      <c r="D23" s="36" t="s">
        <v>1499</v>
      </c>
      <c r="E23" s="36" t="s">
        <v>91</v>
      </c>
      <c r="H23" s="36" t="s">
        <v>91</v>
      </c>
      <c r="I23" s="35" t="s">
        <v>1498</v>
      </c>
    </row>
    <row r="24" spans="1:9" s="37" customFormat="1" ht="12.95" customHeight="1" x14ac:dyDescent="0.2">
      <c r="A24" s="34" t="s">
        <v>1455</v>
      </c>
      <c r="B24" s="35">
        <v>23</v>
      </c>
      <c r="C24" s="35" t="s">
        <v>1500</v>
      </c>
      <c r="D24" s="36" t="s">
        <v>1501</v>
      </c>
      <c r="E24" s="36" t="s">
        <v>231</v>
      </c>
      <c r="H24" s="36" t="s">
        <v>231</v>
      </c>
      <c r="I24" s="35" t="s">
        <v>1500</v>
      </c>
    </row>
    <row r="25" spans="1:9" ht="12.95" customHeight="1" x14ac:dyDescent="0.2">
      <c r="A25" s="34" t="s">
        <v>1455</v>
      </c>
      <c r="B25" s="35">
        <v>24</v>
      </c>
      <c r="C25" s="35" t="s">
        <v>1502</v>
      </c>
      <c r="D25" s="36" t="s">
        <v>1503</v>
      </c>
      <c r="E25" s="36" t="s">
        <v>43</v>
      </c>
      <c r="H25" s="36" t="s">
        <v>43</v>
      </c>
      <c r="I25" s="35" t="s">
        <v>1502</v>
      </c>
    </row>
    <row r="26" spans="1:9" ht="12.95" customHeight="1" x14ac:dyDescent="0.2">
      <c r="A26" s="34" t="s">
        <v>1455</v>
      </c>
      <c r="B26" s="35">
        <v>25</v>
      </c>
      <c r="C26" s="35" t="s">
        <v>1504</v>
      </c>
      <c r="D26" s="36" t="s">
        <v>1505</v>
      </c>
      <c r="E26" s="36" t="s">
        <v>202</v>
      </c>
      <c r="H26" s="36" t="s">
        <v>202</v>
      </c>
      <c r="I26" s="35" t="s">
        <v>1504</v>
      </c>
    </row>
    <row r="27" spans="1:9" s="37" customFormat="1" ht="12.95" customHeight="1" x14ac:dyDescent="0.2">
      <c r="A27" s="34" t="s">
        <v>1455</v>
      </c>
      <c r="B27" s="35">
        <v>26</v>
      </c>
      <c r="C27" s="35" t="s">
        <v>1506</v>
      </c>
      <c r="D27" s="36" t="s">
        <v>1507</v>
      </c>
      <c r="E27" s="36" t="s">
        <v>88</v>
      </c>
      <c r="H27" s="36" t="s">
        <v>88</v>
      </c>
      <c r="I27" s="35" t="s">
        <v>1506</v>
      </c>
    </row>
    <row r="28" spans="1:9" s="37" customFormat="1" ht="12.95" customHeight="1" x14ac:dyDescent="0.2">
      <c r="A28" s="34" t="s">
        <v>1455</v>
      </c>
      <c r="B28" s="35">
        <v>27</v>
      </c>
      <c r="C28" s="35" t="s">
        <v>1508</v>
      </c>
      <c r="D28" s="36" t="s">
        <v>1509</v>
      </c>
      <c r="E28" s="36" t="s">
        <v>1510</v>
      </c>
      <c r="H28" s="36" t="s">
        <v>1510</v>
      </c>
      <c r="I28" s="35" t="s">
        <v>1508</v>
      </c>
    </row>
    <row r="29" spans="1:9" ht="12.95" customHeight="1" x14ac:dyDescent="0.2">
      <c r="A29" s="34" t="s">
        <v>1455</v>
      </c>
      <c r="B29" s="35">
        <v>28</v>
      </c>
      <c r="C29" s="35" t="s">
        <v>1511</v>
      </c>
      <c r="D29" s="36" t="s">
        <v>1512</v>
      </c>
      <c r="E29" s="36" t="s">
        <v>245</v>
      </c>
      <c r="H29" s="36" t="s">
        <v>245</v>
      </c>
      <c r="I29" s="35" t="s">
        <v>1511</v>
      </c>
    </row>
    <row r="30" spans="1:9" ht="12.95" customHeight="1" x14ac:dyDescent="0.2">
      <c r="A30" s="34" t="s">
        <v>1455</v>
      </c>
      <c r="B30" s="35">
        <v>29</v>
      </c>
      <c r="C30" s="35" t="s">
        <v>1513</v>
      </c>
      <c r="D30" s="36" t="s">
        <v>1514</v>
      </c>
      <c r="E30" s="36" t="s">
        <v>294</v>
      </c>
      <c r="H30" s="36" t="s">
        <v>294</v>
      </c>
      <c r="I30" s="35" t="s">
        <v>1513</v>
      </c>
    </row>
    <row r="31" spans="1:9" ht="12.95" customHeight="1" x14ac:dyDescent="0.2">
      <c r="A31" s="34" t="s">
        <v>1455</v>
      </c>
      <c r="B31" s="35">
        <v>30</v>
      </c>
      <c r="C31" s="35" t="s">
        <v>1515</v>
      </c>
      <c r="D31" s="36" t="s">
        <v>1516</v>
      </c>
      <c r="E31" s="36" t="s">
        <v>56</v>
      </c>
      <c r="H31" s="36" t="s">
        <v>56</v>
      </c>
      <c r="I31" s="35" t="s">
        <v>1515</v>
      </c>
    </row>
    <row r="32" spans="1:9" ht="12.95" customHeight="1" x14ac:dyDescent="0.2">
      <c r="A32" s="34" t="s">
        <v>1455</v>
      </c>
      <c r="B32" s="35">
        <v>31</v>
      </c>
      <c r="C32" s="35" t="s">
        <v>1517</v>
      </c>
      <c r="D32" s="36" t="s">
        <v>1518</v>
      </c>
      <c r="E32" s="36" t="s">
        <v>59</v>
      </c>
      <c r="H32" s="36" t="s">
        <v>59</v>
      </c>
      <c r="I32" s="35" t="s">
        <v>1517</v>
      </c>
    </row>
    <row r="33" spans="1:9" ht="12.95" customHeight="1" x14ac:dyDescent="0.2">
      <c r="A33" s="34" t="s">
        <v>1455</v>
      </c>
      <c r="B33" s="35">
        <v>32</v>
      </c>
      <c r="C33" s="35" t="s">
        <v>1519</v>
      </c>
      <c r="D33" s="36" t="s">
        <v>1520</v>
      </c>
      <c r="E33" s="36" t="s">
        <v>51</v>
      </c>
      <c r="H33" s="36" t="s">
        <v>51</v>
      </c>
      <c r="I33" s="35" t="s">
        <v>1519</v>
      </c>
    </row>
    <row r="34" spans="1:9" ht="12.95" customHeight="1" x14ac:dyDescent="0.2">
      <c r="A34" s="34" t="s">
        <v>1455</v>
      </c>
      <c r="B34" s="35">
        <v>33</v>
      </c>
      <c r="C34" s="35" t="s">
        <v>1521</v>
      </c>
      <c r="D34" s="36" t="s">
        <v>1522</v>
      </c>
      <c r="E34" s="36" t="s">
        <v>271</v>
      </c>
      <c r="H34" s="36" t="s">
        <v>271</v>
      </c>
      <c r="I34" s="35" t="s">
        <v>1521</v>
      </c>
    </row>
    <row r="35" spans="1:9" ht="12.95" customHeight="1" x14ac:dyDescent="0.2">
      <c r="A35" s="34" t="s">
        <v>1455</v>
      </c>
      <c r="B35" s="35">
        <v>34</v>
      </c>
      <c r="C35" s="35" t="s">
        <v>1523</v>
      </c>
      <c r="D35" s="36" t="s">
        <v>1524</v>
      </c>
      <c r="E35" s="36" t="s">
        <v>36</v>
      </c>
      <c r="H35" s="36" t="s">
        <v>36</v>
      </c>
      <c r="I35" s="35" t="s">
        <v>1523</v>
      </c>
    </row>
    <row r="36" spans="1:9" ht="12.95" customHeight="1" x14ac:dyDescent="0.2">
      <c r="A36" s="34" t="s">
        <v>1455</v>
      </c>
      <c r="B36" s="35">
        <v>35</v>
      </c>
      <c r="C36" s="35" t="s">
        <v>1525</v>
      </c>
      <c r="D36" s="36" t="s">
        <v>1526</v>
      </c>
      <c r="E36" s="36" t="s">
        <v>156</v>
      </c>
      <c r="H36" s="36" t="s">
        <v>156</v>
      </c>
      <c r="I36" s="35" t="s">
        <v>1525</v>
      </c>
    </row>
    <row r="37" spans="1:9" ht="12.95" customHeight="1" x14ac:dyDescent="0.2">
      <c r="A37" s="34" t="s">
        <v>1455</v>
      </c>
      <c r="B37" s="35">
        <v>36</v>
      </c>
      <c r="C37" s="35" t="s">
        <v>1527</v>
      </c>
      <c r="D37" s="36" t="s">
        <v>1528</v>
      </c>
      <c r="E37" s="36" t="s">
        <v>96</v>
      </c>
      <c r="H37" s="36" t="s">
        <v>96</v>
      </c>
      <c r="I37" s="35" t="s">
        <v>1527</v>
      </c>
    </row>
    <row r="38" spans="1:9" ht="12.95" customHeight="1" x14ac:dyDescent="0.2">
      <c r="A38" s="34" t="s">
        <v>1455</v>
      </c>
      <c r="B38" s="35">
        <v>37</v>
      </c>
      <c r="C38" s="35" t="s">
        <v>1529</v>
      </c>
      <c r="D38" s="36" t="s">
        <v>1530</v>
      </c>
      <c r="E38" s="36" t="s">
        <v>97</v>
      </c>
      <c r="H38" s="36" t="s">
        <v>97</v>
      </c>
      <c r="I38" s="35" t="s">
        <v>1529</v>
      </c>
    </row>
    <row r="39" spans="1:9" ht="12.95" customHeight="1" x14ac:dyDescent="0.2">
      <c r="A39" s="34" t="s">
        <v>1455</v>
      </c>
      <c r="B39" s="35">
        <v>38</v>
      </c>
      <c r="C39" s="35" t="s">
        <v>1531</v>
      </c>
      <c r="D39" s="36" t="s">
        <v>1532</v>
      </c>
      <c r="E39" s="36" t="s">
        <v>46</v>
      </c>
      <c r="H39" s="36" t="s">
        <v>46</v>
      </c>
      <c r="I39" s="35" t="s">
        <v>1531</v>
      </c>
    </row>
    <row r="40" spans="1:9" s="37" customFormat="1" ht="12.95" customHeight="1" x14ac:dyDescent="0.2">
      <c r="A40" s="34" t="s">
        <v>1455</v>
      </c>
      <c r="B40" s="35">
        <v>39</v>
      </c>
      <c r="C40" s="35" t="s">
        <v>1533</v>
      </c>
      <c r="D40" s="36" t="s">
        <v>1534</v>
      </c>
      <c r="E40" s="39" t="s">
        <v>83</v>
      </c>
      <c r="H40" s="39" t="s">
        <v>83</v>
      </c>
      <c r="I40" s="35" t="s">
        <v>1533</v>
      </c>
    </row>
    <row r="41" spans="1:9" s="37" customFormat="1" ht="12.95" customHeight="1" x14ac:dyDescent="0.2">
      <c r="A41" s="34" t="s">
        <v>1455</v>
      </c>
      <c r="B41" s="35">
        <v>40</v>
      </c>
      <c r="C41" s="35" t="s">
        <v>1535</v>
      </c>
      <c r="D41" s="36" t="s">
        <v>1536</v>
      </c>
      <c r="E41" s="36" t="s">
        <v>162</v>
      </c>
      <c r="H41" s="36" t="s">
        <v>162</v>
      </c>
      <c r="I41" s="35" t="s">
        <v>1535</v>
      </c>
    </row>
    <row r="42" spans="1:9" ht="12.95" customHeight="1" x14ac:dyDescent="0.2">
      <c r="A42" s="34" t="s">
        <v>1455</v>
      </c>
      <c r="B42" s="35">
        <v>41</v>
      </c>
      <c r="C42" s="35" t="s">
        <v>1537</v>
      </c>
      <c r="D42" s="36" t="s">
        <v>1538</v>
      </c>
      <c r="E42" s="36" t="s">
        <v>228</v>
      </c>
      <c r="H42" s="36" t="s">
        <v>228</v>
      </c>
      <c r="I42" s="35" t="s">
        <v>1537</v>
      </c>
    </row>
    <row r="43" spans="1:9" ht="12.95" customHeight="1" x14ac:dyDescent="0.2">
      <c r="A43" s="34" t="s">
        <v>1455</v>
      </c>
      <c r="B43" s="35">
        <v>42</v>
      </c>
      <c r="C43" s="35" t="s">
        <v>1539</v>
      </c>
      <c r="D43" s="36" t="s">
        <v>1540</v>
      </c>
      <c r="E43" s="36" t="s">
        <v>273</v>
      </c>
      <c r="H43" s="36" t="s">
        <v>273</v>
      </c>
      <c r="I43" s="35" t="s">
        <v>1539</v>
      </c>
    </row>
    <row r="44" spans="1:9" s="37" customFormat="1" ht="12.95" customHeight="1" x14ac:dyDescent="0.2">
      <c r="A44" s="34" t="s">
        <v>1455</v>
      </c>
      <c r="B44" s="35">
        <v>43</v>
      </c>
      <c r="C44" s="35" t="s">
        <v>1541</v>
      </c>
      <c r="D44" s="36" t="s">
        <v>1542</v>
      </c>
      <c r="E44" s="36" t="s">
        <v>16</v>
      </c>
      <c r="H44" s="36" t="s">
        <v>16</v>
      </c>
      <c r="I44" s="35" t="s">
        <v>1541</v>
      </c>
    </row>
    <row r="45" spans="1:9" ht="12.95" customHeight="1" x14ac:dyDescent="0.2">
      <c r="A45" s="34" t="s">
        <v>1455</v>
      </c>
      <c r="B45" s="35">
        <v>44</v>
      </c>
      <c r="C45" s="35" t="s">
        <v>1543</v>
      </c>
      <c r="D45" s="36" t="s">
        <v>1544</v>
      </c>
      <c r="E45" s="36" t="s">
        <v>175</v>
      </c>
      <c r="H45" s="36" t="s">
        <v>175</v>
      </c>
      <c r="I45" s="35" t="s">
        <v>1543</v>
      </c>
    </row>
    <row r="46" spans="1:9" s="37" customFormat="1" ht="12.95" customHeight="1" x14ac:dyDescent="0.2">
      <c r="A46" s="34" t="s">
        <v>1455</v>
      </c>
      <c r="B46" s="35">
        <v>45</v>
      </c>
      <c r="C46" s="35" t="s">
        <v>1545</v>
      </c>
      <c r="D46" s="36" t="s">
        <v>1546</v>
      </c>
      <c r="E46" s="36" t="s">
        <v>87</v>
      </c>
      <c r="H46" s="36" t="s">
        <v>87</v>
      </c>
      <c r="I46" s="35" t="s">
        <v>1545</v>
      </c>
    </row>
    <row r="47" spans="1:9" ht="12.95" customHeight="1" x14ac:dyDescent="0.2">
      <c r="A47" s="34" t="s">
        <v>1455</v>
      </c>
      <c r="B47" s="35">
        <v>46</v>
      </c>
      <c r="C47" s="35" t="s">
        <v>1547</v>
      </c>
      <c r="D47" s="36" t="s">
        <v>1548</v>
      </c>
      <c r="E47" s="39" t="s">
        <v>217</v>
      </c>
      <c r="H47" s="39" t="s">
        <v>217</v>
      </c>
      <c r="I47" s="35" t="s">
        <v>1547</v>
      </c>
    </row>
    <row r="48" spans="1:9" ht="12.95" customHeight="1" x14ac:dyDescent="0.2">
      <c r="A48" s="34" t="s">
        <v>1455</v>
      </c>
      <c r="B48" s="35">
        <v>47</v>
      </c>
      <c r="C48" s="35" t="s">
        <v>1549</v>
      </c>
      <c r="D48" s="36" t="s">
        <v>1550</v>
      </c>
      <c r="E48" s="36" t="s">
        <v>38</v>
      </c>
      <c r="H48" s="36" t="s">
        <v>38</v>
      </c>
      <c r="I48" s="35" t="s">
        <v>1549</v>
      </c>
    </row>
    <row r="49" spans="1:9" ht="12.95" customHeight="1" x14ac:dyDescent="0.2">
      <c r="A49" s="34" t="s">
        <v>1455</v>
      </c>
      <c r="B49" s="35">
        <v>48</v>
      </c>
      <c r="C49" s="35" t="s">
        <v>1551</v>
      </c>
      <c r="D49" s="36" t="s">
        <v>1552</v>
      </c>
      <c r="E49" s="36" t="s">
        <v>1553</v>
      </c>
      <c r="H49" s="36" t="s">
        <v>1553</v>
      </c>
      <c r="I49" s="35" t="s">
        <v>1551</v>
      </c>
    </row>
    <row r="50" spans="1:9" s="37" customFormat="1" ht="12.95" customHeight="1" x14ac:dyDescent="0.2">
      <c r="A50" s="34" t="s">
        <v>1455</v>
      </c>
      <c r="B50" s="35">
        <v>49</v>
      </c>
      <c r="C50" s="35" t="s">
        <v>1554</v>
      </c>
      <c r="D50" s="36" t="s">
        <v>1555</v>
      </c>
      <c r="E50" s="36" t="s">
        <v>49</v>
      </c>
      <c r="H50" s="36" t="s">
        <v>49</v>
      </c>
      <c r="I50" s="35" t="s">
        <v>1554</v>
      </c>
    </row>
    <row r="51" spans="1:9" ht="12.95" customHeight="1" x14ac:dyDescent="0.2">
      <c r="A51" s="34" t="s">
        <v>1455</v>
      </c>
      <c r="B51" s="35">
        <v>50</v>
      </c>
      <c r="C51" s="35" t="s">
        <v>1556</v>
      </c>
      <c r="D51" s="36" t="s">
        <v>1557</v>
      </c>
      <c r="E51" s="39" t="s">
        <v>286</v>
      </c>
      <c r="H51" s="39" t="s">
        <v>286</v>
      </c>
      <c r="I51" s="35" t="s">
        <v>1556</v>
      </c>
    </row>
    <row r="52" spans="1:9" ht="12.95" customHeight="1" x14ac:dyDescent="0.2">
      <c r="A52" s="34" t="s">
        <v>1455</v>
      </c>
      <c r="B52" s="35">
        <v>51</v>
      </c>
      <c r="C52" s="35" t="s">
        <v>1558</v>
      </c>
      <c r="D52" s="36" t="s">
        <v>1559</v>
      </c>
      <c r="E52" s="39" t="s">
        <v>255</v>
      </c>
      <c r="H52" s="39" t="s">
        <v>255</v>
      </c>
      <c r="I52" s="35" t="s">
        <v>1558</v>
      </c>
    </row>
    <row r="53" spans="1:9" ht="12.95" customHeight="1" x14ac:dyDescent="0.2">
      <c r="A53" s="34" t="s">
        <v>1455</v>
      </c>
      <c r="B53" s="35">
        <v>52</v>
      </c>
      <c r="C53" s="35" t="s">
        <v>1560</v>
      </c>
      <c r="D53" s="36" t="s">
        <v>1561</v>
      </c>
      <c r="E53" s="39" t="s">
        <v>219</v>
      </c>
      <c r="H53" s="39" t="s">
        <v>219</v>
      </c>
      <c r="I53" s="35" t="s">
        <v>1560</v>
      </c>
    </row>
    <row r="54" spans="1:9" ht="12.95" customHeight="1" x14ac:dyDescent="0.2">
      <c r="A54" s="34" t="s">
        <v>1455</v>
      </c>
      <c r="B54" s="35">
        <v>53</v>
      </c>
      <c r="C54" s="35" t="s">
        <v>1562</v>
      </c>
      <c r="D54" s="36" t="s">
        <v>1563</v>
      </c>
      <c r="E54" s="36" t="s">
        <v>93</v>
      </c>
      <c r="H54" s="36" t="s">
        <v>93</v>
      </c>
      <c r="I54" s="35" t="s">
        <v>1562</v>
      </c>
    </row>
    <row r="55" spans="1:9" ht="12.95" customHeight="1" x14ac:dyDescent="0.2">
      <c r="A55" s="34" t="s">
        <v>1455</v>
      </c>
      <c r="B55" s="35">
        <v>54</v>
      </c>
      <c r="C55" s="35" t="s">
        <v>1564</v>
      </c>
      <c r="D55" s="36" t="s">
        <v>1565</v>
      </c>
      <c r="E55" s="36" t="s">
        <v>183</v>
      </c>
      <c r="H55" s="36" t="s">
        <v>183</v>
      </c>
      <c r="I55" s="35" t="s">
        <v>1564</v>
      </c>
    </row>
    <row r="56" spans="1:9" ht="12.95" customHeight="1" x14ac:dyDescent="0.2">
      <c r="A56" s="34" t="s">
        <v>1455</v>
      </c>
      <c r="B56" s="35">
        <v>55</v>
      </c>
      <c r="C56" s="35" t="s">
        <v>1566</v>
      </c>
      <c r="D56" s="36" t="s">
        <v>1567</v>
      </c>
      <c r="E56" s="36" t="s">
        <v>213</v>
      </c>
      <c r="H56" s="36" t="s">
        <v>213</v>
      </c>
      <c r="I56" s="35" t="s">
        <v>1566</v>
      </c>
    </row>
    <row r="57" spans="1:9" ht="12.95" customHeight="1" x14ac:dyDescent="0.2">
      <c r="A57" s="34" t="s">
        <v>1455</v>
      </c>
      <c r="B57" s="35">
        <v>56</v>
      </c>
      <c r="C57" s="35" t="s">
        <v>1568</v>
      </c>
      <c r="D57" s="36" t="s">
        <v>1569</v>
      </c>
      <c r="E57" s="36" t="s">
        <v>26</v>
      </c>
      <c r="H57" s="36" t="s">
        <v>26</v>
      </c>
      <c r="I57" s="35" t="s">
        <v>1568</v>
      </c>
    </row>
    <row r="58" spans="1:9" ht="12.95" customHeight="1" x14ac:dyDescent="0.2">
      <c r="A58" s="34" t="s">
        <v>1455</v>
      </c>
      <c r="B58" s="35">
        <v>57</v>
      </c>
      <c r="C58" s="35" t="s">
        <v>1570</v>
      </c>
      <c r="D58" s="36" t="s">
        <v>1571</v>
      </c>
      <c r="E58" s="36" t="s">
        <v>288</v>
      </c>
      <c r="H58" s="36" t="s">
        <v>288</v>
      </c>
      <c r="I58" s="35" t="s">
        <v>1570</v>
      </c>
    </row>
    <row r="59" spans="1:9" ht="12.95" customHeight="1" x14ac:dyDescent="0.2">
      <c r="A59" s="34" t="s">
        <v>1455</v>
      </c>
      <c r="B59" s="35">
        <v>58</v>
      </c>
      <c r="C59" s="35" t="s">
        <v>1572</v>
      </c>
      <c r="D59" s="36" t="s">
        <v>1573</v>
      </c>
      <c r="E59" s="39" t="s">
        <v>259</v>
      </c>
      <c r="H59" s="39" t="s">
        <v>259</v>
      </c>
      <c r="I59" s="35" t="s">
        <v>1572</v>
      </c>
    </row>
    <row r="60" spans="1:9" ht="12.95" customHeight="1" x14ac:dyDescent="0.2">
      <c r="A60" s="34" t="s">
        <v>1455</v>
      </c>
      <c r="B60" s="35">
        <v>59</v>
      </c>
      <c r="C60" s="35" t="s">
        <v>1574</v>
      </c>
      <c r="D60" s="36" t="s">
        <v>1575</v>
      </c>
      <c r="E60" s="36" t="s">
        <v>39</v>
      </c>
      <c r="H60" s="36" t="s">
        <v>39</v>
      </c>
      <c r="I60" s="35" t="s">
        <v>1574</v>
      </c>
    </row>
    <row r="61" spans="1:9" ht="12.95" customHeight="1" x14ac:dyDescent="0.2">
      <c r="A61" s="34" t="s">
        <v>1455</v>
      </c>
      <c r="B61" s="35">
        <v>60</v>
      </c>
      <c r="C61" s="35" t="s">
        <v>1576</v>
      </c>
      <c r="D61" s="36" t="s">
        <v>1577</v>
      </c>
      <c r="E61" s="36" t="s">
        <v>52</v>
      </c>
      <c r="H61" s="36" t="s">
        <v>52</v>
      </c>
      <c r="I61" s="35" t="s">
        <v>1576</v>
      </c>
    </row>
    <row r="62" spans="1:9" s="37" customFormat="1" ht="12.95" customHeight="1" x14ac:dyDescent="0.2">
      <c r="A62" s="34" t="s">
        <v>1455</v>
      </c>
      <c r="B62" s="35">
        <v>61</v>
      </c>
      <c r="C62" s="35" t="s">
        <v>1578</v>
      </c>
      <c r="D62" s="36" t="s">
        <v>1579</v>
      </c>
      <c r="E62" s="39" t="s">
        <v>21</v>
      </c>
      <c r="H62" s="39" t="s">
        <v>21</v>
      </c>
      <c r="I62" s="35" t="s">
        <v>1578</v>
      </c>
    </row>
    <row r="63" spans="1:9" ht="12.95" customHeight="1" x14ac:dyDescent="0.2">
      <c r="A63" s="34" t="s">
        <v>1455</v>
      </c>
      <c r="B63" s="35">
        <v>62</v>
      </c>
      <c r="C63" s="35" t="s">
        <v>1580</v>
      </c>
      <c r="D63" s="36" t="s">
        <v>1581</v>
      </c>
      <c r="E63" s="36" t="s">
        <v>274</v>
      </c>
      <c r="H63" s="36" t="s">
        <v>274</v>
      </c>
      <c r="I63" s="35" t="s">
        <v>1580</v>
      </c>
    </row>
    <row r="64" spans="1:9" ht="12.95" customHeight="1" x14ac:dyDescent="0.2">
      <c r="A64" s="34" t="s">
        <v>1455</v>
      </c>
      <c r="B64" s="35">
        <v>63</v>
      </c>
      <c r="C64" s="35" t="s">
        <v>1582</v>
      </c>
      <c r="D64" s="36" t="s">
        <v>1583</v>
      </c>
      <c r="E64" s="36" t="s">
        <v>94</v>
      </c>
      <c r="H64" s="36" t="s">
        <v>94</v>
      </c>
      <c r="I64" s="35" t="s">
        <v>1582</v>
      </c>
    </row>
    <row r="65" spans="1:9" ht="12.95" customHeight="1" x14ac:dyDescent="0.2">
      <c r="A65" s="34" t="s">
        <v>1455</v>
      </c>
      <c r="B65" s="35">
        <v>64</v>
      </c>
      <c r="C65" s="35" t="s">
        <v>1584</v>
      </c>
      <c r="D65" s="36" t="s">
        <v>1585</v>
      </c>
      <c r="E65" s="36" t="s">
        <v>244</v>
      </c>
      <c r="H65" s="36" t="s">
        <v>244</v>
      </c>
      <c r="I65" s="35" t="s">
        <v>1584</v>
      </c>
    </row>
    <row r="66" spans="1:9" ht="12.95" customHeight="1" x14ac:dyDescent="0.2">
      <c r="A66" s="34" t="s">
        <v>1455</v>
      </c>
      <c r="B66" s="35">
        <v>65</v>
      </c>
      <c r="C66" s="35" t="s">
        <v>1586</v>
      </c>
      <c r="D66" s="36" t="s">
        <v>1587</v>
      </c>
      <c r="E66" s="36" t="s">
        <v>27</v>
      </c>
      <c r="H66" s="36" t="s">
        <v>27</v>
      </c>
      <c r="I66" s="35" t="s">
        <v>1586</v>
      </c>
    </row>
    <row r="67" spans="1:9" ht="12.95" customHeight="1" x14ac:dyDescent="0.2">
      <c r="A67" s="34" t="s">
        <v>1455</v>
      </c>
      <c r="B67" s="35">
        <v>66</v>
      </c>
      <c r="C67" s="35" t="s">
        <v>1588</v>
      </c>
      <c r="D67" s="36" t="s">
        <v>1589</v>
      </c>
      <c r="E67" s="36" t="s">
        <v>78</v>
      </c>
      <c r="H67" s="36" t="s">
        <v>78</v>
      </c>
      <c r="I67" s="35" t="s">
        <v>1588</v>
      </c>
    </row>
    <row r="68" spans="1:9" ht="12.95" customHeight="1" x14ac:dyDescent="0.2">
      <c r="A68" s="34" t="s">
        <v>1455</v>
      </c>
      <c r="B68" s="35">
        <v>67</v>
      </c>
      <c r="C68" s="35" t="s">
        <v>1590</v>
      </c>
      <c r="D68" s="36" t="s">
        <v>1591</v>
      </c>
      <c r="E68" s="39" t="s">
        <v>40</v>
      </c>
      <c r="H68" s="39" t="s">
        <v>40</v>
      </c>
      <c r="I68" s="35" t="s">
        <v>1590</v>
      </c>
    </row>
    <row r="69" spans="1:9" ht="12.95" customHeight="1" x14ac:dyDescent="0.2">
      <c r="A69" s="34" t="s">
        <v>1455</v>
      </c>
      <c r="B69" s="35">
        <v>68</v>
      </c>
      <c r="C69" s="35" t="s">
        <v>1592</v>
      </c>
      <c r="D69" s="36" t="s">
        <v>1593</v>
      </c>
      <c r="E69" s="36" t="s">
        <v>11</v>
      </c>
      <c r="H69" s="36" t="s">
        <v>11</v>
      </c>
      <c r="I69" s="35" t="s">
        <v>1592</v>
      </c>
    </row>
    <row r="70" spans="1:9" ht="12.95" customHeight="1" x14ac:dyDescent="0.2">
      <c r="A70" s="34" t="s">
        <v>1455</v>
      </c>
      <c r="B70" s="35">
        <v>69</v>
      </c>
      <c r="C70" s="35" t="s">
        <v>1594</v>
      </c>
      <c r="D70" s="36" t="s">
        <v>1595</v>
      </c>
      <c r="E70" s="36" t="s">
        <v>287</v>
      </c>
      <c r="H70" s="36" t="s">
        <v>287</v>
      </c>
      <c r="I70" s="35" t="s">
        <v>1594</v>
      </c>
    </row>
    <row r="71" spans="1:9" ht="12.95" customHeight="1" x14ac:dyDescent="0.2">
      <c r="A71" s="34" t="s">
        <v>1455</v>
      </c>
      <c r="B71" s="35">
        <v>70</v>
      </c>
      <c r="C71" s="35" t="s">
        <v>1596</v>
      </c>
      <c r="D71" s="36" t="s">
        <v>1597</v>
      </c>
      <c r="E71" s="36" t="s">
        <v>278</v>
      </c>
      <c r="H71" s="36" t="s">
        <v>278</v>
      </c>
      <c r="I71" s="35" t="s">
        <v>1596</v>
      </c>
    </row>
    <row r="72" spans="1:9" ht="12.95" customHeight="1" x14ac:dyDescent="0.2">
      <c r="A72" s="34" t="s">
        <v>1455</v>
      </c>
      <c r="B72" s="35">
        <v>71</v>
      </c>
      <c r="C72" s="35" t="s">
        <v>1598</v>
      </c>
      <c r="D72" s="36" t="s">
        <v>1599</v>
      </c>
      <c r="E72" s="36" t="s">
        <v>232</v>
      </c>
      <c r="H72" s="36" t="s">
        <v>232</v>
      </c>
      <c r="I72" s="35" t="s">
        <v>1598</v>
      </c>
    </row>
    <row r="73" spans="1:9" ht="12.95" customHeight="1" x14ac:dyDescent="0.2">
      <c r="A73" s="34" t="s">
        <v>1455</v>
      </c>
      <c r="B73" s="35">
        <v>72</v>
      </c>
      <c r="C73" s="35" t="s">
        <v>1600</v>
      </c>
      <c r="D73" s="36" t="s">
        <v>1601</v>
      </c>
      <c r="E73" s="36" t="s">
        <v>62</v>
      </c>
      <c r="H73" s="36" t="s">
        <v>62</v>
      </c>
      <c r="I73" s="35" t="s">
        <v>1600</v>
      </c>
    </row>
    <row r="74" spans="1:9" ht="12.95" customHeight="1" x14ac:dyDescent="0.2">
      <c r="A74" s="34" t="s">
        <v>1455</v>
      </c>
      <c r="B74" s="35">
        <v>73</v>
      </c>
      <c r="C74" s="35" t="s">
        <v>1602</v>
      </c>
      <c r="D74" s="36" t="s">
        <v>1603</v>
      </c>
      <c r="E74" s="36" t="s">
        <v>292</v>
      </c>
      <c r="H74" s="36" t="s">
        <v>292</v>
      </c>
      <c r="I74" s="35" t="s">
        <v>1602</v>
      </c>
    </row>
    <row r="75" spans="1:9" ht="12.95" customHeight="1" x14ac:dyDescent="0.2">
      <c r="A75" s="34" t="s">
        <v>1455</v>
      </c>
      <c r="B75" s="35">
        <v>74</v>
      </c>
      <c r="C75" s="35" t="s">
        <v>1604</v>
      </c>
      <c r="D75" s="36" t="s">
        <v>1605</v>
      </c>
      <c r="E75" s="36" t="s">
        <v>71</v>
      </c>
      <c r="H75" s="36" t="s">
        <v>71</v>
      </c>
      <c r="I75" s="35" t="s">
        <v>1604</v>
      </c>
    </row>
    <row r="76" spans="1:9" ht="12.95" customHeight="1" x14ac:dyDescent="0.2">
      <c r="A76" s="34" t="s">
        <v>1455</v>
      </c>
      <c r="B76" s="35">
        <v>75</v>
      </c>
      <c r="C76" s="35" t="s">
        <v>1606</v>
      </c>
      <c r="D76" s="36" t="s">
        <v>1607</v>
      </c>
      <c r="E76" s="36" t="s">
        <v>30</v>
      </c>
      <c r="H76" s="36" t="s">
        <v>30</v>
      </c>
      <c r="I76" s="35" t="s">
        <v>1606</v>
      </c>
    </row>
    <row r="77" spans="1:9" ht="12.95" customHeight="1" x14ac:dyDescent="0.2">
      <c r="A77" s="34" t="s">
        <v>1455</v>
      </c>
      <c r="B77" s="35">
        <v>76</v>
      </c>
      <c r="C77" s="35" t="s">
        <v>1608</v>
      </c>
      <c r="D77" s="36" t="s">
        <v>1609</v>
      </c>
      <c r="E77" s="39" t="s">
        <v>200</v>
      </c>
      <c r="H77" s="39" t="s">
        <v>200</v>
      </c>
      <c r="I77" s="35" t="s">
        <v>1608</v>
      </c>
    </row>
    <row r="78" spans="1:9" ht="12.95" customHeight="1" x14ac:dyDescent="0.2">
      <c r="A78" s="34" t="s">
        <v>1455</v>
      </c>
      <c r="B78" s="35">
        <v>77</v>
      </c>
      <c r="C78" s="35" t="s">
        <v>1610</v>
      </c>
      <c r="D78" s="36" t="s">
        <v>1611</v>
      </c>
      <c r="E78" s="36" t="s">
        <v>160</v>
      </c>
      <c r="H78" s="36" t="s">
        <v>160</v>
      </c>
      <c r="I78" s="35" t="s">
        <v>1610</v>
      </c>
    </row>
    <row r="79" spans="1:9" ht="12.95" customHeight="1" x14ac:dyDescent="0.2">
      <c r="A79" s="34" t="s">
        <v>1455</v>
      </c>
      <c r="B79" s="35">
        <v>78</v>
      </c>
      <c r="C79" s="35" t="s">
        <v>1612</v>
      </c>
      <c r="D79" s="36" t="s">
        <v>1613</v>
      </c>
      <c r="E79" s="36" t="s">
        <v>281</v>
      </c>
      <c r="H79" s="36" t="s">
        <v>281</v>
      </c>
      <c r="I79" s="35" t="s">
        <v>1612</v>
      </c>
    </row>
    <row r="80" spans="1:9" ht="12.95" customHeight="1" x14ac:dyDescent="0.2">
      <c r="A80" s="34" t="s">
        <v>1455</v>
      </c>
      <c r="B80" s="35">
        <v>79</v>
      </c>
      <c r="C80" s="35" t="s">
        <v>1614</v>
      </c>
      <c r="D80" s="36" t="s">
        <v>1615</v>
      </c>
      <c r="E80" s="36" t="s">
        <v>90</v>
      </c>
      <c r="H80" s="36" t="s">
        <v>90</v>
      </c>
      <c r="I80" s="35" t="s">
        <v>1614</v>
      </c>
    </row>
    <row r="81" spans="1:9" ht="12.95" customHeight="1" x14ac:dyDescent="0.2">
      <c r="A81" s="34" t="s">
        <v>1455</v>
      </c>
      <c r="B81" s="35">
        <v>80</v>
      </c>
      <c r="C81" s="35" t="s">
        <v>1616</v>
      </c>
      <c r="D81" s="36" t="s">
        <v>1617</v>
      </c>
      <c r="E81" s="36" t="s">
        <v>246</v>
      </c>
      <c r="H81" s="36" t="s">
        <v>246</v>
      </c>
      <c r="I81" s="35" t="s">
        <v>1616</v>
      </c>
    </row>
    <row r="82" spans="1:9" ht="12.95" customHeight="1" x14ac:dyDescent="0.2">
      <c r="A82" s="34" t="s">
        <v>1455</v>
      </c>
      <c r="B82" s="35">
        <v>81</v>
      </c>
      <c r="C82" s="35" t="s">
        <v>1618</v>
      </c>
      <c r="D82" s="36" t="s">
        <v>1619</v>
      </c>
      <c r="E82" s="36" t="s">
        <v>20</v>
      </c>
      <c r="H82" s="36" t="s">
        <v>20</v>
      </c>
      <c r="I82" s="35" t="s">
        <v>1618</v>
      </c>
    </row>
    <row r="83" spans="1:9" ht="12.95" customHeight="1" x14ac:dyDescent="0.2">
      <c r="A83" s="34" t="s">
        <v>1455</v>
      </c>
      <c r="B83" s="35">
        <v>82</v>
      </c>
      <c r="C83" s="35" t="s">
        <v>1620</v>
      </c>
      <c r="D83" s="36" t="s">
        <v>1621</v>
      </c>
      <c r="E83" s="36" t="s">
        <v>23</v>
      </c>
      <c r="H83" s="36" t="s">
        <v>23</v>
      </c>
      <c r="I83" s="35" t="s">
        <v>1620</v>
      </c>
    </row>
    <row r="84" spans="1:9" ht="12.95" customHeight="1" x14ac:dyDescent="0.2">
      <c r="A84" s="34" t="s">
        <v>1455</v>
      </c>
      <c r="B84" s="35">
        <v>83</v>
      </c>
      <c r="C84" s="35" t="s">
        <v>1622</v>
      </c>
      <c r="D84" s="36" t="s">
        <v>1623</v>
      </c>
      <c r="E84" s="36" t="s">
        <v>230</v>
      </c>
      <c r="H84" s="36" t="s">
        <v>230</v>
      </c>
      <c r="I84" s="35" t="s">
        <v>1622</v>
      </c>
    </row>
    <row r="85" spans="1:9" ht="12.95" customHeight="1" x14ac:dyDescent="0.2">
      <c r="A85" s="34" t="s">
        <v>1455</v>
      </c>
      <c r="B85" s="35">
        <v>84</v>
      </c>
      <c r="C85" s="35" t="s">
        <v>1624</v>
      </c>
      <c r="D85" s="36" t="s">
        <v>1625</v>
      </c>
      <c r="E85" s="39" t="s">
        <v>216</v>
      </c>
      <c r="H85" s="39" t="s">
        <v>216</v>
      </c>
      <c r="I85" s="35" t="s">
        <v>1624</v>
      </c>
    </row>
    <row r="86" spans="1:9" ht="12.95" customHeight="1" x14ac:dyDescent="0.2">
      <c r="A86" s="34" t="s">
        <v>1455</v>
      </c>
      <c r="B86" s="35">
        <v>85</v>
      </c>
      <c r="C86" s="35" t="s">
        <v>1626</v>
      </c>
      <c r="D86" s="36" t="s">
        <v>1627</v>
      </c>
      <c r="E86" s="36" t="s">
        <v>98</v>
      </c>
      <c r="H86" s="36" t="s">
        <v>98</v>
      </c>
      <c r="I86" s="35" t="s">
        <v>1626</v>
      </c>
    </row>
    <row r="87" spans="1:9" ht="12.95" customHeight="1" x14ac:dyDescent="0.2">
      <c r="A87" s="34" t="s">
        <v>1455</v>
      </c>
      <c r="B87" s="35">
        <v>86</v>
      </c>
      <c r="C87" s="35" t="s">
        <v>1628</v>
      </c>
      <c r="D87" s="36" t="s">
        <v>1629</v>
      </c>
      <c r="E87" s="36" t="s">
        <v>207</v>
      </c>
      <c r="H87" s="36" t="s">
        <v>207</v>
      </c>
      <c r="I87" s="35" t="s">
        <v>1628</v>
      </c>
    </row>
    <row r="88" spans="1:9" ht="12.95" customHeight="1" x14ac:dyDescent="0.2">
      <c r="A88" s="34" t="s">
        <v>1455</v>
      </c>
      <c r="B88" s="35">
        <v>87</v>
      </c>
      <c r="C88" s="35" t="s">
        <v>1630</v>
      </c>
      <c r="D88" s="36" t="s">
        <v>1631</v>
      </c>
      <c r="E88" s="36" t="s">
        <v>77</v>
      </c>
      <c r="H88" s="36" t="s">
        <v>77</v>
      </c>
      <c r="I88" s="35" t="s">
        <v>1630</v>
      </c>
    </row>
    <row r="89" spans="1:9" ht="12.95" customHeight="1" x14ac:dyDescent="0.2">
      <c r="A89" s="34" t="s">
        <v>1455</v>
      </c>
      <c r="B89" s="35">
        <v>88</v>
      </c>
      <c r="C89" s="35" t="s">
        <v>1632</v>
      </c>
      <c r="D89" s="36" t="s">
        <v>1633</v>
      </c>
      <c r="E89" s="36" t="s">
        <v>57</v>
      </c>
      <c r="H89" s="36" t="s">
        <v>57</v>
      </c>
      <c r="I89" s="35" t="s">
        <v>1632</v>
      </c>
    </row>
    <row r="90" spans="1:9" ht="12.95" customHeight="1" x14ac:dyDescent="0.2">
      <c r="A90" s="34" t="s">
        <v>1455</v>
      </c>
      <c r="B90" s="35">
        <v>89</v>
      </c>
      <c r="C90" s="35" t="s">
        <v>1634</v>
      </c>
      <c r="D90" s="36" t="s">
        <v>1635</v>
      </c>
      <c r="E90" s="36" t="s">
        <v>8</v>
      </c>
      <c r="H90" s="36" t="s">
        <v>8</v>
      </c>
      <c r="I90" s="35" t="s">
        <v>1634</v>
      </c>
    </row>
    <row r="91" spans="1:9" ht="12.95" customHeight="1" x14ac:dyDescent="0.2">
      <c r="A91" s="34" t="s">
        <v>1455</v>
      </c>
      <c r="B91" s="35">
        <v>90</v>
      </c>
      <c r="C91" s="35" t="s">
        <v>1636</v>
      </c>
      <c r="D91" s="36" t="s">
        <v>1637</v>
      </c>
      <c r="E91" s="36" t="s">
        <v>28</v>
      </c>
      <c r="H91" s="36" t="s">
        <v>28</v>
      </c>
      <c r="I91" s="35" t="s">
        <v>1636</v>
      </c>
    </row>
    <row r="92" spans="1:9" ht="12.95" customHeight="1" x14ac:dyDescent="0.2">
      <c r="A92" s="34" t="s">
        <v>1455</v>
      </c>
      <c r="B92" s="35">
        <v>91</v>
      </c>
      <c r="C92" s="35" t="s">
        <v>1638</v>
      </c>
      <c r="D92" s="36" t="s">
        <v>1639</v>
      </c>
      <c r="E92" s="39" t="s">
        <v>29</v>
      </c>
      <c r="H92" s="39" t="s">
        <v>29</v>
      </c>
      <c r="I92" s="35" t="s">
        <v>1638</v>
      </c>
    </row>
    <row r="93" spans="1:9" ht="12.95" customHeight="1" x14ac:dyDescent="0.2">
      <c r="A93" s="34" t="s">
        <v>1455</v>
      </c>
      <c r="B93" s="35">
        <v>92</v>
      </c>
      <c r="C93" s="35" t="s">
        <v>1640</v>
      </c>
      <c r="D93" s="36" t="s">
        <v>1641</v>
      </c>
      <c r="E93" s="36" t="s">
        <v>73</v>
      </c>
      <c r="H93" s="36" t="s">
        <v>73</v>
      </c>
      <c r="I93" s="35" t="s">
        <v>1640</v>
      </c>
    </row>
    <row r="94" spans="1:9" ht="12.95" customHeight="1" x14ac:dyDescent="0.2">
      <c r="A94" s="34" t="s">
        <v>1455</v>
      </c>
      <c r="B94" s="35">
        <v>93</v>
      </c>
      <c r="C94" s="35" t="s">
        <v>1642</v>
      </c>
      <c r="D94" s="36" t="s">
        <v>1643</v>
      </c>
      <c r="E94" s="36" t="s">
        <v>220</v>
      </c>
      <c r="H94" s="36" t="s">
        <v>220</v>
      </c>
      <c r="I94" s="35" t="s">
        <v>1642</v>
      </c>
    </row>
    <row r="95" spans="1:9" ht="12.95" customHeight="1" x14ac:dyDescent="0.2">
      <c r="A95" s="34" t="s">
        <v>1455</v>
      </c>
      <c r="B95" s="35">
        <v>94</v>
      </c>
      <c r="C95" s="35" t="s">
        <v>1644</v>
      </c>
      <c r="D95" s="36" t="s">
        <v>1645</v>
      </c>
      <c r="E95" s="36" t="s">
        <v>188</v>
      </c>
      <c r="H95" s="36" t="s">
        <v>188</v>
      </c>
      <c r="I95" s="35" t="s">
        <v>1644</v>
      </c>
    </row>
    <row r="96" spans="1:9" ht="12.95" customHeight="1" x14ac:dyDescent="0.2">
      <c r="A96" s="34" t="s">
        <v>1455</v>
      </c>
      <c r="B96" s="35">
        <v>95</v>
      </c>
      <c r="C96" s="35" t="s">
        <v>1646</v>
      </c>
      <c r="D96" s="36" t="s">
        <v>1647</v>
      </c>
      <c r="E96" s="36" t="s">
        <v>99</v>
      </c>
      <c r="H96" s="36" t="s">
        <v>99</v>
      </c>
      <c r="I96" s="35" t="s">
        <v>1646</v>
      </c>
    </row>
    <row r="97" spans="1:9" ht="12.95" customHeight="1" x14ac:dyDescent="0.2">
      <c r="A97" s="34" t="s">
        <v>1455</v>
      </c>
      <c r="B97" s="35">
        <v>96</v>
      </c>
      <c r="C97" s="35" t="s">
        <v>1648</v>
      </c>
      <c r="D97" s="36" t="s">
        <v>1649</v>
      </c>
      <c r="E97" s="36" t="s">
        <v>15</v>
      </c>
      <c r="H97" s="36" t="s">
        <v>15</v>
      </c>
      <c r="I97" s="35" t="s">
        <v>1648</v>
      </c>
    </row>
    <row r="98" spans="1:9" ht="12.95" customHeight="1" x14ac:dyDescent="0.2">
      <c r="A98" s="34" t="s">
        <v>1455</v>
      </c>
      <c r="B98" s="35">
        <v>97</v>
      </c>
      <c r="C98" s="35" t="s">
        <v>1650</v>
      </c>
      <c r="D98" s="36" t="s">
        <v>1651</v>
      </c>
      <c r="E98" s="36" t="s">
        <v>95</v>
      </c>
      <c r="H98" s="36" t="s">
        <v>95</v>
      </c>
      <c r="I98" s="35" t="s">
        <v>1650</v>
      </c>
    </row>
    <row r="99" spans="1:9" ht="12.95" customHeight="1" x14ac:dyDescent="0.2">
      <c r="A99" s="34" t="s">
        <v>1455</v>
      </c>
      <c r="B99" s="35">
        <v>98</v>
      </c>
      <c r="C99" s="35" t="s">
        <v>1652</v>
      </c>
      <c r="D99" s="36" t="s">
        <v>1653</v>
      </c>
      <c r="E99" s="39" t="s">
        <v>252</v>
      </c>
      <c r="H99" s="39" t="s">
        <v>252</v>
      </c>
      <c r="I99" s="35" t="s">
        <v>1652</v>
      </c>
    </row>
    <row r="100" spans="1:9" ht="12.95" customHeight="1" x14ac:dyDescent="0.2">
      <c r="A100" s="34" t="s">
        <v>1455</v>
      </c>
      <c r="B100" s="35">
        <v>99</v>
      </c>
      <c r="C100" s="35" t="s">
        <v>1654</v>
      </c>
      <c r="D100" s="36" t="s">
        <v>1655</v>
      </c>
      <c r="E100" s="39" t="s">
        <v>55</v>
      </c>
      <c r="H100" s="39" t="s">
        <v>55</v>
      </c>
      <c r="I100" s="35" t="s">
        <v>1654</v>
      </c>
    </row>
    <row r="101" spans="1:9" ht="12.95" customHeight="1" x14ac:dyDescent="0.2">
      <c r="A101" s="34" t="s">
        <v>1455</v>
      </c>
      <c r="B101" s="35">
        <v>100</v>
      </c>
      <c r="C101" s="35" t="s">
        <v>1656</v>
      </c>
      <c r="D101" s="36" t="s">
        <v>1657</v>
      </c>
      <c r="E101" s="36" t="s">
        <v>42</v>
      </c>
      <c r="H101" s="36" t="s">
        <v>42</v>
      </c>
      <c r="I101" s="35" t="s">
        <v>1656</v>
      </c>
    </row>
    <row r="102" spans="1:9" ht="12.95" customHeight="1" x14ac:dyDescent="0.2">
      <c r="A102" s="34" t="s">
        <v>1455</v>
      </c>
      <c r="B102" s="35">
        <v>101</v>
      </c>
      <c r="C102" s="35" t="s">
        <v>1658</v>
      </c>
      <c r="D102" s="36" t="s">
        <v>1659</v>
      </c>
      <c r="E102" s="36" t="s">
        <v>65</v>
      </c>
      <c r="H102" s="36" t="s">
        <v>65</v>
      </c>
      <c r="I102" s="35" t="s">
        <v>1658</v>
      </c>
    </row>
    <row r="103" spans="1:9" ht="12.95" customHeight="1" x14ac:dyDescent="0.2">
      <c r="A103" s="34" t="s">
        <v>1455</v>
      </c>
      <c r="B103" s="35">
        <v>102</v>
      </c>
      <c r="C103" s="35" t="s">
        <v>1660</v>
      </c>
      <c r="D103" s="36" t="s">
        <v>1661</v>
      </c>
      <c r="E103" s="39" t="s">
        <v>41</v>
      </c>
      <c r="H103" s="39" t="s">
        <v>41</v>
      </c>
      <c r="I103" s="35" t="s">
        <v>1660</v>
      </c>
    </row>
    <row r="104" spans="1:9" ht="12.95" customHeight="1" x14ac:dyDescent="0.2">
      <c r="A104" s="34" t="s">
        <v>1455</v>
      </c>
      <c r="B104" s="35">
        <v>103</v>
      </c>
      <c r="C104" s="35" t="s">
        <v>1662</v>
      </c>
      <c r="D104" s="36" t="s">
        <v>1663</v>
      </c>
      <c r="E104" s="36" t="s">
        <v>35</v>
      </c>
      <c r="H104" s="36" t="s">
        <v>35</v>
      </c>
      <c r="I104" s="35" t="s">
        <v>1662</v>
      </c>
    </row>
    <row r="105" spans="1:9" ht="12.95" customHeight="1" x14ac:dyDescent="0.2">
      <c r="A105" s="34" t="s">
        <v>1455</v>
      </c>
      <c r="B105" s="35">
        <v>104</v>
      </c>
      <c r="C105" s="35" t="s">
        <v>1664</v>
      </c>
      <c r="D105" s="36" t="s">
        <v>1665</v>
      </c>
      <c r="E105" s="36" t="s">
        <v>258</v>
      </c>
      <c r="H105" s="36" t="s">
        <v>258</v>
      </c>
      <c r="I105" s="35" t="s">
        <v>1664</v>
      </c>
    </row>
    <row r="106" spans="1:9" ht="12.95" customHeight="1" x14ac:dyDescent="0.2">
      <c r="A106" s="34" t="s">
        <v>1455</v>
      </c>
      <c r="B106" s="35">
        <v>105</v>
      </c>
      <c r="C106" s="35" t="s">
        <v>1666</v>
      </c>
      <c r="D106" s="36" t="s">
        <v>1667</v>
      </c>
      <c r="E106" s="39" t="s">
        <v>179</v>
      </c>
      <c r="H106" s="39" t="s">
        <v>179</v>
      </c>
      <c r="I106" s="35" t="s">
        <v>1666</v>
      </c>
    </row>
    <row r="107" spans="1:9" ht="12.95" customHeight="1" x14ac:dyDescent="0.2">
      <c r="A107" s="34" t="s">
        <v>1455</v>
      </c>
      <c r="B107" s="35">
        <v>106</v>
      </c>
      <c r="C107" s="35" t="s">
        <v>1668</v>
      </c>
      <c r="D107" s="36" t="s">
        <v>1669</v>
      </c>
      <c r="E107" s="39" t="s">
        <v>31</v>
      </c>
      <c r="H107" s="39" t="s">
        <v>31</v>
      </c>
      <c r="I107" s="35" t="s">
        <v>1668</v>
      </c>
    </row>
    <row r="108" spans="1:9" ht="12.95" customHeight="1" x14ac:dyDescent="0.2">
      <c r="A108" s="34" t="s">
        <v>1455</v>
      </c>
      <c r="B108" s="35">
        <v>107</v>
      </c>
      <c r="C108" s="35" t="s">
        <v>1670</v>
      </c>
      <c r="D108" s="36" t="s">
        <v>1671</v>
      </c>
      <c r="E108" s="36" t="s">
        <v>158</v>
      </c>
      <c r="H108" s="36" t="s">
        <v>158</v>
      </c>
      <c r="I108" s="35" t="s">
        <v>1670</v>
      </c>
    </row>
    <row r="109" spans="1:9" ht="12.95" customHeight="1" x14ac:dyDescent="0.2">
      <c r="A109" s="34" t="s">
        <v>1455</v>
      </c>
      <c r="B109" s="35">
        <v>108</v>
      </c>
      <c r="C109" s="35" t="s">
        <v>1672</v>
      </c>
      <c r="D109" s="36" t="s">
        <v>1673</v>
      </c>
      <c r="E109" s="36" t="s">
        <v>84</v>
      </c>
      <c r="H109" s="36" t="s">
        <v>84</v>
      </c>
      <c r="I109" s="35" t="s">
        <v>1672</v>
      </c>
    </row>
    <row r="110" spans="1:9" ht="12.95" customHeight="1" x14ac:dyDescent="0.2">
      <c r="A110" s="34" t="s">
        <v>1455</v>
      </c>
      <c r="B110" s="35">
        <v>109</v>
      </c>
      <c r="C110" s="35" t="s">
        <v>1674</v>
      </c>
      <c r="D110" s="36" t="s">
        <v>1675</v>
      </c>
      <c r="E110" s="36" t="s">
        <v>299</v>
      </c>
      <c r="H110" s="36" t="s">
        <v>299</v>
      </c>
      <c r="I110" s="35" t="s">
        <v>1674</v>
      </c>
    </row>
    <row r="111" spans="1:9" ht="12.95" customHeight="1" x14ac:dyDescent="0.2">
      <c r="A111" s="34" t="s">
        <v>1455</v>
      </c>
      <c r="B111" s="35">
        <v>110</v>
      </c>
      <c r="C111" s="35" t="s">
        <v>1676</v>
      </c>
      <c r="D111" s="36" t="s">
        <v>1677</v>
      </c>
      <c r="E111" s="36" t="s">
        <v>61</v>
      </c>
      <c r="H111" s="36" t="s">
        <v>61</v>
      </c>
      <c r="I111" s="35" t="s">
        <v>1676</v>
      </c>
    </row>
    <row r="112" spans="1:9" ht="12.95" customHeight="1" x14ac:dyDescent="0.2">
      <c r="A112" s="34" t="s">
        <v>1455</v>
      </c>
      <c r="B112" s="35">
        <v>111</v>
      </c>
      <c r="C112" s="35" t="s">
        <v>1678</v>
      </c>
      <c r="D112" s="36" t="s">
        <v>1679</v>
      </c>
      <c r="E112" s="36" t="s">
        <v>74</v>
      </c>
      <c r="H112" s="36" t="s">
        <v>74</v>
      </c>
      <c r="I112" s="35" t="s">
        <v>1678</v>
      </c>
    </row>
    <row r="113" spans="1:9" ht="12.95" customHeight="1" x14ac:dyDescent="0.2">
      <c r="A113" s="34" t="s">
        <v>1455</v>
      </c>
      <c r="B113" s="35">
        <v>112</v>
      </c>
      <c r="C113" s="35" t="s">
        <v>1680</v>
      </c>
      <c r="D113" s="36" t="s">
        <v>1681</v>
      </c>
      <c r="E113" s="36" t="s">
        <v>19</v>
      </c>
      <c r="H113" s="36" t="s">
        <v>19</v>
      </c>
      <c r="I113" s="35" t="s">
        <v>1680</v>
      </c>
    </row>
    <row r="114" spans="1:9" ht="12.95" customHeight="1" x14ac:dyDescent="0.2">
      <c r="A114" s="34" t="s">
        <v>1455</v>
      </c>
      <c r="B114" s="35">
        <v>113</v>
      </c>
      <c r="C114" s="35" t="s">
        <v>1682</v>
      </c>
      <c r="D114" s="36" t="s">
        <v>1683</v>
      </c>
      <c r="E114" s="36" t="s">
        <v>79</v>
      </c>
      <c r="H114" s="36" t="s">
        <v>79</v>
      </c>
      <c r="I114" s="35" t="s">
        <v>1682</v>
      </c>
    </row>
    <row r="115" spans="1:9" ht="12.95" customHeight="1" x14ac:dyDescent="0.2">
      <c r="A115" s="34" t="s">
        <v>1455</v>
      </c>
      <c r="B115" s="35">
        <v>114</v>
      </c>
      <c r="C115" s="35" t="s">
        <v>1684</v>
      </c>
      <c r="D115" s="36" t="s">
        <v>1685</v>
      </c>
      <c r="E115" s="36" t="s">
        <v>34</v>
      </c>
      <c r="H115" s="36" t="s">
        <v>34</v>
      </c>
      <c r="I115" s="35" t="s">
        <v>1684</v>
      </c>
    </row>
    <row r="116" spans="1:9" ht="12.95" customHeight="1" x14ac:dyDescent="0.2">
      <c r="A116" s="34" t="s">
        <v>1455</v>
      </c>
      <c r="B116" s="35">
        <v>115</v>
      </c>
      <c r="C116" s="35" t="s">
        <v>1686</v>
      </c>
      <c r="D116" s="36" t="s">
        <v>1687</v>
      </c>
      <c r="E116" s="36" t="s">
        <v>53</v>
      </c>
      <c r="H116" s="36" t="s">
        <v>53</v>
      </c>
      <c r="I116" s="35" t="s">
        <v>1686</v>
      </c>
    </row>
    <row r="117" spans="1:9" ht="12.95" customHeight="1" x14ac:dyDescent="0.2">
      <c r="A117" s="34" t="s">
        <v>1455</v>
      </c>
      <c r="B117" s="35">
        <v>116</v>
      </c>
      <c r="C117" s="35" t="s">
        <v>1688</v>
      </c>
      <c r="D117" s="36" t="s">
        <v>1689</v>
      </c>
      <c r="E117" s="39" t="s">
        <v>249</v>
      </c>
      <c r="H117" s="39" t="s">
        <v>249</v>
      </c>
      <c r="I117" s="35" t="s">
        <v>1688</v>
      </c>
    </row>
    <row r="118" spans="1:9" ht="12.95" customHeight="1" x14ac:dyDescent="0.2">
      <c r="A118" s="34" t="s">
        <v>1455</v>
      </c>
      <c r="B118" s="35">
        <v>117</v>
      </c>
      <c r="C118" s="35" t="s">
        <v>1690</v>
      </c>
      <c r="D118" s="36" t="s">
        <v>1691</v>
      </c>
      <c r="E118" s="39" t="s">
        <v>270</v>
      </c>
      <c r="H118" s="39" t="s">
        <v>270</v>
      </c>
      <c r="I118" s="35" t="s">
        <v>1690</v>
      </c>
    </row>
    <row r="119" spans="1:9" ht="12.95" customHeight="1" x14ac:dyDescent="0.2">
      <c r="A119" s="34" t="s">
        <v>1455</v>
      </c>
      <c r="B119" s="35">
        <v>118</v>
      </c>
      <c r="C119" s="35" t="s">
        <v>1692</v>
      </c>
      <c r="D119" s="36" t="s">
        <v>1693</v>
      </c>
      <c r="E119" s="39" t="s">
        <v>48</v>
      </c>
      <c r="H119" s="39" t="s">
        <v>48</v>
      </c>
      <c r="I119" s="35" t="s">
        <v>1692</v>
      </c>
    </row>
    <row r="120" spans="1:9" ht="12.95" customHeight="1" x14ac:dyDescent="0.2">
      <c r="A120" s="34" t="s">
        <v>1455</v>
      </c>
      <c r="B120" s="35">
        <v>119</v>
      </c>
      <c r="C120" s="35" t="s">
        <v>1694</v>
      </c>
      <c r="D120" s="36" t="s">
        <v>1695</v>
      </c>
      <c r="E120" s="39" t="s">
        <v>233</v>
      </c>
      <c r="H120" s="39" t="s">
        <v>233</v>
      </c>
      <c r="I120" s="35" t="s">
        <v>1694</v>
      </c>
    </row>
    <row r="121" spans="1:9" ht="12.95" customHeight="1" x14ac:dyDescent="0.2">
      <c r="A121" s="34" t="s">
        <v>1455</v>
      </c>
      <c r="B121" s="35">
        <v>120</v>
      </c>
      <c r="C121" s="35" t="s">
        <v>1696</v>
      </c>
      <c r="D121" s="36" t="s">
        <v>1697</v>
      </c>
      <c r="E121" s="39" t="s">
        <v>174</v>
      </c>
      <c r="H121" s="39" t="s">
        <v>174</v>
      </c>
      <c r="I121" s="35" t="s">
        <v>1696</v>
      </c>
    </row>
    <row r="122" spans="1:9" ht="12.95" customHeight="1" x14ac:dyDescent="0.2">
      <c r="A122" s="34" t="s">
        <v>1455</v>
      </c>
      <c r="B122" s="35">
        <v>121</v>
      </c>
      <c r="C122" s="35" t="s">
        <v>1698</v>
      </c>
      <c r="D122" s="36" t="s">
        <v>1699</v>
      </c>
      <c r="E122" s="39" t="s">
        <v>177</v>
      </c>
      <c r="H122" s="39" t="s">
        <v>177</v>
      </c>
      <c r="I122" s="35" t="s">
        <v>1698</v>
      </c>
    </row>
    <row r="123" spans="1:9" ht="12.95" customHeight="1" x14ac:dyDescent="0.2">
      <c r="A123" s="34" t="s">
        <v>1455</v>
      </c>
      <c r="B123" s="35">
        <v>122</v>
      </c>
      <c r="C123" s="35" t="s">
        <v>1700</v>
      </c>
      <c r="D123" s="36" t="s">
        <v>1701</v>
      </c>
      <c r="E123" s="39" t="s">
        <v>222</v>
      </c>
      <c r="H123" s="39" t="s">
        <v>222</v>
      </c>
      <c r="I123" s="35" t="s">
        <v>1700</v>
      </c>
    </row>
    <row r="124" spans="1:9" ht="12.95" customHeight="1" x14ac:dyDescent="0.2">
      <c r="A124" s="34" t="s">
        <v>1455</v>
      </c>
      <c r="B124" s="35">
        <v>123</v>
      </c>
      <c r="C124" s="35" t="s">
        <v>1702</v>
      </c>
      <c r="D124" s="36" t="s">
        <v>1703</v>
      </c>
      <c r="E124" s="39" t="s">
        <v>191</v>
      </c>
      <c r="H124" s="39" t="s">
        <v>191</v>
      </c>
      <c r="I124" s="35" t="s">
        <v>1702</v>
      </c>
    </row>
    <row r="125" spans="1:9" ht="12.95" customHeight="1" x14ac:dyDescent="0.2">
      <c r="A125" s="34" t="s">
        <v>1455</v>
      </c>
      <c r="B125" s="35">
        <v>124</v>
      </c>
      <c r="C125" s="35" t="s">
        <v>1704</v>
      </c>
      <c r="D125" s="36" t="s">
        <v>1705</v>
      </c>
      <c r="E125" s="39" t="s">
        <v>247</v>
      </c>
      <c r="H125" s="39" t="s">
        <v>247</v>
      </c>
      <c r="I125" s="35" t="s">
        <v>1704</v>
      </c>
    </row>
    <row r="126" spans="1:9" s="37" customFormat="1" ht="12.95" customHeight="1" x14ac:dyDescent="0.2">
      <c r="A126" s="34" t="s">
        <v>1455</v>
      </c>
      <c r="B126" s="35">
        <v>125</v>
      </c>
      <c r="C126" s="35" t="s">
        <v>1706</v>
      </c>
      <c r="D126" s="36" t="s">
        <v>1707</v>
      </c>
      <c r="E126" s="39" t="s">
        <v>289</v>
      </c>
      <c r="H126" s="39" t="s">
        <v>289</v>
      </c>
      <c r="I126" s="35" t="s">
        <v>1706</v>
      </c>
    </row>
    <row r="127" spans="1:9" ht="12.95" customHeight="1" x14ac:dyDescent="0.2">
      <c r="A127" s="34" t="s">
        <v>1455</v>
      </c>
      <c r="B127" s="35">
        <v>126</v>
      </c>
      <c r="C127" s="35" t="s">
        <v>1708</v>
      </c>
      <c r="D127" s="36" t="s">
        <v>1709</v>
      </c>
      <c r="E127" s="39" t="s">
        <v>12</v>
      </c>
      <c r="H127" s="39" t="s">
        <v>12</v>
      </c>
      <c r="I127" s="35" t="s">
        <v>1708</v>
      </c>
    </row>
    <row r="128" spans="1:9" ht="12.95" customHeight="1" x14ac:dyDescent="0.2">
      <c r="A128" s="34" t="s">
        <v>1455</v>
      </c>
      <c r="B128" s="35">
        <v>127</v>
      </c>
      <c r="C128" s="35" t="s">
        <v>1710</v>
      </c>
      <c r="D128" s="36" t="s">
        <v>1711</v>
      </c>
      <c r="E128" s="39" t="s">
        <v>103</v>
      </c>
      <c r="H128" s="39" t="s">
        <v>103</v>
      </c>
      <c r="I128" s="35" t="s">
        <v>1710</v>
      </c>
    </row>
    <row r="129" spans="1:9" s="40" customFormat="1" ht="12.95" customHeight="1" x14ac:dyDescent="0.2">
      <c r="A129" s="34" t="s">
        <v>1455</v>
      </c>
      <c r="B129" s="35">
        <v>128</v>
      </c>
      <c r="C129" s="35" t="s">
        <v>1712</v>
      </c>
      <c r="D129" s="36" t="s">
        <v>1713</v>
      </c>
      <c r="E129" s="39" t="s">
        <v>218</v>
      </c>
      <c r="H129" s="39" t="s">
        <v>218</v>
      </c>
      <c r="I129" s="35" t="s">
        <v>1712</v>
      </c>
    </row>
    <row r="130" spans="1:9" ht="12.95" customHeight="1" x14ac:dyDescent="0.2">
      <c r="A130" s="34" t="s">
        <v>1455</v>
      </c>
      <c r="B130" s="35">
        <v>129</v>
      </c>
      <c r="C130" s="41" t="s">
        <v>1714</v>
      </c>
      <c r="D130" s="36" t="s">
        <v>1715</v>
      </c>
      <c r="E130" s="42" t="s">
        <v>9</v>
      </c>
      <c r="H130" s="42" t="s">
        <v>9</v>
      </c>
      <c r="I130" s="41" t="s">
        <v>1714</v>
      </c>
    </row>
    <row r="131" spans="1:9" ht="12.95" customHeight="1" x14ac:dyDescent="0.2">
      <c r="A131" s="34" t="s">
        <v>1455</v>
      </c>
      <c r="B131" s="35">
        <v>130</v>
      </c>
      <c r="C131" s="41" t="s">
        <v>1716</v>
      </c>
      <c r="D131" s="36" t="s">
        <v>1717</v>
      </c>
      <c r="E131" s="42" t="s">
        <v>17</v>
      </c>
      <c r="H131" s="42" t="s">
        <v>17</v>
      </c>
      <c r="I131" s="41" t="s">
        <v>1716</v>
      </c>
    </row>
    <row r="132" spans="1:9" ht="12.95" customHeight="1" x14ac:dyDescent="0.25">
      <c r="A132" s="34" t="s">
        <v>1455</v>
      </c>
      <c r="B132" s="35">
        <v>131</v>
      </c>
      <c r="C132" s="43" t="s">
        <v>1718</v>
      </c>
      <c r="D132" s="36" t="s">
        <v>1719</v>
      </c>
      <c r="E132" s="44" t="s">
        <v>80</v>
      </c>
      <c r="H132" s="44" t="s">
        <v>80</v>
      </c>
      <c r="I132" s="43" t="s">
        <v>1718</v>
      </c>
    </row>
    <row r="133" spans="1:9" ht="12.95" customHeight="1" x14ac:dyDescent="0.25">
      <c r="A133" s="34" t="s">
        <v>1455</v>
      </c>
      <c r="B133" s="35">
        <v>132</v>
      </c>
      <c r="C133" s="43" t="s">
        <v>1720</v>
      </c>
      <c r="D133" s="36" t="s">
        <v>1721</v>
      </c>
      <c r="E133" s="44" t="s">
        <v>173</v>
      </c>
      <c r="H133" s="44" t="s">
        <v>173</v>
      </c>
      <c r="I133" s="43" t="s">
        <v>1720</v>
      </c>
    </row>
    <row r="134" spans="1:9" ht="12.95" customHeight="1" x14ac:dyDescent="0.25">
      <c r="A134" s="34" t="s">
        <v>1455</v>
      </c>
      <c r="B134" s="35">
        <v>133</v>
      </c>
      <c r="C134" s="43" t="s">
        <v>1722</v>
      </c>
      <c r="D134" s="36" t="s">
        <v>1723</v>
      </c>
      <c r="E134" s="44" t="s">
        <v>198</v>
      </c>
      <c r="H134" s="44" t="s">
        <v>198</v>
      </c>
      <c r="I134" s="43" t="s">
        <v>1722</v>
      </c>
    </row>
    <row r="135" spans="1:9" s="37" customFormat="1" ht="12.95" customHeight="1" x14ac:dyDescent="0.25">
      <c r="A135" s="34" t="s">
        <v>1455</v>
      </c>
      <c r="B135" s="35">
        <v>134</v>
      </c>
      <c r="C135" s="43" t="s">
        <v>1724</v>
      </c>
      <c r="D135" s="36" t="s">
        <v>1725</v>
      </c>
      <c r="E135" s="44" t="s">
        <v>69</v>
      </c>
      <c r="H135" s="44" t="s">
        <v>69</v>
      </c>
      <c r="I135" s="43" t="s">
        <v>1724</v>
      </c>
    </row>
    <row r="136" spans="1:9" ht="12.95" customHeight="1" x14ac:dyDescent="0.25">
      <c r="A136" s="34" t="s">
        <v>1455</v>
      </c>
      <c r="B136" s="35">
        <v>135</v>
      </c>
      <c r="C136" s="43" t="s">
        <v>1726</v>
      </c>
      <c r="D136" s="36" t="s">
        <v>1727</v>
      </c>
      <c r="E136" s="44" t="s">
        <v>187</v>
      </c>
      <c r="H136" s="44" t="s">
        <v>187</v>
      </c>
      <c r="I136" s="43" t="s">
        <v>1726</v>
      </c>
    </row>
    <row r="137" spans="1:9" s="37" customFormat="1" ht="12.95" customHeight="1" x14ac:dyDescent="0.25">
      <c r="A137" s="34" t="s">
        <v>1455</v>
      </c>
      <c r="B137" s="35">
        <v>136</v>
      </c>
      <c r="C137" s="43" t="s">
        <v>1728</v>
      </c>
      <c r="D137" s="36" t="s">
        <v>1729</v>
      </c>
      <c r="E137" s="44" t="s">
        <v>169</v>
      </c>
      <c r="H137" s="44" t="s">
        <v>169</v>
      </c>
      <c r="I137" s="43" t="s">
        <v>1728</v>
      </c>
    </row>
    <row r="138" spans="1:9" ht="12.95" customHeight="1" x14ac:dyDescent="0.25">
      <c r="A138" s="34" t="s">
        <v>1455</v>
      </c>
      <c r="B138" s="35">
        <v>137</v>
      </c>
      <c r="C138" s="43" t="s">
        <v>1730</v>
      </c>
      <c r="D138" s="36" t="s">
        <v>1731</v>
      </c>
      <c r="E138" s="44" t="s">
        <v>54</v>
      </c>
      <c r="H138" s="44" t="s">
        <v>54</v>
      </c>
      <c r="I138" s="43" t="s">
        <v>1730</v>
      </c>
    </row>
    <row r="139" spans="1:9" s="37" customFormat="1" ht="12.95" customHeight="1" x14ac:dyDescent="0.25">
      <c r="A139" s="34" t="s">
        <v>1455</v>
      </c>
      <c r="B139" s="35">
        <v>138</v>
      </c>
      <c r="C139" s="43" t="s">
        <v>1732</v>
      </c>
      <c r="D139" s="36" t="s">
        <v>1733</v>
      </c>
      <c r="E139" s="44" t="s">
        <v>33</v>
      </c>
      <c r="H139" s="44" t="s">
        <v>33</v>
      </c>
      <c r="I139" s="43" t="s">
        <v>1732</v>
      </c>
    </row>
    <row r="140" spans="1:9" s="37" customFormat="1" ht="12.95" customHeight="1" x14ac:dyDescent="0.25">
      <c r="A140" s="34" t="s">
        <v>1455</v>
      </c>
      <c r="B140" s="35">
        <v>139</v>
      </c>
      <c r="C140" s="43" t="s">
        <v>1734</v>
      </c>
      <c r="D140" s="36" t="s">
        <v>1735</v>
      </c>
      <c r="E140" s="44" t="s">
        <v>268</v>
      </c>
      <c r="H140" s="44" t="s">
        <v>268</v>
      </c>
      <c r="I140" s="43" t="s">
        <v>1734</v>
      </c>
    </row>
    <row r="141" spans="1:9" s="37" customFormat="1" ht="12.95" customHeight="1" x14ac:dyDescent="0.25">
      <c r="A141" s="34" t="s">
        <v>1455</v>
      </c>
      <c r="B141" s="35">
        <v>140</v>
      </c>
      <c r="C141" s="43" t="s">
        <v>1736</v>
      </c>
      <c r="D141" s="36" t="s">
        <v>1737</v>
      </c>
      <c r="E141" s="44" t="s">
        <v>37</v>
      </c>
      <c r="H141" s="44" t="s">
        <v>37</v>
      </c>
      <c r="I141" s="43" t="s">
        <v>1736</v>
      </c>
    </row>
    <row r="142" spans="1:9" s="37" customFormat="1" ht="12.95" customHeight="1" x14ac:dyDescent="0.25">
      <c r="A142" s="34" t="s">
        <v>1455</v>
      </c>
      <c r="B142" s="35">
        <v>141</v>
      </c>
      <c r="C142" s="43" t="s">
        <v>1738</v>
      </c>
      <c r="D142" s="36" t="s">
        <v>1739</v>
      </c>
      <c r="E142" s="44" t="s">
        <v>206</v>
      </c>
      <c r="H142" s="44" t="s">
        <v>206</v>
      </c>
      <c r="I142" s="43" t="s">
        <v>1738</v>
      </c>
    </row>
    <row r="143" spans="1:9" ht="12.95" customHeight="1" x14ac:dyDescent="0.25">
      <c r="A143" s="34" t="s">
        <v>1455</v>
      </c>
      <c r="B143" s="35">
        <v>142</v>
      </c>
      <c r="C143" s="43" t="s">
        <v>1740</v>
      </c>
      <c r="D143" s="36" t="s">
        <v>1741</v>
      </c>
      <c r="E143" s="44" t="s">
        <v>260</v>
      </c>
      <c r="H143" s="44" t="s">
        <v>260</v>
      </c>
      <c r="I143" s="43" t="s">
        <v>1740</v>
      </c>
    </row>
    <row r="144" spans="1:9" s="37" customFormat="1" ht="12.95" customHeight="1" x14ac:dyDescent="0.25">
      <c r="A144" s="34" t="s">
        <v>1455</v>
      </c>
      <c r="B144" s="35">
        <v>143</v>
      </c>
      <c r="C144" s="43" t="s">
        <v>1742</v>
      </c>
      <c r="D144" s="36" t="s">
        <v>1743</v>
      </c>
      <c r="E144" s="44" t="s">
        <v>276</v>
      </c>
      <c r="H144" s="44" t="s">
        <v>276</v>
      </c>
      <c r="I144" s="43" t="s">
        <v>1742</v>
      </c>
    </row>
    <row r="145" spans="1:9" s="37" customFormat="1" ht="12.95" customHeight="1" x14ac:dyDescent="0.25">
      <c r="A145" s="34" t="s">
        <v>1455</v>
      </c>
      <c r="B145" s="35">
        <v>144</v>
      </c>
      <c r="C145" s="43" t="s">
        <v>1744</v>
      </c>
      <c r="D145" s="36" t="s">
        <v>1745</v>
      </c>
      <c r="E145" s="44" t="s">
        <v>192</v>
      </c>
      <c r="H145" s="44" t="s">
        <v>192</v>
      </c>
      <c r="I145" s="43" t="s">
        <v>1744</v>
      </c>
    </row>
    <row r="146" spans="1:9" ht="12.95" customHeight="1" x14ac:dyDescent="0.25">
      <c r="A146" s="34" t="s">
        <v>1455</v>
      </c>
      <c r="B146" s="35">
        <v>145</v>
      </c>
      <c r="C146" s="43" t="s">
        <v>1746</v>
      </c>
      <c r="D146" s="36" t="s">
        <v>1747</v>
      </c>
      <c r="E146" s="44" t="s">
        <v>243</v>
      </c>
      <c r="H146" s="44" t="s">
        <v>243</v>
      </c>
      <c r="I146" s="43" t="s">
        <v>1746</v>
      </c>
    </row>
    <row r="147" spans="1:9" ht="12.95" customHeight="1" x14ac:dyDescent="0.25">
      <c r="A147" s="34" t="s">
        <v>1455</v>
      </c>
      <c r="B147" s="35">
        <v>146</v>
      </c>
      <c r="C147" s="43" t="s">
        <v>1748</v>
      </c>
      <c r="D147" s="36" t="s">
        <v>1749</v>
      </c>
      <c r="E147" s="44" t="s">
        <v>92</v>
      </c>
      <c r="H147" s="44" t="s">
        <v>92</v>
      </c>
      <c r="I147" s="43" t="s">
        <v>1748</v>
      </c>
    </row>
    <row r="148" spans="1:9" ht="12.95" customHeight="1" x14ac:dyDescent="0.25">
      <c r="A148" s="34" t="s">
        <v>1455</v>
      </c>
      <c r="B148" s="35">
        <v>147</v>
      </c>
      <c r="C148" s="43" t="s">
        <v>1750</v>
      </c>
      <c r="D148" s="36" t="s">
        <v>1751</v>
      </c>
      <c r="E148" s="44" t="s">
        <v>195</v>
      </c>
      <c r="H148" s="44" t="s">
        <v>195</v>
      </c>
      <c r="I148" s="43" t="s">
        <v>1750</v>
      </c>
    </row>
    <row r="149" spans="1:9" ht="12.95" customHeight="1" x14ac:dyDescent="0.25">
      <c r="A149" s="34" t="s">
        <v>1455</v>
      </c>
      <c r="B149" s="35">
        <v>148</v>
      </c>
      <c r="C149" s="43" t="s">
        <v>1752</v>
      </c>
      <c r="D149" s="36" t="s">
        <v>1753</v>
      </c>
      <c r="E149" s="44" t="s">
        <v>89</v>
      </c>
      <c r="H149" s="44" t="s">
        <v>89</v>
      </c>
      <c r="I149" s="43" t="s">
        <v>1752</v>
      </c>
    </row>
    <row r="150" spans="1:9" ht="12.95" customHeight="1" x14ac:dyDescent="0.25">
      <c r="A150" s="34" t="s">
        <v>1455</v>
      </c>
      <c r="B150" s="35">
        <v>149</v>
      </c>
      <c r="C150" s="43" t="s">
        <v>1754</v>
      </c>
      <c r="D150" s="36" t="s">
        <v>1755</v>
      </c>
      <c r="E150" s="44" t="s">
        <v>47</v>
      </c>
      <c r="H150" s="44" t="s">
        <v>47</v>
      </c>
      <c r="I150" s="43" t="s">
        <v>1754</v>
      </c>
    </row>
    <row r="151" spans="1:9" s="37" customFormat="1" ht="12.95" customHeight="1" x14ac:dyDescent="0.25">
      <c r="A151" s="34" t="s">
        <v>1455</v>
      </c>
      <c r="B151" s="35">
        <v>150</v>
      </c>
      <c r="C151" s="43" t="s">
        <v>1756</v>
      </c>
      <c r="D151" s="36" t="s">
        <v>1757</v>
      </c>
      <c r="E151" s="44" t="s">
        <v>25</v>
      </c>
      <c r="H151" s="44" t="s">
        <v>25</v>
      </c>
      <c r="I151" s="43" t="s">
        <v>1756</v>
      </c>
    </row>
    <row r="152" spans="1:9" ht="12.95" customHeight="1" x14ac:dyDescent="0.25">
      <c r="A152" s="34" t="s">
        <v>1455</v>
      </c>
      <c r="B152" s="35">
        <v>151</v>
      </c>
      <c r="C152" s="43" t="s">
        <v>1758</v>
      </c>
      <c r="D152" s="36" t="s">
        <v>1759</v>
      </c>
      <c r="E152" s="44" t="s">
        <v>50</v>
      </c>
      <c r="H152" s="44" t="s">
        <v>50</v>
      </c>
      <c r="I152" s="43" t="s">
        <v>1758</v>
      </c>
    </row>
    <row r="153" spans="1:9" ht="12.95" customHeight="1" x14ac:dyDescent="0.25">
      <c r="A153" s="34" t="s">
        <v>1455</v>
      </c>
      <c r="B153" s="35">
        <v>152</v>
      </c>
      <c r="C153" s="43" t="s">
        <v>1760</v>
      </c>
      <c r="D153" s="36" t="s">
        <v>1761</v>
      </c>
      <c r="E153" s="44" t="s">
        <v>82</v>
      </c>
      <c r="H153" s="44" t="s">
        <v>82</v>
      </c>
      <c r="I153" s="43" t="s">
        <v>1760</v>
      </c>
    </row>
    <row r="154" spans="1:9" ht="12.95" customHeight="1" x14ac:dyDescent="0.25">
      <c r="A154" s="34" t="s">
        <v>1455</v>
      </c>
      <c r="B154" s="35">
        <v>153</v>
      </c>
      <c r="C154" s="43" t="s">
        <v>1762</v>
      </c>
      <c r="D154" s="36" t="s">
        <v>1763</v>
      </c>
      <c r="E154" s="44" t="s">
        <v>275</v>
      </c>
      <c r="H154" s="44" t="s">
        <v>275</v>
      </c>
      <c r="I154" s="43" t="s">
        <v>1762</v>
      </c>
    </row>
    <row r="155" spans="1:9" ht="12.95" customHeight="1" x14ac:dyDescent="0.25">
      <c r="A155" s="34" t="s">
        <v>1455</v>
      </c>
      <c r="B155" s="35">
        <v>154</v>
      </c>
      <c r="C155" s="43" t="s">
        <v>1764</v>
      </c>
      <c r="D155" s="36" t="s">
        <v>1765</v>
      </c>
      <c r="E155" s="44" t="s">
        <v>85</v>
      </c>
      <c r="H155" s="44" t="s">
        <v>85</v>
      </c>
      <c r="I155" s="43" t="s">
        <v>1764</v>
      </c>
    </row>
    <row r="156" spans="1:9" ht="12.95" customHeight="1" x14ac:dyDescent="0.25">
      <c r="A156" s="34" t="s">
        <v>1455</v>
      </c>
      <c r="B156" s="35">
        <v>155</v>
      </c>
      <c r="C156" s="43" t="s">
        <v>1766</v>
      </c>
      <c r="D156" s="36" t="s">
        <v>1767</v>
      </c>
      <c r="E156" s="44" t="s">
        <v>66</v>
      </c>
      <c r="H156" s="44" t="s">
        <v>66</v>
      </c>
      <c r="I156" s="43" t="s">
        <v>1766</v>
      </c>
    </row>
    <row r="157" spans="1:9" ht="12.95" customHeight="1" x14ac:dyDescent="0.25">
      <c r="A157" s="34" t="s">
        <v>1455</v>
      </c>
      <c r="B157" s="35">
        <v>156</v>
      </c>
      <c r="C157" s="43" t="s">
        <v>1768</v>
      </c>
      <c r="D157" s="36" t="s">
        <v>1769</v>
      </c>
      <c r="E157" s="44" t="s">
        <v>235</v>
      </c>
      <c r="H157" s="44" t="s">
        <v>235</v>
      </c>
      <c r="I157" s="43" t="s">
        <v>1768</v>
      </c>
    </row>
    <row r="158" spans="1:9" ht="12.95" customHeight="1" x14ac:dyDescent="0.25">
      <c r="A158" s="34" t="s">
        <v>1455</v>
      </c>
      <c r="B158" s="35">
        <v>157</v>
      </c>
      <c r="C158" s="43" t="s">
        <v>1770</v>
      </c>
      <c r="D158" s="36" t="s">
        <v>1771</v>
      </c>
      <c r="E158" s="44" t="s">
        <v>229</v>
      </c>
      <c r="H158" s="44" t="s">
        <v>229</v>
      </c>
      <c r="I158" s="43" t="s">
        <v>1770</v>
      </c>
    </row>
    <row r="159" spans="1:9" ht="12.95" customHeight="1" x14ac:dyDescent="0.25">
      <c r="A159" s="34" t="s">
        <v>1455</v>
      </c>
      <c r="B159" s="35">
        <v>158</v>
      </c>
      <c r="C159" s="43" t="s">
        <v>1772</v>
      </c>
      <c r="D159" s="36" t="s">
        <v>1773</v>
      </c>
      <c r="E159" s="44" t="s">
        <v>72</v>
      </c>
      <c r="H159" s="44" t="s">
        <v>72</v>
      </c>
      <c r="I159" s="43" t="s">
        <v>1772</v>
      </c>
    </row>
    <row r="160" spans="1:9" ht="12.95" customHeight="1" x14ac:dyDescent="0.25">
      <c r="A160" s="34" t="s">
        <v>1455</v>
      </c>
      <c r="B160" s="35">
        <v>159</v>
      </c>
      <c r="C160" s="43" t="s">
        <v>1774</v>
      </c>
      <c r="D160" s="36" t="s">
        <v>1775</v>
      </c>
      <c r="E160" s="44" t="s">
        <v>263</v>
      </c>
      <c r="H160" s="44" t="s">
        <v>263</v>
      </c>
      <c r="I160" s="43" t="s">
        <v>1774</v>
      </c>
    </row>
    <row r="161" spans="1:9" ht="12.95" customHeight="1" x14ac:dyDescent="0.25">
      <c r="A161" s="34" t="s">
        <v>1455</v>
      </c>
      <c r="B161" s="35">
        <v>160</v>
      </c>
      <c r="C161" s="43" t="s">
        <v>1776</v>
      </c>
      <c r="D161" s="36" t="s">
        <v>1777</v>
      </c>
      <c r="E161" s="44" t="s">
        <v>60</v>
      </c>
      <c r="H161" s="44" t="s">
        <v>60</v>
      </c>
      <c r="I161" s="43" t="s">
        <v>1776</v>
      </c>
    </row>
    <row r="162" spans="1:9" ht="12.95" customHeight="1" x14ac:dyDescent="0.25">
      <c r="A162" s="34" t="s">
        <v>1455</v>
      </c>
      <c r="B162" s="35">
        <v>161</v>
      </c>
      <c r="C162" s="43" t="s">
        <v>1778</v>
      </c>
      <c r="D162" s="36" t="s">
        <v>1779</v>
      </c>
      <c r="E162" s="44" t="s">
        <v>58</v>
      </c>
      <c r="H162" s="44" t="s">
        <v>58</v>
      </c>
      <c r="I162" s="43" t="s">
        <v>1778</v>
      </c>
    </row>
    <row r="163" spans="1:9" ht="12.95" customHeight="1" x14ac:dyDescent="0.25">
      <c r="A163" s="34" t="s">
        <v>1455</v>
      </c>
      <c r="B163" s="35">
        <v>162</v>
      </c>
      <c r="C163" s="43" t="s">
        <v>1780</v>
      </c>
      <c r="D163" s="36" t="s">
        <v>1781</v>
      </c>
      <c r="E163" s="44" t="s">
        <v>81</v>
      </c>
      <c r="H163" s="44" t="s">
        <v>81</v>
      </c>
      <c r="I163" s="43" t="s">
        <v>1780</v>
      </c>
    </row>
    <row r="164" spans="1:9" ht="12.95" customHeight="1" x14ac:dyDescent="0.25">
      <c r="A164" s="34" t="s">
        <v>1455</v>
      </c>
      <c r="B164" s="35">
        <v>163</v>
      </c>
      <c r="C164" s="43" t="s">
        <v>1782</v>
      </c>
      <c r="D164" s="36" t="s">
        <v>1783</v>
      </c>
      <c r="E164" s="44" t="s">
        <v>44</v>
      </c>
      <c r="H164" s="44" t="s">
        <v>44</v>
      </c>
      <c r="I164" s="43" t="s">
        <v>1782</v>
      </c>
    </row>
    <row r="165" spans="1:9" ht="12.95" customHeight="1" x14ac:dyDescent="0.25">
      <c r="A165" s="34" t="s">
        <v>1455</v>
      </c>
      <c r="B165" s="35">
        <v>164</v>
      </c>
      <c r="C165" s="43" t="s">
        <v>1784</v>
      </c>
      <c r="D165" s="36" t="s">
        <v>1785</v>
      </c>
      <c r="E165" s="44" t="s">
        <v>24</v>
      </c>
      <c r="H165" s="44" t="s">
        <v>24</v>
      </c>
      <c r="I165" s="43" t="s">
        <v>1784</v>
      </c>
    </row>
    <row r="166" spans="1:9" ht="12.95" customHeight="1" x14ac:dyDescent="0.25">
      <c r="A166" s="34" t="s">
        <v>1455</v>
      </c>
      <c r="B166" s="35">
        <v>165</v>
      </c>
      <c r="C166" s="43" t="s">
        <v>1786</v>
      </c>
      <c r="D166" s="36" t="s">
        <v>1787</v>
      </c>
      <c r="E166" s="44" t="s">
        <v>204</v>
      </c>
      <c r="H166" s="44" t="s">
        <v>204</v>
      </c>
      <c r="I166" s="43" t="s">
        <v>1786</v>
      </c>
    </row>
    <row r="167" spans="1:9" ht="12.95" customHeight="1" x14ac:dyDescent="0.25">
      <c r="A167" s="34" t="s">
        <v>1455</v>
      </c>
      <c r="B167" s="35">
        <v>166</v>
      </c>
      <c r="C167" s="43" t="s">
        <v>1788</v>
      </c>
      <c r="D167" s="36" t="s">
        <v>1789</v>
      </c>
      <c r="E167" s="44" t="s">
        <v>68</v>
      </c>
      <c r="H167" s="44" t="s">
        <v>68</v>
      </c>
      <c r="I167" s="43" t="s">
        <v>1788</v>
      </c>
    </row>
    <row r="168" spans="1:9" ht="12.95" customHeight="1" x14ac:dyDescent="0.25">
      <c r="A168" s="34" t="s">
        <v>1455</v>
      </c>
      <c r="B168" s="35">
        <v>167</v>
      </c>
      <c r="C168" s="43" t="s">
        <v>1790</v>
      </c>
      <c r="D168" s="36" t="s">
        <v>1791</v>
      </c>
      <c r="E168" s="44" t="s">
        <v>102</v>
      </c>
      <c r="H168" s="44" t="s">
        <v>102</v>
      </c>
      <c r="I168" s="43" t="s">
        <v>1790</v>
      </c>
    </row>
    <row r="169" spans="1:9" ht="12.95" customHeight="1" x14ac:dyDescent="0.25">
      <c r="A169" s="34" t="s">
        <v>1455</v>
      </c>
      <c r="B169" s="35">
        <v>168</v>
      </c>
      <c r="C169" s="43" t="s">
        <v>1792</v>
      </c>
      <c r="D169" s="36" t="s">
        <v>1793</v>
      </c>
      <c r="E169" s="44" t="s">
        <v>101</v>
      </c>
      <c r="H169" s="44" t="s">
        <v>101</v>
      </c>
      <c r="I169" s="43" t="s">
        <v>1792</v>
      </c>
    </row>
    <row r="170" spans="1:9" ht="12.95" customHeight="1" x14ac:dyDescent="0.25">
      <c r="A170" s="34" t="s">
        <v>1455</v>
      </c>
      <c r="B170" s="35">
        <v>169</v>
      </c>
      <c r="C170" s="43" t="s">
        <v>1794</v>
      </c>
      <c r="D170" s="36" t="s">
        <v>1795</v>
      </c>
      <c r="E170" s="44" t="s">
        <v>297</v>
      </c>
      <c r="H170" s="44" t="s">
        <v>297</v>
      </c>
      <c r="I170" s="43" t="s">
        <v>1794</v>
      </c>
    </row>
    <row r="171" spans="1:9" ht="12.95" customHeight="1" x14ac:dyDescent="0.25">
      <c r="A171" s="34" t="s">
        <v>1455</v>
      </c>
      <c r="B171" s="35">
        <v>170</v>
      </c>
      <c r="C171" s="43" t="s">
        <v>1796</v>
      </c>
      <c r="D171" s="36" t="s">
        <v>1797</v>
      </c>
      <c r="E171" s="44" t="s">
        <v>238</v>
      </c>
      <c r="H171" s="44" t="s">
        <v>238</v>
      </c>
      <c r="I171" s="43" t="s">
        <v>1796</v>
      </c>
    </row>
    <row r="172" spans="1:9" ht="12.95" customHeight="1" x14ac:dyDescent="0.25">
      <c r="A172" s="34" t="s">
        <v>1455</v>
      </c>
      <c r="B172" s="35">
        <v>171</v>
      </c>
      <c r="C172" s="43" t="s">
        <v>1798</v>
      </c>
      <c r="D172" s="36" t="s">
        <v>1799</v>
      </c>
      <c r="E172" s="44" t="s">
        <v>64</v>
      </c>
      <c r="H172" s="44" t="s">
        <v>64</v>
      </c>
      <c r="I172" s="43" t="s">
        <v>1798</v>
      </c>
    </row>
    <row r="173" spans="1:9" ht="12.95" customHeight="1" x14ac:dyDescent="0.25">
      <c r="A173" s="34" t="s">
        <v>1455</v>
      </c>
      <c r="B173" s="35">
        <v>172</v>
      </c>
      <c r="C173" s="43" t="s">
        <v>1800</v>
      </c>
      <c r="D173" s="36" t="s">
        <v>1801</v>
      </c>
      <c r="E173" s="44" t="s">
        <v>1802</v>
      </c>
      <c r="H173" s="44" t="s">
        <v>1802</v>
      </c>
      <c r="I173" s="43" t="s">
        <v>1800</v>
      </c>
    </row>
    <row r="174" spans="1:9" ht="12.95" customHeight="1" x14ac:dyDescent="0.25">
      <c r="A174" s="34" t="s">
        <v>1455</v>
      </c>
      <c r="B174" s="35">
        <v>173</v>
      </c>
      <c r="C174" s="43" t="s">
        <v>1803</v>
      </c>
      <c r="D174" s="36" t="s">
        <v>1804</v>
      </c>
      <c r="E174" s="44" t="s">
        <v>1805</v>
      </c>
      <c r="H174" s="44" t="s">
        <v>1805</v>
      </c>
      <c r="I174" s="43" t="s">
        <v>1803</v>
      </c>
    </row>
    <row r="175" spans="1:9" ht="12.95" customHeight="1" x14ac:dyDescent="0.25">
      <c r="A175" s="34" t="s">
        <v>1455</v>
      </c>
      <c r="B175" s="35">
        <v>174</v>
      </c>
      <c r="C175" s="43" t="s">
        <v>1806</v>
      </c>
      <c r="D175" s="36" t="s">
        <v>1807</v>
      </c>
      <c r="E175" s="44" t="s">
        <v>18</v>
      </c>
      <c r="H175" s="44" t="s">
        <v>18</v>
      </c>
      <c r="I175" s="43" t="s">
        <v>1806</v>
      </c>
    </row>
    <row r="176" spans="1:9" ht="12.95" customHeight="1" x14ac:dyDescent="0.25">
      <c r="A176" s="34" t="s">
        <v>1455</v>
      </c>
      <c r="B176" s="35">
        <v>175</v>
      </c>
      <c r="C176" s="43" t="s">
        <v>1808</v>
      </c>
      <c r="D176" s="36" t="s">
        <v>1809</v>
      </c>
      <c r="E176" s="44" t="s">
        <v>75</v>
      </c>
      <c r="H176" s="44" t="s">
        <v>75</v>
      </c>
      <c r="I176" s="43" t="s">
        <v>1808</v>
      </c>
    </row>
    <row r="177" spans="1:9" ht="12.95" customHeight="1" x14ac:dyDescent="0.25">
      <c r="A177" s="34" t="s">
        <v>1455</v>
      </c>
      <c r="B177" s="35">
        <v>176</v>
      </c>
      <c r="C177" s="43" t="s">
        <v>1810</v>
      </c>
      <c r="D177" s="36" t="s">
        <v>1811</v>
      </c>
      <c r="E177" s="44" t="s">
        <v>32</v>
      </c>
      <c r="H177" s="44" t="s">
        <v>32</v>
      </c>
      <c r="I177" s="43" t="s">
        <v>1810</v>
      </c>
    </row>
    <row r="178" spans="1:9" ht="12.95" customHeight="1" x14ac:dyDescent="0.25">
      <c r="A178" s="34" t="s">
        <v>1455</v>
      </c>
      <c r="B178" s="35">
        <v>177</v>
      </c>
      <c r="C178" s="43" t="s">
        <v>1812</v>
      </c>
      <c r="D178" s="36" t="s">
        <v>1813</v>
      </c>
      <c r="E178" s="44" t="s">
        <v>22</v>
      </c>
      <c r="H178" s="44" t="s">
        <v>22</v>
      </c>
      <c r="I178" s="43" t="s">
        <v>1812</v>
      </c>
    </row>
    <row r="179" spans="1:9" ht="12.95" customHeight="1" x14ac:dyDescent="0.25">
      <c r="A179" s="34" t="s">
        <v>1455</v>
      </c>
      <c r="B179" s="35">
        <v>178</v>
      </c>
      <c r="C179" s="43" t="s">
        <v>1814</v>
      </c>
      <c r="D179" s="36" t="s">
        <v>1815</v>
      </c>
      <c r="E179" s="44" t="s">
        <v>290</v>
      </c>
      <c r="H179" s="44" t="s">
        <v>290</v>
      </c>
      <c r="I179" s="43" t="s">
        <v>1814</v>
      </c>
    </row>
    <row r="180" spans="1:9" ht="12.95" customHeight="1" x14ac:dyDescent="0.25">
      <c r="A180" s="34" t="s">
        <v>1455</v>
      </c>
      <c r="B180" s="35">
        <v>179</v>
      </c>
      <c r="C180" s="43" t="s">
        <v>1816</v>
      </c>
      <c r="D180" s="36" t="s">
        <v>1817</v>
      </c>
      <c r="E180" s="44" t="s">
        <v>248</v>
      </c>
      <c r="H180" s="44" t="s">
        <v>248</v>
      </c>
      <c r="I180" s="43" t="s">
        <v>1816</v>
      </c>
    </row>
    <row r="181" spans="1:9" ht="12.95" customHeight="1" x14ac:dyDescent="0.25">
      <c r="A181" s="34" t="s">
        <v>1455</v>
      </c>
      <c r="B181" s="35">
        <v>180</v>
      </c>
      <c r="C181" s="43" t="s">
        <v>1818</v>
      </c>
      <c r="D181" s="36" t="s">
        <v>1819</v>
      </c>
      <c r="E181" s="44" t="s">
        <v>76</v>
      </c>
      <c r="H181" s="44" t="s">
        <v>76</v>
      </c>
      <c r="I181" s="43" t="s">
        <v>1818</v>
      </c>
    </row>
    <row r="182" spans="1:9" ht="12.95" customHeight="1" x14ac:dyDescent="0.2">
      <c r="A182" s="45" t="s">
        <v>1455</v>
      </c>
      <c r="B182" s="45">
        <v>181</v>
      </c>
      <c r="C182" s="45" t="s">
        <v>1820</v>
      </c>
      <c r="D182" s="46" t="s">
        <v>1821</v>
      </c>
      <c r="E182" s="46" t="s">
        <v>121</v>
      </c>
      <c r="F182" s="45">
        <v>1</v>
      </c>
      <c r="H182" s="46" t="s">
        <v>121</v>
      </c>
      <c r="I182" s="45" t="s">
        <v>1820</v>
      </c>
    </row>
    <row r="183" spans="1:9" ht="12.95" customHeight="1" x14ac:dyDescent="0.2">
      <c r="A183" s="45" t="s">
        <v>1455</v>
      </c>
      <c r="B183" s="45">
        <v>182</v>
      </c>
      <c r="C183" s="45" t="s">
        <v>1822</v>
      </c>
      <c r="D183" s="46" t="s">
        <v>1823</v>
      </c>
      <c r="E183" s="46" t="s">
        <v>110</v>
      </c>
      <c r="F183" s="45">
        <v>2</v>
      </c>
      <c r="H183" s="46" t="s">
        <v>110</v>
      </c>
      <c r="I183" s="45" t="s">
        <v>1822</v>
      </c>
    </row>
    <row r="184" spans="1:9" ht="12.95" customHeight="1" x14ac:dyDescent="0.2">
      <c r="A184" s="45" t="s">
        <v>1455</v>
      </c>
      <c r="B184" s="45">
        <v>183</v>
      </c>
      <c r="C184" s="45" t="s">
        <v>1824</v>
      </c>
      <c r="D184" s="46" t="s">
        <v>1825</v>
      </c>
      <c r="E184" s="46" t="s">
        <v>114</v>
      </c>
      <c r="F184" s="45">
        <v>3</v>
      </c>
      <c r="H184" s="46" t="s">
        <v>114</v>
      </c>
      <c r="I184" s="45" t="s">
        <v>1824</v>
      </c>
    </row>
    <row r="185" spans="1:9" ht="12.95" customHeight="1" x14ac:dyDescent="0.2">
      <c r="A185" s="45" t="s">
        <v>1455</v>
      </c>
      <c r="B185" s="45">
        <v>184</v>
      </c>
      <c r="C185" s="45" t="s">
        <v>1826</v>
      </c>
      <c r="D185" s="46" t="s">
        <v>1827</v>
      </c>
      <c r="E185" s="46" t="s">
        <v>119</v>
      </c>
      <c r="F185" s="45">
        <v>4</v>
      </c>
      <c r="H185" s="46" t="s">
        <v>119</v>
      </c>
      <c r="I185" s="45" t="s">
        <v>1826</v>
      </c>
    </row>
    <row r="186" spans="1:9" ht="12.95" customHeight="1" x14ac:dyDescent="0.2">
      <c r="A186" s="45" t="s">
        <v>1455</v>
      </c>
      <c r="B186" s="45">
        <v>185</v>
      </c>
      <c r="C186" s="45" t="s">
        <v>1828</v>
      </c>
      <c r="D186" s="46" t="s">
        <v>1829</v>
      </c>
      <c r="E186" s="46" t="s">
        <v>132</v>
      </c>
      <c r="F186" s="45">
        <v>5</v>
      </c>
      <c r="H186" s="46" t="s">
        <v>132</v>
      </c>
      <c r="I186" s="45" t="s">
        <v>1828</v>
      </c>
    </row>
    <row r="187" spans="1:9" ht="12.95" customHeight="1" x14ac:dyDescent="0.2">
      <c r="A187" s="45" t="s">
        <v>1455</v>
      </c>
      <c r="B187" s="45">
        <v>186</v>
      </c>
      <c r="C187" s="45" t="s">
        <v>1830</v>
      </c>
      <c r="D187" s="46" t="s">
        <v>1831</v>
      </c>
      <c r="E187" s="46" t="s">
        <v>111</v>
      </c>
      <c r="F187" s="45">
        <v>6</v>
      </c>
      <c r="H187" s="46" t="s">
        <v>111</v>
      </c>
      <c r="I187" s="45" t="s">
        <v>1830</v>
      </c>
    </row>
    <row r="188" spans="1:9" ht="12.95" customHeight="1" x14ac:dyDescent="0.2">
      <c r="A188" s="45" t="s">
        <v>1455</v>
      </c>
      <c r="B188" s="45">
        <v>187</v>
      </c>
      <c r="C188" s="45" t="s">
        <v>1832</v>
      </c>
      <c r="D188" s="46" t="s">
        <v>1833</v>
      </c>
      <c r="E188" s="46" t="s">
        <v>109</v>
      </c>
      <c r="F188" s="45">
        <v>7</v>
      </c>
      <c r="H188" s="46" t="s">
        <v>109</v>
      </c>
      <c r="I188" s="45" t="s">
        <v>1832</v>
      </c>
    </row>
    <row r="189" spans="1:9" ht="12.95" customHeight="1" x14ac:dyDescent="0.2">
      <c r="A189" s="45" t="s">
        <v>1455</v>
      </c>
      <c r="B189" s="45">
        <v>188</v>
      </c>
      <c r="C189" s="45" t="s">
        <v>1834</v>
      </c>
      <c r="D189" s="46" t="s">
        <v>1835</v>
      </c>
      <c r="E189" s="46" t="s">
        <v>115</v>
      </c>
      <c r="F189" s="45">
        <v>8</v>
      </c>
      <c r="H189" s="46" t="s">
        <v>115</v>
      </c>
      <c r="I189" s="45" t="s">
        <v>1834</v>
      </c>
    </row>
    <row r="190" spans="1:9" ht="12.95" customHeight="1" x14ac:dyDescent="0.2">
      <c r="A190" s="45" t="s">
        <v>1455</v>
      </c>
      <c r="B190" s="45">
        <v>189</v>
      </c>
      <c r="C190" s="45" t="s">
        <v>1836</v>
      </c>
      <c r="D190" s="46" t="s">
        <v>1837</v>
      </c>
      <c r="E190" s="46" t="s">
        <v>129</v>
      </c>
      <c r="F190" s="45">
        <v>9</v>
      </c>
      <c r="H190" s="46" t="s">
        <v>129</v>
      </c>
      <c r="I190" s="45" t="s">
        <v>1836</v>
      </c>
    </row>
    <row r="191" spans="1:9" ht="12.95" customHeight="1" x14ac:dyDescent="0.2">
      <c r="A191" s="45" t="s">
        <v>1455</v>
      </c>
      <c r="B191" s="45">
        <v>190</v>
      </c>
      <c r="C191" s="45" t="s">
        <v>1838</v>
      </c>
      <c r="D191" s="46" t="s">
        <v>1839</v>
      </c>
      <c r="E191" s="46" t="s">
        <v>133</v>
      </c>
      <c r="F191" s="45">
        <v>10</v>
      </c>
      <c r="H191" s="46" t="s">
        <v>133</v>
      </c>
      <c r="I191" s="45" t="s">
        <v>1838</v>
      </c>
    </row>
    <row r="192" spans="1:9" ht="12.95" customHeight="1" x14ac:dyDescent="0.2">
      <c r="A192" s="45" t="s">
        <v>1455</v>
      </c>
      <c r="B192" s="45">
        <v>191</v>
      </c>
      <c r="C192" s="45" t="s">
        <v>1840</v>
      </c>
      <c r="D192" s="46" t="s">
        <v>1841</v>
      </c>
      <c r="E192" s="46" t="s">
        <v>136</v>
      </c>
      <c r="F192" s="45">
        <v>11</v>
      </c>
      <c r="H192" s="46" t="s">
        <v>136</v>
      </c>
      <c r="I192" s="45" t="s">
        <v>1840</v>
      </c>
    </row>
    <row r="193" spans="1:9" ht="12.95" customHeight="1" x14ac:dyDescent="0.2">
      <c r="A193" s="45" t="s">
        <v>1455</v>
      </c>
      <c r="B193" s="45">
        <v>192</v>
      </c>
      <c r="C193" s="45" t="s">
        <v>1842</v>
      </c>
      <c r="D193" s="46" t="s">
        <v>1843</v>
      </c>
      <c r="E193" s="46" t="s">
        <v>131</v>
      </c>
      <c r="F193" s="45">
        <v>12</v>
      </c>
      <c r="H193" s="46" t="s">
        <v>131</v>
      </c>
      <c r="I193" s="45" t="s">
        <v>1842</v>
      </c>
    </row>
    <row r="194" spans="1:9" ht="12.95" customHeight="1" x14ac:dyDescent="0.2">
      <c r="A194" s="45" t="s">
        <v>1455</v>
      </c>
      <c r="B194" s="45">
        <v>193</v>
      </c>
      <c r="C194" s="45" t="s">
        <v>1844</v>
      </c>
      <c r="D194" s="46" t="s">
        <v>1845</v>
      </c>
      <c r="E194" s="46" t="s">
        <v>112</v>
      </c>
      <c r="F194" s="45">
        <v>13</v>
      </c>
      <c r="H194" s="46" t="s">
        <v>112</v>
      </c>
      <c r="I194" s="45" t="s">
        <v>1844</v>
      </c>
    </row>
    <row r="195" spans="1:9" ht="12.95" customHeight="1" x14ac:dyDescent="0.2">
      <c r="A195" s="45" t="s">
        <v>1455</v>
      </c>
      <c r="B195" s="45">
        <v>194</v>
      </c>
      <c r="C195" s="45" t="s">
        <v>1846</v>
      </c>
      <c r="D195" s="46" t="s">
        <v>1847</v>
      </c>
      <c r="E195" s="46" t="s">
        <v>113</v>
      </c>
      <c r="F195" s="45">
        <v>14</v>
      </c>
      <c r="H195" s="46" t="s">
        <v>113</v>
      </c>
      <c r="I195" s="45" t="s">
        <v>1846</v>
      </c>
    </row>
    <row r="196" spans="1:9" ht="12.95" customHeight="1" x14ac:dyDescent="0.2">
      <c r="A196" s="45" t="s">
        <v>1455</v>
      </c>
      <c r="B196" s="45">
        <v>195</v>
      </c>
      <c r="C196" s="45" t="s">
        <v>1848</v>
      </c>
      <c r="D196" s="46" t="s">
        <v>1849</v>
      </c>
      <c r="E196" s="47" t="s">
        <v>130</v>
      </c>
      <c r="F196" s="45">
        <v>15</v>
      </c>
      <c r="H196" s="47" t="s">
        <v>130</v>
      </c>
      <c r="I196" s="45" t="s">
        <v>1848</v>
      </c>
    </row>
    <row r="197" spans="1:9" ht="12.95" customHeight="1" x14ac:dyDescent="0.2">
      <c r="A197" s="45" t="s">
        <v>1455</v>
      </c>
      <c r="B197" s="45">
        <v>196</v>
      </c>
      <c r="C197" s="45" t="s">
        <v>1850</v>
      </c>
      <c r="D197" s="46" t="s">
        <v>1851</v>
      </c>
      <c r="E197" s="47" t="s">
        <v>123</v>
      </c>
      <c r="F197" s="45">
        <v>16</v>
      </c>
      <c r="H197" s="47" t="s">
        <v>123</v>
      </c>
      <c r="I197" s="45" t="s">
        <v>1850</v>
      </c>
    </row>
    <row r="198" spans="1:9" ht="12.95" customHeight="1" x14ac:dyDescent="0.2">
      <c r="A198" s="45" t="s">
        <v>1455</v>
      </c>
      <c r="B198" s="45">
        <v>197</v>
      </c>
      <c r="C198" s="45" t="s">
        <v>1852</v>
      </c>
      <c r="D198" s="46" t="s">
        <v>1853</v>
      </c>
      <c r="E198" s="47" t="s">
        <v>134</v>
      </c>
      <c r="F198" s="45">
        <v>17</v>
      </c>
      <c r="H198" s="47" t="s">
        <v>134</v>
      </c>
      <c r="I198" s="45" t="s">
        <v>1852</v>
      </c>
    </row>
    <row r="199" spans="1:9" ht="12.95" customHeight="1" x14ac:dyDescent="0.2">
      <c r="A199" s="45" t="s">
        <v>1455</v>
      </c>
      <c r="B199" s="45">
        <v>198</v>
      </c>
      <c r="C199" s="45" t="s">
        <v>1854</v>
      </c>
      <c r="D199" s="46" t="s">
        <v>1855</v>
      </c>
      <c r="E199" s="47" t="s">
        <v>117</v>
      </c>
      <c r="F199" s="45">
        <v>18</v>
      </c>
      <c r="H199" s="47" t="s">
        <v>117</v>
      </c>
      <c r="I199" s="45" t="s">
        <v>1854</v>
      </c>
    </row>
    <row r="200" spans="1:9" ht="12.95" customHeight="1" x14ac:dyDescent="0.2">
      <c r="A200" s="45" t="s">
        <v>1455</v>
      </c>
      <c r="B200" s="45">
        <v>199</v>
      </c>
      <c r="C200" s="45" t="s">
        <v>1856</v>
      </c>
      <c r="D200" s="46" t="s">
        <v>1857</v>
      </c>
      <c r="E200" s="47" t="s">
        <v>127</v>
      </c>
      <c r="F200" s="45">
        <v>19</v>
      </c>
      <c r="H200" s="47" t="s">
        <v>127</v>
      </c>
      <c r="I200" s="45" t="s">
        <v>1856</v>
      </c>
    </row>
    <row r="201" spans="1:9" ht="12.95" customHeight="1" x14ac:dyDescent="0.2">
      <c r="A201" s="45" t="s">
        <v>1455</v>
      </c>
      <c r="B201" s="45">
        <v>200</v>
      </c>
      <c r="C201" s="45" t="s">
        <v>1858</v>
      </c>
      <c r="D201" s="46" t="s">
        <v>1859</v>
      </c>
      <c r="E201" s="47" t="s">
        <v>143</v>
      </c>
      <c r="F201" s="45">
        <v>20</v>
      </c>
      <c r="H201" s="47" t="s">
        <v>143</v>
      </c>
      <c r="I201" s="45" t="s">
        <v>1858</v>
      </c>
    </row>
    <row r="202" spans="1:9" ht="12.95" customHeight="1" x14ac:dyDescent="0.2">
      <c r="A202" s="45" t="s">
        <v>1455</v>
      </c>
      <c r="B202" s="45">
        <v>201</v>
      </c>
      <c r="C202" s="45" t="s">
        <v>1860</v>
      </c>
      <c r="D202" s="46" t="s">
        <v>1861</v>
      </c>
      <c r="E202" s="47" t="s">
        <v>116</v>
      </c>
      <c r="F202" s="45">
        <v>21</v>
      </c>
      <c r="H202" s="47" t="s">
        <v>116</v>
      </c>
      <c r="I202" s="45" t="s">
        <v>1860</v>
      </c>
    </row>
    <row r="203" spans="1:9" ht="12.95" customHeight="1" x14ac:dyDescent="0.2">
      <c r="A203" s="45" t="s">
        <v>1455</v>
      </c>
      <c r="B203" s="45">
        <v>202</v>
      </c>
      <c r="C203" s="45" t="s">
        <v>1862</v>
      </c>
      <c r="D203" s="46" t="s">
        <v>1863</v>
      </c>
      <c r="E203" s="47" t="s">
        <v>118</v>
      </c>
      <c r="F203" s="45">
        <v>22</v>
      </c>
      <c r="H203" s="47" t="s">
        <v>118</v>
      </c>
      <c r="I203" s="45" t="s">
        <v>1862</v>
      </c>
    </row>
    <row r="204" spans="1:9" ht="12.95" customHeight="1" x14ac:dyDescent="0.2">
      <c r="A204" s="45" t="s">
        <v>1455</v>
      </c>
      <c r="B204" s="45">
        <v>203</v>
      </c>
      <c r="C204" s="45" t="s">
        <v>1864</v>
      </c>
      <c r="D204" s="46" t="s">
        <v>1865</v>
      </c>
      <c r="E204" s="47" t="s">
        <v>139</v>
      </c>
      <c r="F204" s="45">
        <v>23</v>
      </c>
      <c r="H204" s="47" t="s">
        <v>139</v>
      </c>
      <c r="I204" s="45" t="s">
        <v>1864</v>
      </c>
    </row>
    <row r="205" spans="1:9" ht="12.95" customHeight="1" x14ac:dyDescent="0.2">
      <c r="A205" s="45" t="s">
        <v>1455</v>
      </c>
      <c r="B205" s="45">
        <v>204</v>
      </c>
      <c r="C205" s="48" t="s">
        <v>1866</v>
      </c>
      <c r="D205" s="48" t="s">
        <v>1867</v>
      </c>
      <c r="E205" s="49" t="s">
        <v>12</v>
      </c>
      <c r="F205" s="48">
        <v>24</v>
      </c>
      <c r="H205" s="49" t="s">
        <v>12</v>
      </c>
      <c r="I205" s="48" t="s">
        <v>1866</v>
      </c>
    </row>
    <row r="206" spans="1:9" ht="12.95" customHeight="1" x14ac:dyDescent="0.25">
      <c r="A206" s="50" t="s">
        <v>1871</v>
      </c>
      <c r="B206" s="51" t="s">
        <v>0</v>
      </c>
      <c r="C206" s="51" t="s">
        <v>1870</v>
      </c>
      <c r="D206" s="5" t="s">
        <v>1872</v>
      </c>
      <c r="E206" s="50" t="s">
        <v>1873</v>
      </c>
      <c r="H206" s="50" t="s">
        <v>1873</v>
      </c>
      <c r="I206" s="51" t="s">
        <v>1870</v>
      </c>
    </row>
    <row r="207" spans="1:9" ht="12.95" customHeight="1" x14ac:dyDescent="0.25">
      <c r="A207" s="50" t="s">
        <v>1871</v>
      </c>
      <c r="B207" s="51" t="s">
        <v>106</v>
      </c>
      <c r="C207" s="51" t="s">
        <v>1708</v>
      </c>
      <c r="D207" s="5" t="s">
        <v>1874</v>
      </c>
      <c r="E207" s="50" t="s">
        <v>1868</v>
      </c>
      <c r="H207" s="50" t="s">
        <v>1868</v>
      </c>
      <c r="I207" s="51" t="s">
        <v>1708</v>
      </c>
    </row>
    <row r="208" spans="1:9" ht="12.95" customHeight="1" x14ac:dyDescent="0.25">
      <c r="A208" s="50" t="s">
        <v>1871</v>
      </c>
      <c r="B208" s="51" t="s">
        <v>107</v>
      </c>
      <c r="C208" s="51" t="s">
        <v>1634</v>
      </c>
      <c r="D208" s="5" t="s">
        <v>1874</v>
      </c>
      <c r="E208" s="50" t="s">
        <v>1869</v>
      </c>
      <c r="H208" s="50" t="s">
        <v>1869</v>
      </c>
      <c r="I208" s="51" t="s">
        <v>1634</v>
      </c>
    </row>
    <row r="209" spans="4:8" ht="12.95" customHeight="1" x14ac:dyDescent="0.25">
      <c r="D209" s="38"/>
      <c r="E209" s="38"/>
      <c r="H209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00B0F0"/>
  </sheetPr>
  <dimension ref="A1:CE27"/>
  <sheetViews>
    <sheetView zoomScale="60" zoomScaleNormal="60" workbookViewId="0">
      <selection activeCell="A2" sqref="A2"/>
    </sheetView>
  </sheetViews>
  <sheetFormatPr baseColWidth="10" defaultRowHeight="12.75" x14ac:dyDescent="0.2"/>
  <cols>
    <col min="1" max="1" width="28.42578125" style="5" customWidth="1"/>
    <col min="2" max="2" width="14.28515625" style="5" customWidth="1"/>
    <col min="3" max="3" width="5.140625" style="5" customWidth="1"/>
    <col min="4" max="4" width="4.5703125" style="5" bestFit="1" customWidth="1"/>
    <col min="5" max="5" width="6.7109375" style="5" bestFit="1" customWidth="1"/>
    <col min="6" max="6" width="5.5703125" style="5" customWidth="1"/>
    <col min="7" max="8" width="5.85546875" style="5" customWidth="1"/>
    <col min="9" max="38" width="5" style="5" bestFit="1" customWidth="1"/>
    <col min="39" max="42" width="4" style="5" customWidth="1"/>
    <col min="43" max="72" width="5" style="5" bestFit="1" customWidth="1"/>
    <col min="73" max="73" width="6" style="5" customWidth="1"/>
    <col min="74" max="74" width="6.28515625" style="5" customWidth="1"/>
    <col min="75" max="75" width="6.42578125" style="5" customWidth="1"/>
    <col min="76" max="76" width="5.42578125" style="5" customWidth="1"/>
    <col min="77" max="77" width="5" style="5" customWidth="1"/>
    <col min="78" max="16384" width="11.42578125" style="5"/>
  </cols>
  <sheetData>
    <row r="1" spans="1:83" s="6" customFormat="1" ht="91.5" customHeight="1" x14ac:dyDescent="0.25">
      <c r="A1" s="4" t="s">
        <v>104</v>
      </c>
      <c r="B1" s="65" t="s">
        <v>105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</row>
    <row r="2" spans="1:83" s="6" customFormat="1" ht="22.5" customHeight="1" x14ac:dyDescent="0.25">
      <c r="A2" s="4"/>
      <c r="B2" s="13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30"/>
      <c r="BV2" s="30"/>
      <c r="BW2" s="30"/>
      <c r="BX2" s="30"/>
      <c r="BY2" s="7"/>
      <c r="BZ2" s="13"/>
    </row>
    <row r="3" spans="1:83" s="8" customFormat="1" ht="13.5" x14ac:dyDescent="0.25">
      <c r="A3" s="10"/>
      <c r="C3" s="9"/>
      <c r="D3" s="8">
        <v>1</v>
      </c>
      <c r="E3" s="27">
        <v>2</v>
      </c>
      <c r="F3" s="27">
        <v>3</v>
      </c>
      <c r="G3" s="27">
        <v>4</v>
      </c>
      <c r="H3" s="27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13</v>
      </c>
      <c r="Q3" s="8">
        <v>14</v>
      </c>
      <c r="R3" s="8">
        <v>15</v>
      </c>
      <c r="S3" s="8">
        <v>16</v>
      </c>
      <c r="T3" s="8">
        <v>17</v>
      </c>
      <c r="U3" s="8">
        <v>18</v>
      </c>
      <c r="V3" s="8">
        <v>19</v>
      </c>
      <c r="W3" s="8">
        <v>20</v>
      </c>
      <c r="X3" s="8">
        <v>21</v>
      </c>
      <c r="Y3" s="8">
        <v>22</v>
      </c>
      <c r="Z3" s="8">
        <v>23</v>
      </c>
      <c r="AA3" s="8">
        <v>24</v>
      </c>
      <c r="AB3" s="8">
        <v>25</v>
      </c>
      <c r="AC3" s="8">
        <v>26</v>
      </c>
      <c r="AD3" s="8">
        <v>27</v>
      </c>
      <c r="AE3" s="8">
        <v>28</v>
      </c>
      <c r="AF3" s="8">
        <v>29</v>
      </c>
      <c r="AG3" s="8">
        <v>30</v>
      </c>
      <c r="AH3" s="8">
        <v>31</v>
      </c>
      <c r="AI3" s="8">
        <v>32</v>
      </c>
      <c r="AJ3" s="8">
        <v>33</v>
      </c>
      <c r="AK3" s="8">
        <v>34</v>
      </c>
      <c r="AL3" s="8">
        <v>35</v>
      </c>
      <c r="AM3" s="8">
        <v>36</v>
      </c>
      <c r="AN3" s="8">
        <v>37</v>
      </c>
      <c r="AO3" s="8">
        <v>38</v>
      </c>
      <c r="AP3" s="8">
        <v>39</v>
      </c>
      <c r="AQ3" s="8">
        <v>40</v>
      </c>
      <c r="AR3" s="8">
        <v>41</v>
      </c>
      <c r="AS3" s="8">
        <v>42</v>
      </c>
      <c r="AT3" s="8">
        <v>43</v>
      </c>
      <c r="AU3" s="8">
        <v>44</v>
      </c>
      <c r="AV3" s="8">
        <v>45</v>
      </c>
      <c r="AW3" s="8">
        <v>46</v>
      </c>
      <c r="AX3" s="8">
        <v>47</v>
      </c>
      <c r="AY3" s="8">
        <v>48</v>
      </c>
      <c r="AZ3" s="8">
        <v>49</v>
      </c>
      <c r="BA3" s="8">
        <v>50</v>
      </c>
      <c r="BB3" s="8">
        <v>51</v>
      </c>
      <c r="BC3" s="8">
        <v>52</v>
      </c>
      <c r="BD3" s="8">
        <v>53</v>
      </c>
      <c r="BE3" s="8">
        <v>54</v>
      </c>
      <c r="BF3" s="8">
        <v>55</v>
      </c>
      <c r="BG3" s="8">
        <v>56</v>
      </c>
      <c r="BH3" s="8">
        <v>57</v>
      </c>
      <c r="BI3" s="8">
        <v>58</v>
      </c>
      <c r="BJ3" s="8">
        <v>59</v>
      </c>
      <c r="BK3" s="8">
        <v>60</v>
      </c>
      <c r="BL3" s="8">
        <v>61</v>
      </c>
      <c r="BM3" s="8">
        <v>62</v>
      </c>
      <c r="BN3" s="8">
        <v>63</v>
      </c>
      <c r="BO3" s="8">
        <v>64</v>
      </c>
      <c r="BP3" s="8">
        <v>65</v>
      </c>
      <c r="BQ3" s="8">
        <v>66</v>
      </c>
      <c r="BR3" s="8">
        <v>67</v>
      </c>
      <c r="BS3" s="8">
        <v>68</v>
      </c>
      <c r="BT3" s="8">
        <v>69</v>
      </c>
      <c r="BU3" s="27">
        <v>70</v>
      </c>
      <c r="BV3" s="27">
        <v>71</v>
      </c>
      <c r="BW3" s="27">
        <v>72</v>
      </c>
      <c r="BX3" s="27">
        <v>73</v>
      </c>
      <c r="BY3" s="8">
        <v>74</v>
      </c>
    </row>
    <row r="4" spans="1:83" ht="13.5" x14ac:dyDescent="0.25">
      <c r="A4" s="10"/>
      <c r="B4" s="8" t="s">
        <v>1</v>
      </c>
      <c r="C4" s="9">
        <v>1</v>
      </c>
      <c r="D4" s="11" t="s">
        <v>0</v>
      </c>
      <c r="E4" s="28">
        <v>187</v>
      </c>
      <c r="F4" s="28">
        <v>189</v>
      </c>
      <c r="G4" s="28">
        <v>188</v>
      </c>
      <c r="H4" s="28">
        <v>184</v>
      </c>
      <c r="I4" s="12">
        <v>35</v>
      </c>
      <c r="J4" s="12">
        <v>130</v>
      </c>
      <c r="K4" s="12">
        <v>66</v>
      </c>
      <c r="L4" s="12">
        <v>25</v>
      </c>
      <c r="M4" s="12">
        <v>10</v>
      </c>
      <c r="N4" s="12">
        <v>137</v>
      </c>
      <c r="O4" s="12">
        <v>32</v>
      </c>
      <c r="P4" s="12">
        <v>26</v>
      </c>
      <c r="Q4" s="12">
        <v>6</v>
      </c>
      <c r="R4" s="12">
        <v>53</v>
      </c>
      <c r="S4" s="12">
        <v>118</v>
      </c>
      <c r="T4" s="12">
        <v>60</v>
      </c>
      <c r="U4" s="12">
        <v>169</v>
      </c>
      <c r="V4" s="12">
        <v>126</v>
      </c>
      <c r="W4" s="12">
        <v>178</v>
      </c>
      <c r="X4" s="12">
        <v>124</v>
      </c>
      <c r="Y4" s="12">
        <v>122</v>
      </c>
      <c r="Z4" s="12">
        <v>143</v>
      </c>
      <c r="AA4" s="12">
        <v>111</v>
      </c>
      <c r="AB4" s="12">
        <v>180</v>
      </c>
      <c r="AC4" s="12">
        <v>176</v>
      </c>
      <c r="AD4" s="12">
        <v>139</v>
      </c>
      <c r="AE4" s="12">
        <v>65</v>
      </c>
      <c r="AF4" s="12">
        <v>146</v>
      </c>
      <c r="AG4" s="12">
        <v>72</v>
      </c>
      <c r="AH4" s="12">
        <v>129</v>
      </c>
      <c r="AI4" s="12">
        <v>105</v>
      </c>
      <c r="AJ4" s="12">
        <v>12</v>
      </c>
      <c r="AK4" s="12">
        <v>36</v>
      </c>
      <c r="AL4" s="12">
        <v>82</v>
      </c>
      <c r="AM4" s="11" t="s">
        <v>0</v>
      </c>
      <c r="AN4" s="11" t="s">
        <v>0</v>
      </c>
      <c r="AO4" s="11" t="s">
        <v>0</v>
      </c>
      <c r="AP4" s="11" t="s">
        <v>0</v>
      </c>
      <c r="AQ4" s="12">
        <v>84</v>
      </c>
      <c r="AR4" s="12">
        <v>133</v>
      </c>
      <c r="AS4" s="12">
        <v>107</v>
      </c>
      <c r="AT4" s="12">
        <v>114</v>
      </c>
      <c r="AU4" s="12">
        <v>106</v>
      </c>
      <c r="AV4" s="12">
        <v>16</v>
      </c>
      <c r="AW4" s="12">
        <v>139</v>
      </c>
      <c r="AX4" s="12">
        <v>87</v>
      </c>
      <c r="AY4" s="12">
        <v>128</v>
      </c>
      <c r="AZ4" s="12">
        <v>45</v>
      </c>
      <c r="BA4" s="12">
        <v>102</v>
      </c>
      <c r="BB4" s="12">
        <v>179</v>
      </c>
      <c r="BC4" s="12">
        <v>138</v>
      </c>
      <c r="BD4" s="12">
        <v>98</v>
      </c>
      <c r="BE4" s="12">
        <v>76</v>
      </c>
      <c r="BF4" s="12">
        <v>69</v>
      </c>
      <c r="BG4" s="12">
        <v>85</v>
      </c>
      <c r="BH4" s="12">
        <v>35</v>
      </c>
      <c r="BI4" s="12">
        <v>166</v>
      </c>
      <c r="BJ4" s="12">
        <v>18</v>
      </c>
      <c r="BK4" s="12">
        <v>57</v>
      </c>
      <c r="BL4" s="12">
        <v>119</v>
      </c>
      <c r="BM4" s="12">
        <v>44</v>
      </c>
      <c r="BN4" s="12">
        <v>48</v>
      </c>
      <c r="BO4" s="12">
        <v>30</v>
      </c>
      <c r="BP4" s="12">
        <v>7</v>
      </c>
      <c r="BQ4" s="12">
        <v>170</v>
      </c>
      <c r="BR4" s="12">
        <v>104</v>
      </c>
      <c r="BS4" s="12">
        <v>59</v>
      </c>
      <c r="BT4" s="12">
        <v>163</v>
      </c>
      <c r="BU4" s="28">
        <v>198</v>
      </c>
      <c r="BV4" s="28">
        <v>200</v>
      </c>
      <c r="BW4" s="28">
        <v>181</v>
      </c>
      <c r="BX4" s="28">
        <v>188</v>
      </c>
      <c r="BY4" s="11" t="s">
        <v>0</v>
      </c>
      <c r="BZ4" s="8" t="s">
        <v>1</v>
      </c>
    </row>
    <row r="5" spans="1:83" ht="13.5" x14ac:dyDescent="0.25">
      <c r="A5" s="10"/>
      <c r="B5" s="8" t="s">
        <v>7</v>
      </c>
      <c r="C5" s="9">
        <v>2</v>
      </c>
      <c r="D5" s="11" t="s">
        <v>106</v>
      </c>
      <c r="E5" s="28">
        <v>182</v>
      </c>
      <c r="F5" s="28">
        <v>195</v>
      </c>
      <c r="G5" s="28">
        <v>198</v>
      </c>
      <c r="H5" s="28">
        <v>191</v>
      </c>
      <c r="I5" s="12">
        <v>172</v>
      </c>
      <c r="J5" s="12">
        <v>140</v>
      </c>
      <c r="K5" s="12">
        <v>13</v>
      </c>
      <c r="L5" s="12">
        <v>79</v>
      </c>
      <c r="M5" s="12">
        <v>84</v>
      </c>
      <c r="N5" s="12">
        <v>41</v>
      </c>
      <c r="O5" s="12">
        <v>2</v>
      </c>
      <c r="P5" s="12">
        <v>114</v>
      </c>
      <c r="Q5" s="12">
        <v>117</v>
      </c>
      <c r="R5" s="12">
        <v>50</v>
      </c>
      <c r="S5" s="12">
        <v>91</v>
      </c>
      <c r="T5" s="12">
        <v>177</v>
      </c>
      <c r="U5" s="12">
        <v>93</v>
      </c>
      <c r="V5" s="12">
        <v>162</v>
      </c>
      <c r="W5" s="12">
        <v>98</v>
      </c>
      <c r="X5" s="12">
        <v>20</v>
      </c>
      <c r="Y5" s="12">
        <v>80</v>
      </c>
      <c r="Z5" s="12">
        <v>152</v>
      </c>
      <c r="AA5" s="12">
        <v>47</v>
      </c>
      <c r="AB5" s="12">
        <v>14</v>
      </c>
      <c r="AC5" s="12">
        <v>109</v>
      </c>
      <c r="AD5" s="12">
        <v>9</v>
      </c>
      <c r="AE5" s="12">
        <v>167</v>
      </c>
      <c r="AF5" s="12">
        <v>103</v>
      </c>
      <c r="AG5" s="12">
        <v>133</v>
      </c>
      <c r="AH5" s="12">
        <v>179</v>
      </c>
      <c r="AI5" s="12">
        <v>55</v>
      </c>
      <c r="AJ5" s="12">
        <v>163</v>
      </c>
      <c r="AK5" s="12">
        <v>74</v>
      </c>
      <c r="AL5" s="12">
        <v>89</v>
      </c>
      <c r="AM5" s="11" t="s">
        <v>0</v>
      </c>
      <c r="AN5" s="11" t="s">
        <v>0</v>
      </c>
      <c r="AO5" s="11" t="s">
        <v>0</v>
      </c>
      <c r="AP5" s="11" t="s">
        <v>0</v>
      </c>
      <c r="AQ5" s="12">
        <v>172</v>
      </c>
      <c r="AR5" s="12">
        <v>148</v>
      </c>
      <c r="AS5" s="12">
        <v>21</v>
      </c>
      <c r="AT5" s="12">
        <v>36</v>
      </c>
      <c r="AU5" s="12">
        <v>29</v>
      </c>
      <c r="AV5" s="12">
        <v>169</v>
      </c>
      <c r="AW5" s="12">
        <v>167</v>
      </c>
      <c r="AX5" s="12">
        <v>49</v>
      </c>
      <c r="AY5" s="12">
        <v>20</v>
      </c>
      <c r="AZ5" s="12">
        <v>142</v>
      </c>
      <c r="BA5" s="12">
        <v>157</v>
      </c>
      <c r="BB5" s="12">
        <v>152</v>
      </c>
      <c r="BC5" s="12">
        <v>134</v>
      </c>
      <c r="BD5" s="12">
        <v>6</v>
      </c>
      <c r="BE5" s="12">
        <v>63</v>
      </c>
      <c r="BF5" s="12">
        <v>144</v>
      </c>
      <c r="BG5" s="12">
        <v>116</v>
      </c>
      <c r="BH5" s="12">
        <v>83</v>
      </c>
      <c r="BI5" s="12">
        <v>91</v>
      </c>
      <c r="BJ5" s="12">
        <v>11</v>
      </c>
      <c r="BK5" s="12">
        <v>141</v>
      </c>
      <c r="BL5" s="12">
        <v>153</v>
      </c>
      <c r="BM5" s="12">
        <v>64</v>
      </c>
      <c r="BN5" s="12">
        <v>120</v>
      </c>
      <c r="BO5" s="12">
        <v>24</v>
      </c>
      <c r="BP5" s="12">
        <v>52</v>
      </c>
      <c r="BQ5" s="12">
        <v>14</v>
      </c>
      <c r="BR5" s="12">
        <v>58</v>
      </c>
      <c r="BS5" s="12">
        <v>108</v>
      </c>
      <c r="BT5" s="12">
        <v>168</v>
      </c>
      <c r="BU5" s="28">
        <v>196</v>
      </c>
      <c r="BV5" s="28" t="s">
        <v>106</v>
      </c>
      <c r="BW5" s="28">
        <v>197</v>
      </c>
      <c r="BX5" s="28">
        <v>195</v>
      </c>
      <c r="BY5" s="11" t="s">
        <v>106</v>
      </c>
      <c r="BZ5" s="8" t="s">
        <v>10</v>
      </c>
    </row>
    <row r="6" spans="1:83" ht="13.5" x14ac:dyDescent="0.25">
      <c r="A6" s="10"/>
      <c r="B6" s="8"/>
      <c r="C6" s="9">
        <v>3</v>
      </c>
      <c r="D6" s="11" t="s">
        <v>107</v>
      </c>
      <c r="E6" s="28">
        <v>186</v>
      </c>
      <c r="F6" s="28">
        <v>192</v>
      </c>
      <c r="G6" s="28" t="s">
        <v>106</v>
      </c>
      <c r="H6" s="28">
        <v>190</v>
      </c>
      <c r="I6" s="12">
        <v>112</v>
      </c>
      <c r="J6" s="12">
        <v>136</v>
      </c>
      <c r="K6" s="12">
        <v>135</v>
      </c>
      <c r="L6" s="12">
        <v>5</v>
      </c>
      <c r="M6" s="12">
        <v>46</v>
      </c>
      <c r="N6" s="12">
        <v>157</v>
      </c>
      <c r="O6" s="12">
        <v>145</v>
      </c>
      <c r="P6" s="12">
        <v>175</v>
      </c>
      <c r="Q6" s="12">
        <v>45</v>
      </c>
      <c r="R6" s="12">
        <v>69</v>
      </c>
      <c r="S6" s="12">
        <v>158</v>
      </c>
      <c r="T6" s="12">
        <v>22</v>
      </c>
      <c r="U6" s="12">
        <v>153</v>
      </c>
      <c r="V6" s="12">
        <v>149</v>
      </c>
      <c r="W6" s="12">
        <v>141</v>
      </c>
      <c r="X6" s="12">
        <v>34</v>
      </c>
      <c r="Y6" s="12">
        <v>120</v>
      </c>
      <c r="Z6" s="12">
        <v>17</v>
      </c>
      <c r="AA6" s="12">
        <v>71</v>
      </c>
      <c r="AB6" s="12">
        <v>44</v>
      </c>
      <c r="AC6" s="12">
        <v>115</v>
      </c>
      <c r="AD6" s="12">
        <v>43</v>
      </c>
      <c r="AE6" s="12">
        <v>78</v>
      </c>
      <c r="AF6" s="12">
        <v>75</v>
      </c>
      <c r="AG6" s="12">
        <v>102</v>
      </c>
      <c r="AH6" s="12">
        <v>49</v>
      </c>
      <c r="AI6" s="12">
        <v>85</v>
      </c>
      <c r="AJ6" s="12">
        <v>101</v>
      </c>
      <c r="AK6" s="12">
        <v>174</v>
      </c>
      <c r="AL6" s="12">
        <v>38</v>
      </c>
      <c r="AM6" s="11" t="s">
        <v>0</v>
      </c>
      <c r="AN6" s="11" t="s">
        <v>0</v>
      </c>
      <c r="AO6" s="11" t="s">
        <v>0</v>
      </c>
      <c r="AP6" s="11" t="s">
        <v>0</v>
      </c>
      <c r="AQ6" s="12">
        <v>60</v>
      </c>
      <c r="AR6" s="12">
        <v>137</v>
      </c>
      <c r="AS6" s="12">
        <v>75</v>
      </c>
      <c r="AT6" s="12">
        <v>110</v>
      </c>
      <c r="AU6" s="12">
        <v>90</v>
      </c>
      <c r="AV6" s="12">
        <v>155</v>
      </c>
      <c r="AW6" s="12">
        <v>38</v>
      </c>
      <c r="AX6" s="12">
        <v>171</v>
      </c>
      <c r="AY6" s="12">
        <v>8</v>
      </c>
      <c r="AZ6" s="12">
        <v>173</v>
      </c>
      <c r="BA6" s="12">
        <v>178</v>
      </c>
      <c r="BB6" s="12">
        <v>105</v>
      </c>
      <c r="BC6" s="12">
        <v>43</v>
      </c>
      <c r="BD6" s="12">
        <v>88</v>
      </c>
      <c r="BE6" s="12">
        <v>9</v>
      </c>
      <c r="BF6" s="12">
        <v>97</v>
      </c>
      <c r="BG6" s="12">
        <v>95</v>
      </c>
      <c r="BH6" s="12">
        <v>101</v>
      </c>
      <c r="BI6" s="12">
        <v>70</v>
      </c>
      <c r="BJ6" s="12">
        <v>37</v>
      </c>
      <c r="BK6" s="12">
        <v>68</v>
      </c>
      <c r="BL6" s="12">
        <v>177</v>
      </c>
      <c r="BM6" s="12">
        <v>164</v>
      </c>
      <c r="BN6" s="12">
        <v>79</v>
      </c>
      <c r="BO6" s="12">
        <v>65</v>
      </c>
      <c r="BP6" s="12">
        <v>33</v>
      </c>
      <c r="BQ6" s="12">
        <v>150</v>
      </c>
      <c r="BR6" s="12">
        <v>145</v>
      </c>
      <c r="BS6" s="12">
        <v>132</v>
      </c>
      <c r="BT6" s="12">
        <v>122</v>
      </c>
      <c r="BU6" s="28">
        <v>186</v>
      </c>
      <c r="BV6" s="28">
        <v>201</v>
      </c>
      <c r="BW6" s="28">
        <v>192</v>
      </c>
      <c r="BX6" s="28">
        <v>187</v>
      </c>
      <c r="BY6" s="11" t="s">
        <v>107</v>
      </c>
      <c r="BZ6" s="8"/>
    </row>
    <row r="7" spans="1:83" ht="13.5" x14ac:dyDescent="0.25">
      <c r="A7" s="10"/>
      <c r="B7" s="8"/>
      <c r="C7" s="9">
        <v>4</v>
      </c>
      <c r="D7" s="11" t="s">
        <v>106</v>
      </c>
      <c r="E7" s="28">
        <v>193</v>
      </c>
      <c r="F7" s="28">
        <v>201</v>
      </c>
      <c r="G7" s="28">
        <v>197</v>
      </c>
      <c r="H7" s="28">
        <v>200</v>
      </c>
      <c r="I7" s="12">
        <v>107</v>
      </c>
      <c r="J7" s="12">
        <v>108</v>
      </c>
      <c r="K7" s="12">
        <v>94</v>
      </c>
      <c r="L7" s="12">
        <v>165</v>
      </c>
      <c r="M7" s="12">
        <v>166</v>
      </c>
      <c r="N7" s="12">
        <v>160</v>
      </c>
      <c r="O7" s="12">
        <v>64</v>
      </c>
      <c r="P7" s="12">
        <v>104</v>
      </c>
      <c r="Q7" s="12">
        <v>33</v>
      </c>
      <c r="R7" s="12">
        <v>148</v>
      </c>
      <c r="S7" s="12">
        <v>7</v>
      </c>
      <c r="T7" s="12">
        <v>119</v>
      </c>
      <c r="U7" s="12">
        <v>1</v>
      </c>
      <c r="V7" s="12">
        <v>97</v>
      </c>
      <c r="W7" s="12">
        <v>24</v>
      </c>
      <c r="X7" s="12">
        <v>142</v>
      </c>
      <c r="Y7" s="12">
        <v>16</v>
      </c>
      <c r="Z7" s="12">
        <v>52</v>
      </c>
      <c r="AA7" s="12">
        <v>154</v>
      </c>
      <c r="AB7" s="12">
        <v>156</v>
      </c>
      <c r="AC7" s="12">
        <v>121</v>
      </c>
      <c r="AD7" s="12">
        <v>29</v>
      </c>
      <c r="AE7" s="12">
        <v>21</v>
      </c>
      <c r="AF7" s="12">
        <v>99</v>
      </c>
      <c r="AG7" s="12">
        <v>18</v>
      </c>
      <c r="AH7" s="12">
        <v>40</v>
      </c>
      <c r="AI7" s="12">
        <v>3</v>
      </c>
      <c r="AJ7" s="12">
        <v>171</v>
      </c>
      <c r="AK7" s="12">
        <v>132</v>
      </c>
      <c r="AL7" s="12">
        <v>30</v>
      </c>
      <c r="AM7" s="11" t="s">
        <v>0</v>
      </c>
      <c r="AN7" s="11" t="s">
        <v>0</v>
      </c>
      <c r="AO7" s="11" t="s">
        <v>0</v>
      </c>
      <c r="AP7" s="11" t="s">
        <v>0</v>
      </c>
      <c r="AQ7" s="12">
        <v>129</v>
      </c>
      <c r="AR7" s="12">
        <v>78</v>
      </c>
      <c r="AS7" s="12">
        <v>73</v>
      </c>
      <c r="AT7" s="12">
        <v>126</v>
      </c>
      <c r="AU7" s="12">
        <v>27</v>
      </c>
      <c r="AV7" s="12">
        <v>39</v>
      </c>
      <c r="AW7" s="12">
        <v>46</v>
      </c>
      <c r="AX7" s="12">
        <v>26</v>
      </c>
      <c r="AY7" s="12">
        <v>72</v>
      </c>
      <c r="AZ7" s="12">
        <v>12</v>
      </c>
      <c r="BA7" s="12">
        <v>175</v>
      </c>
      <c r="BB7" s="12">
        <v>55</v>
      </c>
      <c r="BC7" s="12">
        <v>94</v>
      </c>
      <c r="BD7" s="12">
        <v>147</v>
      </c>
      <c r="BE7" s="12">
        <v>125</v>
      </c>
      <c r="BF7" s="12">
        <v>135</v>
      </c>
      <c r="BG7" s="12">
        <v>81</v>
      </c>
      <c r="BH7" s="12">
        <v>159</v>
      </c>
      <c r="BI7" s="12">
        <v>103</v>
      </c>
      <c r="BJ7" s="12">
        <v>162</v>
      </c>
      <c r="BK7" s="12">
        <v>93</v>
      </c>
      <c r="BL7" s="12">
        <v>22</v>
      </c>
      <c r="BM7" s="12">
        <v>4</v>
      </c>
      <c r="BN7" s="12">
        <v>123</v>
      </c>
      <c r="BO7" s="12">
        <v>149</v>
      </c>
      <c r="BP7" s="12">
        <v>2</v>
      </c>
      <c r="BQ7" s="12">
        <v>118</v>
      </c>
      <c r="BR7" s="12">
        <v>67</v>
      </c>
      <c r="BS7" s="12">
        <v>158</v>
      </c>
      <c r="BT7" s="12">
        <v>127</v>
      </c>
      <c r="BU7" s="28">
        <v>194</v>
      </c>
      <c r="BV7" s="28">
        <v>191</v>
      </c>
      <c r="BW7" s="28">
        <v>202</v>
      </c>
      <c r="BX7" s="28">
        <v>203</v>
      </c>
      <c r="BY7" s="11" t="s">
        <v>106</v>
      </c>
      <c r="BZ7" s="8"/>
    </row>
    <row r="8" spans="1:83" ht="13.5" x14ac:dyDescent="0.25">
      <c r="A8" s="10"/>
      <c r="B8" s="8"/>
      <c r="C8" s="9">
        <v>5</v>
      </c>
      <c r="D8" s="11" t="s">
        <v>107</v>
      </c>
      <c r="E8" s="28">
        <v>194</v>
      </c>
      <c r="F8" s="28">
        <v>181</v>
      </c>
      <c r="G8" s="28">
        <v>203</v>
      </c>
      <c r="H8" s="28">
        <v>199</v>
      </c>
      <c r="I8" s="12">
        <v>100</v>
      </c>
      <c r="J8" s="12">
        <v>173</v>
      </c>
      <c r="K8" s="12">
        <v>56</v>
      </c>
      <c r="L8" s="12">
        <v>138</v>
      </c>
      <c r="M8" s="12">
        <v>128</v>
      </c>
      <c r="N8" s="12">
        <v>83</v>
      </c>
      <c r="O8" s="12">
        <v>134</v>
      </c>
      <c r="P8" s="12">
        <v>106</v>
      </c>
      <c r="Q8" s="12">
        <v>8</v>
      </c>
      <c r="R8" s="12">
        <v>88</v>
      </c>
      <c r="S8" s="12">
        <v>73</v>
      </c>
      <c r="T8" s="12">
        <v>59</v>
      </c>
      <c r="U8" s="12">
        <v>116</v>
      </c>
      <c r="V8" s="12">
        <v>113</v>
      </c>
      <c r="W8" s="12">
        <v>96</v>
      </c>
      <c r="X8" s="12">
        <v>110</v>
      </c>
      <c r="Y8" s="12">
        <v>161</v>
      </c>
      <c r="Z8" s="12">
        <v>76</v>
      </c>
      <c r="AA8" s="12">
        <v>57</v>
      </c>
      <c r="AB8" s="12">
        <v>123</v>
      </c>
      <c r="AC8" s="12">
        <v>63</v>
      </c>
      <c r="AD8" s="12">
        <v>70</v>
      </c>
      <c r="AE8" s="12">
        <v>170</v>
      </c>
      <c r="AF8" s="12">
        <v>86</v>
      </c>
      <c r="AG8" s="12">
        <v>159</v>
      </c>
      <c r="AH8" s="12">
        <v>62</v>
      </c>
      <c r="AI8" s="12">
        <v>15</v>
      </c>
      <c r="AJ8" s="12">
        <v>168</v>
      </c>
      <c r="AK8" s="12">
        <v>127</v>
      </c>
      <c r="AL8" s="12">
        <v>77</v>
      </c>
      <c r="AM8" s="11" t="s">
        <v>0</v>
      </c>
      <c r="AN8" s="11" t="s">
        <v>0</v>
      </c>
      <c r="AO8" s="11" t="s">
        <v>0</v>
      </c>
      <c r="AP8" s="11" t="s">
        <v>0</v>
      </c>
      <c r="AQ8" s="12">
        <v>51</v>
      </c>
      <c r="AR8" s="12">
        <v>34</v>
      </c>
      <c r="AS8" s="12">
        <v>32</v>
      </c>
      <c r="AT8" s="12">
        <v>47</v>
      </c>
      <c r="AU8" s="12">
        <v>62</v>
      </c>
      <c r="AV8" s="12">
        <v>109</v>
      </c>
      <c r="AW8" s="12">
        <v>10</v>
      </c>
      <c r="AX8" s="12">
        <v>54</v>
      </c>
      <c r="AY8" s="12">
        <v>100</v>
      </c>
      <c r="AZ8" s="12">
        <v>156</v>
      </c>
      <c r="BA8" s="12">
        <v>151</v>
      </c>
      <c r="BB8" s="12">
        <v>161</v>
      </c>
      <c r="BC8" s="12">
        <v>40</v>
      </c>
      <c r="BD8" s="12">
        <v>117</v>
      </c>
      <c r="BE8" s="12">
        <v>61</v>
      </c>
      <c r="BF8" s="12">
        <v>77</v>
      </c>
      <c r="BG8" s="12">
        <v>42</v>
      </c>
      <c r="BH8" s="12">
        <v>113</v>
      </c>
      <c r="BI8" s="12">
        <v>180</v>
      </c>
      <c r="BJ8" s="12">
        <v>111</v>
      </c>
      <c r="BK8" s="12">
        <v>1</v>
      </c>
      <c r="BL8" s="12">
        <v>176</v>
      </c>
      <c r="BM8" s="12">
        <v>3</v>
      </c>
      <c r="BN8" s="12">
        <v>25</v>
      </c>
      <c r="BO8" s="12">
        <v>140</v>
      </c>
      <c r="BP8" s="12">
        <v>96</v>
      </c>
      <c r="BQ8" s="12">
        <v>31</v>
      </c>
      <c r="BR8" s="12">
        <v>56</v>
      </c>
      <c r="BS8" s="12">
        <v>89</v>
      </c>
      <c r="BT8" s="12">
        <v>115</v>
      </c>
      <c r="BU8" s="28">
        <v>199</v>
      </c>
      <c r="BV8" s="28">
        <v>189</v>
      </c>
      <c r="BW8" s="28">
        <v>185</v>
      </c>
      <c r="BX8" s="28">
        <v>190</v>
      </c>
      <c r="BY8" s="11" t="s">
        <v>107</v>
      </c>
      <c r="BZ8" s="8"/>
      <c r="CE8" s="5" t="s">
        <v>108</v>
      </c>
    </row>
    <row r="9" spans="1:83" ht="13.5" x14ac:dyDescent="0.25">
      <c r="A9" s="10"/>
      <c r="B9" s="8"/>
      <c r="C9" s="9">
        <v>6</v>
      </c>
      <c r="D9" s="11" t="s">
        <v>0</v>
      </c>
      <c r="E9" s="28">
        <v>183</v>
      </c>
      <c r="F9" s="28">
        <v>185</v>
      </c>
      <c r="G9" s="28">
        <v>196</v>
      </c>
      <c r="H9" s="28">
        <v>202</v>
      </c>
      <c r="I9" s="12">
        <v>150</v>
      </c>
      <c r="J9" s="12">
        <v>95</v>
      </c>
      <c r="K9" s="12">
        <v>27</v>
      </c>
      <c r="L9" s="12">
        <v>19</v>
      </c>
      <c r="M9" s="12">
        <v>131</v>
      </c>
      <c r="N9" s="12">
        <v>23</v>
      </c>
      <c r="O9" s="12">
        <v>37</v>
      </c>
      <c r="P9" s="12">
        <v>61</v>
      </c>
      <c r="Q9" s="12">
        <v>42</v>
      </c>
      <c r="R9" s="12">
        <v>31</v>
      </c>
      <c r="S9" s="12">
        <v>4</v>
      </c>
      <c r="T9" s="12">
        <v>11</v>
      </c>
      <c r="U9" s="12">
        <v>81</v>
      </c>
      <c r="V9" s="12">
        <v>28</v>
      </c>
      <c r="W9" s="12">
        <v>151</v>
      </c>
      <c r="X9" s="12">
        <v>92</v>
      </c>
      <c r="Y9" s="12">
        <v>67</v>
      </c>
      <c r="Z9" s="12">
        <v>58</v>
      </c>
      <c r="AA9" s="12">
        <v>164</v>
      </c>
      <c r="AB9" s="12">
        <v>39</v>
      </c>
      <c r="AC9" s="12">
        <v>147</v>
      </c>
      <c r="AD9" s="12">
        <v>68</v>
      </c>
      <c r="AE9" s="12">
        <v>155</v>
      </c>
      <c r="AF9" s="12">
        <v>48</v>
      </c>
      <c r="AG9" s="12">
        <v>125</v>
      </c>
      <c r="AH9" s="12">
        <v>90</v>
      </c>
      <c r="AI9" s="12">
        <v>87</v>
      </c>
      <c r="AJ9" s="12">
        <v>54</v>
      </c>
      <c r="AK9" s="12">
        <v>144</v>
      </c>
      <c r="AL9" s="12">
        <v>51</v>
      </c>
      <c r="AM9" s="11" t="s">
        <v>0</v>
      </c>
      <c r="AN9" s="11" t="s">
        <v>0</v>
      </c>
      <c r="AO9" s="11" t="s">
        <v>0</v>
      </c>
      <c r="AP9" s="11" t="s">
        <v>0</v>
      </c>
      <c r="AQ9" s="12">
        <v>136</v>
      </c>
      <c r="AR9" s="12">
        <v>23</v>
      </c>
      <c r="AS9" s="12">
        <v>130</v>
      </c>
      <c r="AT9" s="12">
        <v>146</v>
      </c>
      <c r="AU9" s="12">
        <v>15</v>
      </c>
      <c r="AV9" s="12">
        <v>160</v>
      </c>
      <c r="AW9" s="12">
        <v>143</v>
      </c>
      <c r="AX9" s="12">
        <v>121</v>
      </c>
      <c r="AY9" s="12">
        <v>71</v>
      </c>
      <c r="AZ9" s="12">
        <v>82</v>
      </c>
      <c r="BA9" s="12">
        <v>124</v>
      </c>
      <c r="BB9" s="12">
        <v>131</v>
      </c>
      <c r="BC9" s="12">
        <v>41</v>
      </c>
      <c r="BD9" s="12">
        <v>17</v>
      </c>
      <c r="BE9" s="12">
        <v>99</v>
      </c>
      <c r="BF9" s="12">
        <v>86</v>
      </c>
      <c r="BG9" s="12">
        <v>112</v>
      </c>
      <c r="BH9" s="12">
        <v>174</v>
      </c>
      <c r="BI9" s="12">
        <v>19</v>
      </c>
      <c r="BJ9" s="12">
        <v>74</v>
      </c>
      <c r="BK9" s="12">
        <v>154</v>
      </c>
      <c r="BL9" s="12">
        <v>165</v>
      </c>
      <c r="BM9" s="12">
        <v>28</v>
      </c>
      <c r="BN9" s="12">
        <v>5</v>
      </c>
      <c r="BO9" s="12">
        <v>92</v>
      </c>
      <c r="BP9" s="12">
        <v>53</v>
      </c>
      <c r="BQ9" s="12">
        <v>13</v>
      </c>
      <c r="BR9" s="12">
        <v>66</v>
      </c>
      <c r="BS9" s="12">
        <v>80</v>
      </c>
      <c r="BT9" s="12">
        <v>50</v>
      </c>
      <c r="BU9" s="28">
        <v>193</v>
      </c>
      <c r="BV9" s="28">
        <v>184</v>
      </c>
      <c r="BW9" s="28">
        <v>182</v>
      </c>
      <c r="BX9" s="28">
        <v>183</v>
      </c>
      <c r="BY9" s="11" t="s">
        <v>0</v>
      </c>
      <c r="BZ9" s="8"/>
    </row>
    <row r="10" spans="1:83" x14ac:dyDescent="0.2">
      <c r="A10" s="10"/>
      <c r="B10" s="8"/>
      <c r="E10" s="27"/>
      <c r="F10" s="27"/>
      <c r="G10" s="27"/>
      <c r="H10" s="27"/>
      <c r="BU10" s="27"/>
      <c r="BV10" s="27"/>
      <c r="BW10" s="27"/>
      <c r="BX10" s="27"/>
      <c r="BZ10" s="8"/>
    </row>
    <row r="11" spans="1:83" ht="13.5" x14ac:dyDescent="0.25">
      <c r="A11" s="10"/>
      <c r="B11" s="8" t="s">
        <v>2</v>
      </c>
      <c r="C11" s="9">
        <v>7</v>
      </c>
      <c r="D11" s="11" t="s">
        <v>0</v>
      </c>
      <c r="E11" s="28">
        <v>188</v>
      </c>
      <c r="F11" s="28">
        <v>190</v>
      </c>
      <c r="G11" s="28">
        <v>195</v>
      </c>
      <c r="H11" s="28">
        <v>193</v>
      </c>
      <c r="I11" s="12">
        <v>21</v>
      </c>
      <c r="J11" s="12">
        <v>91</v>
      </c>
      <c r="K11" s="12">
        <v>85</v>
      </c>
      <c r="L11" s="12">
        <v>18</v>
      </c>
      <c r="M11" s="12">
        <v>103</v>
      </c>
      <c r="N11" s="12">
        <v>82</v>
      </c>
      <c r="O11" s="12">
        <v>28</v>
      </c>
      <c r="P11" s="12">
        <v>58</v>
      </c>
      <c r="Q11" s="12">
        <v>62</v>
      </c>
      <c r="R11" s="12">
        <v>57</v>
      </c>
      <c r="S11" s="12">
        <v>166</v>
      </c>
      <c r="T11" s="12">
        <v>32</v>
      </c>
      <c r="U11" s="12">
        <v>83</v>
      </c>
      <c r="V11" s="12">
        <v>88</v>
      </c>
      <c r="W11" s="12">
        <v>12</v>
      </c>
      <c r="X11" s="12">
        <v>13</v>
      </c>
      <c r="Y11" s="12">
        <v>68</v>
      </c>
      <c r="Z11" s="12">
        <v>165</v>
      </c>
      <c r="AA11" s="12">
        <v>99</v>
      </c>
      <c r="AB11" s="12">
        <v>147</v>
      </c>
      <c r="AC11" s="12">
        <v>96</v>
      </c>
      <c r="AD11" s="12">
        <v>175</v>
      </c>
      <c r="AE11" s="12">
        <v>128</v>
      </c>
      <c r="AF11" s="12">
        <v>14</v>
      </c>
      <c r="AG11" s="12">
        <v>107</v>
      </c>
      <c r="AH11" s="12">
        <v>122</v>
      </c>
      <c r="AI11" s="12">
        <v>34</v>
      </c>
      <c r="AJ11" s="12">
        <v>130</v>
      </c>
      <c r="AK11" s="12">
        <v>22</v>
      </c>
      <c r="AL11" s="12">
        <v>81</v>
      </c>
      <c r="AM11" s="11" t="s">
        <v>0</v>
      </c>
      <c r="AN11" s="11" t="s">
        <v>0</v>
      </c>
      <c r="AO11" s="11" t="s">
        <v>0</v>
      </c>
      <c r="AP11" s="11" t="s">
        <v>0</v>
      </c>
      <c r="AQ11" s="12">
        <v>3</v>
      </c>
      <c r="AR11" s="12">
        <v>30</v>
      </c>
      <c r="AS11" s="12">
        <v>174</v>
      </c>
      <c r="AT11" s="12">
        <v>55</v>
      </c>
      <c r="AU11" s="12">
        <v>81</v>
      </c>
      <c r="AV11" s="12">
        <v>18</v>
      </c>
      <c r="AW11" s="12">
        <v>56</v>
      </c>
      <c r="AX11" s="12">
        <v>170</v>
      </c>
      <c r="AY11" s="12">
        <v>9</v>
      </c>
      <c r="AZ11" s="12">
        <v>153</v>
      </c>
      <c r="BA11" s="12">
        <v>16</v>
      </c>
      <c r="BB11" s="12">
        <v>89</v>
      </c>
      <c r="BC11" s="12">
        <v>21</v>
      </c>
      <c r="BD11" s="12">
        <v>22</v>
      </c>
      <c r="BE11" s="12">
        <v>168</v>
      </c>
      <c r="BF11" s="12">
        <v>141</v>
      </c>
      <c r="BG11" s="12">
        <v>71</v>
      </c>
      <c r="BH11" s="12">
        <v>33</v>
      </c>
      <c r="BI11" s="12">
        <v>123</v>
      </c>
      <c r="BJ11" s="12">
        <v>84</v>
      </c>
      <c r="BK11" s="12">
        <v>42</v>
      </c>
      <c r="BL11" s="12">
        <v>148</v>
      </c>
      <c r="BM11" s="12">
        <v>167</v>
      </c>
      <c r="BN11" s="12">
        <v>54</v>
      </c>
      <c r="BO11" s="12">
        <v>166</v>
      </c>
      <c r="BP11" s="12">
        <v>41</v>
      </c>
      <c r="BQ11" s="12">
        <v>86</v>
      </c>
      <c r="BR11" s="12">
        <v>90</v>
      </c>
      <c r="BS11" s="12">
        <v>156</v>
      </c>
      <c r="BT11" s="12">
        <v>146</v>
      </c>
      <c r="BU11" s="28" t="s">
        <v>106</v>
      </c>
      <c r="BV11" s="28">
        <v>203</v>
      </c>
      <c r="BW11" s="28">
        <v>199</v>
      </c>
      <c r="BX11" s="28">
        <v>200</v>
      </c>
      <c r="BY11" s="11" t="s">
        <v>0</v>
      </c>
      <c r="BZ11" s="8" t="s">
        <v>2</v>
      </c>
    </row>
    <row r="12" spans="1:83" ht="13.5" x14ac:dyDescent="0.25">
      <c r="A12" s="10"/>
      <c r="B12" s="8" t="s">
        <v>10</v>
      </c>
      <c r="C12" s="9">
        <v>8</v>
      </c>
      <c r="D12" s="11" t="s">
        <v>106</v>
      </c>
      <c r="E12" s="28">
        <v>201</v>
      </c>
      <c r="F12" s="28">
        <v>182</v>
      </c>
      <c r="G12" s="28">
        <v>196</v>
      </c>
      <c r="H12" s="28">
        <v>199</v>
      </c>
      <c r="I12" s="12">
        <v>161</v>
      </c>
      <c r="J12" s="12">
        <v>15</v>
      </c>
      <c r="K12" s="12">
        <v>111</v>
      </c>
      <c r="L12" s="12">
        <v>118</v>
      </c>
      <c r="M12" s="12">
        <v>52</v>
      </c>
      <c r="N12" s="12">
        <v>151</v>
      </c>
      <c r="O12" s="12">
        <v>127</v>
      </c>
      <c r="P12" s="12">
        <v>102</v>
      </c>
      <c r="Q12" s="12">
        <v>153</v>
      </c>
      <c r="R12" s="12">
        <v>115</v>
      </c>
      <c r="S12" s="12">
        <v>54</v>
      </c>
      <c r="T12" s="12">
        <v>51</v>
      </c>
      <c r="U12" s="12">
        <v>45</v>
      </c>
      <c r="V12" s="12">
        <v>35</v>
      </c>
      <c r="W12" s="12">
        <v>148</v>
      </c>
      <c r="X12" s="12">
        <v>139</v>
      </c>
      <c r="Y12" s="12">
        <v>135</v>
      </c>
      <c r="Z12" s="12">
        <v>78</v>
      </c>
      <c r="AA12" s="12">
        <v>90</v>
      </c>
      <c r="AB12" s="12">
        <v>86</v>
      </c>
      <c r="AC12" s="12">
        <v>94</v>
      </c>
      <c r="AD12" s="12">
        <v>117</v>
      </c>
      <c r="AE12" s="12">
        <v>156</v>
      </c>
      <c r="AF12" s="12">
        <v>97</v>
      </c>
      <c r="AG12" s="12">
        <v>114</v>
      </c>
      <c r="AH12" s="12">
        <v>177</v>
      </c>
      <c r="AI12" s="12">
        <v>173</v>
      </c>
      <c r="AJ12" s="12">
        <v>5</v>
      </c>
      <c r="AK12" s="12">
        <v>20</v>
      </c>
      <c r="AL12" s="12">
        <v>2</v>
      </c>
      <c r="AM12" s="11" t="s">
        <v>0</v>
      </c>
      <c r="AN12" s="11" t="s">
        <v>0</v>
      </c>
      <c r="AO12" s="11" t="s">
        <v>0</v>
      </c>
      <c r="AP12" s="11" t="s">
        <v>0</v>
      </c>
      <c r="AQ12" s="12">
        <v>5</v>
      </c>
      <c r="AR12" s="12">
        <v>4</v>
      </c>
      <c r="AS12" s="12">
        <v>150</v>
      </c>
      <c r="AT12" s="12">
        <v>61</v>
      </c>
      <c r="AU12" s="12">
        <v>119</v>
      </c>
      <c r="AV12" s="12">
        <v>17</v>
      </c>
      <c r="AW12" s="12">
        <v>70</v>
      </c>
      <c r="AX12" s="12">
        <v>162</v>
      </c>
      <c r="AY12" s="12">
        <v>25</v>
      </c>
      <c r="AZ12" s="12">
        <v>104</v>
      </c>
      <c r="BA12" s="12">
        <v>29</v>
      </c>
      <c r="BB12" s="12">
        <v>45</v>
      </c>
      <c r="BC12" s="12">
        <v>160</v>
      </c>
      <c r="BD12" s="12">
        <v>24</v>
      </c>
      <c r="BE12" s="12">
        <v>93</v>
      </c>
      <c r="BF12" s="12">
        <v>114</v>
      </c>
      <c r="BG12" s="12">
        <v>46</v>
      </c>
      <c r="BH12" s="12">
        <v>133</v>
      </c>
      <c r="BI12" s="12">
        <v>96</v>
      </c>
      <c r="BJ12" s="12">
        <v>115</v>
      </c>
      <c r="BK12" s="12">
        <v>73</v>
      </c>
      <c r="BL12" s="12">
        <v>178</v>
      </c>
      <c r="BM12" s="12">
        <v>135</v>
      </c>
      <c r="BN12" s="12">
        <v>102</v>
      </c>
      <c r="BO12" s="12">
        <v>152</v>
      </c>
      <c r="BP12" s="12">
        <v>116</v>
      </c>
      <c r="BQ12" s="12">
        <v>136</v>
      </c>
      <c r="BR12" s="12">
        <v>134</v>
      </c>
      <c r="BS12" s="12">
        <v>101</v>
      </c>
      <c r="BT12" s="12">
        <v>8</v>
      </c>
      <c r="BU12" s="28">
        <v>185</v>
      </c>
      <c r="BV12" s="28">
        <v>201</v>
      </c>
      <c r="BW12" s="28">
        <v>188</v>
      </c>
      <c r="BX12" s="28">
        <v>195</v>
      </c>
      <c r="BY12" s="11" t="s">
        <v>106</v>
      </c>
      <c r="BZ12" s="8" t="s">
        <v>7</v>
      </c>
    </row>
    <row r="13" spans="1:83" ht="13.5" x14ac:dyDescent="0.25">
      <c r="A13" s="10"/>
      <c r="B13" s="8"/>
      <c r="C13" s="9">
        <v>9</v>
      </c>
      <c r="D13" s="11" t="s">
        <v>107</v>
      </c>
      <c r="E13" s="28">
        <v>186</v>
      </c>
      <c r="F13" s="28">
        <v>184</v>
      </c>
      <c r="G13" s="28">
        <v>203</v>
      </c>
      <c r="H13" s="28">
        <v>185</v>
      </c>
      <c r="I13" s="12">
        <v>4</v>
      </c>
      <c r="J13" s="12">
        <v>11</v>
      </c>
      <c r="K13" s="12">
        <v>1</v>
      </c>
      <c r="L13" s="12">
        <v>141</v>
      </c>
      <c r="M13" s="12">
        <v>65</v>
      </c>
      <c r="N13" s="12">
        <v>9</v>
      </c>
      <c r="O13" s="12">
        <v>80</v>
      </c>
      <c r="P13" s="12">
        <v>142</v>
      </c>
      <c r="Q13" s="12">
        <v>92</v>
      </c>
      <c r="R13" s="12">
        <v>163</v>
      </c>
      <c r="S13" s="12">
        <v>38</v>
      </c>
      <c r="T13" s="12">
        <v>157</v>
      </c>
      <c r="U13" s="12">
        <v>129</v>
      </c>
      <c r="V13" s="12">
        <v>72</v>
      </c>
      <c r="W13" s="12">
        <v>87</v>
      </c>
      <c r="X13" s="12">
        <v>174</v>
      </c>
      <c r="Y13" s="12">
        <v>108</v>
      </c>
      <c r="Z13" s="12">
        <v>109</v>
      </c>
      <c r="AA13" s="12">
        <v>56</v>
      </c>
      <c r="AB13" s="12">
        <v>100</v>
      </c>
      <c r="AC13" s="12">
        <v>17</v>
      </c>
      <c r="AD13" s="12">
        <v>134</v>
      </c>
      <c r="AE13" s="12">
        <v>42</v>
      </c>
      <c r="AF13" s="12">
        <v>53</v>
      </c>
      <c r="AG13" s="12">
        <v>44</v>
      </c>
      <c r="AH13" s="12">
        <v>160</v>
      </c>
      <c r="AI13" s="12">
        <v>19</v>
      </c>
      <c r="AJ13" s="12">
        <v>113</v>
      </c>
      <c r="AK13" s="12">
        <v>154</v>
      </c>
      <c r="AL13" s="12">
        <v>60</v>
      </c>
      <c r="AM13" s="11" t="s">
        <v>0</v>
      </c>
      <c r="AN13" s="11" t="s">
        <v>0</v>
      </c>
      <c r="AO13" s="11" t="s">
        <v>0</v>
      </c>
      <c r="AP13" s="11" t="s">
        <v>0</v>
      </c>
      <c r="AQ13" s="12">
        <v>88</v>
      </c>
      <c r="AR13" s="12">
        <v>77</v>
      </c>
      <c r="AS13" s="12">
        <v>158</v>
      </c>
      <c r="AT13" s="12">
        <v>138</v>
      </c>
      <c r="AU13" s="12">
        <v>68</v>
      </c>
      <c r="AV13" s="12">
        <v>52</v>
      </c>
      <c r="AW13" s="12">
        <v>149</v>
      </c>
      <c r="AX13" s="12">
        <v>63</v>
      </c>
      <c r="AY13" s="12">
        <v>131</v>
      </c>
      <c r="AZ13" s="12">
        <v>113</v>
      </c>
      <c r="BA13" s="12">
        <v>118</v>
      </c>
      <c r="BB13" s="12">
        <v>50</v>
      </c>
      <c r="BC13" s="12">
        <v>80</v>
      </c>
      <c r="BD13" s="12">
        <v>47</v>
      </c>
      <c r="BE13" s="12">
        <v>109</v>
      </c>
      <c r="BF13" s="12">
        <v>67</v>
      </c>
      <c r="BG13" s="12">
        <v>142</v>
      </c>
      <c r="BH13" s="12">
        <v>64</v>
      </c>
      <c r="BI13" s="12">
        <v>137</v>
      </c>
      <c r="BJ13" s="12">
        <v>79</v>
      </c>
      <c r="BK13" s="12">
        <v>11</v>
      </c>
      <c r="BL13" s="12">
        <v>128</v>
      </c>
      <c r="BM13" s="12">
        <v>106</v>
      </c>
      <c r="BN13" s="12">
        <v>85</v>
      </c>
      <c r="BO13" s="12">
        <v>121</v>
      </c>
      <c r="BP13" s="12">
        <v>129</v>
      </c>
      <c r="BQ13" s="12">
        <v>10</v>
      </c>
      <c r="BR13" s="12">
        <v>130</v>
      </c>
      <c r="BS13" s="12">
        <v>6</v>
      </c>
      <c r="BT13" s="12">
        <v>180</v>
      </c>
      <c r="BU13" s="28">
        <v>194</v>
      </c>
      <c r="BV13" s="28">
        <v>182</v>
      </c>
      <c r="BW13" s="28">
        <v>187</v>
      </c>
      <c r="BX13" s="28">
        <v>189</v>
      </c>
      <c r="BY13" s="11" t="s">
        <v>107</v>
      </c>
      <c r="BZ13" s="8"/>
    </row>
    <row r="14" spans="1:83" ht="13.5" x14ac:dyDescent="0.25">
      <c r="A14" s="10"/>
      <c r="B14" s="8"/>
      <c r="C14" s="9">
        <v>10</v>
      </c>
      <c r="D14" s="11" t="s">
        <v>106</v>
      </c>
      <c r="E14" s="28">
        <v>194</v>
      </c>
      <c r="F14" s="28">
        <v>197</v>
      </c>
      <c r="G14" s="28">
        <v>192</v>
      </c>
      <c r="H14" s="28">
        <v>191</v>
      </c>
      <c r="I14" s="12">
        <v>176</v>
      </c>
      <c r="J14" s="12">
        <v>43</v>
      </c>
      <c r="K14" s="12">
        <v>123</v>
      </c>
      <c r="L14" s="12">
        <v>59</v>
      </c>
      <c r="M14" s="12">
        <v>168</v>
      </c>
      <c r="N14" s="12">
        <v>71</v>
      </c>
      <c r="O14" s="12">
        <v>30</v>
      </c>
      <c r="P14" s="12">
        <v>126</v>
      </c>
      <c r="Q14" s="12">
        <v>143</v>
      </c>
      <c r="R14" s="12">
        <v>125</v>
      </c>
      <c r="S14" s="12">
        <v>61</v>
      </c>
      <c r="T14" s="12">
        <v>55</v>
      </c>
      <c r="U14" s="12">
        <v>74</v>
      </c>
      <c r="V14" s="12">
        <v>84</v>
      </c>
      <c r="W14" s="12">
        <v>75</v>
      </c>
      <c r="X14" s="12">
        <v>170</v>
      </c>
      <c r="Y14" s="12">
        <v>6</v>
      </c>
      <c r="Z14" s="12">
        <v>104</v>
      </c>
      <c r="AA14" s="12">
        <v>140</v>
      </c>
      <c r="AB14" s="12">
        <v>40</v>
      </c>
      <c r="AC14" s="12">
        <v>7</v>
      </c>
      <c r="AD14" s="12">
        <v>169</v>
      </c>
      <c r="AE14" s="12">
        <v>98</v>
      </c>
      <c r="AF14" s="12">
        <v>138</v>
      </c>
      <c r="AG14" s="12">
        <v>37</v>
      </c>
      <c r="AH14" s="12">
        <v>69</v>
      </c>
      <c r="AI14" s="12">
        <v>16</v>
      </c>
      <c r="AJ14" s="12">
        <v>150</v>
      </c>
      <c r="AK14" s="12">
        <v>66</v>
      </c>
      <c r="AL14" s="12">
        <v>110</v>
      </c>
      <c r="AM14" s="11" t="s">
        <v>0</v>
      </c>
      <c r="AN14" s="11" t="s">
        <v>0</v>
      </c>
      <c r="AO14" s="11" t="s">
        <v>0</v>
      </c>
      <c r="AP14" s="11" t="s">
        <v>0</v>
      </c>
      <c r="AQ14" s="12">
        <v>57</v>
      </c>
      <c r="AR14" s="12">
        <v>40</v>
      </c>
      <c r="AS14" s="12">
        <v>95</v>
      </c>
      <c r="AT14" s="12">
        <v>14</v>
      </c>
      <c r="AU14" s="12">
        <v>19</v>
      </c>
      <c r="AV14" s="12">
        <v>127</v>
      </c>
      <c r="AW14" s="12">
        <v>74</v>
      </c>
      <c r="AX14" s="12">
        <v>117</v>
      </c>
      <c r="AY14" s="12">
        <v>69</v>
      </c>
      <c r="AZ14" s="12">
        <v>120</v>
      </c>
      <c r="BA14" s="12">
        <v>53</v>
      </c>
      <c r="BB14" s="12">
        <v>176</v>
      </c>
      <c r="BC14" s="12">
        <v>72</v>
      </c>
      <c r="BD14" s="12">
        <v>75</v>
      </c>
      <c r="BE14" s="12">
        <v>23</v>
      </c>
      <c r="BF14" s="12">
        <v>132</v>
      </c>
      <c r="BG14" s="12">
        <v>44</v>
      </c>
      <c r="BH14" s="12">
        <v>66</v>
      </c>
      <c r="BI14" s="12">
        <v>49</v>
      </c>
      <c r="BJ14" s="12">
        <v>92</v>
      </c>
      <c r="BK14" s="12">
        <v>179</v>
      </c>
      <c r="BL14" s="12">
        <v>36</v>
      </c>
      <c r="BM14" s="12">
        <v>124</v>
      </c>
      <c r="BN14" s="12">
        <v>125</v>
      </c>
      <c r="BO14" s="12">
        <v>155</v>
      </c>
      <c r="BP14" s="12">
        <v>38</v>
      </c>
      <c r="BQ14" s="12">
        <v>35</v>
      </c>
      <c r="BR14" s="12">
        <v>60</v>
      </c>
      <c r="BS14" s="12">
        <v>62</v>
      </c>
      <c r="BT14" s="12">
        <v>12</v>
      </c>
      <c r="BU14" s="28">
        <v>198</v>
      </c>
      <c r="BV14" s="28">
        <v>196</v>
      </c>
      <c r="BW14" s="28">
        <v>184</v>
      </c>
      <c r="BX14" s="28">
        <v>202</v>
      </c>
      <c r="BY14" s="11" t="s">
        <v>106</v>
      </c>
      <c r="BZ14" s="8"/>
    </row>
    <row r="15" spans="1:83" ht="13.5" x14ac:dyDescent="0.25">
      <c r="A15" s="10"/>
      <c r="B15" s="8"/>
      <c r="C15" s="9">
        <v>11</v>
      </c>
      <c r="D15" s="11" t="s">
        <v>107</v>
      </c>
      <c r="E15" s="28">
        <v>198</v>
      </c>
      <c r="F15" s="28">
        <v>183</v>
      </c>
      <c r="G15" s="28">
        <v>200</v>
      </c>
      <c r="H15" s="28">
        <v>189</v>
      </c>
      <c r="I15" s="12">
        <v>162</v>
      </c>
      <c r="J15" s="12">
        <v>132</v>
      </c>
      <c r="K15" s="12">
        <v>89</v>
      </c>
      <c r="L15" s="12">
        <v>167</v>
      </c>
      <c r="M15" s="12">
        <v>93</v>
      </c>
      <c r="N15" s="12">
        <v>49</v>
      </c>
      <c r="O15" s="12">
        <v>124</v>
      </c>
      <c r="P15" s="12">
        <v>146</v>
      </c>
      <c r="Q15" s="12">
        <v>3</v>
      </c>
      <c r="R15" s="12">
        <v>180</v>
      </c>
      <c r="S15" s="12">
        <v>159</v>
      </c>
      <c r="T15" s="12">
        <v>8</v>
      </c>
      <c r="U15" s="12">
        <v>121</v>
      </c>
      <c r="V15" s="12">
        <v>29</v>
      </c>
      <c r="W15" s="12">
        <v>172</v>
      </c>
      <c r="X15" s="12">
        <v>23</v>
      </c>
      <c r="Y15" s="12">
        <v>77</v>
      </c>
      <c r="Z15" s="12">
        <v>31</v>
      </c>
      <c r="AA15" s="12">
        <v>145</v>
      </c>
      <c r="AB15" s="12">
        <v>25</v>
      </c>
      <c r="AC15" s="12">
        <v>10</v>
      </c>
      <c r="AD15" s="12">
        <v>67</v>
      </c>
      <c r="AE15" s="12">
        <v>149</v>
      </c>
      <c r="AF15" s="12">
        <v>158</v>
      </c>
      <c r="AG15" s="12">
        <v>76</v>
      </c>
      <c r="AH15" s="12">
        <v>27</v>
      </c>
      <c r="AI15" s="12">
        <v>47</v>
      </c>
      <c r="AJ15" s="12">
        <v>24</v>
      </c>
      <c r="AK15" s="12">
        <v>131</v>
      </c>
      <c r="AL15" s="12">
        <v>95</v>
      </c>
      <c r="AM15" s="11" t="s">
        <v>0</v>
      </c>
      <c r="AN15" s="11" t="s">
        <v>0</v>
      </c>
      <c r="AO15" s="11" t="s">
        <v>0</v>
      </c>
      <c r="AP15" s="11" t="s">
        <v>0</v>
      </c>
      <c r="AQ15" s="12">
        <v>91</v>
      </c>
      <c r="AR15" s="12">
        <v>122</v>
      </c>
      <c r="AS15" s="12">
        <v>151</v>
      </c>
      <c r="AT15" s="12">
        <v>154</v>
      </c>
      <c r="AU15" s="12">
        <v>83</v>
      </c>
      <c r="AV15" s="12">
        <v>161</v>
      </c>
      <c r="AW15" s="12">
        <v>157</v>
      </c>
      <c r="AX15" s="12">
        <v>165</v>
      </c>
      <c r="AY15" s="12">
        <v>2</v>
      </c>
      <c r="AZ15" s="12">
        <v>97</v>
      </c>
      <c r="BA15" s="12">
        <v>140</v>
      </c>
      <c r="BB15" s="12">
        <v>172</v>
      </c>
      <c r="BC15" s="12">
        <v>164</v>
      </c>
      <c r="BD15" s="12">
        <v>48</v>
      </c>
      <c r="BE15" s="12">
        <v>139</v>
      </c>
      <c r="BF15" s="12">
        <v>26</v>
      </c>
      <c r="BG15" s="12">
        <v>145</v>
      </c>
      <c r="BH15" s="12">
        <v>126</v>
      </c>
      <c r="BI15" s="12">
        <v>13</v>
      </c>
      <c r="BJ15" s="12">
        <v>27</v>
      </c>
      <c r="BK15" s="12">
        <v>82</v>
      </c>
      <c r="BL15" s="12">
        <v>43</v>
      </c>
      <c r="BM15" s="12">
        <v>32</v>
      </c>
      <c r="BN15" s="12">
        <v>169</v>
      </c>
      <c r="BO15" s="12">
        <v>100</v>
      </c>
      <c r="BP15" s="12">
        <v>87</v>
      </c>
      <c r="BQ15" s="12">
        <v>37</v>
      </c>
      <c r="BR15" s="12">
        <v>99</v>
      </c>
      <c r="BS15" s="12">
        <v>78</v>
      </c>
      <c r="BT15" s="12">
        <v>98</v>
      </c>
      <c r="BU15" s="28">
        <v>183</v>
      </c>
      <c r="BV15" s="28">
        <v>181</v>
      </c>
      <c r="BW15" s="28">
        <v>197</v>
      </c>
      <c r="BX15" s="28">
        <v>186</v>
      </c>
      <c r="BY15" s="11" t="s">
        <v>107</v>
      </c>
      <c r="BZ15" s="8"/>
    </row>
    <row r="16" spans="1:83" ht="13.5" x14ac:dyDescent="0.25">
      <c r="A16" s="10"/>
      <c r="B16" s="8"/>
      <c r="C16" s="9">
        <v>12</v>
      </c>
      <c r="D16" s="11" t="s">
        <v>0</v>
      </c>
      <c r="E16" s="28">
        <v>202</v>
      </c>
      <c r="F16" s="28">
        <v>181</v>
      </c>
      <c r="G16" s="28">
        <v>187</v>
      </c>
      <c r="H16" s="28" t="s">
        <v>106</v>
      </c>
      <c r="I16" s="12">
        <v>101</v>
      </c>
      <c r="J16" s="12">
        <v>120</v>
      </c>
      <c r="K16" s="12">
        <v>144</v>
      </c>
      <c r="L16" s="12">
        <v>48</v>
      </c>
      <c r="M16" s="12">
        <v>39</v>
      </c>
      <c r="N16" s="12">
        <v>119</v>
      </c>
      <c r="O16" s="12">
        <v>179</v>
      </c>
      <c r="P16" s="12">
        <v>63</v>
      </c>
      <c r="Q16" s="12">
        <v>70</v>
      </c>
      <c r="R16" s="12">
        <v>178</v>
      </c>
      <c r="S16" s="12">
        <v>79</v>
      </c>
      <c r="T16" s="12">
        <v>171</v>
      </c>
      <c r="U16" s="12">
        <v>136</v>
      </c>
      <c r="V16" s="12">
        <v>155</v>
      </c>
      <c r="W16" s="12">
        <v>106</v>
      </c>
      <c r="X16" s="12">
        <v>64</v>
      </c>
      <c r="Y16" s="12">
        <v>133</v>
      </c>
      <c r="Z16" s="12">
        <v>36</v>
      </c>
      <c r="AA16" s="12">
        <v>105</v>
      </c>
      <c r="AB16" s="12">
        <v>46</v>
      </c>
      <c r="AC16" s="12">
        <v>50</v>
      </c>
      <c r="AD16" s="12">
        <v>164</v>
      </c>
      <c r="AE16" s="12">
        <v>26</v>
      </c>
      <c r="AF16" s="12">
        <v>41</v>
      </c>
      <c r="AG16" s="12">
        <v>73</v>
      </c>
      <c r="AH16" s="12">
        <v>116</v>
      </c>
      <c r="AI16" s="12">
        <v>137</v>
      </c>
      <c r="AJ16" s="12">
        <v>152</v>
      </c>
      <c r="AK16" s="12">
        <v>33</v>
      </c>
      <c r="AL16" s="12">
        <v>112</v>
      </c>
      <c r="AM16" s="11" t="s">
        <v>0</v>
      </c>
      <c r="AN16" s="11" t="s">
        <v>0</v>
      </c>
      <c r="AO16" s="11" t="s">
        <v>0</v>
      </c>
      <c r="AP16" s="11" t="s">
        <v>0</v>
      </c>
      <c r="AQ16" s="12">
        <v>175</v>
      </c>
      <c r="AR16" s="12">
        <v>112</v>
      </c>
      <c r="AS16" s="12">
        <v>163</v>
      </c>
      <c r="AT16" s="12">
        <v>65</v>
      </c>
      <c r="AU16" s="12">
        <v>7</v>
      </c>
      <c r="AV16" s="12">
        <v>58</v>
      </c>
      <c r="AW16" s="12">
        <v>59</v>
      </c>
      <c r="AX16" s="12">
        <v>28</v>
      </c>
      <c r="AY16" s="12">
        <v>108</v>
      </c>
      <c r="AZ16" s="12">
        <v>94</v>
      </c>
      <c r="BA16" s="12">
        <v>173</v>
      </c>
      <c r="BB16" s="12">
        <v>171</v>
      </c>
      <c r="BC16" s="12">
        <v>1</v>
      </c>
      <c r="BD16" s="12">
        <v>143</v>
      </c>
      <c r="BE16" s="12">
        <v>177</v>
      </c>
      <c r="BF16" s="12">
        <v>15</v>
      </c>
      <c r="BG16" s="12">
        <v>31</v>
      </c>
      <c r="BH16" s="12">
        <v>51</v>
      </c>
      <c r="BI16" s="12">
        <v>107</v>
      </c>
      <c r="BJ16" s="12">
        <v>20</v>
      </c>
      <c r="BK16" s="12">
        <v>34</v>
      </c>
      <c r="BL16" s="12">
        <v>111</v>
      </c>
      <c r="BM16" s="12">
        <v>105</v>
      </c>
      <c r="BN16" s="12">
        <v>110</v>
      </c>
      <c r="BO16" s="12">
        <v>159</v>
      </c>
      <c r="BP16" s="12">
        <v>147</v>
      </c>
      <c r="BQ16" s="12">
        <v>39</v>
      </c>
      <c r="BR16" s="12">
        <v>103</v>
      </c>
      <c r="BS16" s="12">
        <v>76</v>
      </c>
      <c r="BT16" s="12">
        <v>144</v>
      </c>
      <c r="BU16" s="28">
        <v>190</v>
      </c>
      <c r="BV16" s="28">
        <v>191</v>
      </c>
      <c r="BW16" s="28">
        <v>193</v>
      </c>
      <c r="BX16" s="28">
        <v>192</v>
      </c>
      <c r="BY16" s="11" t="s">
        <v>0</v>
      </c>
      <c r="BZ16" s="8"/>
    </row>
    <row r="17" spans="1:78" ht="13.5" x14ac:dyDescent="0.25">
      <c r="A17" s="10"/>
      <c r="B17" s="8"/>
      <c r="C17" s="9"/>
      <c r="E17" s="27"/>
      <c r="F17" s="27"/>
      <c r="G17" s="27"/>
      <c r="H17" s="27"/>
      <c r="BU17" s="27"/>
      <c r="BV17" s="27"/>
      <c r="BW17" s="27"/>
      <c r="BX17" s="27"/>
      <c r="BZ17" s="8"/>
    </row>
    <row r="18" spans="1:78" ht="13.5" x14ac:dyDescent="0.25">
      <c r="A18" s="10"/>
      <c r="B18" s="8" t="s">
        <v>3</v>
      </c>
      <c r="C18" s="9">
        <v>13</v>
      </c>
      <c r="D18" s="11" t="s">
        <v>0</v>
      </c>
      <c r="E18" s="28">
        <v>184</v>
      </c>
      <c r="F18" s="28">
        <v>201</v>
      </c>
      <c r="G18" s="28" t="s">
        <v>106</v>
      </c>
      <c r="H18" s="28">
        <v>195</v>
      </c>
      <c r="I18" s="12">
        <v>77</v>
      </c>
      <c r="J18" s="12">
        <v>44</v>
      </c>
      <c r="K18" s="12">
        <v>97</v>
      </c>
      <c r="L18" s="12">
        <v>86</v>
      </c>
      <c r="M18" s="12">
        <v>24</v>
      </c>
      <c r="N18" s="12">
        <v>67</v>
      </c>
      <c r="O18" s="12">
        <v>116</v>
      </c>
      <c r="P18" s="12">
        <v>14</v>
      </c>
      <c r="Q18" s="12">
        <v>47</v>
      </c>
      <c r="R18" s="12">
        <v>90</v>
      </c>
      <c r="S18" s="12">
        <v>65</v>
      </c>
      <c r="T18" s="12">
        <v>176</v>
      </c>
      <c r="U18" s="12">
        <v>125</v>
      </c>
      <c r="V18" s="12">
        <v>3</v>
      </c>
      <c r="W18" s="12">
        <v>50</v>
      </c>
      <c r="X18" s="12">
        <v>2</v>
      </c>
      <c r="Y18" s="12">
        <v>144</v>
      </c>
      <c r="Z18" s="12">
        <v>43</v>
      </c>
      <c r="AA18" s="12">
        <v>66</v>
      </c>
      <c r="AB18" s="12">
        <v>9</v>
      </c>
      <c r="AC18" s="12">
        <v>58</v>
      </c>
      <c r="AD18" s="12">
        <v>165</v>
      </c>
      <c r="AE18" s="12">
        <v>59</v>
      </c>
      <c r="AF18" s="12">
        <v>35</v>
      </c>
      <c r="AG18" s="12">
        <v>80</v>
      </c>
      <c r="AH18" s="12">
        <v>106</v>
      </c>
      <c r="AI18" s="12">
        <v>166</v>
      </c>
      <c r="AJ18" s="12">
        <v>83</v>
      </c>
      <c r="AK18" s="12">
        <v>157</v>
      </c>
      <c r="AL18" s="12">
        <v>45</v>
      </c>
      <c r="AM18" s="11" t="s">
        <v>0</v>
      </c>
      <c r="AN18" s="11" t="s">
        <v>0</v>
      </c>
      <c r="AO18" s="11" t="s">
        <v>0</v>
      </c>
      <c r="AP18" s="11" t="s">
        <v>0</v>
      </c>
      <c r="AQ18" s="12">
        <v>135</v>
      </c>
      <c r="AR18" s="12">
        <v>98</v>
      </c>
      <c r="AS18" s="12">
        <v>76</v>
      </c>
      <c r="AT18" s="12">
        <v>132</v>
      </c>
      <c r="AU18" s="12">
        <v>179</v>
      </c>
      <c r="AV18" s="12">
        <v>177</v>
      </c>
      <c r="AW18" s="12">
        <v>33</v>
      </c>
      <c r="AX18" s="12">
        <v>50</v>
      </c>
      <c r="AY18" s="12">
        <v>1</v>
      </c>
      <c r="AZ18" s="12">
        <v>79</v>
      </c>
      <c r="BA18" s="12">
        <v>4</v>
      </c>
      <c r="BB18" s="12">
        <v>110</v>
      </c>
      <c r="BC18" s="12">
        <v>165</v>
      </c>
      <c r="BD18" s="12">
        <v>14</v>
      </c>
      <c r="BE18" s="12">
        <v>30</v>
      </c>
      <c r="BF18" s="12">
        <v>148</v>
      </c>
      <c r="BG18" s="12">
        <v>129</v>
      </c>
      <c r="BH18" s="12">
        <v>10</v>
      </c>
      <c r="BI18" s="12">
        <v>104</v>
      </c>
      <c r="BJ18" s="12">
        <v>3</v>
      </c>
      <c r="BK18" s="12">
        <v>71</v>
      </c>
      <c r="BL18" s="12">
        <v>160</v>
      </c>
      <c r="BM18" s="12">
        <v>113</v>
      </c>
      <c r="BN18" s="12">
        <v>29</v>
      </c>
      <c r="BO18" s="12">
        <v>107</v>
      </c>
      <c r="BP18" s="12">
        <v>18</v>
      </c>
      <c r="BQ18" s="12">
        <v>19</v>
      </c>
      <c r="BR18" s="12">
        <v>157</v>
      </c>
      <c r="BS18" s="12">
        <v>95</v>
      </c>
      <c r="BT18" s="12">
        <v>26</v>
      </c>
      <c r="BU18" s="28">
        <v>190</v>
      </c>
      <c r="BV18" s="28">
        <v>197</v>
      </c>
      <c r="BW18" s="28">
        <v>194</v>
      </c>
      <c r="BX18" s="28">
        <v>200</v>
      </c>
      <c r="BY18" s="11" t="s">
        <v>0</v>
      </c>
      <c r="BZ18" s="8" t="s">
        <v>3</v>
      </c>
    </row>
    <row r="19" spans="1:78" ht="13.5" x14ac:dyDescent="0.25">
      <c r="A19" s="10"/>
      <c r="B19" s="8" t="s">
        <v>7</v>
      </c>
      <c r="C19" s="9">
        <v>14</v>
      </c>
      <c r="D19" s="11" t="s">
        <v>106</v>
      </c>
      <c r="E19" s="28">
        <v>181</v>
      </c>
      <c r="F19" s="28">
        <v>191</v>
      </c>
      <c r="G19" s="28">
        <v>200</v>
      </c>
      <c r="H19" s="28">
        <v>186</v>
      </c>
      <c r="I19" s="12">
        <v>40</v>
      </c>
      <c r="J19" s="12">
        <v>121</v>
      </c>
      <c r="K19" s="12">
        <v>174</v>
      </c>
      <c r="L19" s="12">
        <v>81</v>
      </c>
      <c r="M19" s="12">
        <v>122</v>
      </c>
      <c r="N19" s="12">
        <v>156</v>
      </c>
      <c r="O19" s="12">
        <v>72</v>
      </c>
      <c r="P19" s="12">
        <v>22</v>
      </c>
      <c r="Q19" s="12">
        <v>171</v>
      </c>
      <c r="R19" s="12">
        <v>73</v>
      </c>
      <c r="S19" s="12">
        <v>94</v>
      </c>
      <c r="T19" s="12">
        <v>5</v>
      </c>
      <c r="U19" s="12">
        <v>15</v>
      </c>
      <c r="V19" s="12">
        <v>134</v>
      </c>
      <c r="W19" s="12">
        <v>137</v>
      </c>
      <c r="X19" s="12">
        <v>168</v>
      </c>
      <c r="Y19" s="12">
        <v>146</v>
      </c>
      <c r="Z19" s="12">
        <v>89</v>
      </c>
      <c r="AA19" s="12">
        <v>167</v>
      </c>
      <c r="AB19" s="12">
        <v>128</v>
      </c>
      <c r="AC19" s="12">
        <v>6</v>
      </c>
      <c r="AD19" s="12">
        <v>172</v>
      </c>
      <c r="AE19" s="12">
        <v>92</v>
      </c>
      <c r="AF19" s="12">
        <v>71</v>
      </c>
      <c r="AG19" s="12">
        <v>140</v>
      </c>
      <c r="AH19" s="12">
        <v>28</v>
      </c>
      <c r="AI19" s="12">
        <v>31</v>
      </c>
      <c r="AJ19" s="12">
        <v>178</v>
      </c>
      <c r="AK19" s="12">
        <v>61</v>
      </c>
      <c r="AL19" s="12">
        <v>4</v>
      </c>
      <c r="AM19" s="11" t="s">
        <v>0</v>
      </c>
      <c r="AN19" s="11" t="s">
        <v>0</v>
      </c>
      <c r="AO19" s="11" t="s">
        <v>0</v>
      </c>
      <c r="AP19" s="11" t="s">
        <v>0</v>
      </c>
      <c r="AQ19" s="12">
        <v>141</v>
      </c>
      <c r="AR19" s="12">
        <v>89</v>
      </c>
      <c r="AS19" s="12">
        <v>96</v>
      </c>
      <c r="AT19" s="12">
        <v>147</v>
      </c>
      <c r="AU19" s="12">
        <v>144</v>
      </c>
      <c r="AV19" s="12">
        <v>124</v>
      </c>
      <c r="AW19" s="12">
        <v>42</v>
      </c>
      <c r="AX19" s="12">
        <v>103</v>
      </c>
      <c r="AY19" s="12">
        <v>37</v>
      </c>
      <c r="AZ19" s="12">
        <v>99</v>
      </c>
      <c r="BA19" s="12">
        <v>58</v>
      </c>
      <c r="BB19" s="12">
        <v>149</v>
      </c>
      <c r="BC19" s="12">
        <v>169</v>
      </c>
      <c r="BD19" s="12">
        <v>8</v>
      </c>
      <c r="BE19" s="12">
        <v>5</v>
      </c>
      <c r="BF19" s="12">
        <v>121</v>
      </c>
      <c r="BG19" s="12">
        <v>62</v>
      </c>
      <c r="BH19" s="12">
        <v>122</v>
      </c>
      <c r="BI19" s="12">
        <v>28</v>
      </c>
      <c r="BJ19" s="12">
        <v>36</v>
      </c>
      <c r="BK19" s="12">
        <v>83</v>
      </c>
      <c r="BL19" s="12">
        <v>84</v>
      </c>
      <c r="BM19" s="12">
        <v>173</v>
      </c>
      <c r="BN19" s="12">
        <v>131</v>
      </c>
      <c r="BO19" s="12">
        <v>46</v>
      </c>
      <c r="BP19" s="12">
        <v>75</v>
      </c>
      <c r="BQ19" s="12">
        <v>133</v>
      </c>
      <c r="BR19" s="12">
        <v>72</v>
      </c>
      <c r="BS19" s="12">
        <v>138</v>
      </c>
      <c r="BT19" s="12">
        <v>40</v>
      </c>
      <c r="BU19" s="28">
        <v>202</v>
      </c>
      <c r="BV19" s="28">
        <v>201</v>
      </c>
      <c r="BW19" s="28">
        <v>199</v>
      </c>
      <c r="BX19" s="28">
        <v>183</v>
      </c>
      <c r="BY19" s="11" t="s">
        <v>106</v>
      </c>
      <c r="BZ19" s="8" t="s">
        <v>10</v>
      </c>
    </row>
    <row r="20" spans="1:78" ht="13.5" x14ac:dyDescent="0.25">
      <c r="A20" s="10"/>
      <c r="B20" s="8"/>
      <c r="C20" s="9">
        <v>15</v>
      </c>
      <c r="D20" s="11" t="s">
        <v>107</v>
      </c>
      <c r="E20" s="28">
        <v>196</v>
      </c>
      <c r="F20" s="28">
        <v>190</v>
      </c>
      <c r="G20" s="28">
        <v>194</v>
      </c>
      <c r="H20" s="28">
        <v>189</v>
      </c>
      <c r="I20" s="12">
        <v>17</v>
      </c>
      <c r="J20" s="12">
        <v>105</v>
      </c>
      <c r="K20" s="12">
        <v>147</v>
      </c>
      <c r="L20" s="12">
        <v>154</v>
      </c>
      <c r="M20" s="12">
        <v>74</v>
      </c>
      <c r="N20" s="12">
        <v>152</v>
      </c>
      <c r="O20" s="12">
        <v>98</v>
      </c>
      <c r="P20" s="12">
        <v>159</v>
      </c>
      <c r="Q20" s="12">
        <v>78</v>
      </c>
      <c r="R20" s="12">
        <v>29</v>
      </c>
      <c r="S20" s="12">
        <v>138</v>
      </c>
      <c r="T20" s="12">
        <v>103</v>
      </c>
      <c r="U20" s="12">
        <v>112</v>
      </c>
      <c r="V20" s="12">
        <v>82</v>
      </c>
      <c r="W20" s="12">
        <v>62</v>
      </c>
      <c r="X20" s="12">
        <v>19</v>
      </c>
      <c r="Y20" s="12">
        <v>163</v>
      </c>
      <c r="Z20" s="12">
        <v>114</v>
      </c>
      <c r="AA20" s="12">
        <v>175</v>
      </c>
      <c r="AB20" s="12">
        <v>27</v>
      </c>
      <c r="AC20" s="12">
        <v>161</v>
      </c>
      <c r="AD20" s="12">
        <v>126</v>
      </c>
      <c r="AE20" s="12">
        <v>148</v>
      </c>
      <c r="AF20" s="12">
        <v>8</v>
      </c>
      <c r="AG20" s="12">
        <v>118</v>
      </c>
      <c r="AH20" s="12">
        <v>108</v>
      </c>
      <c r="AI20" s="12">
        <v>64</v>
      </c>
      <c r="AJ20" s="12">
        <v>11</v>
      </c>
      <c r="AK20" s="12">
        <v>124</v>
      </c>
      <c r="AL20" s="12">
        <v>123</v>
      </c>
      <c r="AM20" s="11" t="s">
        <v>0</v>
      </c>
      <c r="AN20" s="11" t="s">
        <v>0</v>
      </c>
      <c r="AO20" s="11" t="s">
        <v>0</v>
      </c>
      <c r="AP20" s="11" t="s">
        <v>0</v>
      </c>
      <c r="AQ20" s="12">
        <v>101</v>
      </c>
      <c r="AR20" s="12">
        <v>66</v>
      </c>
      <c r="AS20" s="12">
        <v>86</v>
      </c>
      <c r="AT20" s="12">
        <v>166</v>
      </c>
      <c r="AU20" s="12">
        <v>164</v>
      </c>
      <c r="AV20" s="12">
        <v>123</v>
      </c>
      <c r="AW20" s="12">
        <v>134</v>
      </c>
      <c r="AX20" s="12">
        <v>140</v>
      </c>
      <c r="AY20" s="12">
        <v>22</v>
      </c>
      <c r="AZ20" s="12">
        <v>93</v>
      </c>
      <c r="BA20" s="12">
        <v>54</v>
      </c>
      <c r="BB20" s="12">
        <v>34</v>
      </c>
      <c r="BC20" s="12">
        <v>163</v>
      </c>
      <c r="BD20" s="12">
        <v>7</v>
      </c>
      <c r="BE20" s="12">
        <v>38</v>
      </c>
      <c r="BF20" s="12">
        <v>32</v>
      </c>
      <c r="BG20" s="12">
        <v>128</v>
      </c>
      <c r="BH20" s="12">
        <v>108</v>
      </c>
      <c r="BI20" s="12">
        <v>155</v>
      </c>
      <c r="BJ20" s="12">
        <v>150</v>
      </c>
      <c r="BK20" s="12">
        <v>47</v>
      </c>
      <c r="BL20" s="12">
        <v>175</v>
      </c>
      <c r="BM20" s="12">
        <v>55</v>
      </c>
      <c r="BN20" s="12">
        <v>74</v>
      </c>
      <c r="BO20" s="12">
        <v>172</v>
      </c>
      <c r="BP20" s="12">
        <v>142</v>
      </c>
      <c r="BQ20" s="12">
        <v>27</v>
      </c>
      <c r="BR20" s="12">
        <v>112</v>
      </c>
      <c r="BS20" s="12">
        <v>17</v>
      </c>
      <c r="BT20" s="12">
        <v>63</v>
      </c>
      <c r="BU20" s="28">
        <v>182</v>
      </c>
      <c r="BV20" s="28">
        <v>198</v>
      </c>
      <c r="BW20" s="28">
        <v>195</v>
      </c>
      <c r="BX20" s="28">
        <v>191</v>
      </c>
      <c r="BY20" s="11" t="s">
        <v>107</v>
      </c>
      <c r="BZ20" s="8"/>
    </row>
    <row r="21" spans="1:78" ht="13.5" x14ac:dyDescent="0.25">
      <c r="A21" s="10"/>
      <c r="B21" s="8"/>
      <c r="C21" s="9">
        <v>16</v>
      </c>
      <c r="D21" s="11" t="s">
        <v>106</v>
      </c>
      <c r="E21" s="28">
        <v>193</v>
      </c>
      <c r="F21" s="28">
        <v>203</v>
      </c>
      <c r="G21" s="28">
        <v>182</v>
      </c>
      <c r="H21" s="28">
        <v>202</v>
      </c>
      <c r="I21" s="12">
        <v>164</v>
      </c>
      <c r="J21" s="12">
        <v>20</v>
      </c>
      <c r="K21" s="12">
        <v>60</v>
      </c>
      <c r="L21" s="12">
        <v>149</v>
      </c>
      <c r="M21" s="12">
        <v>38</v>
      </c>
      <c r="N21" s="12">
        <v>170</v>
      </c>
      <c r="O21" s="12">
        <v>158</v>
      </c>
      <c r="P21" s="12">
        <v>87</v>
      </c>
      <c r="Q21" s="12">
        <v>68</v>
      </c>
      <c r="R21" s="12">
        <v>34</v>
      </c>
      <c r="S21" s="12">
        <v>179</v>
      </c>
      <c r="T21" s="12">
        <v>160</v>
      </c>
      <c r="U21" s="12">
        <v>10</v>
      </c>
      <c r="V21" s="12">
        <v>150</v>
      </c>
      <c r="W21" s="12">
        <v>132</v>
      </c>
      <c r="X21" s="12">
        <v>18</v>
      </c>
      <c r="Y21" s="12">
        <v>173</v>
      </c>
      <c r="Z21" s="12">
        <v>48</v>
      </c>
      <c r="AA21" s="12">
        <v>63</v>
      </c>
      <c r="AB21" s="12">
        <v>101</v>
      </c>
      <c r="AC21" s="12">
        <v>1</v>
      </c>
      <c r="AD21" s="12">
        <v>151</v>
      </c>
      <c r="AE21" s="12">
        <v>32</v>
      </c>
      <c r="AF21" s="12">
        <v>13</v>
      </c>
      <c r="AG21" s="12">
        <v>46</v>
      </c>
      <c r="AH21" s="12">
        <v>180</v>
      </c>
      <c r="AI21" s="12">
        <v>143</v>
      </c>
      <c r="AJ21" s="12">
        <v>104</v>
      </c>
      <c r="AK21" s="12">
        <v>52</v>
      </c>
      <c r="AL21" s="12">
        <v>88</v>
      </c>
      <c r="AM21" s="11" t="s">
        <v>0</v>
      </c>
      <c r="AN21" s="11" t="s">
        <v>0</v>
      </c>
      <c r="AO21" s="11" t="s">
        <v>0</v>
      </c>
      <c r="AP21" s="11" t="s">
        <v>0</v>
      </c>
      <c r="AQ21" s="12">
        <v>92</v>
      </c>
      <c r="AR21" s="12">
        <v>105</v>
      </c>
      <c r="AS21" s="12">
        <v>43</v>
      </c>
      <c r="AT21" s="12">
        <v>11</v>
      </c>
      <c r="AU21" s="12">
        <v>118</v>
      </c>
      <c r="AV21" s="12">
        <v>116</v>
      </c>
      <c r="AW21" s="12">
        <v>80</v>
      </c>
      <c r="AX21" s="12">
        <v>35</v>
      </c>
      <c r="AY21" s="12">
        <v>102</v>
      </c>
      <c r="AZ21" s="12">
        <v>44</v>
      </c>
      <c r="BA21" s="12">
        <v>68</v>
      </c>
      <c r="BB21" s="12">
        <v>170</v>
      </c>
      <c r="BC21" s="12">
        <v>90</v>
      </c>
      <c r="BD21" s="12">
        <v>56</v>
      </c>
      <c r="BE21" s="12">
        <v>100</v>
      </c>
      <c r="BF21" s="12">
        <v>127</v>
      </c>
      <c r="BG21" s="12">
        <v>153</v>
      </c>
      <c r="BH21" s="12">
        <v>146</v>
      </c>
      <c r="BI21" s="12">
        <v>78</v>
      </c>
      <c r="BJ21" s="12">
        <v>2</v>
      </c>
      <c r="BK21" s="12">
        <v>69</v>
      </c>
      <c r="BL21" s="12">
        <v>49</v>
      </c>
      <c r="BM21" s="12">
        <v>91</v>
      </c>
      <c r="BN21" s="12">
        <v>51</v>
      </c>
      <c r="BO21" s="12">
        <v>61</v>
      </c>
      <c r="BP21" s="12">
        <v>15</v>
      </c>
      <c r="BQ21" s="12">
        <v>117</v>
      </c>
      <c r="BR21" s="12">
        <v>45</v>
      </c>
      <c r="BS21" s="12">
        <v>109</v>
      </c>
      <c r="BT21" s="12">
        <v>143</v>
      </c>
      <c r="BU21" s="28">
        <v>188</v>
      </c>
      <c r="BV21" s="28">
        <v>189</v>
      </c>
      <c r="BW21" s="28">
        <v>192</v>
      </c>
      <c r="BX21" s="28">
        <v>196</v>
      </c>
      <c r="BY21" s="11" t="s">
        <v>106</v>
      </c>
      <c r="BZ21" s="8"/>
    </row>
    <row r="22" spans="1:78" ht="13.5" x14ac:dyDescent="0.25">
      <c r="A22" s="10"/>
      <c r="C22" s="9">
        <v>17</v>
      </c>
      <c r="D22" s="11" t="s">
        <v>107</v>
      </c>
      <c r="E22" s="28">
        <v>198</v>
      </c>
      <c r="F22" s="28">
        <v>187</v>
      </c>
      <c r="G22" s="28">
        <v>185</v>
      </c>
      <c r="H22" s="28">
        <v>197</v>
      </c>
      <c r="I22" s="12">
        <v>177</v>
      </c>
      <c r="J22" s="12">
        <v>54</v>
      </c>
      <c r="K22" s="12">
        <v>133</v>
      </c>
      <c r="L22" s="12">
        <v>36</v>
      </c>
      <c r="M22" s="12">
        <v>110</v>
      </c>
      <c r="N22" s="12">
        <v>75</v>
      </c>
      <c r="O22" s="12">
        <v>51</v>
      </c>
      <c r="P22" s="12">
        <v>16</v>
      </c>
      <c r="Q22" s="12">
        <v>113</v>
      </c>
      <c r="R22" s="12">
        <v>169</v>
      </c>
      <c r="S22" s="12">
        <v>85</v>
      </c>
      <c r="T22" s="12">
        <v>70</v>
      </c>
      <c r="U22" s="12">
        <v>21</v>
      </c>
      <c r="V22" s="12">
        <v>115</v>
      </c>
      <c r="W22" s="12">
        <v>42</v>
      </c>
      <c r="X22" s="12">
        <v>49</v>
      </c>
      <c r="Y22" s="12">
        <v>107</v>
      </c>
      <c r="Z22" s="12">
        <v>33</v>
      </c>
      <c r="AA22" s="12">
        <v>53</v>
      </c>
      <c r="AB22" s="12">
        <v>127</v>
      </c>
      <c r="AC22" s="12">
        <v>145</v>
      </c>
      <c r="AD22" s="12">
        <v>56</v>
      </c>
      <c r="AE22" s="12">
        <v>136</v>
      </c>
      <c r="AF22" s="12">
        <v>142</v>
      </c>
      <c r="AG22" s="12">
        <v>23</v>
      </c>
      <c r="AH22" s="12">
        <v>84</v>
      </c>
      <c r="AI22" s="12">
        <v>141</v>
      </c>
      <c r="AJ22" s="12">
        <v>93</v>
      </c>
      <c r="AK22" s="12">
        <v>91</v>
      </c>
      <c r="AL22" s="12">
        <v>25</v>
      </c>
      <c r="AM22" s="11" t="s">
        <v>0</v>
      </c>
      <c r="AN22" s="11" t="s">
        <v>0</v>
      </c>
      <c r="AO22" s="11" t="s">
        <v>0</v>
      </c>
      <c r="AP22" s="11" t="s">
        <v>0</v>
      </c>
      <c r="AQ22" s="12">
        <v>85</v>
      </c>
      <c r="AR22" s="12">
        <v>24</v>
      </c>
      <c r="AS22" s="12">
        <v>168</v>
      </c>
      <c r="AT22" s="12">
        <v>13</v>
      </c>
      <c r="AU22" s="12">
        <v>41</v>
      </c>
      <c r="AV22" s="12">
        <v>145</v>
      </c>
      <c r="AW22" s="12">
        <v>159</v>
      </c>
      <c r="AX22" s="12">
        <v>64</v>
      </c>
      <c r="AY22" s="12">
        <v>53</v>
      </c>
      <c r="AZ22" s="12">
        <v>111</v>
      </c>
      <c r="BA22" s="12">
        <v>60</v>
      </c>
      <c r="BB22" s="12">
        <v>120</v>
      </c>
      <c r="BC22" s="12">
        <v>12</v>
      </c>
      <c r="BD22" s="12">
        <v>39</v>
      </c>
      <c r="BE22" s="12">
        <v>156</v>
      </c>
      <c r="BF22" s="12">
        <v>119</v>
      </c>
      <c r="BG22" s="12">
        <v>154</v>
      </c>
      <c r="BH22" s="12">
        <v>73</v>
      </c>
      <c r="BI22" s="12">
        <v>158</v>
      </c>
      <c r="BJ22" s="12">
        <v>106</v>
      </c>
      <c r="BK22" s="12">
        <v>171</v>
      </c>
      <c r="BL22" s="12">
        <v>161</v>
      </c>
      <c r="BM22" s="12">
        <v>114</v>
      </c>
      <c r="BN22" s="12">
        <v>139</v>
      </c>
      <c r="BO22" s="12">
        <v>88</v>
      </c>
      <c r="BP22" s="12">
        <v>151</v>
      </c>
      <c r="BQ22" s="12">
        <v>77</v>
      </c>
      <c r="BR22" s="12">
        <v>9</v>
      </c>
      <c r="BS22" s="12">
        <v>20</v>
      </c>
      <c r="BT22" s="12">
        <v>70</v>
      </c>
      <c r="BU22" s="28">
        <v>186</v>
      </c>
      <c r="BV22" s="28">
        <v>203</v>
      </c>
      <c r="BW22" s="28">
        <v>184</v>
      </c>
      <c r="BX22" s="28">
        <v>185</v>
      </c>
      <c r="BY22" s="11" t="s">
        <v>107</v>
      </c>
      <c r="BZ22" s="8"/>
    </row>
    <row r="23" spans="1:78" ht="13.5" x14ac:dyDescent="0.25">
      <c r="A23" s="10"/>
      <c r="C23" s="9">
        <v>18</v>
      </c>
      <c r="D23" s="11" t="s">
        <v>0</v>
      </c>
      <c r="E23" s="28">
        <v>199</v>
      </c>
      <c r="F23" s="28">
        <v>188</v>
      </c>
      <c r="G23" s="28">
        <v>192</v>
      </c>
      <c r="H23" s="28">
        <v>183</v>
      </c>
      <c r="I23" s="12">
        <v>12</v>
      </c>
      <c r="J23" s="12">
        <v>96</v>
      </c>
      <c r="K23" s="12">
        <v>76</v>
      </c>
      <c r="L23" s="12">
        <v>55</v>
      </c>
      <c r="M23" s="12">
        <v>155</v>
      </c>
      <c r="N23" s="12">
        <v>129</v>
      </c>
      <c r="O23" s="12">
        <v>99</v>
      </c>
      <c r="P23" s="12">
        <v>139</v>
      </c>
      <c r="Q23" s="12">
        <v>7</v>
      </c>
      <c r="R23" s="12">
        <v>109</v>
      </c>
      <c r="S23" s="12">
        <v>95</v>
      </c>
      <c r="T23" s="12">
        <v>131</v>
      </c>
      <c r="U23" s="12">
        <v>117</v>
      </c>
      <c r="V23" s="12">
        <v>41</v>
      </c>
      <c r="W23" s="12">
        <v>102</v>
      </c>
      <c r="X23" s="12">
        <v>26</v>
      </c>
      <c r="Y23" s="12">
        <v>69</v>
      </c>
      <c r="Z23" s="12">
        <v>130</v>
      </c>
      <c r="AA23" s="12">
        <v>30</v>
      </c>
      <c r="AB23" s="12">
        <v>37</v>
      </c>
      <c r="AC23" s="12">
        <v>79</v>
      </c>
      <c r="AD23" s="12">
        <v>120</v>
      </c>
      <c r="AE23" s="12">
        <v>162</v>
      </c>
      <c r="AF23" s="12">
        <v>39</v>
      </c>
      <c r="AG23" s="12">
        <v>57</v>
      </c>
      <c r="AH23" s="12">
        <v>153</v>
      </c>
      <c r="AI23" s="12">
        <v>111</v>
      </c>
      <c r="AJ23" s="12">
        <v>135</v>
      </c>
      <c r="AK23" s="12">
        <v>100</v>
      </c>
      <c r="AL23" s="12">
        <v>119</v>
      </c>
      <c r="AM23" s="11" t="s">
        <v>0</v>
      </c>
      <c r="AN23" s="11" t="s">
        <v>0</v>
      </c>
      <c r="AO23" s="11" t="s">
        <v>0</v>
      </c>
      <c r="AP23" s="11" t="s">
        <v>0</v>
      </c>
      <c r="AQ23" s="12">
        <v>31</v>
      </c>
      <c r="AR23" s="12">
        <v>125</v>
      </c>
      <c r="AS23" s="12">
        <v>67</v>
      </c>
      <c r="AT23" s="12">
        <v>115</v>
      </c>
      <c r="AU23" s="12">
        <v>176</v>
      </c>
      <c r="AV23" s="12">
        <v>180</v>
      </c>
      <c r="AW23" s="12">
        <v>48</v>
      </c>
      <c r="AX23" s="12">
        <v>178</v>
      </c>
      <c r="AY23" s="12">
        <v>6</v>
      </c>
      <c r="AZ23" s="12">
        <v>152</v>
      </c>
      <c r="BA23" s="12">
        <v>82</v>
      </c>
      <c r="BB23" s="12">
        <v>136</v>
      </c>
      <c r="BC23" s="12">
        <v>25</v>
      </c>
      <c r="BD23" s="12">
        <v>130</v>
      </c>
      <c r="BE23" s="12">
        <v>52</v>
      </c>
      <c r="BF23" s="12">
        <v>65</v>
      </c>
      <c r="BG23" s="12">
        <v>59</v>
      </c>
      <c r="BH23" s="12">
        <v>57</v>
      </c>
      <c r="BI23" s="12">
        <v>167</v>
      </c>
      <c r="BJ23" s="12">
        <v>87</v>
      </c>
      <c r="BK23" s="12">
        <v>162</v>
      </c>
      <c r="BL23" s="12">
        <v>97</v>
      </c>
      <c r="BM23" s="12">
        <v>23</v>
      </c>
      <c r="BN23" s="12">
        <v>81</v>
      </c>
      <c r="BO23" s="12">
        <v>174</v>
      </c>
      <c r="BP23" s="12">
        <v>94</v>
      </c>
      <c r="BQ23" s="12">
        <v>21</v>
      </c>
      <c r="BR23" s="12">
        <v>137</v>
      </c>
      <c r="BS23" s="12">
        <v>126</v>
      </c>
      <c r="BT23" s="12">
        <v>16</v>
      </c>
      <c r="BU23" s="28" t="s">
        <v>106</v>
      </c>
      <c r="BV23" s="28">
        <v>193</v>
      </c>
      <c r="BW23" s="28">
        <v>181</v>
      </c>
      <c r="BX23" s="28">
        <v>187</v>
      </c>
      <c r="BY23" s="11" t="s">
        <v>0</v>
      </c>
    </row>
    <row r="24" spans="1:78" x14ac:dyDescent="0.2">
      <c r="A24" s="10"/>
      <c r="C24" s="8"/>
      <c r="E24" s="29"/>
      <c r="F24" s="29"/>
      <c r="G24" s="29"/>
      <c r="H24" s="29"/>
      <c r="BU24" s="29"/>
      <c r="BV24" s="29"/>
      <c r="BW24" s="29"/>
      <c r="BX24" s="29"/>
    </row>
    <row r="25" spans="1:78" x14ac:dyDescent="0.2">
      <c r="E25" s="29"/>
      <c r="F25" s="29"/>
      <c r="G25" s="29"/>
      <c r="H25" s="29"/>
      <c r="BU25" s="29"/>
      <c r="BV25" s="29"/>
      <c r="BW25" s="29"/>
      <c r="BX25" s="29"/>
    </row>
    <row r="26" spans="1:78" x14ac:dyDescent="0.2">
      <c r="BU26" s="29"/>
      <c r="BV26" s="29"/>
      <c r="BW26" s="29"/>
      <c r="BX26" s="29"/>
    </row>
    <row r="27" spans="1:78" x14ac:dyDescent="0.2">
      <c r="BU27" s="29"/>
      <c r="BV27" s="29"/>
      <c r="BW27" s="29"/>
      <c r="BX27" s="29"/>
    </row>
  </sheetData>
  <pageMargins left="0.31496062992125984" right="0.31496062992125984" top="0.74803149606299213" bottom="0.74803149606299213" header="0.31496062992125984" footer="0.31496062992125984"/>
  <pageSetup paperSize="8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29"/>
  <sheetViews>
    <sheetView tabSelected="1" workbookViewId="0">
      <pane xSplit="1" ySplit="5" topLeftCell="B6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RowHeight="15" x14ac:dyDescent="0.25"/>
  <cols>
    <col min="1" max="1" width="31.42578125" customWidth="1"/>
    <col min="2" max="2" width="14.140625" customWidth="1"/>
    <col min="3" max="3" width="13.5703125" customWidth="1"/>
    <col min="4" max="5" width="32.85546875" customWidth="1"/>
    <col min="6" max="6" width="21.28515625" customWidth="1"/>
    <col min="7" max="7" width="19.7109375" customWidth="1"/>
    <col min="8" max="8" width="26.7109375" customWidth="1"/>
    <col min="9" max="9" width="26" customWidth="1"/>
    <col min="10" max="10" width="21.7109375" customWidth="1"/>
    <col min="11" max="11" width="15.85546875" style="52" customWidth="1"/>
    <col min="12" max="12" width="17.28515625" customWidth="1"/>
    <col min="13" max="13" width="14" customWidth="1"/>
    <col min="14" max="14" width="13.140625" customWidth="1"/>
    <col min="15" max="15" width="14.140625" customWidth="1"/>
    <col min="16" max="16" width="16.5703125" customWidth="1"/>
  </cols>
  <sheetData>
    <row r="1" spans="1:24" x14ac:dyDescent="0.25">
      <c r="A1" s="21" t="s">
        <v>1449</v>
      </c>
      <c r="B1" s="71" t="s">
        <v>1885</v>
      </c>
      <c r="C1" s="71"/>
      <c r="D1" s="71"/>
    </row>
    <row r="2" spans="1:24" x14ac:dyDescent="0.25">
      <c r="A2" s="64" t="s">
        <v>1883</v>
      </c>
      <c r="B2" s="72" t="s">
        <v>1884</v>
      </c>
      <c r="C2" s="72"/>
      <c r="D2" s="72"/>
    </row>
    <row r="5" spans="1:24" s="1" customFormat="1" ht="17.100000000000001" customHeight="1" x14ac:dyDescent="0.25">
      <c r="A5" s="14" t="s">
        <v>6</v>
      </c>
      <c r="B5" s="15" t="s">
        <v>4</v>
      </c>
      <c r="C5" s="15" t="s">
        <v>5</v>
      </c>
      <c r="D5" s="15" t="s">
        <v>423</v>
      </c>
      <c r="E5" s="15" t="s">
        <v>1882</v>
      </c>
      <c r="F5" s="15" t="s">
        <v>1448</v>
      </c>
      <c r="G5" s="15" t="s">
        <v>421</v>
      </c>
      <c r="H5" s="14" t="s">
        <v>422</v>
      </c>
      <c r="I5" s="14" t="s">
        <v>425</v>
      </c>
      <c r="J5" s="14" t="s">
        <v>1875</v>
      </c>
      <c r="K5" s="14" t="s">
        <v>1876</v>
      </c>
      <c r="L5" s="14" t="s">
        <v>1877</v>
      </c>
      <c r="M5" s="14" t="s">
        <v>1878</v>
      </c>
      <c r="N5" s="14" t="s">
        <v>1879</v>
      </c>
      <c r="O5" s="14" t="s">
        <v>1880</v>
      </c>
      <c r="P5" s="14" t="s">
        <v>1881</v>
      </c>
      <c r="Q5" s="67">
        <v>42097</v>
      </c>
      <c r="R5" s="68">
        <v>42101</v>
      </c>
      <c r="S5" s="68">
        <v>42103</v>
      </c>
      <c r="T5" s="68">
        <v>42107</v>
      </c>
      <c r="U5" s="69">
        <v>42110</v>
      </c>
      <c r="V5" s="70" t="s">
        <v>1886</v>
      </c>
      <c r="W5" s="14" t="s">
        <v>1887</v>
      </c>
      <c r="X5" s="1" t="s">
        <v>1888</v>
      </c>
    </row>
    <row r="6" spans="1:24" s="2" customFormat="1" x14ac:dyDescent="0.25">
      <c r="A6" s="16" t="s">
        <v>934</v>
      </c>
      <c r="B6" s="17" t="s">
        <v>7</v>
      </c>
      <c r="C6" s="17" t="s">
        <v>836</v>
      </c>
      <c r="D6" s="18" t="s">
        <v>175</v>
      </c>
      <c r="E6" s="18" t="s">
        <v>1543</v>
      </c>
      <c r="F6" s="18">
        <v>5.94</v>
      </c>
      <c r="G6" s="22">
        <v>2.02</v>
      </c>
      <c r="H6" s="17">
        <v>8.93</v>
      </c>
      <c r="I6" s="25">
        <v>10.721556209002488</v>
      </c>
      <c r="J6" s="24">
        <f>G6/F6*((100-H6)/100)*((100-I6)/100)*100</f>
        <v>27.649473921907763</v>
      </c>
      <c r="K6" s="53">
        <v>4.2857142857142856</v>
      </c>
      <c r="L6" s="54">
        <f>J6*10000/K6</f>
        <v>64515.439151118117</v>
      </c>
      <c r="M6" s="55">
        <v>50.2</v>
      </c>
      <c r="N6" s="55">
        <v>17.899999999999999</v>
      </c>
      <c r="O6" s="56">
        <v>2.0781999999999998</v>
      </c>
      <c r="P6" s="55">
        <v>16.399999999999999</v>
      </c>
      <c r="Q6" s="17">
        <v>52</v>
      </c>
      <c r="R6" s="17">
        <v>55</v>
      </c>
      <c r="S6" s="17">
        <v>55</v>
      </c>
      <c r="T6" s="17">
        <v>57</v>
      </c>
      <c r="U6" s="17">
        <v>60</v>
      </c>
      <c r="V6" s="17">
        <v>61</v>
      </c>
      <c r="W6" s="17">
        <v>65</v>
      </c>
      <c r="X6" s="2">
        <v>110</v>
      </c>
    </row>
    <row r="7" spans="1:24" s="2" customFormat="1" x14ac:dyDescent="0.25">
      <c r="A7" s="16" t="s">
        <v>965</v>
      </c>
      <c r="B7" s="17" t="s">
        <v>7</v>
      </c>
      <c r="C7" s="17" t="s">
        <v>836</v>
      </c>
      <c r="D7" s="18" t="s">
        <v>218</v>
      </c>
      <c r="E7" s="18" t="s">
        <v>1466</v>
      </c>
      <c r="F7" s="18">
        <v>5.94</v>
      </c>
      <c r="G7" s="22">
        <v>1.82</v>
      </c>
      <c r="H7" s="17">
        <v>8.93</v>
      </c>
      <c r="I7" s="25">
        <v>11.560002987080869</v>
      </c>
      <c r="J7" s="24">
        <f>G7/F7*((100-H7)/100)*((100-I7)/100)*100</f>
        <v>24.677945388719046</v>
      </c>
      <c r="K7" s="53">
        <v>4.4942748091603058</v>
      </c>
      <c r="L7" s="54">
        <f>J7*10000/K7</f>
        <v>54909.738359612653</v>
      </c>
      <c r="M7" s="55">
        <v>53.8</v>
      </c>
      <c r="N7" s="55">
        <v>19</v>
      </c>
      <c r="O7" s="56">
        <v>40.89</v>
      </c>
      <c r="P7" s="55">
        <v>51.2</v>
      </c>
      <c r="Q7" s="17">
        <v>55</v>
      </c>
      <c r="R7" s="17">
        <v>55</v>
      </c>
      <c r="S7" s="17">
        <v>57</v>
      </c>
      <c r="T7" s="17">
        <v>57</v>
      </c>
      <c r="U7" s="17">
        <v>60</v>
      </c>
      <c r="V7" s="17">
        <v>61</v>
      </c>
      <c r="W7" s="17">
        <v>65</v>
      </c>
      <c r="X7" s="2">
        <v>110</v>
      </c>
    </row>
    <row r="8" spans="1:24" s="2" customFormat="1" x14ac:dyDescent="0.25">
      <c r="A8" s="16" t="s">
        <v>1306</v>
      </c>
      <c r="B8" s="17" t="s">
        <v>10</v>
      </c>
      <c r="C8" s="17" t="s">
        <v>836</v>
      </c>
      <c r="D8" s="18" t="s">
        <v>246</v>
      </c>
      <c r="E8" s="18" t="s">
        <v>1616</v>
      </c>
      <c r="F8" s="18">
        <v>5.94</v>
      </c>
      <c r="G8" s="22">
        <v>1.76</v>
      </c>
      <c r="H8" s="17">
        <v>7.69</v>
      </c>
      <c r="I8" s="25">
        <v>9.0501071811361147</v>
      </c>
      <c r="J8" s="24">
        <f>G8/F8*((100-H8)/100)*((100-I8)/100)*100</f>
        <v>24.875806240323925</v>
      </c>
      <c r="K8" s="53">
        <v>3.9383846794338053</v>
      </c>
      <c r="L8" s="54">
        <f>J8*10000/K8</f>
        <v>63162.459396678714</v>
      </c>
      <c r="M8" s="55">
        <v>52</v>
      </c>
      <c r="N8" s="55">
        <v>17.100000000000001</v>
      </c>
      <c r="O8" s="56">
        <v>2.5611000000000002</v>
      </c>
      <c r="P8" s="55">
        <v>18.5</v>
      </c>
      <c r="Q8" s="17">
        <v>55</v>
      </c>
      <c r="R8" s="17">
        <v>55</v>
      </c>
      <c r="S8" s="17">
        <v>57</v>
      </c>
      <c r="T8" s="17">
        <v>59</v>
      </c>
      <c r="U8" s="17">
        <v>60</v>
      </c>
      <c r="V8" s="17">
        <v>61</v>
      </c>
      <c r="W8" s="17">
        <v>65</v>
      </c>
      <c r="X8" s="2">
        <v>110</v>
      </c>
    </row>
    <row r="9" spans="1:24" s="3" customFormat="1" x14ac:dyDescent="0.25">
      <c r="A9" s="16" t="s">
        <v>911</v>
      </c>
      <c r="B9" s="17" t="s">
        <v>7</v>
      </c>
      <c r="C9" s="17" t="s">
        <v>836</v>
      </c>
      <c r="D9" s="18" t="s">
        <v>246</v>
      </c>
      <c r="E9" s="18" t="s">
        <v>1616</v>
      </c>
      <c r="F9" s="18">
        <v>5.94</v>
      </c>
      <c r="G9" s="22">
        <v>2.06</v>
      </c>
      <c r="H9" s="17">
        <v>8.93</v>
      </c>
      <c r="I9" s="25">
        <v>5.6378915202444677</v>
      </c>
      <c r="J9" s="24">
        <f>G9/F9*((100-H9)/100)*((100-I9)/100)*100</f>
        <v>29.802572174508001</v>
      </c>
      <c r="K9" s="53">
        <v>3.7846153846153845</v>
      </c>
      <c r="L9" s="54">
        <f>J9*10000/K9</f>
        <v>78746.63379443172</v>
      </c>
      <c r="M9" s="55">
        <v>52</v>
      </c>
      <c r="N9" s="55">
        <v>17.100000000000001</v>
      </c>
      <c r="O9" s="56">
        <v>2.7553999999999998</v>
      </c>
      <c r="P9" s="55">
        <v>15.6</v>
      </c>
      <c r="Q9" s="17">
        <v>55</v>
      </c>
      <c r="R9" s="17">
        <v>55</v>
      </c>
      <c r="S9" s="17">
        <v>57</v>
      </c>
      <c r="T9" s="17">
        <v>59</v>
      </c>
      <c r="U9" s="17">
        <v>60</v>
      </c>
      <c r="V9" s="17">
        <v>61</v>
      </c>
      <c r="W9" s="17">
        <v>63</v>
      </c>
      <c r="X9" s="3">
        <v>110</v>
      </c>
    </row>
    <row r="10" spans="1:24" s="3" customFormat="1" x14ac:dyDescent="0.25">
      <c r="A10" s="16" t="s">
        <v>924</v>
      </c>
      <c r="B10" s="17" t="s">
        <v>7</v>
      </c>
      <c r="C10" s="17" t="s">
        <v>836</v>
      </c>
      <c r="D10" s="18" t="s">
        <v>220</v>
      </c>
      <c r="E10" s="18" t="s">
        <v>1642</v>
      </c>
      <c r="F10" s="18">
        <v>5.94</v>
      </c>
      <c r="G10" s="22">
        <v>1.65</v>
      </c>
      <c r="H10" s="17">
        <v>8.93</v>
      </c>
      <c r="I10" s="25">
        <v>7.5261937135087553</v>
      </c>
      <c r="J10" s="24">
        <f>G10/F10*((100-H10)/100)*((100-I10)/100)*100</f>
        <v>23.39330427364099</v>
      </c>
      <c r="K10" s="53">
        <v>3.698424606151538</v>
      </c>
      <c r="L10" s="54">
        <f>J10*10000/K10</f>
        <v>63252.078289581012</v>
      </c>
      <c r="M10" s="55">
        <v>50.2</v>
      </c>
      <c r="N10" s="55">
        <v>17.3</v>
      </c>
      <c r="O10" s="56">
        <v>2.2555000000000001</v>
      </c>
      <c r="P10" s="55">
        <v>11.3</v>
      </c>
      <c r="Q10" s="17">
        <v>55</v>
      </c>
      <c r="R10" s="17">
        <v>57</v>
      </c>
      <c r="S10" s="17">
        <v>57</v>
      </c>
      <c r="T10" s="17">
        <v>59</v>
      </c>
      <c r="U10" s="17">
        <v>60</v>
      </c>
      <c r="V10" s="17">
        <v>62</v>
      </c>
      <c r="W10" s="17">
        <v>65</v>
      </c>
      <c r="X10" s="3">
        <v>110</v>
      </c>
    </row>
    <row r="11" spans="1:24" s="3" customFormat="1" x14ac:dyDescent="0.25">
      <c r="A11" s="16" t="s">
        <v>1400</v>
      </c>
      <c r="B11" s="17" t="s">
        <v>10</v>
      </c>
      <c r="C11" s="17" t="s">
        <v>836</v>
      </c>
      <c r="D11" s="18" t="s">
        <v>218</v>
      </c>
      <c r="E11" s="18" t="s">
        <v>1466</v>
      </c>
      <c r="F11" s="18">
        <v>5.94</v>
      </c>
      <c r="G11" s="22">
        <v>1.51</v>
      </c>
      <c r="H11" s="17">
        <v>7.69</v>
      </c>
      <c r="I11" s="25">
        <v>12.12931034482758</v>
      </c>
      <c r="J11" s="24">
        <f>G11/F11*((100-H11)/100)*((100-I11)/100)*100</f>
        <v>20.619744910309997</v>
      </c>
      <c r="K11" s="53">
        <v>4.395604395604396</v>
      </c>
      <c r="L11" s="54">
        <f>J11*10000/K11</f>
        <v>46909.919670955234</v>
      </c>
      <c r="M11" s="55">
        <v>56</v>
      </c>
      <c r="N11" s="55">
        <v>18.2</v>
      </c>
      <c r="O11" s="56">
        <v>46.585999999999999</v>
      </c>
      <c r="P11" s="55">
        <v>52.4</v>
      </c>
      <c r="Q11" s="17">
        <v>55</v>
      </c>
      <c r="R11" s="17">
        <v>57</v>
      </c>
      <c r="S11" s="17">
        <v>57</v>
      </c>
      <c r="T11" s="17">
        <v>60</v>
      </c>
      <c r="U11" s="17">
        <v>61</v>
      </c>
      <c r="V11" s="17">
        <v>62</v>
      </c>
      <c r="W11" s="17">
        <v>65</v>
      </c>
      <c r="X11" s="3">
        <v>110</v>
      </c>
    </row>
    <row r="12" spans="1:24" s="3" customFormat="1" x14ac:dyDescent="0.25">
      <c r="A12" s="16" t="s">
        <v>1296</v>
      </c>
      <c r="B12" s="17" t="s">
        <v>10</v>
      </c>
      <c r="C12" s="17" t="s">
        <v>836</v>
      </c>
      <c r="D12" s="18" t="s">
        <v>220</v>
      </c>
      <c r="E12" s="18" t="s">
        <v>1642</v>
      </c>
      <c r="F12" s="18">
        <v>5.94</v>
      </c>
      <c r="G12" s="22">
        <v>1.63</v>
      </c>
      <c r="H12" s="17">
        <v>7.69</v>
      </c>
      <c r="I12" s="25">
        <v>14.858942755409471</v>
      </c>
      <c r="J12" s="24">
        <f>G12/F12*((100-H12)/100)*((100-I12)/100)*100</f>
        <v>21.56696080913213</v>
      </c>
      <c r="K12" s="53">
        <v>3.8730675345809602</v>
      </c>
      <c r="L12" s="54">
        <f>J12*10000/K12</f>
        <v>55684.4429294609</v>
      </c>
      <c r="M12" s="55">
        <v>51</v>
      </c>
      <c r="N12" s="55">
        <v>17.100000000000001</v>
      </c>
      <c r="O12" s="56">
        <v>2.7343000000000002</v>
      </c>
      <c r="P12" s="55">
        <v>13.8</v>
      </c>
      <c r="Q12" s="17">
        <v>57</v>
      </c>
      <c r="R12" s="17">
        <v>57</v>
      </c>
      <c r="S12" s="17">
        <v>57</v>
      </c>
      <c r="T12" s="17">
        <v>60</v>
      </c>
      <c r="U12" s="17">
        <v>61</v>
      </c>
      <c r="V12" s="17">
        <v>62</v>
      </c>
      <c r="W12" s="17">
        <v>65</v>
      </c>
      <c r="X12" s="3">
        <v>106</v>
      </c>
    </row>
    <row r="13" spans="1:24" s="3" customFormat="1" x14ac:dyDescent="0.25">
      <c r="A13" s="16" t="s">
        <v>1014</v>
      </c>
      <c r="B13" s="17" t="s">
        <v>7</v>
      </c>
      <c r="C13" s="17" t="s">
        <v>836</v>
      </c>
      <c r="D13" s="18" t="s">
        <v>272</v>
      </c>
      <c r="E13" s="18" t="s">
        <v>1470</v>
      </c>
      <c r="F13" s="18">
        <v>5.94</v>
      </c>
      <c r="G13" s="22">
        <v>2.17</v>
      </c>
      <c r="H13" s="17">
        <v>8.93</v>
      </c>
      <c r="I13" s="25">
        <v>6.4441795788637268</v>
      </c>
      <c r="J13" s="24">
        <f>G13/F13*((100-H13)/100)*((100-I13)/100)*100</f>
        <v>31.125722201487786</v>
      </c>
      <c r="K13" s="53">
        <v>4.6859903381642516</v>
      </c>
      <c r="L13" s="54">
        <f>J13*10000/K13</f>
        <v>66422.932945443012</v>
      </c>
      <c r="M13" s="55">
        <v>53.7</v>
      </c>
      <c r="N13" s="55">
        <v>18.7</v>
      </c>
      <c r="O13" s="56">
        <v>50.161000000000001</v>
      </c>
      <c r="P13" s="55">
        <v>52.8</v>
      </c>
      <c r="Q13" s="17">
        <v>55</v>
      </c>
      <c r="R13" s="17">
        <v>57</v>
      </c>
      <c r="S13" s="17">
        <v>57</v>
      </c>
      <c r="T13" s="17">
        <v>57</v>
      </c>
      <c r="U13" s="17">
        <v>60</v>
      </c>
      <c r="V13" s="17">
        <v>63</v>
      </c>
      <c r="W13" s="17">
        <v>65</v>
      </c>
      <c r="X13" s="3">
        <v>106</v>
      </c>
    </row>
    <row r="14" spans="1:24" s="3" customFormat="1" x14ac:dyDescent="0.25">
      <c r="A14" s="16" t="s">
        <v>880</v>
      </c>
      <c r="B14" s="17" t="s">
        <v>7</v>
      </c>
      <c r="C14" s="17" t="s">
        <v>836</v>
      </c>
      <c r="D14" s="18" t="s">
        <v>270</v>
      </c>
      <c r="E14" s="18" t="s">
        <v>1690</v>
      </c>
      <c r="F14" s="18">
        <v>5.94</v>
      </c>
      <c r="G14" s="22">
        <v>1.63</v>
      </c>
      <c r="H14" s="17">
        <v>8.93</v>
      </c>
      <c r="I14" s="25">
        <v>7.9092434289366507</v>
      </c>
      <c r="J14" s="24">
        <f>G14/F14*((100-H14)/100)*((100-I14)/100)*100</f>
        <v>23.014022689411757</v>
      </c>
      <c r="K14" s="53">
        <v>4.7623666343355966</v>
      </c>
      <c r="L14" s="54">
        <f>J14*10000/K14</f>
        <v>48324.760474100854</v>
      </c>
      <c r="M14" s="55">
        <v>50.6</v>
      </c>
      <c r="N14" s="55">
        <v>19.2</v>
      </c>
      <c r="O14" s="56">
        <v>31.55</v>
      </c>
      <c r="P14" s="55">
        <v>38.4</v>
      </c>
      <c r="Q14" s="17">
        <v>55</v>
      </c>
      <c r="R14" s="17">
        <v>55</v>
      </c>
      <c r="S14" s="17">
        <v>57</v>
      </c>
      <c r="T14" s="17">
        <v>59</v>
      </c>
      <c r="U14" s="17">
        <v>61</v>
      </c>
      <c r="V14" s="17">
        <v>63</v>
      </c>
      <c r="W14" s="17">
        <v>65</v>
      </c>
      <c r="X14" s="3">
        <v>106</v>
      </c>
    </row>
    <row r="15" spans="1:24" s="3" customFormat="1" x14ac:dyDescent="0.25">
      <c r="A15" s="16" t="s">
        <v>1414</v>
      </c>
      <c r="B15" s="17" t="s">
        <v>10</v>
      </c>
      <c r="C15" s="17" t="s">
        <v>836</v>
      </c>
      <c r="D15" s="18" t="s">
        <v>175</v>
      </c>
      <c r="E15" s="18" t="s">
        <v>1543</v>
      </c>
      <c r="F15" s="18">
        <v>5.94</v>
      </c>
      <c r="G15" s="22">
        <v>1.69</v>
      </c>
      <c r="H15" s="17">
        <v>7.69</v>
      </c>
      <c r="I15" s="25">
        <v>11.223940303100241</v>
      </c>
      <c r="J15" s="24">
        <f>G15/F15*((100-H15)/100)*((100-I15)/100)*100</f>
        <v>23.31550764200199</v>
      </c>
      <c r="K15" s="53">
        <v>4.2881944444444446</v>
      </c>
      <c r="L15" s="54">
        <f>J15*10000/K15</f>
        <v>54371.386242077511</v>
      </c>
      <c r="M15" s="55">
        <v>50</v>
      </c>
      <c r="N15" s="55">
        <v>17.600000000000001</v>
      </c>
      <c r="O15" s="56">
        <v>1.0192000000000001</v>
      </c>
      <c r="P15" s="55">
        <v>18.5</v>
      </c>
      <c r="Q15" s="17">
        <v>55</v>
      </c>
      <c r="R15" s="17">
        <v>55</v>
      </c>
      <c r="S15" s="17">
        <v>55</v>
      </c>
      <c r="T15" s="17">
        <v>60</v>
      </c>
      <c r="U15" s="17">
        <v>61</v>
      </c>
      <c r="V15" s="17">
        <v>63</v>
      </c>
      <c r="W15" s="17">
        <v>65</v>
      </c>
      <c r="X15" s="3">
        <v>106</v>
      </c>
    </row>
    <row r="16" spans="1:24" s="3" customFormat="1" x14ac:dyDescent="0.25">
      <c r="A16" s="66" t="s">
        <v>1258</v>
      </c>
      <c r="B16" s="17" t="s">
        <v>10</v>
      </c>
      <c r="C16" s="17" t="s">
        <v>836</v>
      </c>
      <c r="D16" s="18" t="s">
        <v>139</v>
      </c>
      <c r="E16" s="18" t="s">
        <v>1864</v>
      </c>
      <c r="F16" s="18">
        <v>5.94</v>
      </c>
      <c r="G16" s="22">
        <v>1.44</v>
      </c>
      <c r="H16" s="17">
        <v>7.69</v>
      </c>
      <c r="I16" s="25">
        <v>15.320801341452652</v>
      </c>
      <c r="J16" s="24">
        <f>G16/F16*((100-H16)/100)*((100-I16)/100)*100</f>
        <v>18.949665037989103</v>
      </c>
      <c r="K16" s="53">
        <v>5.1769911504424782</v>
      </c>
      <c r="L16" s="54">
        <f>J16*10000/K16</f>
        <v>36603.626483637068</v>
      </c>
      <c r="M16" s="55">
        <v>46.1</v>
      </c>
      <c r="N16" s="55">
        <v>21.5</v>
      </c>
      <c r="O16" s="56">
        <v>13.933999999999999</v>
      </c>
      <c r="P16" s="55">
        <v>71</v>
      </c>
      <c r="Q16" s="17">
        <v>55</v>
      </c>
      <c r="R16" s="17">
        <v>55</v>
      </c>
      <c r="S16" s="17">
        <v>57</v>
      </c>
      <c r="T16" s="17">
        <v>60</v>
      </c>
      <c r="U16" s="17">
        <v>61</v>
      </c>
      <c r="V16" s="17">
        <v>64</v>
      </c>
      <c r="W16" s="17">
        <v>65</v>
      </c>
      <c r="X16" s="3">
        <v>106</v>
      </c>
    </row>
    <row r="17" spans="1:24" s="3" customFormat="1" x14ac:dyDescent="0.25">
      <c r="A17" s="16" t="s">
        <v>1344</v>
      </c>
      <c r="B17" s="17" t="s">
        <v>10</v>
      </c>
      <c r="C17" s="17" t="s">
        <v>836</v>
      </c>
      <c r="D17" s="18" t="s">
        <v>177</v>
      </c>
      <c r="E17" s="18" t="s">
        <v>1698</v>
      </c>
      <c r="F17" s="18">
        <v>5.94</v>
      </c>
      <c r="G17" s="22">
        <v>1.6</v>
      </c>
      <c r="H17" s="17">
        <v>7.69</v>
      </c>
      <c r="I17" s="25">
        <v>10.894793098182927</v>
      </c>
      <c r="J17" s="24">
        <f>G17/F17*((100-H17)/100)*((100-I17)/100)*100</f>
        <v>22.155694677728572</v>
      </c>
      <c r="K17" s="53">
        <v>4.8377581120943951</v>
      </c>
      <c r="L17" s="54">
        <f>J17*10000/K17</f>
        <v>45797.442047256016</v>
      </c>
      <c r="M17" s="55">
        <v>49.9</v>
      </c>
      <c r="N17" s="55">
        <v>20.7</v>
      </c>
      <c r="O17" s="56">
        <v>47.44</v>
      </c>
      <c r="P17" s="55">
        <v>67.099999999999994</v>
      </c>
      <c r="Q17" s="17">
        <v>55</v>
      </c>
      <c r="R17" s="17">
        <v>55</v>
      </c>
      <c r="S17" s="17">
        <v>57</v>
      </c>
      <c r="T17" s="17">
        <v>60</v>
      </c>
      <c r="U17" s="17">
        <v>62</v>
      </c>
      <c r="V17" s="17">
        <v>64</v>
      </c>
      <c r="W17" s="17">
        <v>65</v>
      </c>
      <c r="X17" s="3">
        <v>106</v>
      </c>
    </row>
    <row r="18" spans="1:24" s="3" customFormat="1" x14ac:dyDescent="0.25">
      <c r="A18" s="16" t="s">
        <v>1395</v>
      </c>
      <c r="B18" s="17" t="s">
        <v>10</v>
      </c>
      <c r="C18" s="17" t="s">
        <v>836</v>
      </c>
      <c r="D18" s="18" t="s">
        <v>270</v>
      </c>
      <c r="E18" s="18" t="s">
        <v>1690</v>
      </c>
      <c r="F18" s="18">
        <v>5.94</v>
      </c>
      <c r="G18" s="22">
        <v>1.63</v>
      </c>
      <c r="H18" s="17">
        <v>7.69</v>
      </c>
      <c r="I18" s="25">
        <v>19.791427037803849</v>
      </c>
      <c r="J18" s="24">
        <f>G18/F18*((100-H18)/100)*((100-I18)/100)*100</f>
        <v>20.317520190789111</v>
      </c>
      <c r="K18" s="53">
        <v>4.9746192893401018</v>
      </c>
      <c r="L18" s="54">
        <f>J18*10000/K18</f>
        <v>40842.362016178107</v>
      </c>
      <c r="M18" s="55">
        <v>50.9</v>
      </c>
      <c r="N18" s="55">
        <v>20.2</v>
      </c>
      <c r="O18" s="56">
        <v>44.329000000000001</v>
      </c>
      <c r="P18" s="55">
        <v>61.5</v>
      </c>
      <c r="Q18" s="17">
        <v>55</v>
      </c>
      <c r="R18" s="17">
        <v>55</v>
      </c>
      <c r="S18" s="17">
        <v>57</v>
      </c>
      <c r="T18" s="17">
        <v>59</v>
      </c>
      <c r="U18" s="17">
        <v>61</v>
      </c>
      <c r="V18" s="17">
        <v>65</v>
      </c>
      <c r="W18" s="17">
        <v>65</v>
      </c>
      <c r="X18" s="3">
        <v>106</v>
      </c>
    </row>
    <row r="19" spans="1:24" s="3" customFormat="1" x14ac:dyDescent="0.25">
      <c r="A19" s="16" t="s">
        <v>1338</v>
      </c>
      <c r="B19" s="17" t="s">
        <v>10</v>
      </c>
      <c r="C19" s="17" t="s">
        <v>836</v>
      </c>
      <c r="D19" s="18" t="s">
        <v>272</v>
      </c>
      <c r="E19" s="18" t="s">
        <v>1470</v>
      </c>
      <c r="F19" s="18">
        <v>5.94</v>
      </c>
      <c r="G19" s="22">
        <v>2.71</v>
      </c>
      <c r="H19" s="17">
        <v>7.69</v>
      </c>
      <c r="I19" s="25">
        <v>18.422466047725017</v>
      </c>
      <c r="J19" s="24">
        <f>G19/F19*((100-H19)/100)*((100-I19)/100)*100</f>
        <v>34.355966416253374</v>
      </c>
      <c r="K19" s="53">
        <v>4.7773279352226723</v>
      </c>
      <c r="L19" s="54">
        <f>J19*10000/K19</f>
        <v>71914.607667920194</v>
      </c>
      <c r="M19" s="55">
        <v>54.3</v>
      </c>
      <c r="N19" s="55">
        <v>18.399999999999999</v>
      </c>
      <c r="O19" s="56">
        <v>50.505000000000003</v>
      </c>
      <c r="P19" s="55">
        <v>55.1</v>
      </c>
      <c r="Q19" s="17">
        <v>55</v>
      </c>
      <c r="R19" s="17">
        <v>57</v>
      </c>
      <c r="S19" s="17">
        <v>57</v>
      </c>
      <c r="T19" s="17">
        <v>60</v>
      </c>
      <c r="U19" s="17">
        <v>61</v>
      </c>
      <c r="V19" s="17">
        <v>65</v>
      </c>
      <c r="W19" s="17">
        <v>65</v>
      </c>
      <c r="X19" s="3">
        <v>106</v>
      </c>
    </row>
    <row r="20" spans="1:24" s="3" customFormat="1" x14ac:dyDescent="0.25">
      <c r="A20" s="16" t="s">
        <v>983</v>
      </c>
      <c r="B20" s="17" t="s">
        <v>7</v>
      </c>
      <c r="C20" s="17" t="s">
        <v>836</v>
      </c>
      <c r="D20" s="18" t="s">
        <v>177</v>
      </c>
      <c r="E20" s="18" t="s">
        <v>1698</v>
      </c>
      <c r="F20" s="18">
        <v>5.94</v>
      </c>
      <c r="G20" s="22">
        <v>1.65</v>
      </c>
      <c r="H20" s="17">
        <v>8.93</v>
      </c>
      <c r="I20" s="25">
        <v>10.502283105022835</v>
      </c>
      <c r="J20" s="24">
        <f>G20/F20*((100-H20)/100)*((100-I20)/100)*100</f>
        <v>22.640436326737689</v>
      </c>
      <c r="K20" s="53">
        <v>4.9839572192513373</v>
      </c>
      <c r="L20" s="54">
        <f>J20*10000/K20</f>
        <v>45426.626535407158</v>
      </c>
      <c r="M20" s="55">
        <v>50.4</v>
      </c>
      <c r="N20" s="55">
        <v>21.4</v>
      </c>
      <c r="O20" s="56">
        <v>49.015999999999998</v>
      </c>
      <c r="P20" s="55">
        <v>71.5</v>
      </c>
      <c r="Q20" s="17">
        <v>55</v>
      </c>
      <c r="R20" s="17">
        <v>57</v>
      </c>
      <c r="S20" s="17">
        <v>57</v>
      </c>
      <c r="T20" s="17">
        <v>60</v>
      </c>
      <c r="U20" s="17">
        <v>61</v>
      </c>
      <c r="V20" s="17">
        <v>65</v>
      </c>
      <c r="W20" s="17">
        <v>67</v>
      </c>
      <c r="X20" s="3">
        <v>106</v>
      </c>
    </row>
    <row r="21" spans="1:24" s="3" customFormat="1" x14ac:dyDescent="0.25">
      <c r="A21" s="16" t="s">
        <v>864</v>
      </c>
      <c r="B21" s="17" t="s">
        <v>7</v>
      </c>
      <c r="C21" s="17" t="s">
        <v>836</v>
      </c>
      <c r="D21" s="18" t="s">
        <v>233</v>
      </c>
      <c r="E21" s="18" t="s">
        <v>1694</v>
      </c>
      <c r="F21" s="18">
        <v>5.94</v>
      </c>
      <c r="G21" s="22">
        <v>1.6</v>
      </c>
      <c r="H21" s="17">
        <v>8.93</v>
      </c>
      <c r="I21" s="25">
        <v>8.5495330087012</v>
      </c>
      <c r="J21" s="24">
        <f>G21/F21*((100-H21)/100)*((100-I21)/100)*100</f>
        <v>22.433384589623113</v>
      </c>
      <c r="K21" s="53">
        <v>4.5395948434622468</v>
      </c>
      <c r="L21" s="54">
        <f>J21*10000/K21</f>
        <v>49417.15144894665</v>
      </c>
      <c r="M21" s="55">
        <v>49.1</v>
      </c>
      <c r="N21" s="55">
        <v>21.1</v>
      </c>
      <c r="O21" s="56">
        <v>50.597999999999999</v>
      </c>
      <c r="P21" s="55">
        <v>65.099999999999994</v>
      </c>
      <c r="Q21" s="17">
        <v>55</v>
      </c>
      <c r="R21" s="17">
        <v>57</v>
      </c>
      <c r="S21" s="17">
        <v>57</v>
      </c>
      <c r="T21" s="17">
        <v>60</v>
      </c>
      <c r="U21" s="17">
        <v>62</v>
      </c>
      <c r="V21" s="17">
        <v>65</v>
      </c>
      <c r="W21" s="17">
        <v>65</v>
      </c>
      <c r="X21" s="3">
        <v>106</v>
      </c>
    </row>
    <row r="22" spans="1:24" s="3" customFormat="1" x14ac:dyDescent="0.25">
      <c r="A22" s="16" t="s">
        <v>923</v>
      </c>
      <c r="B22" s="17" t="s">
        <v>7</v>
      </c>
      <c r="C22" s="17" t="s">
        <v>836</v>
      </c>
      <c r="D22" s="18" t="s">
        <v>299</v>
      </c>
      <c r="E22" s="18" t="s">
        <v>1674</v>
      </c>
      <c r="F22" s="18">
        <v>5.94</v>
      </c>
      <c r="G22" s="22">
        <v>1.93</v>
      </c>
      <c r="H22" s="17">
        <v>8.93</v>
      </c>
      <c r="I22" s="25">
        <v>4.8429319371727733</v>
      </c>
      <c r="J22" s="24">
        <f>G22/F22*((100-H22)/100)*((100-I22)/100)*100</f>
        <v>28.157056538332707</v>
      </c>
      <c r="K22" s="53">
        <v>4.5541706615532123</v>
      </c>
      <c r="L22" s="54">
        <f>J22*10000/K22</f>
        <v>61826.968356802128</v>
      </c>
      <c r="M22" s="55">
        <v>48.6</v>
      </c>
      <c r="N22" s="55">
        <v>19.3</v>
      </c>
      <c r="O22" s="56">
        <v>4.2826000000000004</v>
      </c>
      <c r="P22" s="55">
        <v>14.5</v>
      </c>
      <c r="Q22" s="17">
        <v>57</v>
      </c>
      <c r="R22" s="17">
        <v>57</v>
      </c>
      <c r="S22" s="17">
        <v>57</v>
      </c>
      <c r="T22" s="17">
        <v>60</v>
      </c>
      <c r="U22" s="17">
        <v>62</v>
      </c>
      <c r="V22" s="17">
        <v>65</v>
      </c>
      <c r="W22" s="17">
        <v>65</v>
      </c>
      <c r="X22" s="3">
        <v>106</v>
      </c>
    </row>
    <row r="23" spans="1:24" s="3" customFormat="1" x14ac:dyDescent="0.25">
      <c r="A23" s="16" t="s">
        <v>990</v>
      </c>
      <c r="B23" s="17" t="s">
        <v>7</v>
      </c>
      <c r="C23" s="17" t="s">
        <v>836</v>
      </c>
      <c r="D23" s="18" t="s">
        <v>249</v>
      </c>
      <c r="E23" s="18" t="s">
        <v>1688</v>
      </c>
      <c r="F23" s="18">
        <v>5.94</v>
      </c>
      <c r="G23" s="22">
        <v>1.91</v>
      </c>
      <c r="H23" s="17">
        <v>8.93</v>
      </c>
      <c r="I23" s="25">
        <v>6.7084639498432512</v>
      </c>
      <c r="J23" s="24">
        <f>G23/F23*((100-H23)/100)*((100-I23)/100)*100</f>
        <v>27.318981412874834</v>
      </c>
      <c r="K23" s="53">
        <v>5.0905218317358889</v>
      </c>
      <c r="L23" s="54">
        <f>J23*10000/K23</f>
        <v>53666.367252488431</v>
      </c>
      <c r="M23" s="55">
        <v>48.1</v>
      </c>
      <c r="N23" s="55">
        <v>20.100000000000001</v>
      </c>
      <c r="O23" s="56">
        <v>36.622999999999998</v>
      </c>
      <c r="P23" s="55">
        <v>56.7</v>
      </c>
      <c r="Q23" s="17">
        <v>57</v>
      </c>
      <c r="R23" s="17">
        <v>57</v>
      </c>
      <c r="S23" s="17">
        <v>57</v>
      </c>
      <c r="T23" s="17">
        <v>60</v>
      </c>
      <c r="U23" s="17">
        <v>62</v>
      </c>
      <c r="V23" s="17">
        <v>65</v>
      </c>
      <c r="W23" s="17">
        <v>67</v>
      </c>
      <c r="X23" s="3">
        <v>106</v>
      </c>
    </row>
    <row r="24" spans="1:24" s="3" customFormat="1" x14ac:dyDescent="0.25">
      <c r="A24" s="66" t="s">
        <v>1027</v>
      </c>
      <c r="B24" s="17" t="s">
        <v>7</v>
      </c>
      <c r="C24" s="17" t="s">
        <v>836</v>
      </c>
      <c r="D24" s="18" t="s">
        <v>139</v>
      </c>
      <c r="E24" s="18" t="s">
        <v>1864</v>
      </c>
      <c r="F24" s="18">
        <v>5.94</v>
      </c>
      <c r="G24" s="22">
        <v>1.22</v>
      </c>
      <c r="H24" s="17">
        <v>8.93</v>
      </c>
      <c r="I24" s="25">
        <v>11.216743040831682</v>
      </c>
      <c r="J24" s="24">
        <f>G24/F24*((100-H24)/100)*((100-I24)/100)*100</f>
        <v>16.606564440658548</v>
      </c>
      <c r="K24" s="53">
        <v>4.9521785334750268</v>
      </c>
      <c r="L24" s="54">
        <f>J24*10000/K24</f>
        <v>33533.856520728958</v>
      </c>
      <c r="M24" s="55">
        <v>46.3</v>
      </c>
      <c r="N24" s="55">
        <v>20.3</v>
      </c>
      <c r="O24" s="56">
        <v>13.15</v>
      </c>
      <c r="P24" s="55">
        <v>63.9</v>
      </c>
      <c r="Q24" s="17">
        <v>55</v>
      </c>
      <c r="R24" s="17">
        <v>57</v>
      </c>
      <c r="S24" s="17">
        <v>57</v>
      </c>
      <c r="T24" s="17">
        <v>61</v>
      </c>
      <c r="U24" s="17">
        <v>62</v>
      </c>
      <c r="V24" s="17">
        <v>65</v>
      </c>
      <c r="W24" s="17">
        <v>65</v>
      </c>
      <c r="X24" s="3">
        <v>106</v>
      </c>
    </row>
    <row r="25" spans="1:24" s="3" customFormat="1" x14ac:dyDescent="0.25">
      <c r="A25" s="16" t="s">
        <v>960</v>
      </c>
      <c r="B25" s="17" t="s">
        <v>7</v>
      </c>
      <c r="C25" s="17" t="s">
        <v>836</v>
      </c>
      <c r="D25" s="18" t="s">
        <v>292</v>
      </c>
      <c r="E25" s="18" t="s">
        <v>1602</v>
      </c>
      <c r="F25" s="18">
        <v>5.94</v>
      </c>
      <c r="G25" s="22">
        <v>2.2000000000000002</v>
      </c>
      <c r="H25" s="17">
        <v>8.93</v>
      </c>
      <c r="I25" s="25">
        <v>12.300073069741012</v>
      </c>
      <c r="J25" s="24">
        <f>G25/F25*((100-H25)/100)*((100-I25)/100)*100</f>
        <v>29.580860539032166</v>
      </c>
      <c r="K25" s="53">
        <v>4.168141592920354</v>
      </c>
      <c r="L25" s="54">
        <f>J25*10000/K25</f>
        <v>70968.943543750196</v>
      </c>
      <c r="M25" s="55">
        <v>53.4</v>
      </c>
      <c r="N25" s="55">
        <v>18.8</v>
      </c>
      <c r="O25" s="56">
        <v>26.864000000000001</v>
      </c>
      <c r="P25" s="55">
        <v>14</v>
      </c>
      <c r="Q25" s="17">
        <v>57</v>
      </c>
      <c r="R25" s="17">
        <v>57</v>
      </c>
      <c r="S25" s="17">
        <v>57</v>
      </c>
      <c r="T25" s="17">
        <v>61</v>
      </c>
      <c r="U25" s="17">
        <v>62</v>
      </c>
      <c r="V25" s="17">
        <v>65</v>
      </c>
      <c r="W25" s="17">
        <v>67</v>
      </c>
      <c r="X25" s="3">
        <v>103</v>
      </c>
    </row>
    <row r="26" spans="1:24" s="3" customFormat="1" x14ac:dyDescent="0.25">
      <c r="A26" s="16" t="s">
        <v>1000</v>
      </c>
      <c r="B26" s="17" t="s">
        <v>7</v>
      </c>
      <c r="C26" s="17" t="s">
        <v>836</v>
      </c>
      <c r="D26" s="18" t="s">
        <v>52</v>
      </c>
      <c r="E26" s="18" t="s">
        <v>1576</v>
      </c>
      <c r="F26" s="18">
        <v>5.94</v>
      </c>
      <c r="G26" s="22">
        <v>2.1</v>
      </c>
      <c r="H26" s="17">
        <v>8.93</v>
      </c>
      <c r="I26" s="25">
        <v>8.399209486166006</v>
      </c>
      <c r="J26" s="24">
        <f>G26/F26*((100-H26)/100)*((100-I26)/100)*100</f>
        <v>29.492216133668702</v>
      </c>
      <c r="K26" s="53">
        <v>5.4292343387470998</v>
      </c>
      <c r="L26" s="54">
        <f>J26*10000/K26</f>
        <v>54321.133135090648</v>
      </c>
      <c r="M26" s="55">
        <v>51.3</v>
      </c>
      <c r="N26" s="55">
        <v>19</v>
      </c>
      <c r="O26" s="56">
        <v>6.3209</v>
      </c>
      <c r="P26" s="55">
        <v>19.399999999999999</v>
      </c>
      <c r="Q26" s="17">
        <v>57</v>
      </c>
      <c r="R26" s="17">
        <v>59</v>
      </c>
      <c r="S26" s="17">
        <v>60</v>
      </c>
      <c r="T26" s="17">
        <v>61</v>
      </c>
      <c r="U26" s="17">
        <v>62</v>
      </c>
      <c r="V26" s="17">
        <v>65</v>
      </c>
      <c r="W26" s="17">
        <v>65</v>
      </c>
      <c r="X26" s="3">
        <v>103</v>
      </c>
    </row>
    <row r="27" spans="1:24" s="3" customFormat="1" x14ac:dyDescent="0.25">
      <c r="A27" s="16" t="s">
        <v>876</v>
      </c>
      <c r="B27" s="17" t="s">
        <v>7</v>
      </c>
      <c r="C27" s="17" t="s">
        <v>836</v>
      </c>
      <c r="D27" s="18" t="s">
        <v>278</v>
      </c>
      <c r="E27" s="18" t="s">
        <v>1596</v>
      </c>
      <c r="F27" s="18">
        <v>5.94</v>
      </c>
      <c r="G27" s="22">
        <v>1.91</v>
      </c>
      <c r="H27" s="17">
        <v>8.93</v>
      </c>
      <c r="I27" s="25">
        <v>8.7205041770482215</v>
      </c>
      <c r="J27" s="24">
        <f>G27/F27*((100-H27)/100)*((100-I27)/100)*100</f>
        <v>26.729786595250459</v>
      </c>
      <c r="K27" s="53">
        <v>4.3457943925233646</v>
      </c>
      <c r="L27" s="54">
        <f>J27*10000/K27</f>
        <v>61507.250875092446</v>
      </c>
      <c r="M27" s="55">
        <v>50.3</v>
      </c>
      <c r="N27" s="55">
        <v>16.100000000000001</v>
      </c>
      <c r="O27" s="56">
        <v>3.9481999999999999</v>
      </c>
      <c r="P27" s="55">
        <v>14.8</v>
      </c>
      <c r="Q27" s="17">
        <v>57</v>
      </c>
      <c r="R27" s="17">
        <v>60</v>
      </c>
      <c r="S27" s="17">
        <v>61</v>
      </c>
      <c r="T27" s="17">
        <v>61</v>
      </c>
      <c r="U27" s="17">
        <v>62</v>
      </c>
      <c r="V27" s="17">
        <v>65</v>
      </c>
      <c r="W27" s="17">
        <v>65</v>
      </c>
      <c r="X27" s="3">
        <v>103</v>
      </c>
    </row>
    <row r="28" spans="1:24" s="3" customFormat="1" x14ac:dyDescent="0.25">
      <c r="A28" s="16" t="s">
        <v>926</v>
      </c>
      <c r="B28" s="17" t="s">
        <v>7</v>
      </c>
      <c r="C28" s="17" t="s">
        <v>836</v>
      </c>
      <c r="D28" s="18" t="s">
        <v>171</v>
      </c>
      <c r="E28" s="18" t="s">
        <v>1484</v>
      </c>
      <c r="F28" s="18">
        <v>5.94</v>
      </c>
      <c r="G28" s="22">
        <v>1.5</v>
      </c>
      <c r="H28" s="17">
        <v>8.93</v>
      </c>
      <c r="I28" s="25">
        <v>6.836101967388803</v>
      </c>
      <c r="J28" s="24">
        <f>G28/F28*((100-H28)/100)*((100-I28)/100)*100</f>
        <v>21.425343923812878</v>
      </c>
      <c r="K28" s="53">
        <v>5.4474272930648766</v>
      </c>
      <c r="L28" s="54">
        <f>J28*10000/K28</f>
        <v>39331.124164042536</v>
      </c>
      <c r="M28" s="55">
        <v>48.2</v>
      </c>
      <c r="N28" s="55">
        <v>20.5</v>
      </c>
      <c r="O28" s="56">
        <v>36.625</v>
      </c>
      <c r="P28" s="55">
        <v>54.5</v>
      </c>
      <c r="Q28" s="17">
        <v>57</v>
      </c>
      <c r="R28" s="17">
        <v>57</v>
      </c>
      <c r="S28" s="17">
        <v>57</v>
      </c>
      <c r="T28" s="17">
        <v>60</v>
      </c>
      <c r="U28" s="17">
        <v>63</v>
      </c>
      <c r="V28" s="17">
        <v>65</v>
      </c>
      <c r="W28" s="17">
        <v>65</v>
      </c>
      <c r="X28" s="3">
        <v>103</v>
      </c>
    </row>
    <row r="29" spans="1:24" s="3" customFormat="1" x14ac:dyDescent="0.25">
      <c r="A29" s="16" t="s">
        <v>1006</v>
      </c>
      <c r="B29" s="17" t="s">
        <v>7</v>
      </c>
      <c r="C29" s="17" t="s">
        <v>836</v>
      </c>
      <c r="D29" s="18" t="s">
        <v>274</v>
      </c>
      <c r="E29" s="18" t="s">
        <v>1580</v>
      </c>
      <c r="F29" s="18">
        <v>5.94</v>
      </c>
      <c r="G29" s="22">
        <v>2.09</v>
      </c>
      <c r="H29" s="17">
        <v>8.93</v>
      </c>
      <c r="I29" s="25">
        <v>5.4324686588346607</v>
      </c>
      <c r="J29" s="24">
        <f>G29/F29*((100-H29)/100)*((100-I29)/100)*100</f>
        <v>30.302414167696035</v>
      </c>
      <c r="K29" s="53">
        <v>5.2508361204013374</v>
      </c>
      <c r="L29" s="54">
        <f>J29*10000/K29</f>
        <v>57709.693223828755</v>
      </c>
      <c r="M29" s="55">
        <v>49.1</v>
      </c>
      <c r="N29" s="55">
        <v>17.2</v>
      </c>
      <c r="O29" s="56">
        <v>2.2665999999999999</v>
      </c>
      <c r="P29" s="55">
        <v>25</v>
      </c>
      <c r="Q29" s="17">
        <v>55</v>
      </c>
      <c r="R29" s="17">
        <v>57</v>
      </c>
      <c r="S29" s="17">
        <v>57</v>
      </c>
      <c r="T29" s="17">
        <v>61</v>
      </c>
      <c r="U29" s="17">
        <v>63</v>
      </c>
      <c r="V29" s="17">
        <v>65</v>
      </c>
      <c r="W29" s="17">
        <v>65</v>
      </c>
      <c r="X29" s="3">
        <v>103</v>
      </c>
    </row>
    <row r="30" spans="1:24" s="3" customFormat="1" x14ac:dyDescent="0.25">
      <c r="A30" s="66" t="s">
        <v>1257</v>
      </c>
      <c r="B30" s="17" t="s">
        <v>10</v>
      </c>
      <c r="C30" s="17" t="s">
        <v>836</v>
      </c>
      <c r="D30" s="18" t="s">
        <v>123</v>
      </c>
      <c r="E30" s="18" t="s">
        <v>1850</v>
      </c>
      <c r="F30" s="18">
        <v>5.94</v>
      </c>
      <c r="G30" s="22">
        <v>1.18</v>
      </c>
      <c r="H30" s="17">
        <v>7.69</v>
      </c>
      <c r="I30" s="25">
        <v>16.447985004686032</v>
      </c>
      <c r="J30" s="24">
        <f>G30/F30*((100-H30)/100)*((100-I30)/100)*100</f>
        <v>15.321498442721499</v>
      </c>
      <c r="K30" s="53">
        <v>4.540284360189573</v>
      </c>
      <c r="L30" s="54">
        <f>J30*10000/K30</f>
        <v>33745.680286161129</v>
      </c>
      <c r="M30" s="55">
        <v>48.9</v>
      </c>
      <c r="N30" s="55">
        <v>20.399999999999999</v>
      </c>
      <c r="O30" s="56">
        <v>47.674999999999997</v>
      </c>
      <c r="P30" s="55">
        <v>77.3</v>
      </c>
      <c r="Q30" s="17">
        <v>57</v>
      </c>
      <c r="R30" s="17">
        <v>57</v>
      </c>
      <c r="S30" s="17">
        <v>57</v>
      </c>
      <c r="T30" s="17">
        <v>61</v>
      </c>
      <c r="U30" s="17">
        <v>63</v>
      </c>
      <c r="V30" s="17">
        <v>65</v>
      </c>
      <c r="W30" s="17">
        <v>65</v>
      </c>
      <c r="X30" s="3">
        <v>103</v>
      </c>
    </row>
    <row r="31" spans="1:24" s="3" customFormat="1" x14ac:dyDescent="0.25">
      <c r="A31" s="16" t="s">
        <v>1345</v>
      </c>
      <c r="B31" s="17" t="s">
        <v>10</v>
      </c>
      <c r="C31" s="17" t="s">
        <v>836</v>
      </c>
      <c r="D31" s="18" t="s">
        <v>169</v>
      </c>
      <c r="E31" s="18" t="s">
        <v>1728</v>
      </c>
      <c r="F31" s="18">
        <v>5.94</v>
      </c>
      <c r="G31" s="22">
        <v>2.56</v>
      </c>
      <c r="H31" s="17">
        <v>7.69</v>
      </c>
      <c r="I31" s="25">
        <v>10.678642714570856</v>
      </c>
      <c r="J31" s="24">
        <f>G31/F31*((100-H31)/100)*((100-I31)/100)*100</f>
        <v>35.535103530313108</v>
      </c>
      <c r="K31" s="53">
        <v>5.1300728407908425</v>
      </c>
      <c r="L31" s="54">
        <f>J31*10000/K31</f>
        <v>69268.224122983578</v>
      </c>
      <c r="M31" s="55">
        <v>53.2</v>
      </c>
      <c r="N31" s="55">
        <v>15.8</v>
      </c>
      <c r="O31" s="56">
        <v>3.4438</v>
      </c>
      <c r="P31" s="55">
        <v>14.6</v>
      </c>
      <c r="Q31" s="17">
        <v>57</v>
      </c>
      <c r="R31" s="17">
        <v>57</v>
      </c>
      <c r="S31" s="17">
        <v>59</v>
      </c>
      <c r="T31" s="17">
        <v>61</v>
      </c>
      <c r="U31" s="17">
        <v>63</v>
      </c>
      <c r="V31" s="17">
        <v>65</v>
      </c>
      <c r="W31" s="17">
        <v>67</v>
      </c>
      <c r="X31" s="3">
        <v>103</v>
      </c>
    </row>
    <row r="32" spans="1:24" s="3" customFormat="1" x14ac:dyDescent="0.25">
      <c r="A32" s="16" t="s">
        <v>1372</v>
      </c>
      <c r="B32" s="17" t="s">
        <v>10</v>
      </c>
      <c r="C32" s="17" t="s">
        <v>836</v>
      </c>
      <c r="D32" s="18" t="s">
        <v>299</v>
      </c>
      <c r="E32" s="18" t="s">
        <v>1674</v>
      </c>
      <c r="F32" s="18">
        <v>5.94</v>
      </c>
      <c r="G32" s="22">
        <v>1.8</v>
      </c>
      <c r="H32" s="17">
        <v>7.69</v>
      </c>
      <c r="I32" s="25">
        <v>10.976456966422241</v>
      </c>
      <c r="J32" s="24">
        <f>G32/F32*((100-H32)/100)*((100-I32)/100)*100</f>
        <v>24.902312901301713</v>
      </c>
      <c r="K32" s="53">
        <v>4.7075743048897412</v>
      </c>
      <c r="L32" s="54">
        <f>J32*10000/K32</f>
        <v>52898.395837184697</v>
      </c>
      <c r="M32" s="55">
        <v>49.9</v>
      </c>
      <c r="N32" s="55">
        <v>18.7</v>
      </c>
      <c r="O32" s="56">
        <v>3.6000999999999999</v>
      </c>
      <c r="P32" s="55">
        <v>13.1</v>
      </c>
      <c r="Q32" s="17">
        <v>57</v>
      </c>
      <c r="R32" s="17">
        <v>57</v>
      </c>
      <c r="S32" s="17">
        <v>59</v>
      </c>
      <c r="T32" s="17">
        <v>61</v>
      </c>
      <c r="U32" s="17">
        <v>63</v>
      </c>
      <c r="V32" s="17">
        <v>65</v>
      </c>
      <c r="W32" s="17">
        <v>67</v>
      </c>
      <c r="X32" s="3">
        <v>103</v>
      </c>
    </row>
    <row r="33" spans="1:24" s="3" customFormat="1" x14ac:dyDescent="0.25">
      <c r="A33" s="16" t="s">
        <v>1437</v>
      </c>
      <c r="B33" s="17" t="s">
        <v>10</v>
      </c>
      <c r="C33" s="17" t="s">
        <v>836</v>
      </c>
      <c r="D33" s="18" t="s">
        <v>181</v>
      </c>
      <c r="E33" s="18" t="s">
        <v>1494</v>
      </c>
      <c r="F33" s="18">
        <v>5.94</v>
      </c>
      <c r="G33" s="22">
        <v>1.73</v>
      </c>
      <c r="H33" s="17">
        <v>7.69</v>
      </c>
      <c r="I33" s="25">
        <v>8.2333948339483456</v>
      </c>
      <c r="J33" s="24">
        <f>G33/F33*((100-H33)/100)*((100-I33)/100)*100</f>
        <v>24.671359105352412</v>
      </c>
      <c r="K33" s="53">
        <v>4.8914167528438472</v>
      </c>
      <c r="L33" s="54">
        <f>J33*10000/K33</f>
        <v>50438.063963796572</v>
      </c>
      <c r="M33" s="55">
        <v>48.8</v>
      </c>
      <c r="N33" s="55">
        <v>18.7</v>
      </c>
      <c r="O33" s="56">
        <v>17.59</v>
      </c>
      <c r="P33" s="55">
        <v>45.2</v>
      </c>
      <c r="Q33" s="17">
        <v>57</v>
      </c>
      <c r="R33" s="17">
        <v>57</v>
      </c>
      <c r="S33" s="17">
        <v>59</v>
      </c>
      <c r="T33" s="17">
        <v>61</v>
      </c>
      <c r="U33" s="17">
        <v>63</v>
      </c>
      <c r="V33" s="17">
        <v>65</v>
      </c>
      <c r="W33" s="17">
        <v>67</v>
      </c>
      <c r="X33" s="3">
        <v>103</v>
      </c>
    </row>
    <row r="34" spans="1:24" s="3" customFormat="1" x14ac:dyDescent="0.25">
      <c r="A34" s="16" t="s">
        <v>862</v>
      </c>
      <c r="B34" s="17" t="s">
        <v>7</v>
      </c>
      <c r="C34" s="17" t="s">
        <v>836</v>
      </c>
      <c r="D34" s="18" t="s">
        <v>205</v>
      </c>
      <c r="E34" s="18" t="s">
        <v>1492</v>
      </c>
      <c r="F34" s="18">
        <v>5.94</v>
      </c>
      <c r="G34" s="22">
        <v>1.82</v>
      </c>
      <c r="H34" s="17">
        <v>8.93</v>
      </c>
      <c r="I34" s="25">
        <v>6.0105425559269694</v>
      </c>
      <c r="J34" s="24">
        <f>G34/F34*((100-H34)/100)*((100-I34)/100)*100</f>
        <v>26.226444779066917</v>
      </c>
      <c r="K34" s="53">
        <v>5.3575357535753572</v>
      </c>
      <c r="L34" s="54">
        <f>J34*10000/K34</f>
        <v>48952.440049634148</v>
      </c>
      <c r="M34" s="55">
        <v>50.3</v>
      </c>
      <c r="N34" s="55">
        <v>18.899999999999999</v>
      </c>
      <c r="O34" s="56">
        <v>37.859000000000002</v>
      </c>
      <c r="P34" s="55">
        <v>50.1</v>
      </c>
      <c r="Q34" s="17">
        <v>57</v>
      </c>
      <c r="R34" s="17">
        <v>57</v>
      </c>
      <c r="S34" s="17">
        <v>59</v>
      </c>
      <c r="T34" s="17">
        <v>61</v>
      </c>
      <c r="U34" s="17">
        <v>63</v>
      </c>
      <c r="V34" s="17">
        <v>65</v>
      </c>
      <c r="W34" s="17">
        <v>65</v>
      </c>
      <c r="X34" s="3">
        <v>103</v>
      </c>
    </row>
    <row r="35" spans="1:24" s="3" customFormat="1" x14ac:dyDescent="0.25">
      <c r="A35" s="16" t="s">
        <v>885</v>
      </c>
      <c r="B35" s="17" t="s">
        <v>7</v>
      </c>
      <c r="C35" s="17" t="s">
        <v>836</v>
      </c>
      <c r="D35" s="18" t="s">
        <v>242</v>
      </c>
      <c r="E35" s="18" t="s">
        <v>1458</v>
      </c>
      <c r="F35" s="18">
        <v>5.94</v>
      </c>
      <c r="G35" s="22">
        <v>1.38</v>
      </c>
      <c r="H35" s="17">
        <v>8.93</v>
      </c>
      <c r="I35" s="25">
        <v>8.1640780565511744</v>
      </c>
      <c r="J35" s="24">
        <f>G35/F35*((100-H35)/100)*((100-I35)/100)*100</f>
        <v>19.430347521410841</v>
      </c>
      <c r="K35" s="53">
        <v>4.8739495798319323</v>
      </c>
      <c r="L35" s="54">
        <f>J35*10000/K35</f>
        <v>39865.713018067072</v>
      </c>
      <c r="M35" s="55">
        <v>48.6</v>
      </c>
      <c r="N35" s="55">
        <v>19.399999999999999</v>
      </c>
      <c r="O35" s="56">
        <v>36.195999999999998</v>
      </c>
      <c r="P35" s="55">
        <v>49.5</v>
      </c>
      <c r="Q35" s="17">
        <v>57</v>
      </c>
      <c r="R35" s="17">
        <v>57</v>
      </c>
      <c r="S35" s="17">
        <v>59</v>
      </c>
      <c r="T35" s="17">
        <v>61</v>
      </c>
      <c r="U35" s="17">
        <v>63</v>
      </c>
      <c r="V35" s="17">
        <v>65</v>
      </c>
      <c r="W35" s="17">
        <v>65</v>
      </c>
      <c r="X35" s="3">
        <v>103</v>
      </c>
    </row>
    <row r="36" spans="1:24" s="3" customFormat="1" x14ac:dyDescent="0.25">
      <c r="A36" s="66" t="s">
        <v>1024</v>
      </c>
      <c r="B36" s="17" t="s">
        <v>7</v>
      </c>
      <c r="C36" s="17" t="s">
        <v>836</v>
      </c>
      <c r="D36" s="18" t="s">
        <v>123</v>
      </c>
      <c r="E36" s="18" t="s">
        <v>1850</v>
      </c>
      <c r="F36" s="18">
        <v>5.94</v>
      </c>
      <c r="G36" s="22">
        <v>1.03</v>
      </c>
      <c r="H36" s="17">
        <v>8.93</v>
      </c>
      <c r="I36" s="25">
        <v>6.541740525027433</v>
      </c>
      <c r="J36" s="24">
        <f>G36/F36*((100-H36)/100)*((100-I36)/100)*100</f>
        <v>14.758553873901217</v>
      </c>
      <c r="K36" s="53">
        <v>4.4919278252611585</v>
      </c>
      <c r="L36" s="54">
        <f>J36*10000/K36</f>
        <v>32855.723529002076</v>
      </c>
      <c r="M36" s="55">
        <v>49.3</v>
      </c>
      <c r="N36" s="55">
        <v>19.899999999999999</v>
      </c>
      <c r="O36" s="56">
        <v>48.162999999999997</v>
      </c>
      <c r="P36" s="55">
        <v>68.099999999999994</v>
      </c>
      <c r="Q36" s="17">
        <v>57</v>
      </c>
      <c r="R36" s="17">
        <v>57</v>
      </c>
      <c r="S36" s="17">
        <v>59</v>
      </c>
      <c r="T36" s="17">
        <v>61</v>
      </c>
      <c r="U36" s="17">
        <v>63</v>
      </c>
      <c r="V36" s="17">
        <v>65</v>
      </c>
      <c r="W36" s="17">
        <v>65</v>
      </c>
      <c r="X36" s="3">
        <v>103</v>
      </c>
    </row>
    <row r="37" spans="1:24" s="3" customFormat="1" x14ac:dyDescent="0.25">
      <c r="A37" s="16" t="s">
        <v>908</v>
      </c>
      <c r="B37" s="17" t="s">
        <v>7</v>
      </c>
      <c r="C37" s="17" t="s">
        <v>836</v>
      </c>
      <c r="D37" s="18" t="s">
        <v>190</v>
      </c>
      <c r="E37" s="18" t="s">
        <v>1456</v>
      </c>
      <c r="F37" s="18">
        <v>5.94</v>
      </c>
      <c r="G37" s="22">
        <v>1.49</v>
      </c>
      <c r="H37" s="17">
        <v>8.93</v>
      </c>
      <c r="I37" s="25">
        <v>6.8321566841266126</v>
      </c>
      <c r="J37" s="24">
        <f>G37/F37*((100-H37)/100)*((100-I37)/100)*100</f>
        <v>21.283409564405918</v>
      </c>
      <c r="K37" s="53">
        <v>4.8205128205128203</v>
      </c>
      <c r="L37" s="54">
        <f>J37*10000/K37</f>
        <v>44151.753883608028</v>
      </c>
      <c r="M37" s="55">
        <v>48.3</v>
      </c>
      <c r="N37" s="55">
        <v>21.1</v>
      </c>
      <c r="O37" s="56">
        <v>48.031999999999996</v>
      </c>
      <c r="P37" s="55">
        <v>53.3</v>
      </c>
      <c r="Q37" s="17">
        <v>57</v>
      </c>
      <c r="R37" s="17">
        <v>57</v>
      </c>
      <c r="S37" s="17">
        <v>60</v>
      </c>
      <c r="T37" s="17">
        <v>61</v>
      </c>
      <c r="U37" s="17">
        <v>63</v>
      </c>
      <c r="V37" s="17">
        <v>65</v>
      </c>
      <c r="W37" s="17">
        <v>65</v>
      </c>
      <c r="X37" s="3">
        <v>103</v>
      </c>
    </row>
    <row r="38" spans="1:24" s="3" customFormat="1" x14ac:dyDescent="0.25">
      <c r="A38" s="16" t="s">
        <v>1321</v>
      </c>
      <c r="B38" s="17" t="s">
        <v>10</v>
      </c>
      <c r="C38" s="17" t="s">
        <v>836</v>
      </c>
      <c r="D38" s="18" t="s">
        <v>278</v>
      </c>
      <c r="E38" s="18" t="s">
        <v>1596</v>
      </c>
      <c r="F38" s="18">
        <v>5.94</v>
      </c>
      <c r="G38" s="22">
        <v>2.13</v>
      </c>
      <c r="H38" s="17">
        <v>7.69</v>
      </c>
      <c r="I38" s="25">
        <v>10.119143455160195</v>
      </c>
      <c r="J38" s="24">
        <f>G38/F38*((100-H38)/100)*((100-I38)/100)*100</f>
        <v>29.751516798153816</v>
      </c>
      <c r="K38" s="53">
        <v>4.3339416058394162</v>
      </c>
      <c r="L38" s="54">
        <f>J38*10000/K38</f>
        <v>68647.710338477016</v>
      </c>
      <c r="M38" s="55">
        <v>51.1</v>
      </c>
      <c r="N38" s="55">
        <v>17.3</v>
      </c>
      <c r="O38" s="56">
        <v>3.1579000000000002</v>
      </c>
      <c r="P38" s="55">
        <v>20.7</v>
      </c>
      <c r="Q38" s="17">
        <v>57</v>
      </c>
      <c r="R38" s="17">
        <v>59</v>
      </c>
      <c r="S38" s="17">
        <v>60</v>
      </c>
      <c r="T38" s="17">
        <v>61</v>
      </c>
      <c r="U38" s="17">
        <v>63</v>
      </c>
      <c r="V38" s="17">
        <v>65</v>
      </c>
      <c r="W38" s="17">
        <v>65</v>
      </c>
      <c r="X38" s="3">
        <v>103</v>
      </c>
    </row>
    <row r="39" spans="1:24" s="3" customFormat="1" x14ac:dyDescent="0.25">
      <c r="A39" s="16" t="s">
        <v>1444</v>
      </c>
      <c r="B39" s="17" t="s">
        <v>10</v>
      </c>
      <c r="C39" s="17" t="s">
        <v>836</v>
      </c>
      <c r="D39" s="18" t="s">
        <v>52</v>
      </c>
      <c r="E39" s="18" t="s">
        <v>1576</v>
      </c>
      <c r="F39" s="18">
        <v>5.94</v>
      </c>
      <c r="G39" s="22">
        <v>1.92</v>
      </c>
      <c r="H39" s="17">
        <v>7.69</v>
      </c>
      <c r="I39" s="25">
        <v>8.8866584311303303</v>
      </c>
      <c r="J39" s="24">
        <f>G39/F39*((100-H39)/100)*((100-I39)/100)*100</f>
        <v>27.186012315870258</v>
      </c>
      <c r="K39" s="53">
        <v>5.1960784313725492</v>
      </c>
      <c r="L39" s="54">
        <f>J39*10000/K39</f>
        <v>52320.250117335207</v>
      </c>
      <c r="M39" s="55">
        <v>50.8</v>
      </c>
      <c r="N39" s="55">
        <v>19</v>
      </c>
      <c r="O39" s="56">
        <v>4.2645</v>
      </c>
      <c r="P39" s="55">
        <v>19.399999999999999</v>
      </c>
      <c r="Q39" s="17">
        <v>57</v>
      </c>
      <c r="R39" s="17">
        <v>59</v>
      </c>
      <c r="S39" s="17">
        <v>60</v>
      </c>
      <c r="T39" s="17">
        <v>61</v>
      </c>
      <c r="U39" s="17">
        <v>63</v>
      </c>
      <c r="V39" s="17">
        <v>65</v>
      </c>
      <c r="W39" s="17">
        <v>67</v>
      </c>
      <c r="X39" s="3">
        <v>103</v>
      </c>
    </row>
    <row r="40" spans="1:24" s="3" customFormat="1" x14ac:dyDescent="0.25">
      <c r="A40" s="16" t="s">
        <v>961</v>
      </c>
      <c r="B40" s="17" t="s">
        <v>7</v>
      </c>
      <c r="C40" s="17" t="s">
        <v>836</v>
      </c>
      <c r="D40" s="18" t="s">
        <v>273</v>
      </c>
      <c r="E40" s="18" t="s">
        <v>1539</v>
      </c>
      <c r="F40" s="18">
        <v>5.94</v>
      </c>
      <c r="G40" s="22">
        <v>2.12</v>
      </c>
      <c r="H40" s="17">
        <v>8.93</v>
      </c>
      <c r="I40" s="25">
        <v>5.1104403896281987</v>
      </c>
      <c r="J40" s="24">
        <f>G40/F40*((100-H40)/100)*((100-I40)/100)*100</f>
        <v>30.842046213264489</v>
      </c>
      <c r="K40" s="53">
        <v>5.275080906148867</v>
      </c>
      <c r="L40" s="54">
        <f>J40*10000/K40</f>
        <v>58467.437299992198</v>
      </c>
      <c r="M40" s="55">
        <v>49.5</v>
      </c>
      <c r="N40" s="55">
        <v>17.7</v>
      </c>
      <c r="O40" s="56">
        <v>0.83099999999999996</v>
      </c>
      <c r="P40" s="55">
        <v>13.2</v>
      </c>
      <c r="Q40" s="17">
        <v>55</v>
      </c>
      <c r="R40" s="17">
        <v>57</v>
      </c>
      <c r="S40" s="17">
        <v>59</v>
      </c>
      <c r="T40" s="17">
        <v>62</v>
      </c>
      <c r="U40" s="17">
        <v>63</v>
      </c>
      <c r="V40" s="17">
        <v>65</v>
      </c>
      <c r="W40" s="17">
        <v>67</v>
      </c>
      <c r="X40" s="3">
        <v>103</v>
      </c>
    </row>
    <row r="41" spans="1:24" s="3" customFormat="1" x14ac:dyDescent="0.25">
      <c r="A41" s="16" t="s">
        <v>843</v>
      </c>
      <c r="B41" s="17" t="s">
        <v>7</v>
      </c>
      <c r="C41" s="17" t="s">
        <v>836</v>
      </c>
      <c r="D41" s="18" t="s">
        <v>222</v>
      </c>
      <c r="E41" s="18" t="s">
        <v>1700</v>
      </c>
      <c r="F41" s="18">
        <v>5.94</v>
      </c>
      <c r="G41" s="22">
        <v>1.58</v>
      </c>
      <c r="H41" s="17">
        <v>8.93</v>
      </c>
      <c r="I41" s="25">
        <v>7.8844232690386473</v>
      </c>
      <c r="J41" s="24">
        <f>G41/F41*((100-H41)/100)*((100-I41)/100)*100</f>
        <v>22.314083510377216</v>
      </c>
      <c r="K41" s="53">
        <v>3.5263548626577581</v>
      </c>
      <c r="L41" s="54">
        <f>J41*10000/K41</f>
        <v>63278.04313363813</v>
      </c>
      <c r="M41" s="55">
        <v>51</v>
      </c>
      <c r="N41" s="55">
        <v>18.899999999999999</v>
      </c>
      <c r="O41" s="56">
        <v>47.866999999999997</v>
      </c>
      <c r="P41" s="55">
        <v>58.3</v>
      </c>
      <c r="Q41" s="17">
        <v>55</v>
      </c>
      <c r="R41" s="17">
        <v>57</v>
      </c>
      <c r="S41" s="17">
        <v>60</v>
      </c>
      <c r="T41" s="17">
        <v>62</v>
      </c>
      <c r="U41" s="17">
        <v>63</v>
      </c>
      <c r="V41" s="17">
        <v>65</v>
      </c>
      <c r="W41" s="17">
        <v>65</v>
      </c>
      <c r="X41" s="3">
        <v>103</v>
      </c>
    </row>
    <row r="42" spans="1:24" s="3" customFormat="1" x14ac:dyDescent="0.25">
      <c r="A42" s="16" t="s">
        <v>1007</v>
      </c>
      <c r="B42" s="17" t="s">
        <v>7</v>
      </c>
      <c r="C42" s="17" t="s">
        <v>836</v>
      </c>
      <c r="D42" s="18" t="s">
        <v>218</v>
      </c>
      <c r="E42" s="18" t="s">
        <v>1466</v>
      </c>
      <c r="F42" s="18">
        <v>5.94</v>
      </c>
      <c r="G42" s="22">
        <v>1.1599999999999999</v>
      </c>
      <c r="H42" s="17">
        <v>8.93</v>
      </c>
      <c r="I42" s="25">
        <v>11.271926374577204</v>
      </c>
      <c r="J42" s="24">
        <f>G42/F42*((100-H42)/100)*((100-I42)/100)*100</f>
        <v>15.780033958717194</v>
      </c>
      <c r="K42" s="53">
        <v>5.5581668625146889</v>
      </c>
      <c r="L42" s="54">
        <f>J42*10000/K42</f>
        <v>28390.716488093723</v>
      </c>
      <c r="M42" s="55">
        <v>47.8</v>
      </c>
      <c r="N42" s="55">
        <v>20.9</v>
      </c>
      <c r="O42" s="56">
        <v>43.319000000000003</v>
      </c>
      <c r="P42" s="55">
        <v>66</v>
      </c>
      <c r="Q42" s="17">
        <v>55</v>
      </c>
      <c r="R42" s="17">
        <v>57</v>
      </c>
      <c r="S42" s="17">
        <v>60</v>
      </c>
      <c r="T42" s="17">
        <v>62</v>
      </c>
      <c r="U42" s="17">
        <v>63</v>
      </c>
      <c r="V42" s="17">
        <v>65</v>
      </c>
      <c r="W42" s="17">
        <v>65</v>
      </c>
      <c r="X42" s="3">
        <v>103</v>
      </c>
    </row>
    <row r="43" spans="1:24" s="3" customFormat="1" x14ac:dyDescent="0.25">
      <c r="A43" s="66" t="s">
        <v>1032</v>
      </c>
      <c r="B43" s="17" t="s">
        <v>7</v>
      </c>
      <c r="C43" s="17" t="s">
        <v>836</v>
      </c>
      <c r="D43" s="18" t="s">
        <v>115</v>
      </c>
      <c r="E43" s="18" t="s">
        <v>1834</v>
      </c>
      <c r="F43" s="18">
        <v>5.94</v>
      </c>
      <c r="G43" s="22">
        <v>0.99</v>
      </c>
      <c r="H43" s="17">
        <v>8.93</v>
      </c>
      <c r="I43" s="25">
        <v>10.551167582417587</v>
      </c>
      <c r="J43" s="24">
        <f>G43/F43*((100-H43)/100)*((100-I43)/100)*100</f>
        <v>13.576841947115383</v>
      </c>
      <c r="K43" s="53">
        <v>5.5423122765196666</v>
      </c>
      <c r="L43" s="54">
        <f>J43*10000/K43</f>
        <v>24496.710523935068</v>
      </c>
      <c r="M43" s="55">
        <v>46</v>
      </c>
      <c r="N43" s="55">
        <v>21.5</v>
      </c>
      <c r="O43" s="56">
        <v>8.8627000000000002</v>
      </c>
      <c r="P43" s="55">
        <v>69.2</v>
      </c>
      <c r="Q43" s="17">
        <v>57</v>
      </c>
      <c r="R43" s="17">
        <v>57</v>
      </c>
      <c r="S43" s="17">
        <v>60</v>
      </c>
      <c r="T43" s="17">
        <v>62</v>
      </c>
      <c r="U43" s="17">
        <v>63</v>
      </c>
      <c r="V43" s="17">
        <v>65</v>
      </c>
      <c r="W43" s="17">
        <v>67</v>
      </c>
      <c r="X43" s="3">
        <v>103</v>
      </c>
    </row>
    <row r="44" spans="1:24" s="3" customFormat="1" x14ac:dyDescent="0.25">
      <c r="A44" s="16" t="s">
        <v>996</v>
      </c>
      <c r="B44" s="17" t="s">
        <v>7</v>
      </c>
      <c r="C44" s="17" t="s">
        <v>836</v>
      </c>
      <c r="D44" s="18" t="s">
        <v>169</v>
      </c>
      <c r="E44" s="18" t="s">
        <v>1728</v>
      </c>
      <c r="F44" s="18">
        <v>5.94</v>
      </c>
      <c r="G44" s="22">
        <v>2.23</v>
      </c>
      <c r="H44" s="17">
        <v>8.93</v>
      </c>
      <c r="I44" s="25">
        <v>4.8722473720555577</v>
      </c>
      <c r="J44" s="24">
        <f>G44/F44*((100-H44)/100)*((100-I44)/100)*100</f>
        <v>32.523778254164959</v>
      </c>
      <c r="K44" s="53">
        <v>5.1357220412595002</v>
      </c>
      <c r="L44" s="54">
        <f>J44*10000/K44</f>
        <v>63328.540744367718</v>
      </c>
      <c r="M44" s="55">
        <v>52.8</v>
      </c>
      <c r="N44" s="55">
        <v>16.8</v>
      </c>
      <c r="O44" s="56">
        <v>4.0770999999999997</v>
      </c>
      <c r="P44" s="55">
        <v>21.4</v>
      </c>
      <c r="Q44" s="17">
        <v>57</v>
      </c>
      <c r="R44" s="17">
        <v>59</v>
      </c>
      <c r="S44" s="17">
        <v>60</v>
      </c>
      <c r="T44" s="17">
        <v>62</v>
      </c>
      <c r="U44" s="17">
        <v>63</v>
      </c>
      <c r="V44" s="17">
        <v>65</v>
      </c>
      <c r="W44" s="17">
        <v>67</v>
      </c>
      <c r="X44" s="3">
        <v>103</v>
      </c>
    </row>
    <row r="45" spans="1:24" s="3" customFormat="1" x14ac:dyDescent="0.25">
      <c r="A45" s="16" t="s">
        <v>898</v>
      </c>
      <c r="B45" s="17" t="s">
        <v>7</v>
      </c>
      <c r="C45" s="17" t="s">
        <v>836</v>
      </c>
      <c r="D45" s="18" t="s">
        <v>93</v>
      </c>
      <c r="E45" s="18" t="s">
        <v>1562</v>
      </c>
      <c r="F45" s="18">
        <v>5.94</v>
      </c>
      <c r="G45" s="22">
        <v>2.6</v>
      </c>
      <c r="H45" s="17">
        <v>8.93</v>
      </c>
      <c r="I45" s="25">
        <v>7.5659348754972804</v>
      </c>
      <c r="J45" s="24">
        <f>G45/F45*((100-H45)/100)*((100-I45)/100)*100</f>
        <v>36.846334694124586</v>
      </c>
      <c r="K45" s="53">
        <v>4.5124282982791586</v>
      </c>
      <c r="L45" s="54">
        <f>J45*10000/K45</f>
        <v>81655.224767064225</v>
      </c>
      <c r="M45" s="55">
        <v>52</v>
      </c>
      <c r="N45" s="55">
        <v>15.9</v>
      </c>
      <c r="O45" s="56">
        <v>9.1877E-3</v>
      </c>
      <c r="P45" s="55">
        <v>8.5</v>
      </c>
      <c r="Q45" s="17">
        <v>57</v>
      </c>
      <c r="R45" s="17">
        <v>60</v>
      </c>
      <c r="S45" s="17">
        <v>61</v>
      </c>
      <c r="T45" s="17">
        <v>62</v>
      </c>
      <c r="U45" s="17">
        <v>63</v>
      </c>
      <c r="V45" s="17">
        <v>65</v>
      </c>
      <c r="W45" s="17">
        <v>65</v>
      </c>
      <c r="X45" s="3">
        <v>103</v>
      </c>
    </row>
    <row r="46" spans="1:24" s="3" customFormat="1" x14ac:dyDescent="0.25">
      <c r="A46" s="66" t="s">
        <v>1018</v>
      </c>
      <c r="B46" s="17" t="s">
        <v>7</v>
      </c>
      <c r="C46" s="17" t="s">
        <v>836</v>
      </c>
      <c r="D46" s="18" t="s">
        <v>117</v>
      </c>
      <c r="E46" s="18" t="s">
        <v>1854</v>
      </c>
      <c r="F46" s="18">
        <v>5.94</v>
      </c>
      <c r="G46" s="22">
        <v>0.87</v>
      </c>
      <c r="H46" s="17">
        <v>8.93</v>
      </c>
      <c r="I46" s="25">
        <v>8.7619047619047681</v>
      </c>
      <c r="J46" s="24">
        <f>G46/F46*((100-H46)/100)*((100-I46)/100)*100</f>
        <v>12.169825589225587</v>
      </c>
      <c r="K46" s="53">
        <v>4.71976401179941</v>
      </c>
      <c r="L46" s="54">
        <f>J46*10000/K46</f>
        <v>25784.817967171712</v>
      </c>
      <c r="M46" s="55">
        <v>44.6</v>
      </c>
      <c r="N46" s="55">
        <v>21.7</v>
      </c>
      <c r="O46" s="56">
        <v>43.154000000000003</v>
      </c>
      <c r="P46" s="55">
        <v>59.4</v>
      </c>
      <c r="Q46" s="17">
        <v>57</v>
      </c>
      <c r="R46" s="17">
        <v>60</v>
      </c>
      <c r="S46" s="17">
        <v>61</v>
      </c>
      <c r="T46" s="17">
        <v>62</v>
      </c>
      <c r="U46" s="17">
        <v>63</v>
      </c>
      <c r="V46" s="17">
        <v>65</v>
      </c>
      <c r="W46" s="17">
        <v>65</v>
      </c>
      <c r="X46" s="3">
        <v>103</v>
      </c>
    </row>
    <row r="47" spans="1:24" s="3" customFormat="1" x14ac:dyDescent="0.25">
      <c r="A47" s="16" t="s">
        <v>949</v>
      </c>
      <c r="B47" s="17" t="s">
        <v>7</v>
      </c>
      <c r="C47" s="17" t="s">
        <v>836</v>
      </c>
      <c r="D47" s="18" t="s">
        <v>191</v>
      </c>
      <c r="E47" s="18" t="s">
        <v>1702</v>
      </c>
      <c r="F47" s="18">
        <v>5.94</v>
      </c>
      <c r="G47" s="22">
        <v>1.67</v>
      </c>
      <c r="H47" s="17">
        <v>8.93</v>
      </c>
      <c r="I47" s="25">
        <v>4.72602739726028</v>
      </c>
      <c r="J47" s="24">
        <f>G47/F47*((100-H47)/100)*((100-I47)/100)*100</f>
        <v>24.393810006457262</v>
      </c>
      <c r="K47" s="53">
        <v>4.6400778210116735</v>
      </c>
      <c r="L47" s="54">
        <f>J47*10000/K47</f>
        <v>52571.984668004327</v>
      </c>
      <c r="M47" s="55">
        <v>50.8</v>
      </c>
      <c r="N47" s="55">
        <v>19.600000000000001</v>
      </c>
      <c r="O47" s="56">
        <v>45.505000000000003</v>
      </c>
      <c r="P47" s="55">
        <v>43.9</v>
      </c>
      <c r="Q47" s="17">
        <v>55</v>
      </c>
      <c r="R47" s="17">
        <v>57</v>
      </c>
      <c r="S47" s="17">
        <v>57</v>
      </c>
      <c r="T47" s="17">
        <v>61</v>
      </c>
      <c r="U47" s="17">
        <v>64</v>
      </c>
      <c r="V47" s="17">
        <v>65</v>
      </c>
      <c r="W47" s="17">
        <v>67</v>
      </c>
      <c r="X47" s="3">
        <v>103</v>
      </c>
    </row>
    <row r="48" spans="1:24" s="3" customFormat="1" x14ac:dyDescent="0.25">
      <c r="A48" s="16" t="s">
        <v>841</v>
      </c>
      <c r="B48" s="17" t="s">
        <v>7</v>
      </c>
      <c r="C48" s="17" t="s">
        <v>836</v>
      </c>
      <c r="D48" s="18" t="s">
        <v>277</v>
      </c>
      <c r="E48" s="18" t="s">
        <v>1460</v>
      </c>
      <c r="F48" s="18">
        <v>5.94</v>
      </c>
      <c r="G48" s="22">
        <v>1.89</v>
      </c>
      <c r="H48" s="17">
        <v>8.93</v>
      </c>
      <c r="I48" s="25">
        <v>5.1238781928357797</v>
      </c>
      <c r="J48" s="24">
        <f>G48/F48*((100-H48)/100)*((100-I48)/100)*100</f>
        <v>27.492081314022322</v>
      </c>
      <c r="K48" s="53">
        <v>4.9680851063829783</v>
      </c>
      <c r="L48" s="54">
        <f>J48*10000/K48</f>
        <v>55337.379946854358</v>
      </c>
      <c r="M48" s="55">
        <v>50.6</v>
      </c>
      <c r="N48" s="55">
        <v>19.600000000000001</v>
      </c>
      <c r="O48" s="56">
        <v>44.856999999999999</v>
      </c>
      <c r="P48" s="55">
        <v>69.2</v>
      </c>
      <c r="Q48" s="17">
        <v>55</v>
      </c>
      <c r="R48" s="17">
        <v>57</v>
      </c>
      <c r="S48" s="17">
        <v>59</v>
      </c>
      <c r="T48" s="17">
        <v>61</v>
      </c>
      <c r="U48" s="17">
        <v>64</v>
      </c>
      <c r="V48" s="17">
        <v>65</v>
      </c>
      <c r="W48" s="17">
        <v>65</v>
      </c>
      <c r="X48" s="3">
        <v>103</v>
      </c>
    </row>
    <row r="49" spans="1:24" s="3" customFormat="1" x14ac:dyDescent="0.25">
      <c r="A49" s="16" t="s">
        <v>1283</v>
      </c>
      <c r="B49" s="17" t="s">
        <v>10</v>
      </c>
      <c r="C49" s="17" t="s">
        <v>836</v>
      </c>
      <c r="D49" s="18" t="s">
        <v>191</v>
      </c>
      <c r="E49" s="18" t="s">
        <v>1702</v>
      </c>
      <c r="F49" s="18">
        <v>5.94</v>
      </c>
      <c r="G49" s="22">
        <v>1.79</v>
      </c>
      <c r="H49" s="17">
        <v>7.69</v>
      </c>
      <c r="I49" s="25">
        <v>6.5080583269378494</v>
      </c>
      <c r="J49" s="24">
        <f>G49/F49*((100-H49)/100)*((100-I49)/100)*100</f>
        <v>26.006955611370802</v>
      </c>
      <c r="K49" s="53">
        <v>4.6428571428571432</v>
      </c>
      <c r="L49" s="54">
        <f>J49*10000/K49</f>
        <v>56014.98131679865</v>
      </c>
      <c r="M49" s="55">
        <v>51.2</v>
      </c>
      <c r="N49" s="55">
        <v>20</v>
      </c>
      <c r="O49" s="56">
        <v>47.49</v>
      </c>
      <c r="P49" s="55">
        <v>46.3</v>
      </c>
      <c r="Q49" s="17">
        <v>57</v>
      </c>
      <c r="R49" s="17">
        <v>57</v>
      </c>
      <c r="S49" s="17">
        <v>59</v>
      </c>
      <c r="T49" s="17">
        <v>61</v>
      </c>
      <c r="U49" s="17">
        <v>64</v>
      </c>
      <c r="V49" s="17">
        <v>65</v>
      </c>
      <c r="W49" s="17">
        <v>65</v>
      </c>
      <c r="X49" s="3">
        <v>103</v>
      </c>
    </row>
    <row r="50" spans="1:24" s="3" customFormat="1" x14ac:dyDescent="0.25">
      <c r="A50" s="16" t="s">
        <v>1443</v>
      </c>
      <c r="B50" s="17" t="s">
        <v>10</v>
      </c>
      <c r="C50" s="17" t="s">
        <v>836</v>
      </c>
      <c r="D50" s="18" t="s">
        <v>242</v>
      </c>
      <c r="E50" s="18" t="s">
        <v>1458</v>
      </c>
      <c r="F50" s="18">
        <v>5.94</v>
      </c>
      <c r="G50" s="17">
        <v>1.45</v>
      </c>
      <c r="H50" s="17">
        <v>7.69</v>
      </c>
      <c r="I50" s="25">
        <v>12.324133159068184</v>
      </c>
      <c r="J50" s="24">
        <f>G50/F50*((100-H50)/100)*((100-I50)/100)*100</f>
        <v>19.756516731860778</v>
      </c>
      <c r="K50" s="53">
        <v>4.6718146718146718</v>
      </c>
      <c r="L50" s="54">
        <f>J50*10000/K50</f>
        <v>42288.742426049103</v>
      </c>
      <c r="M50" s="55">
        <v>48.9</v>
      </c>
      <c r="N50" s="55">
        <v>19.3</v>
      </c>
      <c r="O50" s="56">
        <v>40.912999999999997</v>
      </c>
      <c r="P50" s="55">
        <v>59.7</v>
      </c>
      <c r="Q50" s="17">
        <v>57</v>
      </c>
      <c r="R50" s="17">
        <v>57</v>
      </c>
      <c r="S50" s="17">
        <v>59</v>
      </c>
      <c r="T50" s="17">
        <v>61</v>
      </c>
      <c r="U50" s="17">
        <v>64</v>
      </c>
      <c r="V50" s="17">
        <v>65</v>
      </c>
      <c r="W50" s="17">
        <v>65</v>
      </c>
      <c r="X50" s="3">
        <v>103</v>
      </c>
    </row>
    <row r="51" spans="1:24" s="3" customFormat="1" x14ac:dyDescent="0.25">
      <c r="A51" s="16" t="s">
        <v>913</v>
      </c>
      <c r="B51" s="17" t="s">
        <v>7</v>
      </c>
      <c r="C51" s="17" t="s">
        <v>836</v>
      </c>
      <c r="D51" s="18" t="s">
        <v>159</v>
      </c>
      <c r="E51" s="18" t="s">
        <v>1496</v>
      </c>
      <c r="F51" s="18">
        <v>5.94</v>
      </c>
      <c r="G51" s="22">
        <v>1.31</v>
      </c>
      <c r="H51" s="17">
        <v>8.93</v>
      </c>
      <c r="I51" s="25">
        <v>5.8103277815803596</v>
      </c>
      <c r="J51" s="24">
        <f>G51/F51*((100-H51)/100)*((100-I51)/100)*100</f>
        <v>18.917488245959987</v>
      </c>
      <c r="K51" s="53">
        <v>5.3442240373395569</v>
      </c>
      <c r="L51" s="54">
        <f>J51*10000/K51</f>
        <v>35398.007482069232</v>
      </c>
      <c r="M51" s="55">
        <v>48.1</v>
      </c>
      <c r="N51" s="55">
        <v>19.5</v>
      </c>
      <c r="O51" s="56">
        <v>49.762999999999998</v>
      </c>
      <c r="P51" s="55">
        <v>59.3</v>
      </c>
      <c r="Q51" s="17">
        <v>57</v>
      </c>
      <c r="R51" s="17">
        <v>57</v>
      </c>
      <c r="S51" s="17">
        <v>59</v>
      </c>
      <c r="T51" s="17">
        <v>61</v>
      </c>
      <c r="U51" s="17">
        <v>64</v>
      </c>
      <c r="V51" s="17">
        <v>65</v>
      </c>
      <c r="W51" s="17">
        <v>65</v>
      </c>
      <c r="X51" s="3">
        <v>103</v>
      </c>
    </row>
    <row r="52" spans="1:24" s="3" customFormat="1" x14ac:dyDescent="0.25">
      <c r="A52" s="16" t="s">
        <v>950</v>
      </c>
      <c r="B52" s="17" t="s">
        <v>7</v>
      </c>
      <c r="C52" s="17" t="s">
        <v>836</v>
      </c>
      <c r="D52" s="18" t="s">
        <v>181</v>
      </c>
      <c r="E52" s="18" t="s">
        <v>1494</v>
      </c>
      <c r="F52" s="18">
        <v>5.94</v>
      </c>
      <c r="G52" s="22">
        <v>1.52</v>
      </c>
      <c r="H52" s="17">
        <v>8.93</v>
      </c>
      <c r="I52" s="25">
        <v>6.495987772258311</v>
      </c>
      <c r="J52" s="24">
        <f>G52/F52*((100-H52)/100)*((100-I52)/100)*100</f>
        <v>21.790275754616601</v>
      </c>
      <c r="K52" s="53">
        <v>4.7219413549039437</v>
      </c>
      <c r="L52" s="54">
        <f>J52*10000/K52</f>
        <v>46146.858075622738</v>
      </c>
      <c r="M52" s="55">
        <v>47.9</v>
      </c>
      <c r="N52" s="55">
        <v>20.100000000000001</v>
      </c>
      <c r="O52" s="56">
        <v>22.481000000000002</v>
      </c>
      <c r="P52" s="55">
        <v>52</v>
      </c>
      <c r="Q52" s="17">
        <v>57</v>
      </c>
      <c r="R52" s="17">
        <v>57</v>
      </c>
      <c r="S52" s="17">
        <v>59</v>
      </c>
      <c r="T52" s="17">
        <v>61</v>
      </c>
      <c r="U52" s="17">
        <v>64</v>
      </c>
      <c r="V52" s="17">
        <v>65</v>
      </c>
      <c r="W52" s="17">
        <v>65</v>
      </c>
      <c r="X52" s="3">
        <v>103</v>
      </c>
    </row>
    <row r="53" spans="1:24" s="3" customFormat="1" x14ac:dyDescent="0.25">
      <c r="A53" s="16" t="s">
        <v>1325</v>
      </c>
      <c r="B53" s="17" t="s">
        <v>10</v>
      </c>
      <c r="C53" s="17" t="s">
        <v>836</v>
      </c>
      <c r="D53" s="18" t="s">
        <v>289</v>
      </c>
      <c r="E53" s="18" t="s">
        <v>1706</v>
      </c>
      <c r="F53" s="18">
        <v>5.94</v>
      </c>
      <c r="G53" s="22">
        <v>2.04</v>
      </c>
      <c r="H53" s="17">
        <v>7.69</v>
      </c>
      <c r="I53" s="25">
        <v>10.859411489957965</v>
      </c>
      <c r="J53" s="24">
        <f>G53/F53*((100-H53)/100)*((100-I53)/100)*100</f>
        <v>28.259727541647205</v>
      </c>
      <c r="K53" s="53">
        <v>4.9693251533742329</v>
      </c>
      <c r="L53" s="54">
        <f>J53*10000/K53</f>
        <v>56868.340608499937</v>
      </c>
      <c r="M53" s="55">
        <v>49.1</v>
      </c>
      <c r="N53" s="55">
        <v>19.2</v>
      </c>
      <c r="O53" s="56">
        <v>1.3145</v>
      </c>
      <c r="P53" s="55">
        <v>9</v>
      </c>
      <c r="Q53" s="17">
        <v>57</v>
      </c>
      <c r="R53" s="17">
        <v>57</v>
      </c>
      <c r="S53" s="17">
        <v>57</v>
      </c>
      <c r="T53" s="17">
        <v>62</v>
      </c>
      <c r="U53" s="17">
        <v>64</v>
      </c>
      <c r="V53" s="17">
        <v>65</v>
      </c>
      <c r="W53" s="17">
        <v>65</v>
      </c>
      <c r="X53" s="3">
        <v>103</v>
      </c>
    </row>
    <row r="54" spans="1:24" s="3" customFormat="1" x14ac:dyDescent="0.25">
      <c r="A54" s="16" t="s">
        <v>1316</v>
      </c>
      <c r="B54" s="17" t="s">
        <v>10</v>
      </c>
      <c r="C54" s="17" t="s">
        <v>836</v>
      </c>
      <c r="D54" s="18" t="s">
        <v>274</v>
      </c>
      <c r="E54" s="18" t="s">
        <v>1580</v>
      </c>
      <c r="F54" s="18">
        <v>5.94</v>
      </c>
      <c r="G54" s="22">
        <v>2.3199999999999998</v>
      </c>
      <c r="H54" s="17">
        <v>7.69</v>
      </c>
      <c r="I54" s="25">
        <v>13.827044762127951</v>
      </c>
      <c r="J54" s="24">
        <f>G54/F54*((100-H54)/100)*((100-I54)/100)*100</f>
        <v>31.068570968650651</v>
      </c>
      <c r="K54" s="53">
        <v>5.4638009049773757</v>
      </c>
      <c r="L54" s="54">
        <f>J54*10000/K54</f>
        <v>56862.560530615265</v>
      </c>
      <c r="M54" s="55">
        <v>50</v>
      </c>
      <c r="N54" s="55">
        <v>17.3</v>
      </c>
      <c r="O54" s="56">
        <v>1.8072999999999999</v>
      </c>
      <c r="P54" s="55">
        <v>27.8</v>
      </c>
      <c r="Q54" s="17">
        <v>55</v>
      </c>
      <c r="R54" s="17">
        <v>57</v>
      </c>
      <c r="S54" s="17">
        <v>59</v>
      </c>
      <c r="T54" s="17">
        <v>62</v>
      </c>
      <c r="U54" s="17">
        <v>64</v>
      </c>
      <c r="V54" s="17">
        <v>65</v>
      </c>
      <c r="W54" s="17">
        <v>65</v>
      </c>
      <c r="X54" s="3">
        <v>103</v>
      </c>
    </row>
    <row r="55" spans="1:24" s="3" customFormat="1" x14ac:dyDescent="0.25">
      <c r="A55" s="16" t="s">
        <v>859</v>
      </c>
      <c r="B55" s="17" t="s">
        <v>7</v>
      </c>
      <c r="C55" s="17" t="s">
        <v>836</v>
      </c>
      <c r="D55" s="18" t="s">
        <v>213</v>
      </c>
      <c r="E55" s="18" t="s">
        <v>1566</v>
      </c>
      <c r="F55" s="18">
        <v>5.94</v>
      </c>
      <c r="G55" s="22">
        <v>2.19</v>
      </c>
      <c r="H55" s="17">
        <v>8.93</v>
      </c>
      <c r="I55" s="25">
        <v>8.6455095697693487</v>
      </c>
      <c r="J55" s="24">
        <f>G55/F55*((100-H55)/100)*((100-I55)/100)*100</f>
        <v>30.673469766369731</v>
      </c>
      <c r="K55" s="53">
        <v>5.2715654952076676</v>
      </c>
      <c r="L55" s="54">
        <f>J55*10000/K55</f>
        <v>58186.642647719549</v>
      </c>
      <c r="M55" s="55">
        <v>53.2</v>
      </c>
      <c r="N55" s="55">
        <v>16.600000000000001</v>
      </c>
      <c r="O55" s="56">
        <v>3.1158999999999999</v>
      </c>
      <c r="P55" s="55">
        <v>16.2</v>
      </c>
      <c r="Q55" s="17">
        <v>55</v>
      </c>
      <c r="R55" s="17">
        <v>57</v>
      </c>
      <c r="S55" s="17">
        <v>59</v>
      </c>
      <c r="T55" s="17">
        <v>62</v>
      </c>
      <c r="U55" s="17">
        <v>64</v>
      </c>
      <c r="V55" s="17">
        <v>65</v>
      </c>
      <c r="W55" s="17">
        <v>67</v>
      </c>
      <c r="X55" s="3">
        <v>103</v>
      </c>
    </row>
    <row r="56" spans="1:24" s="3" customFormat="1" x14ac:dyDescent="0.25">
      <c r="A56" s="16" t="s">
        <v>1303</v>
      </c>
      <c r="B56" s="17" t="s">
        <v>10</v>
      </c>
      <c r="C56" s="17" t="s">
        <v>836</v>
      </c>
      <c r="D56" s="18" t="s">
        <v>233</v>
      </c>
      <c r="E56" s="18" t="s">
        <v>1694</v>
      </c>
      <c r="F56" s="18">
        <v>5.94</v>
      </c>
      <c r="G56" s="22">
        <v>1.6</v>
      </c>
      <c r="H56" s="17">
        <v>7.69</v>
      </c>
      <c r="I56" s="25">
        <v>13.773260593378676</v>
      </c>
      <c r="J56" s="24">
        <f>G56/F56*((100-H56)/100)*((100-I56)/100)*100</f>
        <v>21.439973911448387</v>
      </c>
      <c r="K56" s="53">
        <v>4.6488625123639959</v>
      </c>
      <c r="L56" s="54">
        <f>J56*10000/K56</f>
        <v>46118.752392498551</v>
      </c>
      <c r="M56" s="55">
        <v>50.1</v>
      </c>
      <c r="N56" s="55">
        <v>20</v>
      </c>
      <c r="O56" s="56">
        <v>51.82</v>
      </c>
      <c r="P56" s="55">
        <v>69.5</v>
      </c>
      <c r="Q56" s="17">
        <v>57</v>
      </c>
      <c r="R56" s="17">
        <v>57</v>
      </c>
      <c r="S56" s="17">
        <v>59</v>
      </c>
      <c r="T56" s="17">
        <v>62</v>
      </c>
      <c r="U56" s="17">
        <v>64</v>
      </c>
      <c r="V56" s="17">
        <v>65</v>
      </c>
      <c r="W56" s="17">
        <v>65</v>
      </c>
      <c r="X56" s="3">
        <v>103</v>
      </c>
    </row>
    <row r="57" spans="1:24" s="3" customFormat="1" x14ac:dyDescent="0.25">
      <c r="A57" s="16" t="s">
        <v>955</v>
      </c>
      <c r="B57" s="17" t="s">
        <v>7</v>
      </c>
      <c r="C57" s="17" t="s">
        <v>836</v>
      </c>
      <c r="D57" s="18" t="s">
        <v>216</v>
      </c>
      <c r="E57" s="18" t="s">
        <v>1624</v>
      </c>
      <c r="F57" s="18">
        <v>5.94</v>
      </c>
      <c r="G57" s="22">
        <v>2.11</v>
      </c>
      <c r="H57" s="17">
        <v>8.93</v>
      </c>
      <c r="I57" s="25">
        <v>5.2793360485668108</v>
      </c>
      <c r="J57" s="24">
        <f>G57/F57*((100-H57)/100)*((100-I57)/100)*100</f>
        <v>30.641927487172239</v>
      </c>
      <c r="K57" s="53">
        <v>4.4783010156971379</v>
      </c>
      <c r="L57" s="54">
        <f>J57*10000/K57</f>
        <v>68423.108182695942</v>
      </c>
      <c r="M57" s="55">
        <v>48.5</v>
      </c>
      <c r="N57" s="55">
        <v>16.5</v>
      </c>
      <c r="O57" s="56">
        <v>2.9649999999999999</v>
      </c>
      <c r="P57" s="55">
        <v>12.7</v>
      </c>
      <c r="Q57" s="17">
        <v>57</v>
      </c>
      <c r="R57" s="17">
        <v>57</v>
      </c>
      <c r="S57" s="17">
        <v>59</v>
      </c>
      <c r="T57" s="17">
        <v>62</v>
      </c>
      <c r="U57" s="17">
        <v>64</v>
      </c>
      <c r="V57" s="17">
        <v>65</v>
      </c>
      <c r="W57" s="17">
        <v>67</v>
      </c>
      <c r="X57" s="3">
        <v>103</v>
      </c>
    </row>
    <row r="58" spans="1:24" s="3" customFormat="1" x14ac:dyDescent="0.25">
      <c r="A58" s="16" t="s">
        <v>1417</v>
      </c>
      <c r="B58" s="17" t="s">
        <v>10</v>
      </c>
      <c r="C58" s="17" t="s">
        <v>836</v>
      </c>
      <c r="D58" s="18" t="s">
        <v>292</v>
      </c>
      <c r="E58" s="18" t="s">
        <v>1602</v>
      </c>
      <c r="F58" s="18">
        <v>5.94</v>
      </c>
      <c r="G58" s="22">
        <v>2.11</v>
      </c>
      <c r="H58" s="17">
        <v>7.69</v>
      </c>
      <c r="I58" s="25">
        <v>15.093727703184786</v>
      </c>
      <c r="J58" s="24">
        <f>G58/F58*((100-H58)/100)*((100-I58)/100)*100</f>
        <v>27.840981095904237</v>
      </c>
      <c r="K58" s="53">
        <v>4.0703517587939695</v>
      </c>
      <c r="L58" s="54">
        <f>J58*10000/K58</f>
        <v>68399.447383764724</v>
      </c>
      <c r="M58" s="55">
        <v>55.2</v>
      </c>
      <c r="N58" s="55">
        <v>17.399999999999999</v>
      </c>
      <c r="O58" s="56">
        <v>28.635000000000002</v>
      </c>
      <c r="P58" s="55">
        <v>10.4</v>
      </c>
      <c r="Q58" s="17">
        <v>55</v>
      </c>
      <c r="R58" s="17">
        <v>57</v>
      </c>
      <c r="S58" s="17">
        <v>60</v>
      </c>
      <c r="T58" s="17">
        <v>62</v>
      </c>
      <c r="U58" s="17">
        <v>64</v>
      </c>
      <c r="V58" s="17">
        <v>65</v>
      </c>
      <c r="W58" s="17">
        <v>67</v>
      </c>
      <c r="X58" s="3">
        <v>103</v>
      </c>
    </row>
    <row r="59" spans="1:24" s="3" customFormat="1" x14ac:dyDescent="0.25">
      <c r="A59" s="66" t="s">
        <v>1037</v>
      </c>
      <c r="B59" s="17" t="s">
        <v>7</v>
      </c>
      <c r="C59" s="17" t="s">
        <v>836</v>
      </c>
      <c r="D59" s="18" t="s">
        <v>129</v>
      </c>
      <c r="E59" s="18" t="s">
        <v>1836</v>
      </c>
      <c r="F59" s="18">
        <v>5.94</v>
      </c>
      <c r="G59" s="22">
        <v>1.36</v>
      </c>
      <c r="H59" s="17">
        <v>8.93</v>
      </c>
      <c r="I59" s="25">
        <v>7.0074922873512513</v>
      </c>
      <c r="J59" s="24">
        <f>G59/F59*((100-H59)/100)*((100-I59)/100)*100</f>
        <v>19.389908486955644</v>
      </c>
      <c r="K59" s="53">
        <v>5.3905390539053908</v>
      </c>
      <c r="L59" s="54">
        <f>J59*10000/K59</f>
        <v>35970.258805393227</v>
      </c>
      <c r="M59" s="55">
        <v>48.8</v>
      </c>
      <c r="N59" s="55">
        <v>19</v>
      </c>
      <c r="O59" s="56">
        <v>5.593</v>
      </c>
      <c r="P59" s="55">
        <v>55.8</v>
      </c>
      <c r="Q59" s="17">
        <v>55</v>
      </c>
      <c r="R59" s="17">
        <v>57</v>
      </c>
      <c r="S59" s="17">
        <v>60</v>
      </c>
      <c r="T59" s="17">
        <v>62</v>
      </c>
      <c r="U59" s="17">
        <v>64</v>
      </c>
      <c r="V59" s="17">
        <v>65</v>
      </c>
      <c r="W59" s="17">
        <v>67</v>
      </c>
      <c r="X59" s="3">
        <v>103</v>
      </c>
    </row>
    <row r="60" spans="1:24" s="3" customFormat="1" x14ac:dyDescent="0.25">
      <c r="A60" s="16" t="s">
        <v>1423</v>
      </c>
      <c r="B60" s="17" t="s">
        <v>10</v>
      </c>
      <c r="C60" s="17" t="s">
        <v>836</v>
      </c>
      <c r="D60" s="18" t="s">
        <v>249</v>
      </c>
      <c r="E60" s="18" t="s">
        <v>1688</v>
      </c>
      <c r="F60" s="18">
        <v>5.94</v>
      </c>
      <c r="G60" s="22">
        <v>1.99</v>
      </c>
      <c r="H60" s="17">
        <v>7.69</v>
      </c>
      <c r="I60" s="25">
        <v>10.127435776414274</v>
      </c>
      <c r="J60" s="24">
        <f>G60/F60*((100-H60)/100)*((100-I60)/100)*100</f>
        <v>27.793453607615493</v>
      </c>
      <c r="K60" s="53">
        <v>4.7</v>
      </c>
      <c r="L60" s="54">
        <f>J60*10000/K60</f>
        <v>59135.007675777641</v>
      </c>
      <c r="M60" s="55">
        <v>49.3</v>
      </c>
      <c r="N60" s="55">
        <v>18.600000000000001</v>
      </c>
      <c r="O60" s="56">
        <v>45.83</v>
      </c>
      <c r="P60" s="55">
        <v>59.3</v>
      </c>
      <c r="Q60" s="17">
        <v>57</v>
      </c>
      <c r="R60" s="17">
        <v>57</v>
      </c>
      <c r="S60" s="17">
        <v>60</v>
      </c>
      <c r="T60" s="17">
        <v>62</v>
      </c>
      <c r="U60" s="17">
        <v>64</v>
      </c>
      <c r="V60" s="17">
        <v>65</v>
      </c>
      <c r="W60" s="17">
        <v>65</v>
      </c>
      <c r="X60" s="3">
        <v>103</v>
      </c>
    </row>
    <row r="61" spans="1:24" s="3" customFormat="1" x14ac:dyDescent="0.25">
      <c r="A61" s="16" t="s">
        <v>861</v>
      </c>
      <c r="B61" s="17" t="s">
        <v>7</v>
      </c>
      <c r="C61" s="17" t="s">
        <v>836</v>
      </c>
      <c r="D61" s="18" t="s">
        <v>230</v>
      </c>
      <c r="E61" s="18" t="s">
        <v>1622</v>
      </c>
      <c r="F61" s="18">
        <v>5.94</v>
      </c>
      <c r="G61" s="22">
        <v>1.58</v>
      </c>
      <c r="H61" s="17">
        <v>8.93</v>
      </c>
      <c r="I61" s="25">
        <v>5.4374790479383259</v>
      </c>
      <c r="J61" s="24">
        <f>G61/F61*((100-H61)/100)*((100-I61)/100)*100</f>
        <v>22.906831443273951</v>
      </c>
      <c r="K61" s="53">
        <v>5.3318335208098988</v>
      </c>
      <c r="L61" s="54">
        <f>J61*10000/K61</f>
        <v>42962.390618292287</v>
      </c>
      <c r="M61" s="55">
        <v>49.3</v>
      </c>
      <c r="N61" s="55">
        <v>18.3</v>
      </c>
      <c r="O61" s="56">
        <v>5.1050000000000004</v>
      </c>
      <c r="P61" s="55">
        <v>20.6</v>
      </c>
      <c r="Q61" s="17">
        <v>57</v>
      </c>
      <c r="R61" s="17">
        <v>57</v>
      </c>
      <c r="S61" s="17">
        <v>60</v>
      </c>
      <c r="T61" s="17">
        <v>62</v>
      </c>
      <c r="U61" s="17">
        <v>64</v>
      </c>
      <c r="V61" s="17">
        <v>65</v>
      </c>
      <c r="W61" s="17">
        <v>65</v>
      </c>
      <c r="X61" s="3">
        <v>103</v>
      </c>
    </row>
    <row r="62" spans="1:24" s="3" customFormat="1" x14ac:dyDescent="0.25">
      <c r="A62" s="16" t="s">
        <v>1412</v>
      </c>
      <c r="B62" s="17" t="s">
        <v>10</v>
      </c>
      <c r="C62" s="17" t="s">
        <v>836</v>
      </c>
      <c r="D62" s="18" t="s">
        <v>158</v>
      </c>
      <c r="E62" s="18" t="s">
        <v>1670</v>
      </c>
      <c r="F62" s="18">
        <v>5.94</v>
      </c>
      <c r="G62" s="22">
        <v>2.02</v>
      </c>
      <c r="H62" s="17">
        <v>7.69</v>
      </c>
      <c r="I62" s="25">
        <v>8.3276398694298823</v>
      </c>
      <c r="J62" s="24">
        <f>G62/F62*((100-H62)/100)*((100-I62)/100)*100</f>
        <v>28.777435418483023</v>
      </c>
      <c r="K62" s="53">
        <v>5.350172215843858</v>
      </c>
      <c r="L62" s="54">
        <f>J62*10000/K62</f>
        <v>53787.867488194657</v>
      </c>
      <c r="M62" s="55">
        <v>51.8</v>
      </c>
      <c r="N62" s="55">
        <v>16.899999999999999</v>
      </c>
      <c r="O62" s="56">
        <v>3.9411999999999998</v>
      </c>
      <c r="P62" s="55">
        <v>16.600000000000001</v>
      </c>
      <c r="Q62" s="17">
        <v>57</v>
      </c>
      <c r="R62" s="17">
        <v>59</v>
      </c>
      <c r="S62" s="17">
        <v>60</v>
      </c>
      <c r="T62" s="17">
        <v>62</v>
      </c>
      <c r="U62" s="17">
        <v>64</v>
      </c>
      <c r="V62" s="17">
        <v>65</v>
      </c>
      <c r="W62" s="17">
        <v>65</v>
      </c>
      <c r="X62" s="3">
        <v>103</v>
      </c>
    </row>
    <row r="63" spans="1:24" s="3" customFormat="1" x14ac:dyDescent="0.25">
      <c r="A63" s="16" t="s">
        <v>991</v>
      </c>
      <c r="B63" s="17" t="s">
        <v>7</v>
      </c>
      <c r="C63" s="17" t="s">
        <v>836</v>
      </c>
      <c r="D63" s="18" t="s">
        <v>228</v>
      </c>
      <c r="E63" s="18" t="s">
        <v>1537</v>
      </c>
      <c r="F63" s="18">
        <v>5.94</v>
      </c>
      <c r="G63" s="22">
        <v>2.38</v>
      </c>
      <c r="H63" s="17">
        <v>8.93</v>
      </c>
      <c r="I63" s="25">
        <v>11.358625408652017</v>
      </c>
      <c r="J63" s="24">
        <f>G63/F63*((100-H63)/100)*((100-I63)/100)*100</f>
        <v>32.344640676769465</v>
      </c>
      <c r="K63" s="53">
        <v>4.488847583643123</v>
      </c>
      <c r="L63" s="54">
        <f>J63*10000/K63</f>
        <v>72055.555627751426</v>
      </c>
      <c r="M63" s="55">
        <v>50.3</v>
      </c>
      <c r="N63" s="55">
        <v>17.2</v>
      </c>
      <c r="O63" s="56">
        <v>4.1041999999999996</v>
      </c>
      <c r="P63" s="55">
        <v>13.8</v>
      </c>
      <c r="Q63" s="17">
        <v>57</v>
      </c>
      <c r="R63" s="17">
        <v>59</v>
      </c>
      <c r="S63" s="17">
        <v>60</v>
      </c>
      <c r="T63" s="17">
        <v>62</v>
      </c>
      <c r="U63" s="17">
        <v>64</v>
      </c>
      <c r="V63" s="17">
        <v>65</v>
      </c>
      <c r="W63" s="17">
        <v>67</v>
      </c>
      <c r="X63" s="3">
        <v>103</v>
      </c>
    </row>
    <row r="64" spans="1:24" s="3" customFormat="1" x14ac:dyDescent="0.25">
      <c r="A64" s="66" t="s">
        <v>1016</v>
      </c>
      <c r="B64" s="17" t="s">
        <v>7</v>
      </c>
      <c r="C64" s="17" t="s">
        <v>836</v>
      </c>
      <c r="D64" s="18" t="s">
        <v>133</v>
      </c>
      <c r="E64" s="18" t="s">
        <v>1838</v>
      </c>
      <c r="F64" s="18">
        <v>5.94</v>
      </c>
      <c r="G64" s="22">
        <v>1.01</v>
      </c>
      <c r="H64" s="17">
        <v>8.93</v>
      </c>
      <c r="I64" s="25">
        <v>7.0278184480234263</v>
      </c>
      <c r="J64" s="24">
        <f>G64/F64*((100-H64)/100)*((100-I64)/100)*100</f>
        <v>14.396711009558741</v>
      </c>
      <c r="K64" s="53">
        <v>4.8785425101214575</v>
      </c>
      <c r="L64" s="54">
        <f>J64*10000/K64</f>
        <v>29510.270700091362</v>
      </c>
      <c r="M64" s="55">
        <v>46.2</v>
      </c>
      <c r="N64" s="55">
        <v>20</v>
      </c>
      <c r="O64" s="56">
        <v>4.9821</v>
      </c>
      <c r="P64" s="55">
        <v>56.6</v>
      </c>
      <c r="Q64" s="17">
        <v>57</v>
      </c>
      <c r="R64" s="17">
        <v>59</v>
      </c>
      <c r="S64" s="17">
        <v>60</v>
      </c>
      <c r="T64" s="17">
        <v>62</v>
      </c>
      <c r="U64" s="17">
        <v>64</v>
      </c>
      <c r="V64" s="17">
        <v>65</v>
      </c>
      <c r="W64" s="17">
        <v>65</v>
      </c>
      <c r="X64" s="3">
        <v>103</v>
      </c>
    </row>
    <row r="65" spans="1:24" s="3" customFormat="1" x14ac:dyDescent="0.25">
      <c r="A65" s="16" t="s">
        <v>986</v>
      </c>
      <c r="B65" s="17" t="s">
        <v>7</v>
      </c>
      <c r="C65" s="17" t="s">
        <v>836</v>
      </c>
      <c r="D65" s="18" t="s">
        <v>195</v>
      </c>
      <c r="E65" s="18" t="s">
        <v>1750</v>
      </c>
      <c r="F65" s="18">
        <v>5.94</v>
      </c>
      <c r="G65" s="22">
        <v>2.41</v>
      </c>
      <c r="H65" s="17">
        <v>8.93</v>
      </c>
      <c r="I65" s="25">
        <v>9.7267841146610916</v>
      </c>
      <c r="J65" s="24">
        <f>G65/F65*((100-H65)/100)*((100-I65)/100)*100</f>
        <v>33.355299776655777</v>
      </c>
      <c r="K65" s="53">
        <v>5.0816104461371054</v>
      </c>
      <c r="L65" s="54">
        <f>J65*10000/K65</f>
        <v>65639.230181470368</v>
      </c>
      <c r="M65" s="55">
        <v>52.2</v>
      </c>
      <c r="N65" s="55">
        <v>16.7</v>
      </c>
      <c r="O65" s="56">
        <v>3.4561000000000002</v>
      </c>
      <c r="P65" s="55">
        <v>18</v>
      </c>
      <c r="Q65" s="17">
        <v>57</v>
      </c>
      <c r="R65" s="17">
        <v>60</v>
      </c>
      <c r="S65" s="17">
        <v>61</v>
      </c>
      <c r="T65" s="17">
        <v>62</v>
      </c>
      <c r="U65" s="17">
        <v>64</v>
      </c>
      <c r="V65" s="17">
        <v>65</v>
      </c>
      <c r="W65" s="17">
        <v>65</v>
      </c>
      <c r="X65" s="3">
        <v>103</v>
      </c>
    </row>
    <row r="66" spans="1:24" s="3" customFormat="1" x14ac:dyDescent="0.25">
      <c r="A66" s="16" t="s">
        <v>1291</v>
      </c>
      <c r="B66" s="17" t="s">
        <v>10</v>
      </c>
      <c r="C66" s="17" t="s">
        <v>836</v>
      </c>
      <c r="D66" s="18" t="s">
        <v>14</v>
      </c>
      <c r="E66" s="18" t="s">
        <v>1551</v>
      </c>
      <c r="F66" s="18">
        <v>5.94</v>
      </c>
      <c r="G66" s="22">
        <v>1.49</v>
      </c>
      <c r="H66" s="17">
        <v>7.69</v>
      </c>
      <c r="I66" s="25">
        <v>9.4462037537653547</v>
      </c>
      <c r="J66" s="24">
        <f>G66/F66*((100-H66)/100)*((100-I66)/100)*100</f>
        <v>20.967914457777741</v>
      </c>
      <c r="K66" s="53">
        <v>4.7812817904374363</v>
      </c>
      <c r="L66" s="54">
        <f>J66*10000/K66</f>
        <v>43854.170025522384</v>
      </c>
      <c r="M66" s="55">
        <v>48.6</v>
      </c>
      <c r="N66" s="55">
        <v>18.3</v>
      </c>
      <c r="O66" s="56">
        <v>3.4144999999999999</v>
      </c>
      <c r="P66" s="55">
        <v>19.2</v>
      </c>
      <c r="Q66" s="17">
        <v>55</v>
      </c>
      <c r="R66" s="17">
        <v>57</v>
      </c>
      <c r="S66" s="17">
        <v>60</v>
      </c>
      <c r="T66" s="17">
        <v>63</v>
      </c>
      <c r="U66" s="17">
        <v>64</v>
      </c>
      <c r="V66" s="17">
        <v>65</v>
      </c>
      <c r="W66" s="17">
        <v>65</v>
      </c>
      <c r="X66" s="3">
        <v>103</v>
      </c>
    </row>
    <row r="67" spans="1:24" s="3" customFormat="1" x14ac:dyDescent="0.25">
      <c r="A67" s="16" t="s">
        <v>1402</v>
      </c>
      <c r="B67" s="17" t="s">
        <v>10</v>
      </c>
      <c r="C67" s="17" t="s">
        <v>836</v>
      </c>
      <c r="D67" s="18" t="s">
        <v>273</v>
      </c>
      <c r="E67" s="18" t="s">
        <v>1539</v>
      </c>
      <c r="F67" s="18">
        <v>5.94</v>
      </c>
      <c r="G67" s="22">
        <v>1.73</v>
      </c>
      <c r="H67" s="17">
        <v>7.69</v>
      </c>
      <c r="I67" s="25">
        <v>9.5678770292526085</v>
      </c>
      <c r="J67" s="24">
        <f>G67/F67*((100-H67)/100)*((100-I67)/100)*100</f>
        <v>24.312584915106676</v>
      </c>
      <c r="K67" s="53">
        <v>5.1584699453551917</v>
      </c>
      <c r="L67" s="54">
        <f>J67*10000/K67</f>
        <v>47131.388129920779</v>
      </c>
      <c r="M67" s="55">
        <v>51.1</v>
      </c>
      <c r="N67" s="55">
        <v>16</v>
      </c>
      <c r="O67" s="56">
        <v>-0.66354999999999997</v>
      </c>
      <c r="P67" s="55">
        <v>10.199999999999999</v>
      </c>
      <c r="Q67" s="17">
        <v>57</v>
      </c>
      <c r="R67" s="17">
        <v>57</v>
      </c>
      <c r="S67" s="17">
        <v>60</v>
      </c>
      <c r="T67" s="17">
        <v>63</v>
      </c>
      <c r="U67" s="17">
        <v>64</v>
      </c>
      <c r="V67" s="17">
        <v>65</v>
      </c>
      <c r="W67" s="17">
        <v>67</v>
      </c>
      <c r="X67" s="3">
        <v>103</v>
      </c>
    </row>
    <row r="68" spans="1:24" s="3" customFormat="1" x14ac:dyDescent="0.25">
      <c r="A68" s="16" t="s">
        <v>905</v>
      </c>
      <c r="B68" s="17" t="s">
        <v>7</v>
      </c>
      <c r="C68" s="17" t="s">
        <v>836</v>
      </c>
      <c r="D68" s="18" t="s">
        <v>286</v>
      </c>
      <c r="E68" s="18" t="s">
        <v>1556</v>
      </c>
      <c r="F68" s="18">
        <v>5.94</v>
      </c>
      <c r="G68" s="22">
        <v>2.11</v>
      </c>
      <c r="H68" s="17">
        <v>8.93</v>
      </c>
      <c r="I68" s="25">
        <v>7.481104426962828</v>
      </c>
      <c r="J68" s="24">
        <f>G68/F68*((100-H68)/100)*((100-I68)/100)*100</f>
        <v>29.929660235446132</v>
      </c>
      <c r="K68" s="53">
        <v>4.603629417382999</v>
      </c>
      <c r="L68" s="54">
        <f>J68*10000/K68</f>
        <v>65013.183125543779</v>
      </c>
      <c r="M68" s="55">
        <v>51.4</v>
      </c>
      <c r="N68" s="55">
        <v>18.5</v>
      </c>
      <c r="O68" s="56">
        <v>3.1816</v>
      </c>
      <c r="P68" s="55">
        <v>14.5</v>
      </c>
      <c r="Q68" s="17">
        <v>57</v>
      </c>
      <c r="R68" s="17">
        <v>57</v>
      </c>
      <c r="S68" s="17">
        <v>60</v>
      </c>
      <c r="T68" s="17">
        <v>63</v>
      </c>
      <c r="U68" s="17">
        <v>64</v>
      </c>
      <c r="V68" s="17">
        <v>65</v>
      </c>
      <c r="W68" s="17">
        <v>65</v>
      </c>
      <c r="X68" s="3">
        <v>103</v>
      </c>
    </row>
    <row r="69" spans="1:24" s="3" customFormat="1" x14ac:dyDescent="0.25">
      <c r="A69" s="16" t="s">
        <v>945</v>
      </c>
      <c r="B69" s="17" t="s">
        <v>7</v>
      </c>
      <c r="C69" s="17" t="s">
        <v>836</v>
      </c>
      <c r="D69" s="18" t="s">
        <v>186</v>
      </c>
      <c r="E69" s="18" t="s">
        <v>1480</v>
      </c>
      <c r="F69" s="18">
        <v>5.94</v>
      </c>
      <c r="G69" s="22">
        <v>1.56</v>
      </c>
      <c r="H69" s="17">
        <v>8.93</v>
      </c>
      <c r="I69" s="25">
        <v>7.1241985276656381</v>
      </c>
      <c r="J69" s="24">
        <f>G69/F69*((100-H69)/100)*((100-I69)/100)*100</f>
        <v>22.213452549719467</v>
      </c>
      <c r="K69" s="53">
        <v>4.6400778210116735</v>
      </c>
      <c r="L69" s="54">
        <f>J69*10000/K69</f>
        <v>47873.017235034822</v>
      </c>
      <c r="M69" s="55">
        <v>51</v>
      </c>
      <c r="N69" s="55">
        <v>18.2</v>
      </c>
      <c r="O69" s="56">
        <v>25.548999999999999</v>
      </c>
      <c r="P69" s="55">
        <v>44.9</v>
      </c>
      <c r="Q69" s="17">
        <v>57</v>
      </c>
      <c r="R69" s="17">
        <v>59</v>
      </c>
      <c r="S69" s="17">
        <v>60</v>
      </c>
      <c r="T69" s="17">
        <v>63</v>
      </c>
      <c r="U69" s="17">
        <v>64</v>
      </c>
      <c r="V69" s="17">
        <v>65</v>
      </c>
      <c r="W69" s="17">
        <v>67</v>
      </c>
      <c r="X69" s="3">
        <v>103</v>
      </c>
    </row>
    <row r="70" spans="1:24" s="3" customFormat="1" x14ac:dyDescent="0.25">
      <c r="A70" s="16" t="s">
        <v>992</v>
      </c>
      <c r="B70" s="17" t="s">
        <v>7</v>
      </c>
      <c r="C70" s="17" t="s">
        <v>836</v>
      </c>
      <c r="D70" s="18" t="s">
        <v>83</v>
      </c>
      <c r="E70" s="18" t="s">
        <v>1533</v>
      </c>
      <c r="F70" s="18">
        <v>5.94</v>
      </c>
      <c r="G70" s="22">
        <v>2.09</v>
      </c>
      <c r="H70" s="17">
        <v>8.93</v>
      </c>
      <c r="I70" s="25">
        <v>7.1147179325559415</v>
      </c>
      <c r="J70" s="24">
        <f>G70/F70*((100-H70)/100)*((100-I70)/100)*100</f>
        <v>29.763368540696376</v>
      </c>
      <c r="K70" s="53">
        <v>5.5296856810244472</v>
      </c>
      <c r="L70" s="54">
        <f>J70*10000/K70</f>
        <v>53824.70226622776</v>
      </c>
      <c r="M70" s="55">
        <v>52.8</v>
      </c>
      <c r="N70" s="55">
        <v>17.100000000000001</v>
      </c>
      <c r="O70" s="56">
        <v>2.6072000000000002</v>
      </c>
      <c r="P70" s="55">
        <v>14.6</v>
      </c>
      <c r="Q70" s="17">
        <v>57</v>
      </c>
      <c r="R70" s="17">
        <v>59</v>
      </c>
      <c r="S70" s="17">
        <v>60</v>
      </c>
      <c r="T70" s="17">
        <v>63</v>
      </c>
      <c r="U70" s="17">
        <v>64</v>
      </c>
      <c r="V70" s="17">
        <v>65</v>
      </c>
      <c r="W70" s="17">
        <v>67</v>
      </c>
      <c r="X70" s="3">
        <v>103</v>
      </c>
    </row>
    <row r="71" spans="1:24" s="3" customFormat="1" x14ac:dyDescent="0.25">
      <c r="A71" s="66" t="s">
        <v>1039</v>
      </c>
      <c r="B71" s="17" t="s">
        <v>7</v>
      </c>
      <c r="C71" s="17" t="s">
        <v>836</v>
      </c>
      <c r="D71" s="18" t="s">
        <v>143</v>
      </c>
      <c r="E71" s="18" t="s">
        <v>1858</v>
      </c>
      <c r="F71" s="18">
        <v>5.94</v>
      </c>
      <c r="G71" s="22">
        <v>1.57</v>
      </c>
      <c r="H71" s="17">
        <v>8.93</v>
      </c>
      <c r="I71" s="25">
        <v>8.3205756276791121</v>
      </c>
      <c r="J71" s="24">
        <f>G71/F71*((100-H71)/100)*((100-I71)/100)*100</f>
        <v>22.06787025052526</v>
      </c>
      <c r="K71" s="53">
        <v>5.2655367231638417</v>
      </c>
      <c r="L71" s="54">
        <f>J71*10000/K71</f>
        <v>41910.011098100549</v>
      </c>
      <c r="M71" s="55">
        <v>51.1</v>
      </c>
      <c r="N71" s="55">
        <v>20.3</v>
      </c>
      <c r="O71" s="56">
        <v>41.587000000000003</v>
      </c>
      <c r="P71" s="55">
        <v>56.3</v>
      </c>
      <c r="Q71" s="17">
        <v>57</v>
      </c>
      <c r="R71" s="17">
        <v>60</v>
      </c>
      <c r="S71" s="17">
        <v>61</v>
      </c>
      <c r="T71" s="17">
        <v>63</v>
      </c>
      <c r="U71" s="17">
        <v>64</v>
      </c>
      <c r="V71" s="17">
        <v>65</v>
      </c>
      <c r="W71" s="17">
        <v>67</v>
      </c>
      <c r="X71" s="3">
        <v>103</v>
      </c>
    </row>
    <row r="72" spans="1:24" s="3" customFormat="1" x14ac:dyDescent="0.25">
      <c r="A72" s="16" t="s">
        <v>944</v>
      </c>
      <c r="B72" s="17" t="s">
        <v>7</v>
      </c>
      <c r="C72" s="17" t="s">
        <v>836</v>
      </c>
      <c r="D72" s="18" t="s">
        <v>158</v>
      </c>
      <c r="E72" s="18" t="s">
        <v>1670</v>
      </c>
      <c r="F72" s="18">
        <v>5.94</v>
      </c>
      <c r="G72" s="22">
        <v>2.41</v>
      </c>
      <c r="H72" s="17">
        <v>8.93</v>
      </c>
      <c r="I72" s="25">
        <v>4.1054385699136615</v>
      </c>
      <c r="J72" s="24">
        <f>G72/F72*((100-H72)/100)*((100-I72)/100)*100</f>
        <v>35.432346262197797</v>
      </c>
      <c r="K72" s="53">
        <v>5.1657754010695189</v>
      </c>
      <c r="L72" s="54">
        <f>J72*10000/K72</f>
        <v>68590.566780859081</v>
      </c>
      <c r="M72" s="55">
        <v>51.1</v>
      </c>
      <c r="N72" s="55">
        <v>18.2</v>
      </c>
      <c r="O72" s="56">
        <v>3.3412999999999999</v>
      </c>
      <c r="P72" s="55">
        <v>19.7</v>
      </c>
      <c r="Q72" s="17">
        <v>57</v>
      </c>
      <c r="R72" s="17">
        <v>57</v>
      </c>
      <c r="S72" s="17">
        <v>57</v>
      </c>
      <c r="T72" s="17">
        <v>61</v>
      </c>
      <c r="U72" s="17">
        <v>65</v>
      </c>
      <c r="V72" s="17">
        <v>65</v>
      </c>
      <c r="W72" s="17">
        <v>65</v>
      </c>
      <c r="X72" s="3">
        <v>103</v>
      </c>
    </row>
    <row r="73" spans="1:24" s="3" customFormat="1" x14ac:dyDescent="0.25">
      <c r="A73" s="16" t="s">
        <v>976</v>
      </c>
      <c r="B73" s="17" t="s">
        <v>7</v>
      </c>
      <c r="C73" s="17" t="s">
        <v>836</v>
      </c>
      <c r="D73" s="18" t="s">
        <v>289</v>
      </c>
      <c r="E73" s="18" t="s">
        <v>1706</v>
      </c>
      <c r="F73" s="18">
        <v>5.94</v>
      </c>
      <c r="G73" s="22">
        <v>1.88</v>
      </c>
      <c r="H73" s="17">
        <v>8.93</v>
      </c>
      <c r="I73" s="25">
        <v>6.4228819695872588</v>
      </c>
      <c r="J73" s="24">
        <f>G73/F73*((100-H73)/100)*((100-I73)/100)*100</f>
        <v>26.972202190868373</v>
      </c>
      <c r="K73" s="53">
        <v>4.7885835095137423</v>
      </c>
      <c r="L73" s="54">
        <f>J73*10000/K73</f>
        <v>56326.055789318933</v>
      </c>
      <c r="M73" s="55">
        <v>50.2</v>
      </c>
      <c r="N73" s="55">
        <v>18.600000000000001</v>
      </c>
      <c r="O73" s="56">
        <v>-0.44435000000000002</v>
      </c>
      <c r="P73" s="55">
        <v>13.2</v>
      </c>
      <c r="Q73" s="17">
        <v>57</v>
      </c>
      <c r="R73" s="17">
        <v>57</v>
      </c>
      <c r="S73" s="17">
        <v>57</v>
      </c>
      <c r="T73" s="17">
        <v>61</v>
      </c>
      <c r="U73" s="17">
        <v>65</v>
      </c>
      <c r="V73" s="17">
        <v>65</v>
      </c>
      <c r="W73" s="17">
        <v>65</v>
      </c>
      <c r="X73" s="3">
        <v>103</v>
      </c>
    </row>
    <row r="74" spans="1:24" s="3" customFormat="1" x14ac:dyDescent="0.25">
      <c r="A74" s="16" t="s">
        <v>922</v>
      </c>
      <c r="B74" s="17" t="s">
        <v>7</v>
      </c>
      <c r="C74" s="17" t="s">
        <v>836</v>
      </c>
      <c r="D74" s="18" t="s">
        <v>231</v>
      </c>
      <c r="E74" s="18" t="s">
        <v>1500</v>
      </c>
      <c r="F74" s="18">
        <v>5.94</v>
      </c>
      <c r="G74" s="22">
        <v>2.21</v>
      </c>
      <c r="H74" s="17">
        <v>8.93</v>
      </c>
      <c r="I74" s="25">
        <v>4.7523724792408046</v>
      </c>
      <c r="J74" s="24">
        <f>G74/F74*((100-H74)/100)*((100-I74)/100)*100</f>
        <v>32.272702321005625</v>
      </c>
      <c r="K74" s="53">
        <v>4.8861283643892337</v>
      </c>
      <c r="L74" s="54">
        <f>J74*10000/K74</f>
        <v>66049.640767142875</v>
      </c>
      <c r="M74" s="55">
        <v>56.2</v>
      </c>
      <c r="N74" s="55">
        <v>16.8</v>
      </c>
      <c r="O74" s="56">
        <v>44.316000000000003</v>
      </c>
      <c r="P74" s="55">
        <v>43.1</v>
      </c>
      <c r="Q74" s="17">
        <v>55</v>
      </c>
      <c r="R74" s="17">
        <v>57</v>
      </c>
      <c r="S74" s="17">
        <v>57</v>
      </c>
      <c r="T74" s="17">
        <v>62</v>
      </c>
      <c r="U74" s="17">
        <v>65</v>
      </c>
      <c r="V74" s="17">
        <v>65</v>
      </c>
      <c r="W74" s="17">
        <v>67</v>
      </c>
      <c r="X74" s="3">
        <v>103</v>
      </c>
    </row>
    <row r="75" spans="1:24" s="3" customFormat="1" x14ac:dyDescent="0.25">
      <c r="A75" s="16" t="s">
        <v>915</v>
      </c>
      <c r="B75" s="17" t="s">
        <v>7</v>
      </c>
      <c r="C75" s="17" t="s">
        <v>836</v>
      </c>
      <c r="D75" s="18" t="s">
        <v>14</v>
      </c>
      <c r="E75" s="18" t="s">
        <v>1551</v>
      </c>
      <c r="F75" s="18">
        <v>5.94</v>
      </c>
      <c r="G75" s="22">
        <v>2.37</v>
      </c>
      <c r="H75" s="17">
        <v>8.93</v>
      </c>
      <c r="I75" s="25">
        <v>5.4574516669203854</v>
      </c>
      <c r="J75" s="24">
        <f>G75/F75*((100-H75)/100)*((100-I75)/100)*100</f>
        <v>34.352989912060167</v>
      </c>
      <c r="K75" s="53">
        <v>4.6488625123639959</v>
      </c>
      <c r="L75" s="54">
        <f>J75*10000/K75</f>
        <v>73895.474044878356</v>
      </c>
      <c r="M75" s="55">
        <v>50.2</v>
      </c>
      <c r="N75" s="55">
        <v>18.600000000000001</v>
      </c>
      <c r="O75" s="56">
        <v>2.4895</v>
      </c>
      <c r="P75" s="55">
        <v>14.5</v>
      </c>
      <c r="Q75" s="17">
        <v>55</v>
      </c>
      <c r="R75" s="17">
        <v>57</v>
      </c>
      <c r="S75" s="17">
        <v>59</v>
      </c>
      <c r="T75" s="17">
        <v>62</v>
      </c>
      <c r="U75" s="17">
        <v>65</v>
      </c>
      <c r="V75" s="17">
        <v>65</v>
      </c>
      <c r="W75" s="17">
        <v>65</v>
      </c>
      <c r="X75" s="3">
        <v>103</v>
      </c>
    </row>
    <row r="76" spans="1:24" s="3" customFormat="1" x14ac:dyDescent="0.25">
      <c r="A76" s="58" t="s">
        <v>1268</v>
      </c>
      <c r="B76" s="59" t="s">
        <v>10</v>
      </c>
      <c r="C76" s="59" t="s">
        <v>836</v>
      </c>
      <c r="D76" s="60" t="s">
        <v>159</v>
      </c>
      <c r="E76" s="18" t="s">
        <v>1496</v>
      </c>
      <c r="F76" s="60">
        <v>5.94</v>
      </c>
      <c r="G76" s="61" t="s">
        <v>424</v>
      </c>
      <c r="H76" s="61" t="s">
        <v>424</v>
      </c>
      <c r="I76" s="61" t="s">
        <v>424</v>
      </c>
      <c r="J76" s="61" t="s">
        <v>424</v>
      </c>
      <c r="K76" s="61" t="s">
        <v>424</v>
      </c>
      <c r="L76" s="61" t="s">
        <v>424</v>
      </c>
      <c r="M76" s="61" t="s">
        <v>424</v>
      </c>
      <c r="N76" s="61" t="s">
        <v>424</v>
      </c>
      <c r="O76" s="61" t="s">
        <v>424</v>
      </c>
      <c r="P76" s="61" t="s">
        <v>424</v>
      </c>
      <c r="Q76" s="17">
        <v>57</v>
      </c>
      <c r="R76" s="17">
        <v>57</v>
      </c>
      <c r="S76" s="17">
        <v>59</v>
      </c>
      <c r="T76" s="17">
        <v>62</v>
      </c>
      <c r="U76" s="17">
        <v>65</v>
      </c>
      <c r="V76" s="17">
        <v>65</v>
      </c>
      <c r="W76" s="17">
        <v>67</v>
      </c>
      <c r="X76" s="3">
        <v>103</v>
      </c>
    </row>
    <row r="77" spans="1:24" s="3" customFormat="1" x14ac:dyDescent="0.25">
      <c r="A77" s="16" t="s">
        <v>838</v>
      </c>
      <c r="B77" s="17" t="s">
        <v>7</v>
      </c>
      <c r="C77" s="17" t="s">
        <v>836</v>
      </c>
      <c r="D77" s="18" t="s">
        <v>288</v>
      </c>
      <c r="E77" s="18" t="s">
        <v>1570</v>
      </c>
      <c r="F77" s="18">
        <v>5.94</v>
      </c>
      <c r="G77" s="22">
        <v>2.0099999999999998</v>
      </c>
      <c r="H77" s="17">
        <v>8.93</v>
      </c>
      <c r="I77" s="25">
        <v>6.1367978601452053</v>
      </c>
      <c r="J77" s="24">
        <f>G77/F77*((100-H77)/100)*((100-I77)/100)*100</f>
        <v>28.925462720440937</v>
      </c>
      <c r="K77" s="53">
        <v>5.1167728237791934</v>
      </c>
      <c r="L77" s="54">
        <f>J77*10000/K77</f>
        <v>56530.676105094113</v>
      </c>
      <c r="M77" s="55">
        <v>49.6</v>
      </c>
      <c r="N77" s="55">
        <v>18.5</v>
      </c>
      <c r="O77" s="56">
        <v>5.7877999999999998</v>
      </c>
      <c r="P77" s="55">
        <v>20.3</v>
      </c>
      <c r="Q77" s="17">
        <v>57</v>
      </c>
      <c r="R77" s="17">
        <v>57</v>
      </c>
      <c r="S77" s="17">
        <v>59</v>
      </c>
      <c r="T77" s="17">
        <v>62</v>
      </c>
      <c r="U77" s="17">
        <v>65</v>
      </c>
      <c r="V77" s="17">
        <v>65</v>
      </c>
      <c r="W77" s="17">
        <v>67</v>
      </c>
      <c r="X77" s="3">
        <v>103</v>
      </c>
    </row>
    <row r="78" spans="1:24" s="3" customFormat="1" x14ac:dyDescent="0.25">
      <c r="A78" s="16" t="s">
        <v>937</v>
      </c>
      <c r="B78" s="17" t="s">
        <v>7</v>
      </c>
      <c r="C78" s="17" t="s">
        <v>836</v>
      </c>
      <c r="D78" s="18" t="s">
        <v>232</v>
      </c>
      <c r="E78" s="18" t="s">
        <v>1598</v>
      </c>
      <c r="F78" s="18">
        <v>5.94</v>
      </c>
      <c r="G78" s="22">
        <v>2.0299999999999998</v>
      </c>
      <c r="H78" s="17">
        <v>8.93</v>
      </c>
      <c r="I78" s="25">
        <v>6.5154950869236616</v>
      </c>
      <c r="J78" s="24">
        <f>G78/F78*((100-H78)/100)*((100-I78)/100)*100</f>
        <v>29.095415388452416</v>
      </c>
      <c r="K78" s="53">
        <v>4.3509400179051028</v>
      </c>
      <c r="L78" s="54">
        <f>J78*10000/K78</f>
        <v>66871.561705558343</v>
      </c>
      <c r="M78" s="55">
        <v>49.5</v>
      </c>
      <c r="N78" s="55">
        <v>17.7</v>
      </c>
      <c r="O78" s="56">
        <v>1.5955999999999999</v>
      </c>
      <c r="P78" s="55">
        <v>16.899999999999999</v>
      </c>
      <c r="Q78" s="17">
        <v>57</v>
      </c>
      <c r="R78" s="17">
        <v>57</v>
      </c>
      <c r="S78" s="17">
        <v>59</v>
      </c>
      <c r="T78" s="17">
        <v>62</v>
      </c>
      <c r="U78" s="17">
        <v>65</v>
      </c>
      <c r="V78" s="17">
        <v>65</v>
      </c>
      <c r="W78" s="17">
        <v>65</v>
      </c>
      <c r="X78" s="3">
        <v>103</v>
      </c>
    </row>
    <row r="79" spans="1:24" s="3" customFormat="1" x14ac:dyDescent="0.25">
      <c r="A79" s="16" t="s">
        <v>870</v>
      </c>
      <c r="B79" s="17" t="s">
        <v>7</v>
      </c>
      <c r="C79" s="17" t="s">
        <v>836</v>
      </c>
      <c r="D79" s="18" t="s">
        <v>164</v>
      </c>
      <c r="E79" s="18" t="s">
        <v>1488</v>
      </c>
      <c r="F79" s="18">
        <v>5.94</v>
      </c>
      <c r="G79" s="22">
        <v>1.5</v>
      </c>
      <c r="H79" s="17">
        <v>8.93</v>
      </c>
      <c r="I79" s="25">
        <v>13.863123589872153</v>
      </c>
      <c r="J79" s="24">
        <f>G79/F79*((100-H79)/100)*((100-I79)/100)*100</f>
        <v>19.809306400682679</v>
      </c>
      <c r="K79" s="53">
        <v>4.5047619047619047</v>
      </c>
      <c r="L79" s="54">
        <f>J79*10000/K79</f>
        <v>43974.147401092625</v>
      </c>
      <c r="M79" s="55">
        <v>48.3</v>
      </c>
      <c r="N79" s="55">
        <v>19.8</v>
      </c>
      <c r="O79" s="56">
        <v>40.792000000000002</v>
      </c>
      <c r="P79" s="55">
        <v>58.9</v>
      </c>
      <c r="Q79" s="17">
        <v>55</v>
      </c>
      <c r="R79" s="17">
        <v>57</v>
      </c>
      <c r="S79" s="17">
        <v>60</v>
      </c>
      <c r="T79" s="17">
        <v>62</v>
      </c>
      <c r="U79" s="17">
        <v>65</v>
      </c>
      <c r="V79" s="17">
        <v>65</v>
      </c>
      <c r="W79" s="17">
        <v>65</v>
      </c>
      <c r="X79" s="3">
        <v>103</v>
      </c>
    </row>
    <row r="80" spans="1:24" s="3" customFormat="1" x14ac:dyDescent="0.25">
      <c r="A80" s="16" t="s">
        <v>1275</v>
      </c>
      <c r="B80" s="17" t="s">
        <v>10</v>
      </c>
      <c r="C80" s="17" t="s">
        <v>836</v>
      </c>
      <c r="D80" s="18" t="s">
        <v>171</v>
      </c>
      <c r="E80" s="18" t="s">
        <v>1484</v>
      </c>
      <c r="F80" s="18">
        <v>5.94</v>
      </c>
      <c r="G80" s="22">
        <v>1.4</v>
      </c>
      <c r="H80" s="17">
        <v>7.69</v>
      </c>
      <c r="I80" s="25">
        <v>13.796832753959048</v>
      </c>
      <c r="J80" s="24">
        <f>G80/F80*((100-H80)/100)*((100-I80)/100)*100</f>
        <v>18.754848679923995</v>
      </c>
      <c r="K80" s="53">
        <v>5.562200956937799</v>
      </c>
      <c r="L80" s="54">
        <f>J80*10000/K80</f>
        <v>33718.394615949379</v>
      </c>
      <c r="M80" s="55">
        <v>49.5</v>
      </c>
      <c r="N80" s="55">
        <v>19.399999999999999</v>
      </c>
      <c r="O80" s="56">
        <v>30.562000000000001</v>
      </c>
      <c r="P80" s="55">
        <v>50.6</v>
      </c>
      <c r="Q80" s="17">
        <v>57</v>
      </c>
      <c r="R80" s="17">
        <v>57</v>
      </c>
      <c r="S80" s="17">
        <v>60</v>
      </c>
      <c r="T80" s="17">
        <v>62</v>
      </c>
      <c r="U80" s="17">
        <v>65</v>
      </c>
      <c r="V80" s="17">
        <v>65</v>
      </c>
      <c r="W80" s="17">
        <v>67</v>
      </c>
      <c r="X80" s="3">
        <v>103</v>
      </c>
    </row>
    <row r="81" spans="1:24" s="3" customFormat="1" x14ac:dyDescent="0.25">
      <c r="A81" s="16" t="s">
        <v>1301</v>
      </c>
      <c r="B81" s="17" t="s">
        <v>10</v>
      </c>
      <c r="C81" s="17" t="s">
        <v>836</v>
      </c>
      <c r="D81" s="18" t="s">
        <v>232</v>
      </c>
      <c r="E81" s="18" t="s">
        <v>1598</v>
      </c>
      <c r="F81" s="18">
        <v>5.94</v>
      </c>
      <c r="G81" s="22">
        <v>2.19</v>
      </c>
      <c r="H81" s="17">
        <v>7.69</v>
      </c>
      <c r="I81" s="25">
        <v>11.422359729074334</v>
      </c>
      <c r="J81" s="24">
        <f>G81/F81*((100-H81)/100)*((100-I81)/100)*100</f>
        <v>30.146057780750901</v>
      </c>
      <c r="K81" s="53">
        <v>4.5592417061611377</v>
      </c>
      <c r="L81" s="54">
        <f>J81*10000/K81</f>
        <v>66120.771223892298</v>
      </c>
      <c r="M81" s="55">
        <v>49.4</v>
      </c>
      <c r="N81" s="55">
        <v>17.5</v>
      </c>
      <c r="O81" s="56">
        <v>1.5462</v>
      </c>
      <c r="P81" s="55">
        <v>20</v>
      </c>
      <c r="Q81" s="17">
        <v>57</v>
      </c>
      <c r="R81" s="17">
        <v>57</v>
      </c>
      <c r="S81" s="17">
        <v>60</v>
      </c>
      <c r="T81" s="17">
        <v>62</v>
      </c>
      <c r="U81" s="17">
        <v>65</v>
      </c>
      <c r="V81" s="17">
        <v>65</v>
      </c>
      <c r="W81" s="17">
        <v>65</v>
      </c>
      <c r="X81" s="3">
        <v>103</v>
      </c>
    </row>
    <row r="82" spans="1:24" s="3" customFormat="1" x14ac:dyDescent="0.25">
      <c r="A82" s="16" t="s">
        <v>1337</v>
      </c>
      <c r="B82" s="17" t="s">
        <v>10</v>
      </c>
      <c r="C82" s="17" t="s">
        <v>836</v>
      </c>
      <c r="D82" s="18" t="s">
        <v>213</v>
      </c>
      <c r="E82" s="18" t="s">
        <v>1566</v>
      </c>
      <c r="F82" s="18">
        <v>5.94</v>
      </c>
      <c r="G82" s="22">
        <v>2.4500000000000002</v>
      </c>
      <c r="H82" s="17">
        <v>7.69</v>
      </c>
      <c r="I82" s="25">
        <v>10.451434284395912</v>
      </c>
      <c r="J82" s="24">
        <f>G82/F82*((100-H82)/100)*((100-I82)/100)*100</f>
        <v>34.09471186524943</v>
      </c>
      <c r="K82" s="53">
        <v>5.268817204301075</v>
      </c>
      <c r="L82" s="54">
        <f>J82*10000/K82</f>
        <v>64710.371499350957</v>
      </c>
      <c r="M82" s="55">
        <v>52.1</v>
      </c>
      <c r="N82" s="55">
        <v>18</v>
      </c>
      <c r="O82" s="56">
        <v>4.0232000000000001</v>
      </c>
      <c r="P82" s="55">
        <v>18.8</v>
      </c>
      <c r="Q82" s="17">
        <v>57</v>
      </c>
      <c r="R82" s="17">
        <v>57</v>
      </c>
      <c r="S82" s="17">
        <v>60</v>
      </c>
      <c r="T82" s="17">
        <v>62</v>
      </c>
      <c r="U82" s="17">
        <v>65</v>
      </c>
      <c r="V82" s="17">
        <v>65</v>
      </c>
      <c r="W82" s="17">
        <v>65</v>
      </c>
      <c r="X82" s="3">
        <v>103</v>
      </c>
    </row>
    <row r="83" spans="1:24" s="3" customFormat="1" x14ac:dyDescent="0.25">
      <c r="A83" s="16" t="s">
        <v>888</v>
      </c>
      <c r="B83" s="17" t="s">
        <v>7</v>
      </c>
      <c r="C83" s="17" t="s">
        <v>836</v>
      </c>
      <c r="D83" s="18" t="s">
        <v>202</v>
      </c>
      <c r="E83" s="18" t="s">
        <v>1504</v>
      </c>
      <c r="F83" s="18">
        <v>5.94</v>
      </c>
      <c r="G83" s="22">
        <v>1.83</v>
      </c>
      <c r="H83" s="17">
        <v>8.93</v>
      </c>
      <c r="I83" s="25">
        <v>5.9546733817212312</v>
      </c>
      <c r="J83" s="24">
        <f>G83/F83*((100-H83)/100)*((100-I83)/100)*100</f>
        <v>26.386221293066942</v>
      </c>
      <c r="K83" s="53">
        <v>5.382022471910112</v>
      </c>
      <c r="L83" s="54">
        <f>J83*10000/K83</f>
        <v>49026.590711544013</v>
      </c>
      <c r="M83" s="55">
        <v>46.8</v>
      </c>
      <c r="N83" s="55">
        <v>20.5</v>
      </c>
      <c r="O83" s="56">
        <v>8.4793000000000003</v>
      </c>
      <c r="P83" s="55">
        <v>67.2</v>
      </c>
      <c r="Q83" s="17">
        <v>57</v>
      </c>
      <c r="R83" s="17">
        <v>57</v>
      </c>
      <c r="S83" s="17">
        <v>60</v>
      </c>
      <c r="T83" s="17">
        <v>62</v>
      </c>
      <c r="U83" s="17">
        <v>65</v>
      </c>
      <c r="V83" s="17">
        <v>65</v>
      </c>
      <c r="W83" s="17">
        <v>67</v>
      </c>
      <c r="X83" s="3">
        <v>103</v>
      </c>
    </row>
    <row r="84" spans="1:24" s="62" customFormat="1" x14ac:dyDescent="0.25">
      <c r="A84" s="66" t="s">
        <v>1034</v>
      </c>
      <c r="B84" s="17" t="s">
        <v>7</v>
      </c>
      <c r="C84" s="17" t="s">
        <v>836</v>
      </c>
      <c r="D84" s="18" t="s">
        <v>131</v>
      </c>
      <c r="E84" s="18" t="s">
        <v>1842</v>
      </c>
      <c r="F84" s="18">
        <v>5.94</v>
      </c>
      <c r="G84" s="22">
        <v>1.28</v>
      </c>
      <c r="H84" s="17">
        <v>8.93</v>
      </c>
      <c r="I84" s="25">
        <v>8.7467963461917417</v>
      </c>
      <c r="J84" s="24">
        <f>G84/F84*((100-H84)/100)*((100-I84)/100)*100</f>
        <v>17.907995704786138</v>
      </c>
      <c r="K84" s="53">
        <v>5.7888349514563107</v>
      </c>
      <c r="L84" s="54">
        <f>J84*10000/K84</f>
        <v>30935.4055780792</v>
      </c>
      <c r="M84" s="55">
        <v>48.1</v>
      </c>
      <c r="N84" s="57">
        <v>20.5</v>
      </c>
      <c r="O84" s="57">
        <v>8.7322000000000006</v>
      </c>
      <c r="P84" s="57">
        <v>60.9</v>
      </c>
      <c r="Q84" s="17">
        <v>57</v>
      </c>
      <c r="R84" s="17">
        <v>57</v>
      </c>
      <c r="S84" s="17">
        <v>60</v>
      </c>
      <c r="T84" s="17">
        <v>62</v>
      </c>
      <c r="U84" s="17">
        <v>65</v>
      </c>
      <c r="V84" s="17">
        <v>65</v>
      </c>
      <c r="W84" s="17">
        <v>67</v>
      </c>
      <c r="X84" s="3">
        <v>103</v>
      </c>
    </row>
    <row r="85" spans="1:24" s="62" customFormat="1" x14ac:dyDescent="0.25">
      <c r="A85" s="66" t="s">
        <v>1250</v>
      </c>
      <c r="B85" s="17" t="s">
        <v>10</v>
      </c>
      <c r="C85" s="17" t="s">
        <v>836</v>
      </c>
      <c r="D85" s="18" t="s">
        <v>133</v>
      </c>
      <c r="E85" s="18" t="s">
        <v>1838</v>
      </c>
      <c r="F85" s="18">
        <v>5.94</v>
      </c>
      <c r="G85" s="22">
        <v>1.61</v>
      </c>
      <c r="H85" s="17">
        <v>7.69</v>
      </c>
      <c r="I85" s="25">
        <v>15.771931068718528</v>
      </c>
      <c r="J85" s="24">
        <f>G85/F85*((100-H85)/100)*((100-I85)/100)*100</f>
        <v>21.073905386035381</v>
      </c>
      <c r="K85" s="53">
        <v>5.0269687162891046</v>
      </c>
      <c r="L85" s="54">
        <f>J85*10000/K85</f>
        <v>41921.695907413727</v>
      </c>
      <c r="M85" s="55">
        <v>44.9</v>
      </c>
      <c r="N85" s="55">
        <v>22.5</v>
      </c>
      <c r="O85" s="56">
        <v>7.0655999999999999</v>
      </c>
      <c r="P85" s="55">
        <v>73.7</v>
      </c>
      <c r="Q85" s="17">
        <v>57</v>
      </c>
      <c r="R85" s="17">
        <v>59</v>
      </c>
      <c r="S85" s="17">
        <v>60</v>
      </c>
      <c r="T85" s="17">
        <v>62</v>
      </c>
      <c r="U85" s="17">
        <v>65</v>
      </c>
      <c r="V85" s="17">
        <v>65</v>
      </c>
      <c r="W85" s="17">
        <v>67</v>
      </c>
      <c r="X85" s="3">
        <v>103</v>
      </c>
    </row>
    <row r="86" spans="1:24" s="3" customFormat="1" x14ac:dyDescent="0.25">
      <c r="A86" s="16" t="s">
        <v>1282</v>
      </c>
      <c r="B86" s="17" t="s">
        <v>10</v>
      </c>
      <c r="C86" s="17" t="s">
        <v>836</v>
      </c>
      <c r="D86" s="18" t="s">
        <v>190</v>
      </c>
      <c r="E86" s="18" t="s">
        <v>1456</v>
      </c>
      <c r="F86" s="18">
        <v>5.94</v>
      </c>
      <c r="G86" s="22">
        <v>1.5</v>
      </c>
      <c r="H86" s="17">
        <v>7.69</v>
      </c>
      <c r="I86" s="25">
        <v>7.6144094001236917</v>
      </c>
      <c r="J86" s="24">
        <f>G86/F86*((100-H86)/100)*((100-I86)/100)*100</f>
        <v>21.535641081501467</v>
      </c>
      <c r="K86" s="53">
        <v>4.9576271186440675</v>
      </c>
      <c r="L86" s="54">
        <f>J86*10000/K86</f>
        <v>43439.412779780745</v>
      </c>
      <c r="M86" s="55">
        <v>50.1</v>
      </c>
      <c r="N86" s="55">
        <v>19.7</v>
      </c>
      <c r="O86" s="56">
        <v>50.168999999999997</v>
      </c>
      <c r="P86" s="55">
        <v>54.7</v>
      </c>
      <c r="Q86" s="17">
        <v>57</v>
      </c>
      <c r="R86" s="17">
        <v>59</v>
      </c>
      <c r="S86" s="17">
        <v>60</v>
      </c>
      <c r="T86" s="17">
        <v>62</v>
      </c>
      <c r="U86" s="17">
        <v>65</v>
      </c>
      <c r="V86" s="17">
        <v>65</v>
      </c>
      <c r="W86" s="17">
        <v>67</v>
      </c>
      <c r="X86" s="3">
        <v>103</v>
      </c>
    </row>
    <row r="87" spans="1:24" s="3" customFormat="1" x14ac:dyDescent="0.25">
      <c r="A87" s="16" t="s">
        <v>1287</v>
      </c>
      <c r="B87" s="17" t="s">
        <v>10</v>
      </c>
      <c r="C87" s="17" t="s">
        <v>836</v>
      </c>
      <c r="D87" s="18" t="s">
        <v>48</v>
      </c>
      <c r="E87" s="18" t="s">
        <v>1692</v>
      </c>
      <c r="F87" s="18">
        <v>5.94</v>
      </c>
      <c r="G87" s="22">
        <v>1.31</v>
      </c>
      <c r="H87" s="17">
        <v>7.69</v>
      </c>
      <c r="I87" s="25">
        <v>10.268298244280604</v>
      </c>
      <c r="J87" s="24">
        <f>G87/F87*((100-H87)/100)*((100-I87)/100)*100</f>
        <v>18.267516396771548</v>
      </c>
      <c r="K87" s="53">
        <v>4.0223944875107662</v>
      </c>
      <c r="L87" s="54">
        <f>J87*10000/K87</f>
        <v>45414.532198397792</v>
      </c>
      <c r="M87" s="55">
        <v>49.4</v>
      </c>
      <c r="N87" s="55">
        <v>18.399999999999999</v>
      </c>
      <c r="O87" s="56">
        <v>35.92</v>
      </c>
      <c r="P87" s="55">
        <v>49.4</v>
      </c>
      <c r="Q87" s="17">
        <v>57</v>
      </c>
      <c r="R87" s="17">
        <v>59</v>
      </c>
      <c r="S87" s="17">
        <v>60</v>
      </c>
      <c r="T87" s="17">
        <v>62</v>
      </c>
      <c r="U87" s="17">
        <v>65</v>
      </c>
      <c r="V87" s="17">
        <v>65</v>
      </c>
      <c r="W87" s="17">
        <v>67</v>
      </c>
      <c r="X87" s="3">
        <v>103</v>
      </c>
    </row>
    <row r="88" spans="1:24" s="3" customFormat="1" x14ac:dyDescent="0.25">
      <c r="A88" s="16" t="s">
        <v>1390</v>
      </c>
      <c r="B88" s="17" t="s">
        <v>10</v>
      </c>
      <c r="C88" s="17" t="s">
        <v>836</v>
      </c>
      <c r="D88" s="18" t="s">
        <v>164</v>
      </c>
      <c r="E88" s="18" t="s">
        <v>1488</v>
      </c>
      <c r="F88" s="18">
        <v>5.94</v>
      </c>
      <c r="G88" s="22">
        <v>1.55</v>
      </c>
      <c r="H88" s="17">
        <v>7.69</v>
      </c>
      <c r="I88" s="25">
        <v>15.904447587615911</v>
      </c>
      <c r="J88" s="24">
        <f>G88/F88*((100-H88)/100)*((100-I88)/100)*100</f>
        <v>20.256622368586061</v>
      </c>
      <c r="K88" s="53">
        <v>4.4884792626728114</v>
      </c>
      <c r="L88" s="54">
        <f>J88*10000/K88</f>
        <v>45130.257227753333</v>
      </c>
      <c r="M88" s="55">
        <v>49.8</v>
      </c>
      <c r="N88" s="55">
        <v>18.7</v>
      </c>
      <c r="O88" s="56">
        <v>40.798000000000002</v>
      </c>
      <c r="P88" s="55">
        <v>57.9</v>
      </c>
      <c r="Q88" s="17">
        <v>57</v>
      </c>
      <c r="R88" s="17">
        <v>59</v>
      </c>
      <c r="S88" s="17">
        <v>60</v>
      </c>
      <c r="T88" s="17">
        <v>62</v>
      </c>
      <c r="U88" s="17">
        <v>65</v>
      </c>
      <c r="V88" s="17">
        <v>65</v>
      </c>
      <c r="W88" s="17">
        <v>65</v>
      </c>
      <c r="X88" s="3">
        <v>103</v>
      </c>
    </row>
    <row r="89" spans="1:24" s="3" customFormat="1" x14ac:dyDescent="0.25">
      <c r="A89" s="16" t="s">
        <v>1418</v>
      </c>
      <c r="B89" s="17" t="s">
        <v>10</v>
      </c>
      <c r="C89" s="17" t="s">
        <v>836</v>
      </c>
      <c r="D89" s="18" t="s">
        <v>222</v>
      </c>
      <c r="E89" s="18" t="s">
        <v>1700</v>
      </c>
      <c r="F89" s="18">
        <v>5.94</v>
      </c>
      <c r="G89" s="22">
        <v>1.53</v>
      </c>
      <c r="H89" s="17">
        <v>7.69</v>
      </c>
      <c r="I89" s="25">
        <v>20.48534027405649</v>
      </c>
      <c r="J89" s="24">
        <f>G89/F89*((100-H89)/100)*((100-I89)/100)*100</f>
        <v>18.906056070928997</v>
      </c>
      <c r="K89" s="53">
        <v>3.7205651491365779</v>
      </c>
      <c r="L89" s="54">
        <f>J89*10000/K89</f>
        <v>50815.011464901989</v>
      </c>
      <c r="M89" s="55">
        <v>51.4</v>
      </c>
      <c r="N89" s="55">
        <v>18.7</v>
      </c>
      <c r="O89" s="56">
        <v>42.786000000000001</v>
      </c>
      <c r="P89" s="55">
        <v>58.5</v>
      </c>
      <c r="Q89" s="17">
        <v>57</v>
      </c>
      <c r="R89" s="17">
        <v>59</v>
      </c>
      <c r="S89" s="17">
        <v>60</v>
      </c>
      <c r="T89" s="17">
        <v>62</v>
      </c>
      <c r="U89" s="17">
        <v>65</v>
      </c>
      <c r="V89" s="17">
        <v>65</v>
      </c>
      <c r="W89" s="17">
        <v>67</v>
      </c>
      <c r="X89" s="3">
        <v>103</v>
      </c>
    </row>
    <row r="90" spans="1:24" s="3" customFormat="1" x14ac:dyDescent="0.25">
      <c r="A90" s="16" t="s">
        <v>868</v>
      </c>
      <c r="B90" s="17" t="s">
        <v>7</v>
      </c>
      <c r="C90" s="17" t="s">
        <v>836</v>
      </c>
      <c r="D90" s="18" t="s">
        <v>103</v>
      </c>
      <c r="E90" s="18" t="s">
        <v>1710</v>
      </c>
      <c r="F90" s="18">
        <v>5.94</v>
      </c>
      <c r="G90" s="22">
        <v>1.8</v>
      </c>
      <c r="H90" s="17">
        <v>8.93</v>
      </c>
      <c r="I90" s="25">
        <v>6.363069245165323</v>
      </c>
      <c r="J90" s="24">
        <f>G90/F90*((100-H90)/100)*((100-I90)/100)*100</f>
        <v>25.840955405584225</v>
      </c>
      <c r="K90" s="53">
        <v>5.2705627705627709</v>
      </c>
      <c r="L90" s="54">
        <f>J90*10000/K90</f>
        <v>49028.835307515037</v>
      </c>
      <c r="M90" s="55">
        <v>49.8</v>
      </c>
      <c r="N90" s="55">
        <v>18.2</v>
      </c>
      <c r="O90" s="56">
        <v>7.7792000000000003</v>
      </c>
      <c r="P90" s="55">
        <v>53.8</v>
      </c>
      <c r="Q90" s="17">
        <v>57</v>
      </c>
      <c r="R90" s="17">
        <v>59</v>
      </c>
      <c r="S90" s="17">
        <v>60</v>
      </c>
      <c r="T90" s="17">
        <v>62</v>
      </c>
      <c r="U90" s="17">
        <v>65</v>
      </c>
      <c r="V90" s="17">
        <v>65</v>
      </c>
      <c r="W90" s="17">
        <v>65</v>
      </c>
      <c r="X90" s="3">
        <v>103</v>
      </c>
    </row>
    <row r="91" spans="1:24" s="3" customFormat="1" x14ac:dyDescent="0.25">
      <c r="A91" s="16" t="s">
        <v>874</v>
      </c>
      <c r="B91" s="17" t="s">
        <v>7</v>
      </c>
      <c r="C91" s="17" t="s">
        <v>836</v>
      </c>
      <c r="D91" s="18" t="s">
        <v>71</v>
      </c>
      <c r="E91" s="18" t="s">
        <v>1604</v>
      </c>
      <c r="F91" s="18">
        <v>5.94</v>
      </c>
      <c r="G91" s="22">
        <v>1.89</v>
      </c>
      <c r="H91" s="17">
        <v>8.93</v>
      </c>
      <c r="I91" s="25">
        <v>3.670175438596484</v>
      </c>
      <c r="J91" s="24">
        <f>G91/F91*((100-H91)/100)*((100-I91)/100)*100</f>
        <v>27.913318118022325</v>
      </c>
      <c r="K91" s="53">
        <v>5.8233890214797137</v>
      </c>
      <c r="L91" s="54">
        <f>J91*10000/K91</f>
        <v>47933.115948571118</v>
      </c>
      <c r="M91" s="55">
        <v>50.3</v>
      </c>
      <c r="N91" s="55">
        <v>18.2</v>
      </c>
      <c r="O91" s="56">
        <v>3.1684000000000001</v>
      </c>
      <c r="P91" s="55">
        <v>13.8</v>
      </c>
      <c r="Q91" s="17">
        <v>57</v>
      </c>
      <c r="R91" s="17">
        <v>59</v>
      </c>
      <c r="S91" s="17">
        <v>60</v>
      </c>
      <c r="T91" s="17">
        <v>62</v>
      </c>
      <c r="U91" s="17">
        <v>65</v>
      </c>
      <c r="V91" s="17">
        <v>65</v>
      </c>
      <c r="W91" s="17">
        <v>67</v>
      </c>
      <c r="X91" s="3">
        <v>103</v>
      </c>
    </row>
    <row r="92" spans="1:24" s="3" customFormat="1" x14ac:dyDescent="0.25">
      <c r="A92" s="16" t="s">
        <v>894</v>
      </c>
      <c r="B92" s="17" t="s">
        <v>7</v>
      </c>
      <c r="C92" s="17" t="s">
        <v>836</v>
      </c>
      <c r="D92" s="18" t="s">
        <v>258</v>
      </c>
      <c r="E92" s="18" t="s">
        <v>1664</v>
      </c>
      <c r="F92" s="18">
        <v>5.94</v>
      </c>
      <c r="G92" s="22">
        <v>1.89</v>
      </c>
      <c r="H92" s="17">
        <v>8.93</v>
      </c>
      <c r="I92" s="25">
        <v>7.7889254805851174</v>
      </c>
      <c r="J92" s="24">
        <f>G92/F92*((100-H92)/100)*((100-I92)/100)*100</f>
        <v>26.71983540699172</v>
      </c>
      <c r="K92" s="53">
        <v>4.373881932021467</v>
      </c>
      <c r="L92" s="54">
        <f>J92*10000/K92</f>
        <v>61089.521441752033</v>
      </c>
      <c r="M92" s="55">
        <v>51.3</v>
      </c>
      <c r="N92" s="55">
        <v>17.399999999999999</v>
      </c>
      <c r="O92" s="56">
        <v>1.6451</v>
      </c>
      <c r="P92" s="55">
        <v>25.3</v>
      </c>
      <c r="Q92" s="17">
        <v>57</v>
      </c>
      <c r="R92" s="17">
        <v>59</v>
      </c>
      <c r="S92" s="17">
        <v>60</v>
      </c>
      <c r="T92" s="17">
        <v>62</v>
      </c>
      <c r="U92" s="17">
        <v>65</v>
      </c>
      <c r="V92" s="17">
        <v>65</v>
      </c>
      <c r="W92" s="17">
        <v>67</v>
      </c>
      <c r="X92" s="3">
        <v>103</v>
      </c>
    </row>
    <row r="93" spans="1:24" s="3" customFormat="1" x14ac:dyDescent="0.25">
      <c r="A93" s="16" t="s">
        <v>921</v>
      </c>
      <c r="B93" s="17" t="s">
        <v>7</v>
      </c>
      <c r="C93" s="17" t="s">
        <v>836</v>
      </c>
      <c r="D93" s="18" t="s">
        <v>268</v>
      </c>
      <c r="E93" s="18" t="s">
        <v>1734</v>
      </c>
      <c r="F93" s="18">
        <v>5.94</v>
      </c>
      <c r="G93" s="22">
        <v>2.39</v>
      </c>
      <c r="H93" s="17">
        <v>8.93</v>
      </c>
      <c r="I93" s="25">
        <v>4.9152946790742122</v>
      </c>
      <c r="J93" s="24">
        <f>G93/F93*((100-H93)/100)*((100-I93)/100)*100</f>
        <v>34.841549211192493</v>
      </c>
      <c r="K93" s="53">
        <v>5.1200873362445414</v>
      </c>
      <c r="L93" s="54">
        <f>J93*10000/K93</f>
        <v>68048.74003721177</v>
      </c>
      <c r="M93" s="55">
        <v>52.8</v>
      </c>
      <c r="N93" s="55">
        <v>16.5</v>
      </c>
      <c r="O93" s="56">
        <v>0.56964000000000004</v>
      </c>
      <c r="P93" s="55">
        <v>17.899999999999999</v>
      </c>
      <c r="Q93" s="17">
        <v>57</v>
      </c>
      <c r="R93" s="17">
        <v>59</v>
      </c>
      <c r="S93" s="17">
        <v>60</v>
      </c>
      <c r="T93" s="17">
        <v>62</v>
      </c>
      <c r="U93" s="17">
        <v>65</v>
      </c>
      <c r="V93" s="17">
        <v>65</v>
      </c>
      <c r="W93" s="17">
        <v>67</v>
      </c>
      <c r="X93" s="3">
        <v>103</v>
      </c>
    </row>
    <row r="94" spans="1:24" s="3" customFormat="1" x14ac:dyDescent="0.25">
      <c r="A94" s="66" t="s">
        <v>1255</v>
      </c>
      <c r="B94" s="17" t="s">
        <v>10</v>
      </c>
      <c r="C94" s="17" t="s">
        <v>836</v>
      </c>
      <c r="D94" s="18" t="s">
        <v>121</v>
      </c>
      <c r="E94" s="18" t="s">
        <v>1820</v>
      </c>
      <c r="F94" s="18">
        <v>5.94</v>
      </c>
      <c r="G94" s="22">
        <v>1.0900000000000001</v>
      </c>
      <c r="H94" s="17">
        <v>7.69</v>
      </c>
      <c r="I94" s="25">
        <v>20.998757037362004</v>
      </c>
      <c r="J94" s="24">
        <f>G94/F94*((100-H94)/100)*((100-I94)/100)*100</f>
        <v>13.382052465135377</v>
      </c>
      <c r="K94" s="53">
        <v>5.2449888641425391</v>
      </c>
      <c r="L94" s="54">
        <f>J94*10000/K94</f>
        <v>25513.976886818618</v>
      </c>
      <c r="M94" s="55">
        <v>50.7</v>
      </c>
      <c r="N94" s="55">
        <v>21.9</v>
      </c>
      <c r="O94" s="56">
        <v>49.911000000000001</v>
      </c>
      <c r="P94" s="55">
        <v>75.099999999999994</v>
      </c>
      <c r="Q94" s="17">
        <v>57</v>
      </c>
      <c r="R94" s="17">
        <v>60</v>
      </c>
      <c r="S94" s="17">
        <v>61</v>
      </c>
      <c r="T94" s="17">
        <v>62</v>
      </c>
      <c r="U94" s="17">
        <v>65</v>
      </c>
      <c r="V94" s="17">
        <v>65</v>
      </c>
      <c r="W94" s="17">
        <v>65</v>
      </c>
      <c r="X94" s="3">
        <v>103</v>
      </c>
    </row>
    <row r="95" spans="1:24" s="3" customFormat="1" x14ac:dyDescent="0.25">
      <c r="A95" s="16" t="s">
        <v>943</v>
      </c>
      <c r="B95" s="17" t="s">
        <v>7</v>
      </c>
      <c r="C95" s="17" t="s">
        <v>836</v>
      </c>
      <c r="D95" s="18" t="s">
        <v>271</v>
      </c>
      <c r="E95" s="18" t="s">
        <v>1521</v>
      </c>
      <c r="F95" s="18">
        <v>5.94</v>
      </c>
      <c r="G95" s="22">
        <v>1.75</v>
      </c>
      <c r="H95" s="17">
        <v>8.93</v>
      </c>
      <c r="I95" s="25">
        <v>11.615999999999996</v>
      </c>
      <c r="J95" s="24">
        <f>G95/F95*((100-H95)/100)*((100-I95)/100)*100</f>
        <v>23.713769427609424</v>
      </c>
      <c r="K95" s="53">
        <v>5.0371155885471897</v>
      </c>
      <c r="L95" s="54">
        <f>J95*10000/K95</f>
        <v>47078.072779443552</v>
      </c>
      <c r="M95" s="55">
        <v>48.5</v>
      </c>
      <c r="N95" s="55">
        <v>19</v>
      </c>
      <c r="O95" s="56">
        <v>7.3784000000000001</v>
      </c>
      <c r="P95" s="55">
        <v>53.9</v>
      </c>
      <c r="Q95" s="17">
        <v>55</v>
      </c>
      <c r="R95" s="17">
        <v>57</v>
      </c>
      <c r="S95" s="17">
        <v>59</v>
      </c>
      <c r="T95" s="17">
        <v>63</v>
      </c>
      <c r="U95" s="17">
        <v>65</v>
      </c>
      <c r="V95" s="17">
        <v>65</v>
      </c>
      <c r="W95" s="17">
        <v>65</v>
      </c>
      <c r="X95" s="3">
        <v>103</v>
      </c>
    </row>
    <row r="96" spans="1:24" s="3" customFormat="1" x14ac:dyDescent="0.25">
      <c r="A96" s="16" t="s">
        <v>1320</v>
      </c>
      <c r="B96" s="17" t="s">
        <v>10</v>
      </c>
      <c r="C96" s="17" t="s">
        <v>836</v>
      </c>
      <c r="D96" s="18" t="s">
        <v>277</v>
      </c>
      <c r="E96" s="18" t="s">
        <v>1460</v>
      </c>
      <c r="F96" s="18">
        <v>5.94</v>
      </c>
      <c r="G96" s="22">
        <v>1.78</v>
      </c>
      <c r="H96" s="17">
        <v>7.69</v>
      </c>
      <c r="I96" s="25">
        <v>10.986640112853712</v>
      </c>
      <c r="J96" s="24">
        <f>G96/F96*((100-H96)/100)*((100-I96)/100)*100</f>
        <v>24.622803681994615</v>
      </c>
      <c r="K96" s="53">
        <v>5.3013392857142856</v>
      </c>
      <c r="L96" s="54">
        <f>J96*10000/K96</f>
        <v>46446.383366457208</v>
      </c>
      <c r="M96" s="55">
        <v>49.5</v>
      </c>
      <c r="N96" s="55">
        <v>19.7</v>
      </c>
      <c r="O96" s="56">
        <v>50.926000000000002</v>
      </c>
      <c r="P96" s="55">
        <v>70.7</v>
      </c>
      <c r="Q96" s="17">
        <v>55</v>
      </c>
      <c r="R96" s="17">
        <v>57</v>
      </c>
      <c r="S96" s="17">
        <v>60</v>
      </c>
      <c r="T96" s="17">
        <v>63</v>
      </c>
      <c r="U96" s="17">
        <v>65</v>
      </c>
      <c r="V96" s="17">
        <v>65</v>
      </c>
      <c r="W96" s="17">
        <v>65</v>
      </c>
      <c r="X96" s="3">
        <v>103</v>
      </c>
    </row>
    <row r="97" spans="1:24" s="3" customFormat="1" x14ac:dyDescent="0.25">
      <c r="A97" s="16" t="s">
        <v>1362</v>
      </c>
      <c r="B97" s="17" t="s">
        <v>10</v>
      </c>
      <c r="C97" s="17" t="s">
        <v>836</v>
      </c>
      <c r="D97" s="18" t="s">
        <v>231</v>
      </c>
      <c r="E97" s="18" t="s">
        <v>1500</v>
      </c>
      <c r="F97" s="18">
        <v>5.94</v>
      </c>
      <c r="G97" s="22">
        <v>2.36</v>
      </c>
      <c r="H97" s="17">
        <v>7.69</v>
      </c>
      <c r="I97" s="25">
        <v>12.865862116798453</v>
      </c>
      <c r="J97" s="24">
        <f>G97/F97*((100-H97)/100)*((100-I97)/100)*100</f>
        <v>31.956753118646581</v>
      </c>
      <c r="K97" s="53">
        <v>5.1875</v>
      </c>
      <c r="L97" s="54">
        <f>J97*10000/K97</f>
        <v>61603.379505824734</v>
      </c>
      <c r="M97" s="55">
        <v>56.2</v>
      </c>
      <c r="N97" s="55">
        <v>16.7</v>
      </c>
      <c r="O97" s="56">
        <v>43.45</v>
      </c>
      <c r="P97" s="55">
        <v>46.6</v>
      </c>
      <c r="Q97" s="17">
        <v>55</v>
      </c>
      <c r="R97" s="17">
        <v>57</v>
      </c>
      <c r="S97" s="17">
        <v>60</v>
      </c>
      <c r="T97" s="17">
        <v>63</v>
      </c>
      <c r="U97" s="17">
        <v>65</v>
      </c>
      <c r="V97" s="17">
        <v>65</v>
      </c>
      <c r="W97" s="17">
        <v>65</v>
      </c>
      <c r="X97" s="3">
        <v>103</v>
      </c>
    </row>
    <row r="98" spans="1:24" s="3" customFormat="1" x14ac:dyDescent="0.25">
      <c r="A98" s="16" t="s">
        <v>1368</v>
      </c>
      <c r="B98" s="17" t="s">
        <v>10</v>
      </c>
      <c r="C98" s="17" t="s">
        <v>836</v>
      </c>
      <c r="D98" s="18" t="s">
        <v>160</v>
      </c>
      <c r="E98" s="18" t="s">
        <v>1610</v>
      </c>
      <c r="F98" s="18">
        <v>5.94</v>
      </c>
      <c r="G98" s="22">
        <v>2.3199999999999998</v>
      </c>
      <c r="H98" s="17">
        <v>7.69</v>
      </c>
      <c r="I98" s="25">
        <v>10.741042345276872</v>
      </c>
      <c r="J98" s="24">
        <f>G98/F98*((100-H98)/100)*((100-I98)/100)*100</f>
        <v>32.181190175369331</v>
      </c>
      <c r="K98" s="53">
        <v>4.7438330170777991</v>
      </c>
      <c r="L98" s="54">
        <f>J98*10000/K98</f>
        <v>67837.948889678548</v>
      </c>
      <c r="M98" s="55">
        <v>53.9</v>
      </c>
      <c r="N98" s="55">
        <v>16.399999999999999</v>
      </c>
      <c r="O98" s="56">
        <v>2.1627000000000001</v>
      </c>
      <c r="P98" s="55">
        <v>12.5</v>
      </c>
      <c r="Q98" s="17">
        <v>55</v>
      </c>
      <c r="R98" s="17">
        <v>57</v>
      </c>
      <c r="S98" s="17">
        <v>60</v>
      </c>
      <c r="T98" s="17">
        <v>63</v>
      </c>
      <c r="U98" s="17">
        <v>65</v>
      </c>
      <c r="V98" s="17">
        <v>65</v>
      </c>
      <c r="W98" s="17">
        <v>65</v>
      </c>
      <c r="X98" s="3">
        <v>103</v>
      </c>
    </row>
    <row r="99" spans="1:24" s="3" customFormat="1" x14ac:dyDescent="0.25">
      <c r="A99" s="16" t="s">
        <v>1349</v>
      </c>
      <c r="B99" s="17" t="s">
        <v>10</v>
      </c>
      <c r="C99" s="17" t="s">
        <v>836</v>
      </c>
      <c r="D99" s="18" t="s">
        <v>216</v>
      </c>
      <c r="E99" s="18" t="s">
        <v>1624</v>
      </c>
      <c r="F99" s="18">
        <v>5.94</v>
      </c>
      <c r="G99" s="22">
        <v>2.04</v>
      </c>
      <c r="H99" s="17">
        <v>7.69</v>
      </c>
      <c r="I99" s="25">
        <v>11.056473300038416</v>
      </c>
      <c r="J99" s="24">
        <f>G99/F99*((100-H99)/100)*((100-I99)/100)*100</f>
        <v>28.197254170595698</v>
      </c>
      <c r="K99" s="53">
        <v>4.3918291550603525</v>
      </c>
      <c r="L99" s="54">
        <f>J99*10000/K99</f>
        <v>64203.89585989761</v>
      </c>
      <c r="M99" s="55">
        <v>48.8</v>
      </c>
      <c r="N99" s="55">
        <v>16.7</v>
      </c>
      <c r="O99" s="56">
        <v>-2.6510000000000001E-3</v>
      </c>
      <c r="P99" s="55">
        <v>13.2</v>
      </c>
      <c r="Q99" s="17">
        <v>57</v>
      </c>
      <c r="R99" s="17">
        <v>57</v>
      </c>
      <c r="S99" s="17">
        <v>60</v>
      </c>
      <c r="T99" s="17">
        <v>63</v>
      </c>
      <c r="U99" s="17">
        <v>65</v>
      </c>
      <c r="V99" s="17">
        <v>65</v>
      </c>
      <c r="W99" s="17">
        <v>67</v>
      </c>
      <c r="X99" s="3">
        <v>103</v>
      </c>
    </row>
    <row r="100" spans="1:24" s="3" customFormat="1" x14ac:dyDescent="0.25">
      <c r="A100" s="16" t="s">
        <v>1441</v>
      </c>
      <c r="B100" s="17" t="s">
        <v>10</v>
      </c>
      <c r="C100" s="17" t="s">
        <v>836</v>
      </c>
      <c r="D100" s="18" t="s">
        <v>271</v>
      </c>
      <c r="E100" s="74" t="s">
        <v>1521</v>
      </c>
      <c r="F100" s="18">
        <v>5.94</v>
      </c>
      <c r="G100" s="22">
        <v>1.78</v>
      </c>
      <c r="H100" s="17">
        <v>7.69</v>
      </c>
      <c r="I100" s="25">
        <v>12.94825325827099</v>
      </c>
      <c r="J100" s="24">
        <f>G100/F100*((100-H100)/100)*((100-I100)/100)*100</f>
        <v>24.080183838851219</v>
      </c>
      <c r="K100" s="53">
        <v>4.9060336300692384</v>
      </c>
      <c r="L100" s="54">
        <f>J100*10000/K100</f>
        <v>49082.794074755206</v>
      </c>
      <c r="M100" s="55">
        <v>47.3</v>
      </c>
      <c r="N100" s="55">
        <v>19.5</v>
      </c>
      <c r="O100" s="56">
        <v>4.9371999999999998</v>
      </c>
      <c r="P100" s="55">
        <v>59.5</v>
      </c>
      <c r="Q100" s="17">
        <v>57</v>
      </c>
      <c r="R100" s="17">
        <v>57</v>
      </c>
      <c r="S100" s="17">
        <v>60</v>
      </c>
      <c r="T100" s="17">
        <v>63</v>
      </c>
      <c r="U100" s="17">
        <v>65</v>
      </c>
      <c r="V100" s="17">
        <v>65</v>
      </c>
      <c r="W100" s="17">
        <v>67</v>
      </c>
      <c r="X100" s="3">
        <v>103</v>
      </c>
    </row>
    <row r="101" spans="1:24" s="3" customFormat="1" x14ac:dyDescent="0.25">
      <c r="A101" s="16" t="s">
        <v>845</v>
      </c>
      <c r="B101" s="17" t="s">
        <v>7</v>
      </c>
      <c r="C101" s="17" t="s">
        <v>836</v>
      </c>
      <c r="D101" s="18" t="s">
        <v>160</v>
      </c>
      <c r="E101" s="18" t="s">
        <v>1610</v>
      </c>
      <c r="F101" s="18">
        <v>5.94</v>
      </c>
      <c r="G101" s="22">
        <v>2.14</v>
      </c>
      <c r="H101" s="17">
        <v>8.93</v>
      </c>
      <c r="I101" s="25">
        <v>5.9492897510310003</v>
      </c>
      <c r="J101" s="24">
        <f>G101/F101*((100-H101)/100)*((100-I101)/100)*100</f>
        <v>30.857784697440259</v>
      </c>
      <c r="K101" s="53">
        <v>4.5148895292987508</v>
      </c>
      <c r="L101" s="54">
        <f>J101*10000/K101</f>
        <v>68346.710361777266</v>
      </c>
      <c r="M101" s="55">
        <v>52.7</v>
      </c>
      <c r="N101" s="55">
        <v>16.7</v>
      </c>
      <c r="O101" s="56">
        <v>2.5163000000000002</v>
      </c>
      <c r="P101" s="55">
        <v>12.7</v>
      </c>
      <c r="Q101" s="17">
        <v>57</v>
      </c>
      <c r="R101" s="17">
        <v>57</v>
      </c>
      <c r="S101" s="17">
        <v>60</v>
      </c>
      <c r="T101" s="17">
        <v>63</v>
      </c>
      <c r="U101" s="17">
        <v>65</v>
      </c>
      <c r="V101" s="17">
        <v>65</v>
      </c>
      <c r="W101" s="17">
        <v>65</v>
      </c>
      <c r="X101" s="3">
        <v>103</v>
      </c>
    </row>
    <row r="102" spans="1:24" s="3" customFormat="1" x14ac:dyDescent="0.25">
      <c r="A102" s="16" t="s">
        <v>968</v>
      </c>
      <c r="B102" s="17" t="s">
        <v>7</v>
      </c>
      <c r="C102" s="17" t="s">
        <v>836</v>
      </c>
      <c r="D102" s="18" t="s">
        <v>179</v>
      </c>
      <c r="E102" s="18" t="s">
        <v>1666</v>
      </c>
      <c r="F102" s="18">
        <v>5.94</v>
      </c>
      <c r="G102" s="22">
        <v>2.16</v>
      </c>
      <c r="H102" s="17">
        <v>8.93</v>
      </c>
      <c r="I102" s="25">
        <v>5.5219044935906494</v>
      </c>
      <c r="J102" s="24">
        <f>G102/F102*((100-H102)/100)*((100-I102)/100)*100</f>
        <v>31.287709664613452</v>
      </c>
      <c r="K102" s="53">
        <v>5.6097560975609753</v>
      </c>
      <c r="L102" s="54">
        <f>J102*10000/K102</f>
        <v>55773.743315180502</v>
      </c>
      <c r="M102" s="55">
        <v>49.8</v>
      </c>
      <c r="N102" s="55">
        <v>19.100000000000001</v>
      </c>
      <c r="O102" s="56">
        <v>1.5541</v>
      </c>
      <c r="P102" s="55">
        <v>13.2</v>
      </c>
      <c r="Q102" s="17">
        <v>57</v>
      </c>
      <c r="R102" s="17">
        <v>57</v>
      </c>
      <c r="S102" s="17">
        <v>60</v>
      </c>
      <c r="T102" s="17">
        <v>63</v>
      </c>
      <c r="U102" s="17">
        <v>65</v>
      </c>
      <c r="V102" s="17">
        <v>65</v>
      </c>
      <c r="W102" s="17">
        <v>67</v>
      </c>
      <c r="X102" s="3">
        <v>103</v>
      </c>
    </row>
    <row r="103" spans="1:24" s="3" customFormat="1" x14ac:dyDescent="0.25">
      <c r="A103" s="16" t="s">
        <v>1004</v>
      </c>
      <c r="B103" s="17" t="s">
        <v>7</v>
      </c>
      <c r="C103" s="17" t="s">
        <v>836</v>
      </c>
      <c r="D103" s="18" t="s">
        <v>200</v>
      </c>
      <c r="E103" s="18" t="s">
        <v>1608</v>
      </c>
      <c r="F103" s="18">
        <v>5.94</v>
      </c>
      <c r="G103" s="22">
        <v>1.95</v>
      </c>
      <c r="H103" s="17">
        <v>8.93</v>
      </c>
      <c r="I103" s="25">
        <v>5.4750402576489678</v>
      </c>
      <c r="J103" s="24">
        <f>G103/F103*((100-H103)/100)*((100-I103)/100)*100</f>
        <v>28.259859870850196</v>
      </c>
      <c r="K103" s="53">
        <v>5.4820627802690582</v>
      </c>
      <c r="L103" s="54">
        <f>J103*10000/K103</f>
        <v>51549.683036397495</v>
      </c>
      <c r="M103" s="55">
        <v>48.3</v>
      </c>
      <c r="N103" s="55">
        <v>18.2</v>
      </c>
      <c r="O103" s="56">
        <v>1.9413</v>
      </c>
      <c r="P103" s="55">
        <v>18.8</v>
      </c>
      <c r="Q103" s="17">
        <v>57</v>
      </c>
      <c r="R103" s="17">
        <v>57</v>
      </c>
      <c r="S103" s="17">
        <v>60</v>
      </c>
      <c r="T103" s="17">
        <v>63</v>
      </c>
      <c r="U103" s="17">
        <v>65</v>
      </c>
      <c r="V103" s="17">
        <v>65</v>
      </c>
      <c r="W103" s="17">
        <v>67</v>
      </c>
      <c r="X103" s="3">
        <v>103</v>
      </c>
    </row>
    <row r="104" spans="1:24" s="3" customFormat="1" x14ac:dyDescent="0.25">
      <c r="A104" s="16" t="s">
        <v>948</v>
      </c>
      <c r="B104" s="17" t="s">
        <v>7</v>
      </c>
      <c r="C104" s="17" t="s">
        <v>836</v>
      </c>
      <c r="D104" s="18" t="s">
        <v>15</v>
      </c>
      <c r="E104" s="18" t="s">
        <v>1648</v>
      </c>
      <c r="F104" s="18">
        <v>5.94</v>
      </c>
      <c r="G104" s="22">
        <v>2.4700000000000002</v>
      </c>
      <c r="H104" s="17">
        <v>8.93</v>
      </c>
      <c r="I104" s="25">
        <v>3.9872997120283582</v>
      </c>
      <c r="J104" s="24">
        <f>G104/F104*((100-H104)/100)*((100-I104)/100)*100</f>
        <v>36.359217575096253</v>
      </c>
      <c r="K104" s="53">
        <v>4.9124613800205976</v>
      </c>
      <c r="L104" s="54">
        <f>J104*10000/K104</f>
        <v>74014.256321631983</v>
      </c>
      <c r="M104" s="55">
        <v>51.3</v>
      </c>
      <c r="N104" s="55">
        <v>17.600000000000001</v>
      </c>
      <c r="O104" s="56">
        <v>5.7824999999999998</v>
      </c>
      <c r="P104" s="55">
        <v>20.8</v>
      </c>
      <c r="Q104" s="17">
        <v>55</v>
      </c>
      <c r="R104" s="17">
        <v>59</v>
      </c>
      <c r="S104" s="17">
        <v>60</v>
      </c>
      <c r="T104" s="17">
        <v>63</v>
      </c>
      <c r="U104" s="17">
        <v>65</v>
      </c>
      <c r="V104" s="17">
        <v>65</v>
      </c>
      <c r="W104" s="17">
        <v>65</v>
      </c>
      <c r="X104" s="3">
        <v>103</v>
      </c>
    </row>
    <row r="105" spans="1:24" s="3" customFormat="1" x14ac:dyDescent="0.25">
      <c r="A105" s="66" t="s">
        <v>1266</v>
      </c>
      <c r="B105" s="17" t="s">
        <v>10</v>
      </c>
      <c r="C105" s="17" t="s">
        <v>836</v>
      </c>
      <c r="D105" s="18" t="s">
        <v>129</v>
      </c>
      <c r="E105" s="18" t="s">
        <v>1836</v>
      </c>
      <c r="F105" s="18">
        <v>5.94</v>
      </c>
      <c r="G105" s="22">
        <v>1.37</v>
      </c>
      <c r="H105" s="17">
        <v>7.69</v>
      </c>
      <c r="I105" s="25">
        <v>11.567719530345622</v>
      </c>
      <c r="J105" s="24">
        <f>G105/F105*((100-H105)/100)*((100-I105)/100)*100</f>
        <v>18.827545151364813</v>
      </c>
      <c r="K105" s="53">
        <v>5.3995433789954337</v>
      </c>
      <c r="L105" s="54">
        <f>J105*10000/K105</f>
        <v>34868.772838468445</v>
      </c>
      <c r="M105" s="55">
        <v>49.7</v>
      </c>
      <c r="N105" s="55">
        <v>19.2</v>
      </c>
      <c r="O105" s="56">
        <v>7.1612999999999998</v>
      </c>
      <c r="P105" s="55">
        <v>56.4</v>
      </c>
      <c r="Q105" s="17">
        <v>57</v>
      </c>
      <c r="R105" s="17">
        <v>59</v>
      </c>
      <c r="S105" s="17">
        <v>60</v>
      </c>
      <c r="T105" s="17">
        <v>63</v>
      </c>
      <c r="U105" s="17">
        <v>65</v>
      </c>
      <c r="V105" s="17">
        <v>65</v>
      </c>
      <c r="W105" s="17">
        <v>65</v>
      </c>
      <c r="X105" s="3">
        <v>103</v>
      </c>
    </row>
    <row r="106" spans="1:24" s="3" customFormat="1" x14ac:dyDescent="0.25">
      <c r="A106" s="16" t="s">
        <v>1305</v>
      </c>
      <c r="B106" s="17" t="s">
        <v>10</v>
      </c>
      <c r="C106" s="17" t="s">
        <v>836</v>
      </c>
      <c r="D106" s="18" t="s">
        <v>103</v>
      </c>
      <c r="E106" s="18" t="s">
        <v>1710</v>
      </c>
      <c r="F106" s="18">
        <v>5.94</v>
      </c>
      <c r="G106" s="22">
        <v>1.87</v>
      </c>
      <c r="H106" s="17">
        <v>7.69</v>
      </c>
      <c r="I106" s="25">
        <v>11.589266428512088</v>
      </c>
      <c r="J106" s="24">
        <f>G106/F106*((100-H106)/100)*((100-I106)/100)*100</f>
        <v>25.692650346616453</v>
      </c>
      <c r="K106" s="53">
        <v>5.181236673773987</v>
      </c>
      <c r="L106" s="54">
        <f>J106*10000/K106</f>
        <v>49587.872479683603</v>
      </c>
      <c r="M106" s="55">
        <v>50.2</v>
      </c>
      <c r="N106" s="55">
        <v>17.5</v>
      </c>
      <c r="O106" s="56">
        <v>6.4382000000000001</v>
      </c>
      <c r="P106" s="55">
        <v>61.9</v>
      </c>
      <c r="Q106" s="17">
        <v>57</v>
      </c>
      <c r="R106" s="17">
        <v>59</v>
      </c>
      <c r="S106" s="17">
        <v>60</v>
      </c>
      <c r="T106" s="17">
        <v>63</v>
      </c>
      <c r="U106" s="17">
        <v>65</v>
      </c>
      <c r="V106" s="17">
        <v>65</v>
      </c>
      <c r="W106" s="17">
        <v>67</v>
      </c>
      <c r="X106" s="3">
        <v>103</v>
      </c>
    </row>
    <row r="107" spans="1:24" s="3" customFormat="1" x14ac:dyDescent="0.25">
      <c r="A107" s="16" t="s">
        <v>1319</v>
      </c>
      <c r="B107" s="17" t="s">
        <v>10</v>
      </c>
      <c r="C107" s="17" t="s">
        <v>836</v>
      </c>
      <c r="D107" s="18" t="s">
        <v>276</v>
      </c>
      <c r="E107" s="18" t="s">
        <v>1742</v>
      </c>
      <c r="F107" s="18">
        <v>5.94</v>
      </c>
      <c r="G107" s="22">
        <v>2.59</v>
      </c>
      <c r="H107" s="17">
        <v>7.69</v>
      </c>
      <c r="I107" s="25">
        <v>11.869587366276111</v>
      </c>
      <c r="J107" s="24">
        <f>G107/F107*((100-H107)/100)*((100-I107)/100)*100</f>
        <v>35.472179512907985</v>
      </c>
      <c r="K107" s="53">
        <v>4.7141424272818453</v>
      </c>
      <c r="L107" s="54">
        <f>J107*10000/K107</f>
        <v>75246.304200785657</v>
      </c>
      <c r="M107" s="55">
        <v>52.5</v>
      </c>
      <c r="N107" s="55">
        <v>17</v>
      </c>
      <c r="O107" s="56">
        <v>4.5178000000000003</v>
      </c>
      <c r="P107" s="55">
        <v>18.5</v>
      </c>
      <c r="Q107" s="17">
        <v>57</v>
      </c>
      <c r="R107" s="17">
        <v>59</v>
      </c>
      <c r="S107" s="17">
        <v>60</v>
      </c>
      <c r="T107" s="17">
        <v>63</v>
      </c>
      <c r="U107" s="17">
        <v>65</v>
      </c>
      <c r="V107" s="17">
        <v>65</v>
      </c>
      <c r="W107" s="17">
        <v>67</v>
      </c>
      <c r="X107" s="3">
        <v>103</v>
      </c>
    </row>
    <row r="108" spans="1:24" s="3" customFormat="1" x14ac:dyDescent="0.25">
      <c r="A108" s="58" t="s">
        <v>1322</v>
      </c>
      <c r="B108" s="59" t="s">
        <v>10</v>
      </c>
      <c r="C108" s="59" t="s">
        <v>836</v>
      </c>
      <c r="D108" s="60" t="s">
        <v>288</v>
      </c>
      <c r="E108" s="18" t="s">
        <v>1570</v>
      </c>
      <c r="F108" s="60">
        <v>5.94</v>
      </c>
      <c r="G108" s="61" t="s">
        <v>424</v>
      </c>
      <c r="H108" s="61" t="s">
        <v>424</v>
      </c>
      <c r="I108" s="61" t="s">
        <v>424</v>
      </c>
      <c r="J108" s="61" t="s">
        <v>424</v>
      </c>
      <c r="K108" s="61" t="s">
        <v>424</v>
      </c>
      <c r="L108" s="61" t="s">
        <v>424</v>
      </c>
      <c r="M108" s="61" t="s">
        <v>424</v>
      </c>
      <c r="N108" s="61" t="s">
        <v>424</v>
      </c>
      <c r="O108" s="61" t="s">
        <v>424</v>
      </c>
      <c r="P108" s="61" t="s">
        <v>424</v>
      </c>
      <c r="Q108" s="17">
        <v>57</v>
      </c>
      <c r="R108" s="17">
        <v>59</v>
      </c>
      <c r="S108" s="17">
        <v>60</v>
      </c>
      <c r="T108" s="17">
        <v>63</v>
      </c>
      <c r="U108" s="17">
        <v>65</v>
      </c>
      <c r="V108" s="17">
        <v>65</v>
      </c>
      <c r="W108" s="17">
        <v>67</v>
      </c>
      <c r="X108" s="3">
        <v>103</v>
      </c>
    </row>
    <row r="109" spans="1:24" s="3" customFormat="1" x14ac:dyDescent="0.25">
      <c r="A109" s="16" t="s">
        <v>1356</v>
      </c>
      <c r="B109" s="17" t="s">
        <v>10</v>
      </c>
      <c r="C109" s="17" t="s">
        <v>836</v>
      </c>
      <c r="D109" s="18" t="s">
        <v>157</v>
      </c>
      <c r="E109" s="18" t="s">
        <v>1800</v>
      </c>
      <c r="F109" s="18">
        <v>5.94</v>
      </c>
      <c r="G109" s="22">
        <v>2.2799999999999998</v>
      </c>
      <c r="H109" s="17">
        <v>7.69</v>
      </c>
      <c r="I109" s="25">
        <v>8.2338442578756919</v>
      </c>
      <c r="J109" s="24">
        <f>G109/F109*((100-H109)/100)*((100-I109)/100)*100</f>
        <v>32.514695534253406</v>
      </c>
      <c r="K109" s="53">
        <v>5.9358974358974361</v>
      </c>
      <c r="L109" s="54">
        <f>J109*10000/K109</f>
        <v>54776.376925956058</v>
      </c>
      <c r="M109" s="55">
        <v>52.5</v>
      </c>
      <c r="N109" s="55">
        <v>17.600000000000001</v>
      </c>
      <c r="O109" s="56">
        <v>3.3673000000000002</v>
      </c>
      <c r="P109" s="55">
        <v>19.100000000000001</v>
      </c>
      <c r="Q109" s="17">
        <v>57</v>
      </c>
      <c r="R109" s="17">
        <v>59</v>
      </c>
      <c r="S109" s="17">
        <v>60</v>
      </c>
      <c r="T109" s="17">
        <v>63</v>
      </c>
      <c r="U109" s="17">
        <v>65</v>
      </c>
      <c r="V109" s="17">
        <v>65</v>
      </c>
      <c r="W109" s="17">
        <v>65</v>
      </c>
      <c r="X109" s="3">
        <v>103</v>
      </c>
    </row>
    <row r="110" spans="1:24" s="3" customFormat="1" x14ac:dyDescent="0.25">
      <c r="A110" s="16" t="s">
        <v>1367</v>
      </c>
      <c r="B110" s="17" t="s">
        <v>10</v>
      </c>
      <c r="C110" s="17" t="s">
        <v>836</v>
      </c>
      <c r="D110" s="18" t="s">
        <v>218</v>
      </c>
      <c r="E110" s="18" t="s">
        <v>1466</v>
      </c>
      <c r="F110" s="18">
        <v>5.94</v>
      </c>
      <c r="G110" s="22">
        <v>1.31</v>
      </c>
      <c r="H110" s="17">
        <v>7.69</v>
      </c>
      <c r="I110" s="25">
        <v>11.973428386260531</v>
      </c>
      <c r="J110" s="24">
        <f>G110/F110*((100-H110)/100)*((100-I110)/100)*100</f>
        <v>17.92038720811485</v>
      </c>
      <c r="K110" s="53">
        <v>5.2486772486772484</v>
      </c>
      <c r="L110" s="54">
        <f>J110*10000/K110</f>
        <v>34142.673209009139</v>
      </c>
      <c r="M110" s="55">
        <v>50</v>
      </c>
      <c r="N110" s="55">
        <v>19.100000000000001</v>
      </c>
      <c r="O110" s="56">
        <v>41.94</v>
      </c>
      <c r="P110" s="55">
        <v>53.7</v>
      </c>
      <c r="Q110" s="17">
        <v>57</v>
      </c>
      <c r="R110" s="17">
        <v>59</v>
      </c>
      <c r="S110" s="17">
        <v>60</v>
      </c>
      <c r="T110" s="17">
        <v>63</v>
      </c>
      <c r="U110" s="17">
        <v>65</v>
      </c>
      <c r="V110" s="17">
        <v>65</v>
      </c>
      <c r="W110" s="17">
        <v>67</v>
      </c>
      <c r="X110" s="3">
        <v>103</v>
      </c>
    </row>
    <row r="111" spans="1:24" s="3" customFormat="1" x14ac:dyDescent="0.25">
      <c r="A111" s="16" t="s">
        <v>1386</v>
      </c>
      <c r="B111" s="17" t="s">
        <v>10</v>
      </c>
      <c r="C111" s="17" t="s">
        <v>836</v>
      </c>
      <c r="D111" s="18" t="s">
        <v>202</v>
      </c>
      <c r="E111" s="18" t="s">
        <v>1504</v>
      </c>
      <c r="F111" s="18">
        <v>5.94</v>
      </c>
      <c r="G111" s="22">
        <v>1.83</v>
      </c>
      <c r="H111" s="17">
        <v>7.69</v>
      </c>
      <c r="I111" s="25">
        <v>9.9586966498393821</v>
      </c>
      <c r="J111" s="24">
        <f>G111/F111*((100-H111)/100)*((100-I111)/100)*100</f>
        <v>25.6067916892653</v>
      </c>
      <c r="K111" s="53">
        <v>5.0959488272921112</v>
      </c>
      <c r="L111" s="54">
        <f>J111*10000/K111</f>
        <v>50249.310888139858</v>
      </c>
      <c r="M111" s="55">
        <v>47.1</v>
      </c>
      <c r="N111" s="55">
        <v>20.5</v>
      </c>
      <c r="O111" s="56">
        <v>10.664</v>
      </c>
      <c r="P111" s="55">
        <v>62.3</v>
      </c>
      <c r="Q111" s="17">
        <v>57</v>
      </c>
      <c r="R111" s="17">
        <v>59</v>
      </c>
      <c r="S111" s="17">
        <v>60</v>
      </c>
      <c r="T111" s="17">
        <v>63</v>
      </c>
      <c r="U111" s="17">
        <v>65</v>
      </c>
      <c r="V111" s="17">
        <v>65</v>
      </c>
      <c r="W111" s="17">
        <v>65</v>
      </c>
      <c r="X111" s="3">
        <v>103</v>
      </c>
    </row>
    <row r="112" spans="1:24" s="3" customFormat="1" x14ac:dyDescent="0.25">
      <c r="A112" s="16" t="s">
        <v>873</v>
      </c>
      <c r="B112" s="17" t="s">
        <v>7</v>
      </c>
      <c r="C112" s="17" t="s">
        <v>836</v>
      </c>
      <c r="D112" s="18" t="s">
        <v>229</v>
      </c>
      <c r="E112" s="18" t="s">
        <v>1770</v>
      </c>
      <c r="F112" s="18">
        <v>5.94</v>
      </c>
      <c r="G112" s="22">
        <v>2.09</v>
      </c>
      <c r="H112" s="17">
        <v>8.93</v>
      </c>
      <c r="I112" s="25">
        <v>5.1528962069979354</v>
      </c>
      <c r="J112" s="24">
        <f>G112/F112*((100-H112)/100)*((100-I112)/100)*100</f>
        <v>30.39199798261949</v>
      </c>
      <c r="K112" s="53">
        <v>4.9358974358974361</v>
      </c>
      <c r="L112" s="54">
        <f>J112*10000/K112</f>
        <v>61573.398510242077</v>
      </c>
      <c r="M112" s="55">
        <v>54.7</v>
      </c>
      <c r="N112" s="55">
        <v>16.600000000000001</v>
      </c>
      <c r="O112" s="56">
        <v>1.1439999999999999</v>
      </c>
      <c r="P112" s="55">
        <v>7.7</v>
      </c>
      <c r="Q112" s="17">
        <v>57</v>
      </c>
      <c r="R112" s="17">
        <v>59</v>
      </c>
      <c r="S112" s="17">
        <v>60</v>
      </c>
      <c r="T112" s="17">
        <v>63</v>
      </c>
      <c r="U112" s="17">
        <v>65</v>
      </c>
      <c r="V112" s="17">
        <v>65</v>
      </c>
      <c r="W112" s="17">
        <v>67</v>
      </c>
      <c r="X112" s="3">
        <v>103</v>
      </c>
    </row>
    <row r="113" spans="1:24" s="3" customFormat="1" x14ac:dyDescent="0.25">
      <c r="A113" s="16" t="s">
        <v>899</v>
      </c>
      <c r="B113" s="17" t="s">
        <v>7</v>
      </c>
      <c r="C113" s="17" t="s">
        <v>836</v>
      </c>
      <c r="D113" s="18" t="s">
        <v>48</v>
      </c>
      <c r="E113" s="18" t="s">
        <v>1692</v>
      </c>
      <c r="F113" s="18">
        <v>5.94</v>
      </c>
      <c r="G113" s="22">
        <v>1.42</v>
      </c>
      <c r="H113" s="17">
        <v>8.93</v>
      </c>
      <c r="I113" s="25">
        <v>11.581342434584753</v>
      </c>
      <c r="J113" s="24">
        <f>G113/F113*((100-H113)/100)*((100-I113)/100)*100</f>
        <v>19.249575328560535</v>
      </c>
      <c r="K113" s="53">
        <v>4.2048517520215629</v>
      </c>
      <c r="L113" s="54">
        <f>J113*10000/K113</f>
        <v>45779.438762153586</v>
      </c>
      <c r="M113" s="55">
        <v>49.5</v>
      </c>
      <c r="N113" s="55">
        <v>18.7</v>
      </c>
      <c r="O113" s="56">
        <v>34.802</v>
      </c>
      <c r="P113" s="55">
        <v>45.9</v>
      </c>
      <c r="Q113" s="17">
        <v>57</v>
      </c>
      <c r="R113" s="17">
        <v>59</v>
      </c>
      <c r="S113" s="17">
        <v>60</v>
      </c>
      <c r="T113" s="17">
        <v>63</v>
      </c>
      <c r="U113" s="17">
        <v>65</v>
      </c>
      <c r="V113" s="17">
        <v>65</v>
      </c>
      <c r="W113" s="17">
        <v>65</v>
      </c>
      <c r="X113" s="3">
        <v>103</v>
      </c>
    </row>
    <row r="114" spans="1:24" s="3" customFormat="1" x14ac:dyDescent="0.25">
      <c r="A114" s="16" t="s">
        <v>903</v>
      </c>
      <c r="B114" s="17" t="s">
        <v>7</v>
      </c>
      <c r="C114" s="17" t="s">
        <v>836</v>
      </c>
      <c r="D114" s="18" t="s">
        <v>157</v>
      </c>
      <c r="E114" s="18" t="s">
        <v>1800</v>
      </c>
      <c r="F114" s="18">
        <v>5.94</v>
      </c>
      <c r="G114" s="22">
        <v>2.64</v>
      </c>
      <c r="H114" s="17">
        <v>8.93</v>
      </c>
      <c r="I114" s="25">
        <v>8.4774665042631021</v>
      </c>
      <c r="J114" s="24">
        <f>G114/F114*((100-H114)/100)*((100-I114)/100)*100</f>
        <v>37.044253890918924</v>
      </c>
      <c r="K114" s="53">
        <v>5.8221680876979294</v>
      </c>
      <c r="L114" s="54">
        <f>J114*10000/K114</f>
        <v>63626.218503021832</v>
      </c>
      <c r="M114" s="55">
        <v>53.3</v>
      </c>
      <c r="N114" s="55">
        <v>17.100000000000001</v>
      </c>
      <c r="O114" s="56">
        <v>2.6960000000000002</v>
      </c>
      <c r="P114" s="55">
        <v>15.8</v>
      </c>
      <c r="Q114" s="17">
        <v>57</v>
      </c>
      <c r="R114" s="17">
        <v>59</v>
      </c>
      <c r="S114" s="17">
        <v>60</v>
      </c>
      <c r="T114" s="17">
        <v>63</v>
      </c>
      <c r="U114" s="17">
        <v>65</v>
      </c>
      <c r="V114" s="17">
        <v>65</v>
      </c>
      <c r="W114" s="17">
        <v>67</v>
      </c>
      <c r="X114" s="3">
        <v>103</v>
      </c>
    </row>
    <row r="115" spans="1:24" s="3" customFormat="1" x14ac:dyDescent="0.25">
      <c r="A115" s="16" t="s">
        <v>914</v>
      </c>
      <c r="B115" s="17" t="s">
        <v>7</v>
      </c>
      <c r="C115" s="17" t="s">
        <v>836</v>
      </c>
      <c r="D115" s="18" t="s">
        <v>276</v>
      </c>
      <c r="E115" s="18" t="s">
        <v>1742</v>
      </c>
      <c r="F115" s="18">
        <v>5.94</v>
      </c>
      <c r="G115" s="22">
        <v>2.06</v>
      </c>
      <c r="H115" s="17">
        <v>8.93</v>
      </c>
      <c r="I115" s="25">
        <v>7.7129843948331311</v>
      </c>
      <c r="J115" s="24">
        <f>G115/F115*((100-H115)/100)*((100-I115)/100)*100</f>
        <v>29.147191469688295</v>
      </c>
      <c r="K115" s="53">
        <v>4.3257918552036196</v>
      </c>
      <c r="L115" s="54">
        <f>J115*10000/K115</f>
        <v>67380.013753149717</v>
      </c>
      <c r="M115" s="55">
        <v>54.1</v>
      </c>
      <c r="N115" s="55">
        <v>16.2</v>
      </c>
      <c r="O115" s="56">
        <v>3.6172</v>
      </c>
      <c r="P115" s="55">
        <v>13</v>
      </c>
      <c r="Q115" s="17">
        <v>57</v>
      </c>
      <c r="R115" s="17">
        <v>59</v>
      </c>
      <c r="S115" s="17">
        <v>60</v>
      </c>
      <c r="T115" s="17">
        <v>63</v>
      </c>
      <c r="U115" s="17">
        <v>65</v>
      </c>
      <c r="V115" s="17">
        <v>65</v>
      </c>
      <c r="W115" s="17">
        <v>65</v>
      </c>
      <c r="X115" s="3">
        <v>103</v>
      </c>
    </row>
    <row r="116" spans="1:24" s="3" customFormat="1" x14ac:dyDescent="0.25">
      <c r="A116" s="16" t="s">
        <v>954</v>
      </c>
      <c r="B116" s="17" t="s">
        <v>7</v>
      </c>
      <c r="C116" s="17" t="s">
        <v>836</v>
      </c>
      <c r="D116" s="18" t="s">
        <v>53</v>
      </c>
      <c r="E116" s="18" t="s">
        <v>1686</v>
      </c>
      <c r="F116" s="18">
        <v>5.94</v>
      </c>
      <c r="G116" s="22">
        <v>1.77</v>
      </c>
      <c r="H116" s="17">
        <v>8.93</v>
      </c>
      <c r="I116" s="25">
        <v>6.4807094671416747</v>
      </c>
      <c r="J116" s="24">
        <f>G116/F116*((100-H116)/100)*((100-I116)/100)*100</f>
        <v>25.378348764687729</v>
      </c>
      <c r="K116" s="53">
        <v>5.1593011305241525</v>
      </c>
      <c r="L116" s="54">
        <f>J116*10000/K116</f>
        <v>49189.508661436572</v>
      </c>
      <c r="M116" s="55">
        <v>50.9</v>
      </c>
      <c r="N116" s="55">
        <v>19.899999999999999</v>
      </c>
      <c r="O116" s="56">
        <v>43.98</v>
      </c>
      <c r="P116" s="55">
        <v>57.3</v>
      </c>
      <c r="Q116" s="17">
        <v>57</v>
      </c>
      <c r="R116" s="17">
        <v>59</v>
      </c>
      <c r="S116" s="17">
        <v>60</v>
      </c>
      <c r="T116" s="17">
        <v>63</v>
      </c>
      <c r="U116" s="17">
        <v>65</v>
      </c>
      <c r="V116" s="17">
        <v>65</v>
      </c>
      <c r="W116" s="17">
        <v>67</v>
      </c>
      <c r="X116" s="3">
        <v>103</v>
      </c>
    </row>
    <row r="117" spans="1:24" s="3" customFormat="1" x14ac:dyDescent="0.25">
      <c r="A117" s="16" t="s">
        <v>957</v>
      </c>
      <c r="B117" s="17" t="s">
        <v>7</v>
      </c>
      <c r="C117" s="17" t="s">
        <v>836</v>
      </c>
      <c r="D117" s="18" t="s">
        <v>23</v>
      </c>
      <c r="E117" s="18" t="s">
        <v>1620</v>
      </c>
      <c r="F117" s="18">
        <v>5.94</v>
      </c>
      <c r="G117" s="22">
        <v>2.0299999999999998</v>
      </c>
      <c r="H117" s="17">
        <v>8.93</v>
      </c>
      <c r="I117" s="25">
        <v>4.7973595333128642</v>
      </c>
      <c r="J117" s="24">
        <f>G117/F117*((100-H117)/100)*((100-I117)/100)*100</f>
        <v>29.63015499767917</v>
      </c>
      <c r="K117" s="53">
        <v>4.8704663212435237</v>
      </c>
      <c r="L117" s="54">
        <f>J117*10000/K117</f>
        <v>60836.382069702973</v>
      </c>
      <c r="M117" s="55">
        <v>51</v>
      </c>
      <c r="N117" s="55">
        <v>18.5</v>
      </c>
      <c r="O117" s="56">
        <v>4.7366999999999999</v>
      </c>
      <c r="P117" s="55">
        <v>16.2</v>
      </c>
      <c r="Q117" s="17">
        <v>57</v>
      </c>
      <c r="R117" s="17">
        <v>59</v>
      </c>
      <c r="S117" s="17">
        <v>60</v>
      </c>
      <c r="T117" s="17">
        <v>63</v>
      </c>
      <c r="U117" s="17">
        <v>65</v>
      </c>
      <c r="V117" s="17">
        <v>65</v>
      </c>
      <c r="W117" s="17">
        <v>67</v>
      </c>
      <c r="X117" s="3">
        <v>103</v>
      </c>
    </row>
    <row r="118" spans="1:24" s="3" customFormat="1" x14ac:dyDescent="0.25">
      <c r="A118" s="16" t="s">
        <v>963</v>
      </c>
      <c r="B118" s="17" t="s">
        <v>7</v>
      </c>
      <c r="C118" s="17" t="s">
        <v>836</v>
      </c>
      <c r="D118" s="18" t="s">
        <v>16</v>
      </c>
      <c r="E118" s="18" t="s">
        <v>1541</v>
      </c>
      <c r="F118" s="18">
        <v>5.94</v>
      </c>
      <c r="G118" s="22">
        <v>1.62</v>
      </c>
      <c r="H118" s="17">
        <v>8.93</v>
      </c>
      <c r="I118" s="25">
        <v>6.9832625930968195</v>
      </c>
      <c r="J118" s="24">
        <f>G118/F118*((100-H118)/100)*((100-I118)/100)*100</f>
        <v>23.102820751763648</v>
      </c>
      <c r="K118" s="53">
        <v>5.2667423382519862</v>
      </c>
      <c r="L118" s="54">
        <f>J118*10000/K118</f>
        <v>43865.485091171926</v>
      </c>
      <c r="M118" s="55">
        <v>51.1</v>
      </c>
      <c r="N118" s="55">
        <v>17.2</v>
      </c>
      <c r="O118" s="56">
        <v>2.8706</v>
      </c>
      <c r="P118" s="55">
        <v>13.3</v>
      </c>
      <c r="Q118" s="17">
        <v>57</v>
      </c>
      <c r="R118" s="17">
        <v>59</v>
      </c>
      <c r="S118" s="17">
        <v>60</v>
      </c>
      <c r="T118" s="17">
        <v>63</v>
      </c>
      <c r="U118" s="17">
        <v>65</v>
      </c>
      <c r="V118" s="17">
        <v>65</v>
      </c>
      <c r="W118" s="17">
        <v>65</v>
      </c>
      <c r="X118" s="3">
        <v>103</v>
      </c>
    </row>
    <row r="119" spans="1:24" s="3" customFormat="1" x14ac:dyDescent="0.25">
      <c r="A119" s="16" t="s">
        <v>979</v>
      </c>
      <c r="B119" s="17" t="s">
        <v>7</v>
      </c>
      <c r="C119" s="17" t="s">
        <v>836</v>
      </c>
      <c r="D119" s="18" t="s">
        <v>183</v>
      </c>
      <c r="E119" s="18" t="s">
        <v>1564</v>
      </c>
      <c r="F119" s="18">
        <v>5.94</v>
      </c>
      <c r="G119" s="22">
        <v>1.78</v>
      </c>
      <c r="H119" s="17">
        <v>8.93</v>
      </c>
      <c r="I119" s="25">
        <v>8.3822435314540797</v>
      </c>
      <c r="J119" s="24">
        <f>G119/F119*((100-H119)/100)*((100-I119)/100)*100</f>
        <v>25.002794217560687</v>
      </c>
      <c r="K119" s="53">
        <v>5.6932515337423313</v>
      </c>
      <c r="L119" s="54">
        <f>J119*10000/K119</f>
        <v>43916.545877827499</v>
      </c>
      <c r="M119" s="55">
        <v>50.8</v>
      </c>
      <c r="N119" s="55">
        <v>17.7</v>
      </c>
      <c r="O119" s="56">
        <v>4.2340999999999998</v>
      </c>
      <c r="P119" s="55">
        <v>17.5</v>
      </c>
      <c r="Q119" s="17">
        <v>57</v>
      </c>
      <c r="R119" s="17">
        <v>59</v>
      </c>
      <c r="S119" s="17">
        <v>60</v>
      </c>
      <c r="T119" s="17">
        <v>63</v>
      </c>
      <c r="U119" s="17">
        <v>65</v>
      </c>
      <c r="V119" s="17">
        <v>65</v>
      </c>
      <c r="W119" s="17">
        <v>67</v>
      </c>
      <c r="X119" s="3">
        <v>103</v>
      </c>
    </row>
    <row r="120" spans="1:24" s="3" customFormat="1" x14ac:dyDescent="0.25">
      <c r="A120" s="66" t="s">
        <v>1026</v>
      </c>
      <c r="B120" s="17" t="s">
        <v>7</v>
      </c>
      <c r="C120" s="17" t="s">
        <v>836</v>
      </c>
      <c r="D120" s="18" t="s">
        <v>116</v>
      </c>
      <c r="E120" s="18" t="s">
        <v>1860</v>
      </c>
      <c r="F120" s="18">
        <v>5.94</v>
      </c>
      <c r="G120" s="22">
        <v>0.84</v>
      </c>
      <c r="H120" s="17">
        <v>8.93</v>
      </c>
      <c r="I120" s="25">
        <v>5.9854130331377817</v>
      </c>
      <c r="J120" s="24">
        <f>G120/F120*((100-H120)/100)*((100-I120)/100)*100</f>
        <v>12.107749302122222</v>
      </c>
      <c r="K120" s="53">
        <v>4.8651348651348654</v>
      </c>
      <c r="L120" s="54">
        <f>J120*10000/K120</f>
        <v>24886.770126128016</v>
      </c>
      <c r="M120" s="55">
        <v>48.1</v>
      </c>
      <c r="N120" s="55">
        <v>21.5</v>
      </c>
      <c r="O120" s="56">
        <v>42.036000000000001</v>
      </c>
      <c r="P120" s="55">
        <v>64.5</v>
      </c>
      <c r="Q120" s="17">
        <v>57</v>
      </c>
      <c r="R120" s="17">
        <v>59</v>
      </c>
      <c r="S120" s="17">
        <v>60</v>
      </c>
      <c r="T120" s="17">
        <v>63</v>
      </c>
      <c r="U120" s="17">
        <v>65</v>
      </c>
      <c r="V120" s="17">
        <v>65</v>
      </c>
      <c r="W120" s="17">
        <v>67</v>
      </c>
      <c r="X120" s="3">
        <v>103</v>
      </c>
    </row>
    <row r="121" spans="1:24" s="3" customFormat="1" x14ac:dyDescent="0.25">
      <c r="A121" s="66" t="s">
        <v>1023</v>
      </c>
      <c r="B121" s="17" t="s">
        <v>7</v>
      </c>
      <c r="C121" s="17" t="s">
        <v>836</v>
      </c>
      <c r="D121" s="18" t="s">
        <v>121</v>
      </c>
      <c r="E121" s="18" t="s">
        <v>1820</v>
      </c>
      <c r="F121" s="18">
        <v>5.94</v>
      </c>
      <c r="G121" s="22">
        <v>0.98</v>
      </c>
      <c r="H121" s="17">
        <v>8.93</v>
      </c>
      <c r="I121" s="25">
        <v>14.042298141964212</v>
      </c>
      <c r="J121" s="24">
        <f>G121/F121*((100-H121)/100)*((100-I121)/100)*100</f>
        <v>12.915159175163454</v>
      </c>
      <c r="K121" s="53">
        <v>5.0263435194942048</v>
      </c>
      <c r="L121" s="54">
        <f>J121*10000/K121</f>
        <v>25694.93932333358</v>
      </c>
      <c r="M121" s="55">
        <v>50.2</v>
      </c>
      <c r="N121" s="55">
        <v>21.4</v>
      </c>
      <c r="O121" s="56">
        <v>50.598999999999997</v>
      </c>
      <c r="P121" s="55">
        <v>67.599999999999994</v>
      </c>
      <c r="Q121" s="17">
        <v>57</v>
      </c>
      <c r="R121" s="17">
        <v>59</v>
      </c>
      <c r="S121" s="17">
        <v>60</v>
      </c>
      <c r="T121" s="17">
        <v>63</v>
      </c>
      <c r="U121" s="17">
        <v>65</v>
      </c>
      <c r="V121" s="17">
        <v>65</v>
      </c>
      <c r="W121" s="17">
        <v>65</v>
      </c>
      <c r="X121" s="3">
        <v>103</v>
      </c>
    </row>
    <row r="122" spans="1:24" s="3" customFormat="1" x14ac:dyDescent="0.25">
      <c r="A122" s="16" t="s">
        <v>1336</v>
      </c>
      <c r="B122" s="17" t="s">
        <v>10</v>
      </c>
      <c r="C122" s="17" t="s">
        <v>836</v>
      </c>
      <c r="D122" s="18" t="s">
        <v>229</v>
      </c>
      <c r="E122" s="18" t="s">
        <v>1770</v>
      </c>
      <c r="F122" s="18">
        <v>5.94</v>
      </c>
      <c r="G122" s="22">
        <v>2.95</v>
      </c>
      <c r="H122" s="17">
        <v>7.69</v>
      </c>
      <c r="I122" s="25">
        <v>8.4918686713715914</v>
      </c>
      <c r="J122" s="24">
        <f>G122/F122*((100-H122)/100)*((100-I122)/100)*100</f>
        <v>41.951163347962591</v>
      </c>
      <c r="K122" s="53">
        <v>4.8902821316614418</v>
      </c>
      <c r="L122" s="54">
        <f>J122*10000/K122</f>
        <v>85784.750692308124</v>
      </c>
      <c r="M122" s="55">
        <v>53.9</v>
      </c>
      <c r="N122" s="55">
        <v>17.899999999999999</v>
      </c>
      <c r="O122" s="56">
        <v>2.4291</v>
      </c>
      <c r="P122" s="55">
        <v>16.5</v>
      </c>
      <c r="Q122" s="17">
        <v>57</v>
      </c>
      <c r="R122" s="17">
        <v>59</v>
      </c>
      <c r="S122" s="17">
        <v>61</v>
      </c>
      <c r="T122" s="17">
        <v>63</v>
      </c>
      <c r="U122" s="17">
        <v>65</v>
      </c>
      <c r="V122" s="17">
        <v>65</v>
      </c>
      <c r="W122" s="17">
        <v>67</v>
      </c>
      <c r="X122" s="3">
        <v>103</v>
      </c>
    </row>
    <row r="123" spans="1:24" s="3" customFormat="1" x14ac:dyDescent="0.25">
      <c r="A123" s="16" t="s">
        <v>896</v>
      </c>
      <c r="B123" s="17" t="s">
        <v>7</v>
      </c>
      <c r="C123" s="17" t="s">
        <v>836</v>
      </c>
      <c r="D123" s="18" t="s">
        <v>170</v>
      </c>
      <c r="E123" s="73" t="s">
        <v>1803</v>
      </c>
      <c r="F123" s="18">
        <v>5.94</v>
      </c>
      <c r="G123" s="22">
        <v>2.38</v>
      </c>
      <c r="H123" s="17">
        <v>8.93</v>
      </c>
      <c r="I123" s="25">
        <v>8.5363972856261618</v>
      </c>
      <c r="J123" s="24">
        <f>G123/F123*((100-H123)/100)*((100-I123)/100)*100</f>
        <v>33.374452713958412</v>
      </c>
      <c r="K123" s="53">
        <v>5.5113636363636367</v>
      </c>
      <c r="L123" s="54">
        <f>J123*10000/K123</f>
        <v>60555.708017079181</v>
      </c>
      <c r="M123" s="55">
        <v>51.4</v>
      </c>
      <c r="N123" s="55">
        <v>17.5</v>
      </c>
      <c r="O123" s="56">
        <v>1.0170999999999999</v>
      </c>
      <c r="P123" s="55">
        <v>20.7</v>
      </c>
      <c r="Q123" s="17">
        <v>57</v>
      </c>
      <c r="R123" s="17">
        <v>59</v>
      </c>
      <c r="S123" s="17">
        <v>61</v>
      </c>
      <c r="T123" s="17">
        <v>63</v>
      </c>
      <c r="U123" s="17">
        <v>65</v>
      </c>
      <c r="V123" s="17">
        <v>65</v>
      </c>
      <c r="W123" s="17">
        <v>65</v>
      </c>
      <c r="X123" s="3">
        <v>103</v>
      </c>
    </row>
    <row r="124" spans="1:24" s="3" customFormat="1" x14ac:dyDescent="0.25">
      <c r="A124" s="16" t="s">
        <v>975</v>
      </c>
      <c r="B124" s="17" t="s">
        <v>7</v>
      </c>
      <c r="C124" s="17" t="s">
        <v>836</v>
      </c>
      <c r="D124" s="18" t="s">
        <v>297</v>
      </c>
      <c r="E124" s="18" t="s">
        <v>1794</v>
      </c>
      <c r="F124" s="18">
        <v>5.94</v>
      </c>
      <c r="G124" s="22">
        <v>2.5499999999999998</v>
      </c>
      <c r="H124" s="17">
        <v>8.93</v>
      </c>
      <c r="I124" s="25">
        <v>7.2841398438070142</v>
      </c>
      <c r="J124" s="24">
        <f>G124/F124*((100-H124)/100)*((100-I124)/100)*100</f>
        <v>36.247921094751618</v>
      </c>
      <c r="K124" s="53">
        <v>5.1068616422947128</v>
      </c>
      <c r="L124" s="54">
        <f>J124*10000/K124</f>
        <v>70978.858707564301</v>
      </c>
      <c r="M124" s="55">
        <v>51.3</v>
      </c>
      <c r="N124" s="55">
        <v>17.2</v>
      </c>
      <c r="O124" s="56">
        <v>1.8051999999999999</v>
      </c>
      <c r="P124" s="55">
        <v>16.899999999999999</v>
      </c>
      <c r="Q124" s="17">
        <v>57</v>
      </c>
      <c r="R124" s="17">
        <v>59</v>
      </c>
      <c r="S124" s="17">
        <v>61</v>
      </c>
      <c r="T124" s="17">
        <v>63</v>
      </c>
      <c r="U124" s="17">
        <v>65</v>
      </c>
      <c r="V124" s="17">
        <v>65</v>
      </c>
      <c r="W124" s="17">
        <v>67</v>
      </c>
      <c r="X124" s="3">
        <v>103</v>
      </c>
    </row>
    <row r="125" spans="1:24" s="3" customFormat="1" x14ac:dyDescent="0.25">
      <c r="A125" s="66" t="s">
        <v>1245</v>
      </c>
      <c r="B125" s="17" t="s">
        <v>10</v>
      </c>
      <c r="C125" s="17" t="s">
        <v>836</v>
      </c>
      <c r="D125" s="18" t="s">
        <v>116</v>
      </c>
      <c r="E125" s="18" t="s">
        <v>1860</v>
      </c>
      <c r="F125" s="18">
        <v>5.94</v>
      </c>
      <c r="G125" s="22">
        <v>1.45</v>
      </c>
      <c r="H125" s="17">
        <v>7.69</v>
      </c>
      <c r="I125" s="25">
        <v>9.5653565996958303</v>
      </c>
      <c r="J125" s="24">
        <f>G125/F125*((100-H125)/100)*((100-I125)/100)*100</f>
        <v>20.378168016513488</v>
      </c>
      <c r="K125" s="53">
        <v>4.9947089947089944</v>
      </c>
      <c r="L125" s="54">
        <f>J125*10000/K125</f>
        <v>40799.510117807731</v>
      </c>
      <c r="M125" s="55">
        <v>50</v>
      </c>
      <c r="N125" s="55">
        <v>20.6</v>
      </c>
      <c r="O125" s="56">
        <v>42.131</v>
      </c>
      <c r="P125" s="55">
        <v>65.7</v>
      </c>
      <c r="Q125" s="17">
        <v>57</v>
      </c>
      <c r="R125" s="17">
        <v>60</v>
      </c>
      <c r="S125" s="17">
        <v>61</v>
      </c>
      <c r="T125" s="17">
        <v>63</v>
      </c>
      <c r="U125" s="17">
        <v>65</v>
      </c>
      <c r="V125" s="17">
        <v>65</v>
      </c>
      <c r="W125" s="17">
        <v>67</v>
      </c>
      <c r="X125" s="3">
        <v>103</v>
      </c>
    </row>
    <row r="126" spans="1:24" s="3" customFormat="1" x14ac:dyDescent="0.25">
      <c r="A126" s="66" t="s">
        <v>1262</v>
      </c>
      <c r="B126" s="17" t="s">
        <v>10</v>
      </c>
      <c r="C126" s="17" t="s">
        <v>836</v>
      </c>
      <c r="D126" s="18" t="s">
        <v>112</v>
      </c>
      <c r="E126" s="18" t="s">
        <v>1844</v>
      </c>
      <c r="F126" s="18">
        <v>5.94</v>
      </c>
      <c r="G126" s="22">
        <v>1.66</v>
      </c>
      <c r="H126" s="17">
        <v>7.69</v>
      </c>
      <c r="I126" s="25">
        <v>8.8621192357860892</v>
      </c>
      <c r="J126" s="24">
        <f>G126/F126*((100-H126)/100)*((100-I126)/100)*100</f>
        <v>23.510903541670054</v>
      </c>
      <c r="K126" s="53">
        <v>5.6370192307692308</v>
      </c>
      <c r="L126" s="54">
        <f>J126*10000/K126</f>
        <v>41708.042103772888</v>
      </c>
      <c r="M126" s="55">
        <v>48.2</v>
      </c>
      <c r="N126" s="55">
        <v>19.5</v>
      </c>
      <c r="O126" s="56">
        <v>7.3404999999999996</v>
      </c>
      <c r="P126" s="55">
        <v>24.3</v>
      </c>
      <c r="Q126" s="17">
        <v>57</v>
      </c>
      <c r="R126" s="17">
        <v>60</v>
      </c>
      <c r="S126" s="17">
        <v>61</v>
      </c>
      <c r="T126" s="17">
        <v>63</v>
      </c>
      <c r="U126" s="17">
        <v>65</v>
      </c>
      <c r="V126" s="17">
        <v>65</v>
      </c>
      <c r="W126" s="17">
        <v>67</v>
      </c>
      <c r="X126" s="3">
        <v>103</v>
      </c>
    </row>
    <row r="127" spans="1:24" s="3" customFormat="1" x14ac:dyDescent="0.25">
      <c r="A127" s="16" t="s">
        <v>1358</v>
      </c>
      <c r="B127" s="17" t="s">
        <v>10</v>
      </c>
      <c r="C127" s="17" t="s">
        <v>836</v>
      </c>
      <c r="D127" s="18" t="s">
        <v>186</v>
      </c>
      <c r="E127" s="18" t="s">
        <v>1480</v>
      </c>
      <c r="F127" s="18">
        <v>5.94</v>
      </c>
      <c r="G127" s="22">
        <v>1.84</v>
      </c>
      <c r="H127" s="17">
        <v>7.69</v>
      </c>
      <c r="I127" s="25">
        <v>17.41618310767247</v>
      </c>
      <c r="J127" s="24">
        <f>G127/F127*((100-H127)/100)*((100-I127)/100)*100</f>
        <v>23.614300223381459</v>
      </c>
      <c r="K127" s="53">
        <v>4.7070506454816288</v>
      </c>
      <c r="L127" s="54">
        <f>J127*10000/K127</f>
        <v>50167.933174989725</v>
      </c>
      <c r="M127" s="55">
        <v>51.8</v>
      </c>
      <c r="N127" s="55">
        <v>17.399999999999999</v>
      </c>
      <c r="O127" s="56">
        <v>26.509</v>
      </c>
      <c r="P127" s="55">
        <v>38.299999999999997</v>
      </c>
      <c r="Q127" s="17">
        <v>57</v>
      </c>
      <c r="R127" s="17">
        <v>60</v>
      </c>
      <c r="S127" s="17">
        <v>61</v>
      </c>
      <c r="T127" s="17">
        <v>63</v>
      </c>
      <c r="U127" s="17">
        <v>65</v>
      </c>
      <c r="V127" s="17">
        <v>65</v>
      </c>
      <c r="W127" s="17">
        <v>67</v>
      </c>
      <c r="X127" s="3">
        <v>103</v>
      </c>
    </row>
    <row r="128" spans="1:24" s="3" customFormat="1" x14ac:dyDescent="0.25">
      <c r="A128" s="16" t="s">
        <v>1359</v>
      </c>
      <c r="B128" s="17" t="s">
        <v>10</v>
      </c>
      <c r="C128" s="17" t="s">
        <v>836</v>
      </c>
      <c r="D128" s="18" t="s">
        <v>268</v>
      </c>
      <c r="E128" s="18" t="s">
        <v>1734</v>
      </c>
      <c r="F128" s="18">
        <v>5.94</v>
      </c>
      <c r="G128" s="22">
        <v>2.2200000000000002</v>
      </c>
      <c r="H128" s="17">
        <v>7.69</v>
      </c>
      <c r="I128" s="25">
        <v>16.929666366095589</v>
      </c>
      <c r="J128" s="24">
        <f>G128/F128*((100-H128)/100)*((100-I128)/100)*100</f>
        <v>28.659013375413288</v>
      </c>
      <c r="K128" s="53">
        <v>4.984260230849948</v>
      </c>
      <c r="L128" s="54">
        <f>J128*10000/K128</f>
        <v>57499.031045829186</v>
      </c>
      <c r="M128" s="55">
        <v>52.9</v>
      </c>
      <c r="N128" s="55">
        <v>15.6</v>
      </c>
      <c r="O128" s="56">
        <v>-0.76471999999999996</v>
      </c>
      <c r="P128" s="55">
        <v>16.3</v>
      </c>
      <c r="Q128" s="17">
        <v>57</v>
      </c>
      <c r="R128" s="17">
        <v>60</v>
      </c>
      <c r="S128" s="17">
        <v>61</v>
      </c>
      <c r="T128" s="17">
        <v>63</v>
      </c>
      <c r="U128" s="17">
        <v>65</v>
      </c>
      <c r="V128" s="17">
        <v>65</v>
      </c>
      <c r="W128" s="17">
        <v>67</v>
      </c>
      <c r="X128" s="3">
        <v>99</v>
      </c>
    </row>
    <row r="129" spans="1:24" s="3" customFormat="1" x14ac:dyDescent="0.25">
      <c r="A129" s="16" t="s">
        <v>1411</v>
      </c>
      <c r="B129" s="17" t="s">
        <v>10</v>
      </c>
      <c r="C129" s="17" t="s">
        <v>836</v>
      </c>
      <c r="D129" s="18" t="s">
        <v>228</v>
      </c>
      <c r="E129" s="18" t="s">
        <v>1537</v>
      </c>
      <c r="F129" s="18">
        <v>5.94</v>
      </c>
      <c r="G129" s="22">
        <v>2.11</v>
      </c>
      <c r="H129" s="17">
        <v>7.69</v>
      </c>
      <c r="I129" s="25">
        <v>9.182244914765711</v>
      </c>
      <c r="J129" s="24">
        <f>G129/F129*((100-H129)/100)*((100-I129)/100)*100</f>
        <v>29.779371230213691</v>
      </c>
      <c r="K129" s="53">
        <v>4.3520140105078813</v>
      </c>
      <c r="L129" s="54">
        <f>J129*10000/K129</f>
        <v>68426.643752322008</v>
      </c>
      <c r="M129" s="55">
        <v>51.5</v>
      </c>
      <c r="N129" s="55">
        <v>16.399999999999999</v>
      </c>
      <c r="O129" s="56">
        <v>4.2092999999999998</v>
      </c>
      <c r="P129" s="55">
        <v>12.3</v>
      </c>
      <c r="Q129" s="17">
        <v>57</v>
      </c>
      <c r="R129" s="17">
        <v>60</v>
      </c>
      <c r="S129" s="17">
        <v>61</v>
      </c>
      <c r="T129" s="17">
        <v>63</v>
      </c>
      <c r="U129" s="17">
        <v>65</v>
      </c>
      <c r="V129" s="17">
        <v>65</v>
      </c>
      <c r="W129" s="17">
        <v>67</v>
      </c>
      <c r="X129" s="3">
        <v>99</v>
      </c>
    </row>
    <row r="130" spans="1:24" s="3" customFormat="1" x14ac:dyDescent="0.25">
      <c r="A130" s="16" t="s">
        <v>1416</v>
      </c>
      <c r="B130" s="17" t="s">
        <v>10</v>
      </c>
      <c r="C130" s="17" t="s">
        <v>836</v>
      </c>
      <c r="D130" s="18" t="s">
        <v>200</v>
      </c>
      <c r="E130" s="18" t="s">
        <v>1608</v>
      </c>
      <c r="F130" s="18">
        <v>5.94</v>
      </c>
      <c r="G130" s="22">
        <v>1.98</v>
      </c>
      <c r="H130" s="17">
        <v>7.69</v>
      </c>
      <c r="I130" s="25">
        <v>8.615384615384615</v>
      </c>
      <c r="J130" s="24">
        <f>G130/F130*((100-H130)/100)*((100-I130)/100)*100</f>
        <v>28.119046153846149</v>
      </c>
      <c r="K130" s="53">
        <v>5.2262931034482758</v>
      </c>
      <c r="L130" s="54">
        <f>J130*10000/K130</f>
        <v>53803.040888183976</v>
      </c>
      <c r="M130" s="55">
        <v>50</v>
      </c>
      <c r="N130" s="55">
        <v>17.600000000000001</v>
      </c>
      <c r="O130" s="56">
        <v>1.0629</v>
      </c>
      <c r="P130" s="55">
        <v>21.4</v>
      </c>
      <c r="Q130" s="17">
        <v>57</v>
      </c>
      <c r="R130" s="17">
        <v>60</v>
      </c>
      <c r="S130" s="17">
        <v>61</v>
      </c>
      <c r="T130" s="17">
        <v>63</v>
      </c>
      <c r="U130" s="17">
        <v>65</v>
      </c>
      <c r="V130" s="17">
        <v>65</v>
      </c>
      <c r="W130" s="17">
        <v>67</v>
      </c>
      <c r="X130" s="3">
        <v>99</v>
      </c>
    </row>
    <row r="131" spans="1:24" s="3" customFormat="1" x14ac:dyDescent="0.25">
      <c r="A131" s="16" t="s">
        <v>855</v>
      </c>
      <c r="B131" s="17" t="s">
        <v>7</v>
      </c>
      <c r="C131" s="17" t="s">
        <v>836</v>
      </c>
      <c r="D131" s="18" t="s">
        <v>85</v>
      </c>
      <c r="E131" s="18" t="s">
        <v>1764</v>
      </c>
      <c r="F131" s="18">
        <v>5.94</v>
      </c>
      <c r="G131" s="22">
        <v>2.75</v>
      </c>
      <c r="H131" s="17">
        <v>8.93</v>
      </c>
      <c r="I131" s="25">
        <v>11.778253002138504</v>
      </c>
      <c r="J131" s="24">
        <f>G131/F131*((100-H131)/100)*((100-I131)/100)*100</f>
        <v>37.196085643959478</v>
      </c>
      <c r="K131" s="53">
        <v>5.8056580565805662</v>
      </c>
      <c r="L131" s="54">
        <f>J131*10000/K131</f>
        <v>64068.681416396299</v>
      </c>
      <c r="M131" s="55">
        <v>53.5</v>
      </c>
      <c r="N131" s="55">
        <v>15.5</v>
      </c>
      <c r="O131" s="56">
        <v>-0.43045</v>
      </c>
      <c r="P131" s="55">
        <v>15.6</v>
      </c>
      <c r="Q131" s="17">
        <v>57</v>
      </c>
      <c r="R131" s="17">
        <v>60</v>
      </c>
      <c r="S131" s="17">
        <v>61</v>
      </c>
      <c r="T131" s="17">
        <v>63</v>
      </c>
      <c r="U131" s="17">
        <v>65</v>
      </c>
      <c r="V131" s="17">
        <v>65</v>
      </c>
      <c r="W131" s="17">
        <v>67</v>
      </c>
      <c r="X131" s="3">
        <v>99</v>
      </c>
    </row>
    <row r="132" spans="1:24" s="3" customFormat="1" x14ac:dyDescent="0.25">
      <c r="A132" s="16" t="s">
        <v>946</v>
      </c>
      <c r="B132" s="17" t="s">
        <v>7</v>
      </c>
      <c r="C132" s="17" t="s">
        <v>836</v>
      </c>
      <c r="D132" s="18" t="s">
        <v>49</v>
      </c>
      <c r="E132" s="18" t="s">
        <v>1554</v>
      </c>
      <c r="F132" s="18">
        <v>5.94</v>
      </c>
      <c r="G132" s="22">
        <v>2.15</v>
      </c>
      <c r="H132" s="17">
        <v>8.93</v>
      </c>
      <c r="I132" s="25">
        <v>6.7497816247121412</v>
      </c>
      <c r="J132" s="24">
        <f>G132/F132*((100-H132)/100)*((100-I132)/100)*100</f>
        <v>30.738113439378029</v>
      </c>
      <c r="K132" s="53">
        <v>5.4075774971297363</v>
      </c>
      <c r="L132" s="54">
        <f>J132*10000/K132</f>
        <v>56842.668377278693</v>
      </c>
      <c r="M132" s="55">
        <v>51.6</v>
      </c>
      <c r="N132" s="55">
        <v>18.2</v>
      </c>
      <c r="O132" s="56">
        <v>4.9485999999999999</v>
      </c>
      <c r="P132" s="55">
        <v>18.8</v>
      </c>
      <c r="Q132" s="17">
        <v>57</v>
      </c>
      <c r="R132" s="17">
        <v>60</v>
      </c>
      <c r="S132" s="17">
        <v>61</v>
      </c>
      <c r="T132" s="17">
        <v>63</v>
      </c>
      <c r="U132" s="17">
        <v>65</v>
      </c>
      <c r="V132" s="17">
        <v>65</v>
      </c>
      <c r="W132" s="17">
        <v>65</v>
      </c>
      <c r="X132" s="3">
        <v>99</v>
      </c>
    </row>
    <row r="133" spans="1:24" s="3" customFormat="1" x14ac:dyDescent="0.25">
      <c r="A133" s="16" t="s">
        <v>966</v>
      </c>
      <c r="B133" s="17" t="s">
        <v>7</v>
      </c>
      <c r="C133" s="17" t="s">
        <v>836</v>
      </c>
      <c r="D133" s="18" t="s">
        <v>290</v>
      </c>
      <c r="E133" s="18" t="s">
        <v>1814</v>
      </c>
      <c r="F133" s="18">
        <v>5.94</v>
      </c>
      <c r="G133" s="22">
        <v>2.73</v>
      </c>
      <c r="H133" s="17">
        <v>8.93</v>
      </c>
      <c r="I133" s="25">
        <v>10.147715561662665</v>
      </c>
      <c r="J133" s="24">
        <f>G133/F133*((100-H133)/100)*((100-I133)/100)*100</f>
        <v>37.608036691199175</v>
      </c>
      <c r="K133" s="53">
        <v>4.258064516129032</v>
      </c>
      <c r="L133" s="54">
        <f>J133*10000/K133</f>
        <v>88321.904350543511</v>
      </c>
      <c r="M133" s="55">
        <v>51.1</v>
      </c>
      <c r="N133" s="55">
        <v>17.399999999999999</v>
      </c>
      <c r="O133" s="56">
        <v>7.8727</v>
      </c>
      <c r="P133" s="55">
        <v>16.2</v>
      </c>
      <c r="Q133" s="17">
        <v>57</v>
      </c>
      <c r="R133" s="17">
        <v>60</v>
      </c>
      <c r="S133" s="17">
        <v>61</v>
      </c>
      <c r="T133" s="17">
        <v>63</v>
      </c>
      <c r="U133" s="17">
        <v>65</v>
      </c>
      <c r="V133" s="17">
        <v>65</v>
      </c>
      <c r="W133" s="17">
        <v>67</v>
      </c>
      <c r="X133" s="3">
        <v>99</v>
      </c>
    </row>
    <row r="134" spans="1:24" s="3" customFormat="1" x14ac:dyDescent="0.25">
      <c r="A134" s="16" t="s">
        <v>982</v>
      </c>
      <c r="B134" s="17" t="s">
        <v>7</v>
      </c>
      <c r="C134" s="17" t="s">
        <v>836</v>
      </c>
      <c r="D134" s="18" t="s">
        <v>66</v>
      </c>
      <c r="E134" s="18" t="s">
        <v>1766</v>
      </c>
      <c r="F134" s="18">
        <v>5.94</v>
      </c>
      <c r="G134" s="22">
        <v>2.52</v>
      </c>
      <c r="H134" s="17">
        <v>8.93</v>
      </c>
      <c r="I134" s="25">
        <v>5.3128861109092247</v>
      </c>
      <c r="J134" s="24">
        <f>G134/F134*((100-H134)/100)*((100-I134)/100)*100</f>
        <v>36.583083777670588</v>
      </c>
      <c r="K134" s="53">
        <v>5.0597176981541798</v>
      </c>
      <c r="L134" s="54">
        <f>J134*10000/K134</f>
        <v>72302.618367456249</v>
      </c>
      <c r="M134" s="55">
        <v>53.7</v>
      </c>
      <c r="N134" s="55">
        <v>15.7</v>
      </c>
      <c r="O134" s="56">
        <v>1.671</v>
      </c>
      <c r="P134" s="55">
        <v>12.2</v>
      </c>
      <c r="Q134" s="17">
        <v>57</v>
      </c>
      <c r="R134" s="17">
        <v>60</v>
      </c>
      <c r="S134" s="17">
        <v>61</v>
      </c>
      <c r="T134" s="17">
        <v>63</v>
      </c>
      <c r="U134" s="17">
        <v>65</v>
      </c>
      <c r="V134" s="17">
        <v>65</v>
      </c>
      <c r="W134" s="17">
        <v>67</v>
      </c>
      <c r="X134" s="3">
        <v>99</v>
      </c>
    </row>
    <row r="135" spans="1:24" s="3" customFormat="1" x14ac:dyDescent="0.25">
      <c r="A135" s="16" t="s">
        <v>987</v>
      </c>
      <c r="B135" s="17" t="s">
        <v>7</v>
      </c>
      <c r="C135" s="17" t="s">
        <v>836</v>
      </c>
      <c r="D135" s="18" t="s">
        <v>77</v>
      </c>
      <c r="E135" s="18" t="s">
        <v>1630</v>
      </c>
      <c r="F135" s="18">
        <v>5.94</v>
      </c>
      <c r="G135" s="22">
        <v>1.93</v>
      </c>
      <c r="H135" s="17">
        <v>8.93</v>
      </c>
      <c r="I135" s="25">
        <v>6.2934477148350867</v>
      </c>
      <c r="J135" s="24">
        <f>G135/F135*((100-H135)/100)*((100-I135)/100)*100</f>
        <v>27.727847698749557</v>
      </c>
      <c r="K135" s="53">
        <v>4.8583420776495281</v>
      </c>
      <c r="L135" s="54">
        <f>J135*10000/K135</f>
        <v>57072.654118592494</v>
      </c>
      <c r="M135" s="55">
        <v>50.4</v>
      </c>
      <c r="N135" s="55">
        <v>18.5</v>
      </c>
      <c r="O135" s="56">
        <v>5.2874999999999996</v>
      </c>
      <c r="P135" s="55">
        <v>16.3</v>
      </c>
      <c r="Q135" s="17">
        <v>57</v>
      </c>
      <c r="R135" s="17">
        <v>60</v>
      </c>
      <c r="S135" s="17">
        <v>61</v>
      </c>
      <c r="T135" s="17">
        <v>63</v>
      </c>
      <c r="U135" s="17">
        <v>65</v>
      </c>
      <c r="V135" s="17">
        <v>65</v>
      </c>
      <c r="W135" s="17">
        <v>65</v>
      </c>
      <c r="X135" s="3">
        <v>99</v>
      </c>
    </row>
    <row r="136" spans="1:24" s="3" customFormat="1" x14ac:dyDescent="0.25">
      <c r="A136" s="66" t="s">
        <v>1035</v>
      </c>
      <c r="B136" s="17" t="s">
        <v>7</v>
      </c>
      <c r="C136" s="17" t="s">
        <v>836</v>
      </c>
      <c r="D136" s="18" t="s">
        <v>111</v>
      </c>
      <c r="E136" s="18" t="s">
        <v>1830</v>
      </c>
      <c r="F136" s="18">
        <v>5.94</v>
      </c>
      <c r="G136" s="22">
        <v>1.31</v>
      </c>
      <c r="H136" s="17">
        <v>8.93</v>
      </c>
      <c r="I136" s="25">
        <v>10.410830999066299</v>
      </c>
      <c r="J136" s="24">
        <f>G136/F136*((100-H136)/100)*((100-I136)/100)*100</f>
        <v>17.993501958583657</v>
      </c>
      <c r="K136" s="53">
        <v>5.2590090090090094</v>
      </c>
      <c r="L136" s="54">
        <f>J136*10000/K136</f>
        <v>34214.624709255433</v>
      </c>
      <c r="M136" s="55">
        <v>48.5</v>
      </c>
      <c r="N136" s="55">
        <v>21.2</v>
      </c>
      <c r="O136" s="56">
        <v>41.984999999999999</v>
      </c>
      <c r="P136" s="55">
        <v>70.5</v>
      </c>
      <c r="Q136" s="17">
        <v>57</v>
      </c>
      <c r="R136" s="17">
        <v>60</v>
      </c>
      <c r="S136" s="17">
        <v>61</v>
      </c>
      <c r="T136" s="17">
        <v>63</v>
      </c>
      <c r="U136" s="17">
        <v>65</v>
      </c>
      <c r="V136" s="17">
        <v>65</v>
      </c>
      <c r="W136" s="17">
        <v>67</v>
      </c>
      <c r="X136" s="3">
        <v>99</v>
      </c>
    </row>
    <row r="137" spans="1:24" s="3" customFormat="1" x14ac:dyDescent="0.25">
      <c r="A137" s="16" t="s">
        <v>1385</v>
      </c>
      <c r="B137" s="17" t="s">
        <v>10</v>
      </c>
      <c r="C137" s="17" t="s">
        <v>836</v>
      </c>
      <c r="D137" s="18" t="s">
        <v>162</v>
      </c>
      <c r="E137" s="18" t="s">
        <v>1535</v>
      </c>
      <c r="F137" s="18">
        <v>5.94</v>
      </c>
      <c r="G137" s="22">
        <v>2</v>
      </c>
      <c r="H137" s="17">
        <v>7.69</v>
      </c>
      <c r="I137" s="25">
        <v>10.137787699176355</v>
      </c>
      <c r="J137" s="24">
        <f>G137/F137*((100-H137)/100)*((100-I137)/100)*100</f>
        <v>27.929901742387308</v>
      </c>
      <c r="K137" s="53">
        <v>4.5748613678373387</v>
      </c>
      <c r="L137" s="54">
        <f>J137*10000/K137</f>
        <v>61050.815525783968</v>
      </c>
      <c r="M137" s="55">
        <v>52.3</v>
      </c>
      <c r="N137" s="55">
        <v>17.100000000000001</v>
      </c>
      <c r="O137" s="56">
        <v>26.800999999999998</v>
      </c>
      <c r="P137" s="55">
        <v>41.7</v>
      </c>
      <c r="Q137" s="17">
        <v>59</v>
      </c>
      <c r="R137" s="17">
        <v>60</v>
      </c>
      <c r="S137" s="17">
        <v>61</v>
      </c>
      <c r="T137" s="17">
        <v>63</v>
      </c>
      <c r="U137" s="17">
        <v>65</v>
      </c>
      <c r="V137" s="17">
        <v>65</v>
      </c>
      <c r="W137" s="17">
        <v>65</v>
      </c>
      <c r="X137" s="3">
        <v>99</v>
      </c>
    </row>
    <row r="138" spans="1:24" s="3" customFormat="1" x14ac:dyDescent="0.25">
      <c r="A138" s="16" t="s">
        <v>940</v>
      </c>
      <c r="B138" s="17" t="s">
        <v>7</v>
      </c>
      <c r="C138" s="17" t="s">
        <v>836</v>
      </c>
      <c r="D138" s="18" t="s">
        <v>78</v>
      </c>
      <c r="E138" s="18" t="s">
        <v>1588</v>
      </c>
      <c r="F138" s="18">
        <v>5.94</v>
      </c>
      <c r="G138" s="22">
        <v>1.7</v>
      </c>
      <c r="H138" s="17">
        <v>8.93</v>
      </c>
      <c r="I138" s="25">
        <v>7.0335469280060403</v>
      </c>
      <c r="J138" s="24">
        <f>G138/F138*((100-H138)/100)*((100-I138)/100)*100</f>
        <v>24.230594778035403</v>
      </c>
      <c r="K138" s="53">
        <v>6.0196560196560194</v>
      </c>
      <c r="L138" s="54">
        <f>J138*10000/K138</f>
        <v>40252.457447593508</v>
      </c>
      <c r="M138" s="55">
        <v>49</v>
      </c>
      <c r="N138" s="55">
        <v>18.7</v>
      </c>
      <c r="O138" s="56">
        <v>1.6234999999999999</v>
      </c>
      <c r="P138" s="55">
        <v>13.6</v>
      </c>
      <c r="Q138" s="17">
        <v>59</v>
      </c>
      <c r="R138" s="17">
        <v>60</v>
      </c>
      <c r="S138" s="17">
        <v>61</v>
      </c>
      <c r="T138" s="17">
        <v>63</v>
      </c>
      <c r="U138" s="17">
        <v>65</v>
      </c>
      <c r="V138" s="17">
        <v>65</v>
      </c>
      <c r="W138" s="17">
        <v>67</v>
      </c>
      <c r="X138" s="3">
        <v>99</v>
      </c>
    </row>
    <row r="139" spans="1:24" s="3" customFormat="1" x14ac:dyDescent="0.25">
      <c r="A139" s="66" t="s">
        <v>1246</v>
      </c>
      <c r="B139" s="17" t="s">
        <v>10</v>
      </c>
      <c r="C139" s="17" t="s">
        <v>836</v>
      </c>
      <c r="D139" s="18" t="s">
        <v>111</v>
      </c>
      <c r="E139" s="18" t="s">
        <v>1830</v>
      </c>
      <c r="F139" s="18">
        <v>5.94</v>
      </c>
      <c r="G139" s="22">
        <v>1.35</v>
      </c>
      <c r="H139" s="17">
        <v>7.69</v>
      </c>
      <c r="I139" s="25">
        <v>16.371033360455659</v>
      </c>
      <c r="J139" s="24">
        <f>G139/F139*((100-H139)/100)*((100-I139)/100)*100</f>
        <v>17.544977069309859</v>
      </c>
      <c r="K139" s="53">
        <v>5.1965065502183405</v>
      </c>
      <c r="L139" s="54">
        <f>J139*10000/K139</f>
        <v>33763.023099764345</v>
      </c>
      <c r="M139" s="55">
        <v>48.2</v>
      </c>
      <c r="N139" s="55">
        <v>21.9</v>
      </c>
      <c r="O139" s="56">
        <v>57.28</v>
      </c>
      <c r="P139" s="55">
        <v>82.7</v>
      </c>
      <c r="Q139" s="17">
        <v>57</v>
      </c>
      <c r="R139" s="17">
        <v>60</v>
      </c>
      <c r="S139" s="17">
        <v>62</v>
      </c>
      <c r="T139" s="17">
        <v>63</v>
      </c>
      <c r="U139" s="17">
        <v>65</v>
      </c>
      <c r="V139" s="17">
        <v>65</v>
      </c>
      <c r="W139" s="17">
        <v>67</v>
      </c>
      <c r="X139" s="3">
        <v>99</v>
      </c>
    </row>
    <row r="140" spans="1:24" s="3" customFormat="1" x14ac:dyDescent="0.25">
      <c r="A140" s="16" t="s">
        <v>1343</v>
      </c>
      <c r="B140" s="17" t="s">
        <v>10</v>
      </c>
      <c r="C140" s="17" t="s">
        <v>836</v>
      </c>
      <c r="D140" s="18" t="s">
        <v>71</v>
      </c>
      <c r="E140" s="18" t="s">
        <v>1604</v>
      </c>
      <c r="F140" s="18">
        <v>5.94</v>
      </c>
      <c r="G140" s="22">
        <v>2.19</v>
      </c>
      <c r="H140" s="17">
        <v>7.69</v>
      </c>
      <c r="I140" s="25">
        <v>6.5837937384898693</v>
      </c>
      <c r="J140" s="24">
        <f>G140/F140*((100-H140)/100)*((100-I140)/100)*100</f>
        <v>31.792790404040399</v>
      </c>
      <c r="K140" s="53">
        <v>5.6957547169811322</v>
      </c>
      <c r="L140" s="54">
        <f>J140*10000/K140</f>
        <v>55818.398059267616</v>
      </c>
      <c r="M140" s="55">
        <v>50.5</v>
      </c>
      <c r="N140" s="55">
        <v>18.399999999999999</v>
      </c>
      <c r="O140" s="56">
        <v>1.3995</v>
      </c>
      <c r="P140" s="55">
        <v>15</v>
      </c>
      <c r="Q140" s="17">
        <v>57</v>
      </c>
      <c r="R140" s="17">
        <v>60</v>
      </c>
      <c r="S140" s="17">
        <v>62</v>
      </c>
      <c r="T140" s="17">
        <v>63</v>
      </c>
      <c r="U140" s="17">
        <v>65</v>
      </c>
      <c r="V140" s="17">
        <v>65</v>
      </c>
      <c r="W140" s="17">
        <v>67</v>
      </c>
      <c r="X140" s="3">
        <v>99</v>
      </c>
    </row>
    <row r="141" spans="1:24" s="3" customFormat="1" x14ac:dyDescent="0.25">
      <c r="A141" s="16" t="s">
        <v>981</v>
      </c>
      <c r="B141" s="17" t="s">
        <v>7</v>
      </c>
      <c r="C141" s="17" t="s">
        <v>836</v>
      </c>
      <c r="D141" s="18" t="s">
        <v>42</v>
      </c>
      <c r="E141" s="18" t="s">
        <v>1656</v>
      </c>
      <c r="F141" s="18">
        <v>5.94</v>
      </c>
      <c r="G141" s="22">
        <v>1.98</v>
      </c>
      <c r="H141" s="17">
        <v>8.93</v>
      </c>
      <c r="I141" s="25">
        <v>4.2869901756475279</v>
      </c>
      <c r="J141" s="24">
        <f>G141/F141*((100-H141)/100)*((100-I141)/100)*100</f>
        <v>29.055279349012597</v>
      </c>
      <c r="K141" s="53">
        <v>5.3953488372093021</v>
      </c>
      <c r="L141" s="54">
        <f>J141*10000/K141</f>
        <v>53852.45741411818</v>
      </c>
      <c r="M141" s="55">
        <v>48.6</v>
      </c>
      <c r="N141" s="55">
        <v>18.3</v>
      </c>
      <c r="O141" s="56">
        <v>1.4491000000000001</v>
      </c>
      <c r="P141" s="55">
        <v>11.4</v>
      </c>
      <c r="Q141" s="17">
        <v>57</v>
      </c>
      <c r="R141" s="17">
        <v>60</v>
      </c>
      <c r="S141" s="17">
        <v>62</v>
      </c>
      <c r="T141" s="17">
        <v>63</v>
      </c>
      <c r="U141" s="17">
        <v>65</v>
      </c>
      <c r="V141" s="17">
        <v>65</v>
      </c>
      <c r="W141" s="17">
        <v>67</v>
      </c>
      <c r="X141" s="3">
        <v>99</v>
      </c>
    </row>
    <row r="142" spans="1:24" s="3" customFormat="1" x14ac:dyDescent="0.25">
      <c r="A142" s="16" t="s">
        <v>1013</v>
      </c>
      <c r="B142" s="17" t="s">
        <v>7</v>
      </c>
      <c r="C142" s="17" t="s">
        <v>836</v>
      </c>
      <c r="D142" s="18" t="s">
        <v>76</v>
      </c>
      <c r="E142" s="18" t="s">
        <v>1818</v>
      </c>
      <c r="F142" s="18">
        <v>5.94</v>
      </c>
      <c r="G142" s="22">
        <v>2.2599999999999998</v>
      </c>
      <c r="H142" s="17">
        <v>8.93</v>
      </c>
      <c r="I142" s="25">
        <v>4.6883750700056011</v>
      </c>
      <c r="J142" s="24">
        <f>G142/F142*((100-H142)/100)*((100-I142)/100)*100</f>
        <v>33.025028757856177</v>
      </c>
      <c r="K142" s="53">
        <v>5.1462621885157098</v>
      </c>
      <c r="L142" s="54">
        <f>J142*10000/K142</f>
        <v>64172.845354739467</v>
      </c>
      <c r="M142" s="55">
        <v>50.2</v>
      </c>
      <c r="N142" s="55">
        <v>16.3</v>
      </c>
      <c r="O142" s="56">
        <v>7.1120000000000001</v>
      </c>
      <c r="P142" s="55">
        <v>21.3</v>
      </c>
      <c r="Q142" s="17">
        <v>57</v>
      </c>
      <c r="R142" s="17">
        <v>60</v>
      </c>
      <c r="S142" s="17">
        <v>62</v>
      </c>
      <c r="T142" s="17">
        <v>63</v>
      </c>
      <c r="U142" s="17">
        <v>65</v>
      </c>
      <c r="V142" s="17">
        <v>65</v>
      </c>
      <c r="W142" s="17">
        <v>67</v>
      </c>
      <c r="X142" s="3">
        <v>99</v>
      </c>
    </row>
    <row r="143" spans="1:24" s="3" customFormat="1" x14ac:dyDescent="0.25">
      <c r="A143" s="16" t="s">
        <v>844</v>
      </c>
      <c r="B143" s="17" t="s">
        <v>7</v>
      </c>
      <c r="C143" s="17" t="s">
        <v>836</v>
      </c>
      <c r="D143" s="18" t="s">
        <v>162</v>
      </c>
      <c r="E143" s="18" t="s">
        <v>1535</v>
      </c>
      <c r="F143" s="18">
        <v>5.94</v>
      </c>
      <c r="G143" s="22">
        <v>1.89</v>
      </c>
      <c r="H143" s="17">
        <v>8.93</v>
      </c>
      <c r="I143" s="25">
        <v>7.0299309286262552</v>
      </c>
      <c r="J143" s="24">
        <f>G143/F143*((100-H143)/100)*((100-I143)/100)*100</f>
        <v>26.939767878322741</v>
      </c>
      <c r="K143" s="53">
        <v>4.3617998163452709</v>
      </c>
      <c r="L143" s="54">
        <f>J143*10000/K143</f>
        <v>61762.962567354662</v>
      </c>
      <c r="M143" s="55">
        <v>51.2</v>
      </c>
      <c r="N143" s="55">
        <v>17.600000000000001</v>
      </c>
      <c r="O143" s="56">
        <v>25.654</v>
      </c>
      <c r="P143" s="55">
        <v>36</v>
      </c>
      <c r="Q143" s="17">
        <v>60</v>
      </c>
      <c r="R143" s="17">
        <v>61</v>
      </c>
      <c r="S143" s="17">
        <v>62</v>
      </c>
      <c r="T143" s="17">
        <v>63</v>
      </c>
      <c r="U143" s="17">
        <v>65</v>
      </c>
      <c r="V143" s="17">
        <v>65</v>
      </c>
      <c r="W143" s="17">
        <v>67</v>
      </c>
      <c r="X143" s="3">
        <v>99</v>
      </c>
    </row>
    <row r="144" spans="1:24" s="3" customFormat="1" x14ac:dyDescent="0.25">
      <c r="A144" s="16" t="s">
        <v>1298</v>
      </c>
      <c r="B144" s="17" t="s">
        <v>10</v>
      </c>
      <c r="C144" s="17" t="s">
        <v>836</v>
      </c>
      <c r="D144" s="18" t="s">
        <v>23</v>
      </c>
      <c r="E144" s="18" t="s">
        <v>1620</v>
      </c>
      <c r="F144" s="18">
        <v>5.94</v>
      </c>
      <c r="G144" s="22">
        <v>2.27</v>
      </c>
      <c r="H144" s="17">
        <v>7.69</v>
      </c>
      <c r="I144" s="25">
        <v>7.8694667811694883</v>
      </c>
      <c r="J144" s="24">
        <f>G144/F144*((100-H144)/100)*((100-I144)/100)*100</f>
        <v>32.500627632401773</v>
      </c>
      <c r="K144" s="53">
        <v>5.2727272727272725</v>
      </c>
      <c r="L144" s="54">
        <f>J144*10000/K144</f>
        <v>61639.121371796471</v>
      </c>
      <c r="M144" s="55">
        <v>51.3</v>
      </c>
      <c r="N144" s="55">
        <v>18.8</v>
      </c>
      <c r="O144" s="56">
        <v>3.3940999999999999</v>
      </c>
      <c r="P144" s="55">
        <v>15.5</v>
      </c>
      <c r="Q144" s="17">
        <v>57</v>
      </c>
      <c r="R144" s="17">
        <v>59</v>
      </c>
      <c r="S144" s="17">
        <v>60</v>
      </c>
      <c r="T144" s="17">
        <v>64</v>
      </c>
      <c r="U144" s="17">
        <v>65</v>
      </c>
      <c r="V144" s="17">
        <v>65</v>
      </c>
      <c r="W144" s="17">
        <v>67</v>
      </c>
      <c r="X144" s="3">
        <v>99</v>
      </c>
    </row>
    <row r="145" spans="1:24" s="3" customFormat="1" x14ac:dyDescent="0.25">
      <c r="A145" s="16" t="s">
        <v>1329</v>
      </c>
      <c r="B145" s="17" t="s">
        <v>10</v>
      </c>
      <c r="C145" s="17" t="s">
        <v>836</v>
      </c>
      <c r="D145" s="18" t="s">
        <v>183</v>
      </c>
      <c r="E145" s="18" t="s">
        <v>1564</v>
      </c>
      <c r="F145" s="18">
        <v>5.94</v>
      </c>
      <c r="G145" s="22">
        <v>1.76</v>
      </c>
      <c r="H145" s="17">
        <v>7.69</v>
      </c>
      <c r="I145" s="25">
        <v>9.3705179282868567</v>
      </c>
      <c r="J145" s="24">
        <f>G145/F145*((100-H145)/100)*((100-I145)/100)*100</f>
        <v>24.788170340858784</v>
      </c>
      <c r="K145" s="53">
        <v>5.7024793388429753</v>
      </c>
      <c r="L145" s="54">
        <f>J145*10000/K145</f>
        <v>43469.110307882795</v>
      </c>
      <c r="M145" s="55">
        <v>49.9</v>
      </c>
      <c r="N145" s="55">
        <v>17.7</v>
      </c>
      <c r="O145" s="56">
        <v>4.3982999999999999</v>
      </c>
      <c r="P145" s="55">
        <v>19</v>
      </c>
      <c r="Q145" s="17">
        <v>57</v>
      </c>
      <c r="R145" s="17">
        <v>59</v>
      </c>
      <c r="S145" s="17">
        <v>60</v>
      </c>
      <c r="T145" s="17">
        <v>64</v>
      </c>
      <c r="U145" s="17">
        <v>65</v>
      </c>
      <c r="V145" s="17">
        <v>65</v>
      </c>
      <c r="W145" s="17">
        <v>67</v>
      </c>
      <c r="X145" s="3">
        <v>99</v>
      </c>
    </row>
    <row r="146" spans="1:24" s="3" customFormat="1" x14ac:dyDescent="0.25">
      <c r="A146" s="16" t="s">
        <v>1340</v>
      </c>
      <c r="B146" s="17" t="s">
        <v>10</v>
      </c>
      <c r="C146" s="17" t="s">
        <v>836</v>
      </c>
      <c r="D146" s="18" t="s">
        <v>230</v>
      </c>
      <c r="E146" s="18" t="s">
        <v>1622</v>
      </c>
      <c r="F146" s="18">
        <v>5.94</v>
      </c>
      <c r="G146" s="22">
        <v>1.87</v>
      </c>
      <c r="H146" s="17">
        <v>7.69</v>
      </c>
      <c r="I146" s="25">
        <v>7.4122038546507225</v>
      </c>
      <c r="J146" s="24">
        <f>G146/F146*((100-H146)/100)*((100-I146)/100)*100</f>
        <v>26.906527936483755</v>
      </c>
      <c r="K146" s="53">
        <v>5.3591160220994478</v>
      </c>
      <c r="L146" s="54">
        <f>J146*10000/K146</f>
        <v>50207.026355706803</v>
      </c>
      <c r="M146" s="55">
        <v>49.3</v>
      </c>
      <c r="N146" s="55">
        <v>18.600000000000001</v>
      </c>
      <c r="O146" s="56">
        <v>2.3898000000000001</v>
      </c>
      <c r="P146" s="55">
        <v>18.2</v>
      </c>
      <c r="Q146" s="17">
        <v>57</v>
      </c>
      <c r="R146" s="17">
        <v>60</v>
      </c>
      <c r="S146" s="17">
        <v>61</v>
      </c>
      <c r="T146" s="17">
        <v>64</v>
      </c>
      <c r="U146" s="17">
        <v>65</v>
      </c>
      <c r="V146" s="17">
        <v>65</v>
      </c>
      <c r="W146" s="17">
        <v>67</v>
      </c>
      <c r="X146" s="3">
        <v>99</v>
      </c>
    </row>
    <row r="147" spans="1:24" s="3" customFormat="1" x14ac:dyDescent="0.25">
      <c r="A147" s="16" t="s">
        <v>839</v>
      </c>
      <c r="B147" s="17" t="s">
        <v>7</v>
      </c>
      <c r="C147" s="17" t="s">
        <v>836</v>
      </c>
      <c r="D147" s="18" t="s">
        <v>57</v>
      </c>
      <c r="E147" s="18" t="s">
        <v>1632</v>
      </c>
      <c r="F147" s="18">
        <v>5.94</v>
      </c>
      <c r="G147" s="22">
        <v>2.23</v>
      </c>
      <c r="H147" s="17">
        <v>8.93</v>
      </c>
      <c r="I147" s="25">
        <v>6.84428112080845</v>
      </c>
      <c r="J147" s="24">
        <f>G147/F147*((100-H147)/100)*((100-I147)/100)*100</f>
        <v>31.849548215271682</v>
      </c>
      <c r="K147" s="53">
        <v>5.3896816684961584</v>
      </c>
      <c r="L147" s="54">
        <f>J147*10000/K147</f>
        <v>59093.560945239311</v>
      </c>
      <c r="M147" s="55">
        <v>49.7</v>
      </c>
      <c r="N147" s="55">
        <v>18.100000000000001</v>
      </c>
      <c r="O147" s="56">
        <v>7.2370000000000001</v>
      </c>
      <c r="P147" s="55">
        <v>18.5</v>
      </c>
      <c r="Q147" s="17">
        <v>57</v>
      </c>
      <c r="R147" s="17">
        <v>60</v>
      </c>
      <c r="S147" s="17">
        <v>61</v>
      </c>
      <c r="T147" s="17">
        <v>64</v>
      </c>
      <c r="U147" s="17">
        <v>65</v>
      </c>
      <c r="V147" s="17">
        <v>65</v>
      </c>
      <c r="W147" s="17">
        <v>67</v>
      </c>
      <c r="X147" s="3">
        <v>99</v>
      </c>
    </row>
    <row r="148" spans="1:24" s="3" customFormat="1" x14ac:dyDescent="0.25">
      <c r="A148" s="16" t="s">
        <v>958</v>
      </c>
      <c r="B148" s="17" t="s">
        <v>7</v>
      </c>
      <c r="C148" s="17" t="s">
        <v>836</v>
      </c>
      <c r="D148" s="18" t="s">
        <v>248</v>
      </c>
      <c r="E148" s="18" t="s">
        <v>1816</v>
      </c>
      <c r="F148" s="18">
        <v>5.94</v>
      </c>
      <c r="G148" s="22">
        <v>2.64</v>
      </c>
      <c r="H148" s="17">
        <v>8.93</v>
      </c>
      <c r="I148" s="25">
        <v>3.414820473644002</v>
      </c>
      <c r="J148" s="24">
        <f>G148/F148*((100-H148)/100)*((100-I148)/100)*100</f>
        <v>39.093387997623289</v>
      </c>
      <c r="K148" s="53">
        <v>4.6086956521739131</v>
      </c>
      <c r="L148" s="54">
        <f>J148*10000/K148</f>
        <v>84825.275843899581</v>
      </c>
      <c r="M148" s="55">
        <v>51.9</v>
      </c>
      <c r="N148" s="55">
        <v>16.100000000000001</v>
      </c>
      <c r="O148" s="56">
        <v>2.4148999999999998</v>
      </c>
      <c r="P148" s="55">
        <v>10.8</v>
      </c>
      <c r="Q148" s="17">
        <v>57</v>
      </c>
      <c r="R148" s="17">
        <v>60</v>
      </c>
      <c r="S148" s="17">
        <v>61</v>
      </c>
      <c r="T148" s="17">
        <v>64</v>
      </c>
      <c r="U148" s="17">
        <v>65</v>
      </c>
      <c r="V148" s="17">
        <v>65</v>
      </c>
      <c r="W148" s="17">
        <v>67</v>
      </c>
      <c r="X148" s="3">
        <v>99</v>
      </c>
    </row>
    <row r="149" spans="1:24" s="3" customFormat="1" x14ac:dyDescent="0.25">
      <c r="A149" s="16" t="s">
        <v>967</v>
      </c>
      <c r="B149" s="17" t="s">
        <v>7</v>
      </c>
      <c r="C149" s="17" t="s">
        <v>836</v>
      </c>
      <c r="D149" s="18" t="s">
        <v>89</v>
      </c>
      <c r="E149" s="18" t="s">
        <v>1752</v>
      </c>
      <c r="F149" s="18">
        <v>5.94</v>
      </c>
      <c r="G149" s="22">
        <v>1.9</v>
      </c>
      <c r="H149" s="17">
        <v>8.93</v>
      </c>
      <c r="I149" s="25">
        <v>9.6256684491978639</v>
      </c>
      <c r="J149" s="24">
        <f>G149/F149*((100-H149)/100)*((100-I149)/100)*100</f>
        <v>26.326164497020109</v>
      </c>
      <c r="K149" s="53">
        <v>5.0503919372900334</v>
      </c>
      <c r="L149" s="54">
        <f>J149*10000/K149</f>
        <v>52126.973161505448</v>
      </c>
      <c r="M149" s="55">
        <v>50.7</v>
      </c>
      <c r="N149" s="55">
        <v>18.3</v>
      </c>
      <c r="O149" s="56">
        <v>3.8900999999999999</v>
      </c>
      <c r="P149" s="55">
        <v>15.7</v>
      </c>
      <c r="Q149" s="17">
        <v>57</v>
      </c>
      <c r="R149" s="17">
        <v>60</v>
      </c>
      <c r="S149" s="17">
        <v>61</v>
      </c>
      <c r="T149" s="17">
        <v>64</v>
      </c>
      <c r="U149" s="17">
        <v>65</v>
      </c>
      <c r="V149" s="17">
        <v>65</v>
      </c>
      <c r="W149" s="17">
        <v>67</v>
      </c>
      <c r="X149" s="3">
        <v>99</v>
      </c>
    </row>
    <row r="150" spans="1:24" s="3" customFormat="1" x14ac:dyDescent="0.25">
      <c r="A150" s="16" t="s">
        <v>1297</v>
      </c>
      <c r="B150" s="17" t="s">
        <v>10</v>
      </c>
      <c r="C150" s="17" t="s">
        <v>836</v>
      </c>
      <c r="D150" s="18" t="s">
        <v>83</v>
      </c>
      <c r="E150" s="18" t="s">
        <v>1533</v>
      </c>
      <c r="F150" s="18">
        <v>5.94</v>
      </c>
      <c r="G150" s="22">
        <v>2.4</v>
      </c>
      <c r="H150" s="17">
        <v>7.69</v>
      </c>
      <c r="I150" s="25">
        <v>7.5895243185462302</v>
      </c>
      <c r="J150" s="24">
        <f>G150/F150*((100-H150)/100)*((100-I150)/100)*100</f>
        <v>34.466307111737365</v>
      </c>
      <c r="K150" s="53">
        <v>5.2519596864501681</v>
      </c>
      <c r="L150" s="54">
        <f>J150*10000/K150</f>
        <v>65625.612475013782</v>
      </c>
      <c r="M150" s="55">
        <v>54.9</v>
      </c>
      <c r="N150" s="55">
        <v>16.600000000000001</v>
      </c>
      <c r="O150" s="56">
        <v>5.1802999999999999</v>
      </c>
      <c r="P150" s="55">
        <v>15.6</v>
      </c>
      <c r="Q150" s="17">
        <v>59</v>
      </c>
      <c r="R150" s="17">
        <v>60</v>
      </c>
      <c r="S150" s="17">
        <v>61</v>
      </c>
      <c r="T150" s="17">
        <v>64</v>
      </c>
      <c r="U150" s="17">
        <v>65</v>
      </c>
      <c r="V150" s="17">
        <v>65</v>
      </c>
      <c r="W150" s="17">
        <v>67</v>
      </c>
      <c r="X150" s="3">
        <v>99</v>
      </c>
    </row>
    <row r="151" spans="1:24" s="3" customFormat="1" x14ac:dyDescent="0.25">
      <c r="A151" s="16" t="s">
        <v>1373</v>
      </c>
      <c r="B151" s="17" t="s">
        <v>10</v>
      </c>
      <c r="C151" s="17" t="s">
        <v>836</v>
      </c>
      <c r="D151" s="18" t="s">
        <v>258</v>
      </c>
      <c r="E151" s="18" t="s">
        <v>1664</v>
      </c>
      <c r="F151" s="18">
        <v>5.94</v>
      </c>
      <c r="G151" s="22">
        <v>2.36</v>
      </c>
      <c r="H151" s="17">
        <v>7.69</v>
      </c>
      <c r="I151" s="25">
        <v>14.084399172857461</v>
      </c>
      <c r="J151" s="24">
        <f>G151/F151*((100-H151)/100)*((100-I151)/100)*100</f>
        <v>31.50985034537765</v>
      </c>
      <c r="K151" s="53">
        <v>4.3840579710144931</v>
      </c>
      <c r="L151" s="54">
        <f>J151*10000/K151</f>
        <v>71873.708225820083</v>
      </c>
      <c r="M151" s="55">
        <v>51.6</v>
      </c>
      <c r="N151" s="55">
        <v>17.2</v>
      </c>
      <c r="O151" s="56">
        <v>2.7938999999999998</v>
      </c>
      <c r="P151" s="55">
        <v>20.5</v>
      </c>
      <c r="Q151" s="17">
        <v>59</v>
      </c>
      <c r="R151" s="17">
        <v>60</v>
      </c>
      <c r="S151" s="17">
        <v>61</v>
      </c>
      <c r="T151" s="17">
        <v>64</v>
      </c>
      <c r="U151" s="17">
        <v>65</v>
      </c>
      <c r="V151" s="17">
        <v>65</v>
      </c>
      <c r="W151" s="17">
        <v>67</v>
      </c>
      <c r="X151" s="3">
        <v>99</v>
      </c>
    </row>
    <row r="152" spans="1:24" s="3" customFormat="1" x14ac:dyDescent="0.25">
      <c r="A152" s="16" t="s">
        <v>956</v>
      </c>
      <c r="B152" s="17" t="s">
        <v>7</v>
      </c>
      <c r="C152" s="17" t="s">
        <v>836</v>
      </c>
      <c r="D152" s="18" t="s">
        <v>36</v>
      </c>
      <c r="E152" s="18" t="s">
        <v>1523</v>
      </c>
      <c r="F152" s="18">
        <v>5.94</v>
      </c>
      <c r="G152" s="22">
        <v>1.44</v>
      </c>
      <c r="H152" s="17">
        <v>8.93</v>
      </c>
      <c r="I152" s="25">
        <v>4.8280626343260717</v>
      </c>
      <c r="J152" s="24">
        <f>G152/F152*((100-H152)/100)*((100-I152)/100)*100</f>
        <v>21.011656571859209</v>
      </c>
      <c r="K152" s="53">
        <v>4.4688995215311005</v>
      </c>
      <c r="L152" s="54">
        <f>J152*10000/K152</f>
        <v>47017.518453089666</v>
      </c>
      <c r="M152" s="55">
        <v>47.4</v>
      </c>
      <c r="N152" s="55">
        <v>19.5</v>
      </c>
      <c r="O152" s="56">
        <v>5.0564999999999998</v>
      </c>
      <c r="P152" s="55">
        <v>62.4</v>
      </c>
      <c r="Q152" s="17">
        <v>57</v>
      </c>
      <c r="R152" s="17">
        <v>60</v>
      </c>
      <c r="S152" s="17">
        <v>62</v>
      </c>
      <c r="T152" s="17">
        <v>64</v>
      </c>
      <c r="U152" s="17">
        <v>65</v>
      </c>
      <c r="V152" s="17">
        <v>65</v>
      </c>
      <c r="W152" s="17">
        <v>67</v>
      </c>
      <c r="X152" s="3">
        <v>99</v>
      </c>
    </row>
    <row r="153" spans="1:24" s="3" customFormat="1" x14ac:dyDescent="0.25">
      <c r="A153" s="16" t="s">
        <v>978</v>
      </c>
      <c r="B153" s="17" t="s">
        <v>7</v>
      </c>
      <c r="C153" s="17" t="s">
        <v>836</v>
      </c>
      <c r="D153" s="18" t="s">
        <v>41</v>
      </c>
      <c r="E153" s="18" t="s">
        <v>1660</v>
      </c>
      <c r="F153" s="18">
        <v>5.94</v>
      </c>
      <c r="G153" s="22">
        <v>2.29</v>
      </c>
      <c r="H153" s="17">
        <v>8.93</v>
      </c>
      <c r="I153" s="25">
        <v>7.6021588280647538</v>
      </c>
      <c r="J153" s="24">
        <f>G153/F153*((100-H153)/100)*((100-I153)/100)*100</f>
        <v>32.440399824510848</v>
      </c>
      <c r="K153" s="53">
        <v>5.9646910466582597</v>
      </c>
      <c r="L153" s="54">
        <f>J153*10000/K153</f>
        <v>54387.393363291972</v>
      </c>
      <c r="M153" s="55">
        <v>52.1</v>
      </c>
      <c r="N153" s="55">
        <v>17.8</v>
      </c>
      <c r="O153" s="56">
        <v>3.5520999999999998</v>
      </c>
      <c r="P153" s="55">
        <v>18.600000000000001</v>
      </c>
      <c r="Q153" s="17">
        <v>57</v>
      </c>
      <c r="R153" s="17">
        <v>60</v>
      </c>
      <c r="S153" s="17">
        <v>62</v>
      </c>
      <c r="T153" s="17">
        <v>64</v>
      </c>
      <c r="U153" s="17">
        <v>65</v>
      </c>
      <c r="V153" s="17">
        <v>65</v>
      </c>
      <c r="W153" s="17">
        <v>65</v>
      </c>
      <c r="X153" s="3">
        <v>99</v>
      </c>
    </row>
    <row r="154" spans="1:24" s="3" customFormat="1" x14ac:dyDescent="0.25">
      <c r="A154" s="16" t="s">
        <v>1003</v>
      </c>
      <c r="B154" s="17" t="s">
        <v>7</v>
      </c>
      <c r="C154" s="17" t="s">
        <v>836</v>
      </c>
      <c r="D154" s="18" t="s">
        <v>28</v>
      </c>
      <c r="E154" s="18" t="s">
        <v>1636</v>
      </c>
      <c r="F154" s="18">
        <v>5.94</v>
      </c>
      <c r="G154" s="22">
        <v>2.2000000000000002</v>
      </c>
      <c r="H154" s="17">
        <v>8.93</v>
      </c>
      <c r="I154" s="25">
        <v>5.2693127880580564</v>
      </c>
      <c r="J154" s="24">
        <f>G154/F154*((100-H154)/100)*((100-I154)/100)*100</f>
        <v>31.952309942190933</v>
      </c>
      <c r="K154" s="53">
        <v>5.087145969498911</v>
      </c>
      <c r="L154" s="54">
        <f>J154*10000/K154</f>
        <v>62809.894061951338</v>
      </c>
      <c r="M154" s="55">
        <v>50.1</v>
      </c>
      <c r="N154" s="55">
        <v>16.2</v>
      </c>
      <c r="O154" s="56">
        <v>0.35764000000000001</v>
      </c>
      <c r="P154" s="55">
        <v>13.5</v>
      </c>
      <c r="Q154" s="17">
        <v>57</v>
      </c>
      <c r="R154" s="17">
        <v>60</v>
      </c>
      <c r="S154" s="17">
        <v>62</v>
      </c>
      <c r="T154" s="17">
        <v>64</v>
      </c>
      <c r="U154" s="17">
        <v>65</v>
      </c>
      <c r="V154" s="17">
        <v>65</v>
      </c>
      <c r="W154" s="17">
        <v>67</v>
      </c>
      <c r="X154" s="3">
        <v>99</v>
      </c>
    </row>
    <row r="155" spans="1:24" s="3" customFormat="1" x14ac:dyDescent="0.25">
      <c r="A155" s="66" t="s">
        <v>1253</v>
      </c>
      <c r="B155" s="17" t="s">
        <v>10</v>
      </c>
      <c r="C155" s="17" t="s">
        <v>836</v>
      </c>
      <c r="D155" s="18" t="s">
        <v>134</v>
      </c>
      <c r="E155" s="18" t="s">
        <v>1852</v>
      </c>
      <c r="F155" s="18">
        <v>5.94</v>
      </c>
      <c r="G155" s="22">
        <v>1.52</v>
      </c>
      <c r="H155" s="17">
        <v>7.69</v>
      </c>
      <c r="I155" s="25">
        <v>25.661198526950123</v>
      </c>
      <c r="J155" s="24">
        <f>G155/F155*((100-H155)/100)*((100-I155)/100)*100</f>
        <v>17.559876163712786</v>
      </c>
      <c r="K155" s="53">
        <v>4.3709226467847158</v>
      </c>
      <c r="L155" s="54">
        <f>J155*10000/K155</f>
        <v>40174.30090333437</v>
      </c>
      <c r="M155" s="55">
        <v>47.6</v>
      </c>
      <c r="N155" s="55">
        <v>21.1</v>
      </c>
      <c r="O155" s="56">
        <v>45.834000000000003</v>
      </c>
      <c r="P155" s="55">
        <v>66.400000000000006</v>
      </c>
      <c r="Q155" s="17">
        <v>59</v>
      </c>
      <c r="R155" s="17">
        <v>60</v>
      </c>
      <c r="S155" s="17">
        <v>62</v>
      </c>
      <c r="T155" s="17">
        <v>64</v>
      </c>
      <c r="U155" s="17">
        <v>65</v>
      </c>
      <c r="V155" s="17">
        <v>65</v>
      </c>
      <c r="W155" s="17">
        <v>65</v>
      </c>
      <c r="X155" s="3">
        <v>99</v>
      </c>
    </row>
    <row r="156" spans="1:24" s="3" customFormat="1" x14ac:dyDescent="0.25">
      <c r="A156" s="16" t="s">
        <v>1438</v>
      </c>
      <c r="B156" s="17" t="s">
        <v>10</v>
      </c>
      <c r="C156" s="17" t="s">
        <v>836</v>
      </c>
      <c r="D156" s="18" t="s">
        <v>85</v>
      </c>
      <c r="E156" s="18" t="s">
        <v>1764</v>
      </c>
      <c r="F156" s="18">
        <v>5.94</v>
      </c>
      <c r="G156" s="22">
        <v>2.54</v>
      </c>
      <c r="H156" s="17">
        <v>7.69</v>
      </c>
      <c r="I156" s="25">
        <v>10.291291983706104</v>
      </c>
      <c r="J156" s="24">
        <f>G156/F156*((100-H156)/100)*((100-I156)/100)*100</f>
        <v>35.410383040302335</v>
      </c>
      <c r="K156" s="53">
        <v>5.5844155844155843</v>
      </c>
      <c r="L156" s="54">
        <f>J156*10000/K156</f>
        <v>63409.290560541391</v>
      </c>
      <c r="M156" s="55">
        <v>53.5</v>
      </c>
      <c r="N156" s="55">
        <v>15.6</v>
      </c>
      <c r="O156" s="56">
        <v>-1.3412999999999999</v>
      </c>
      <c r="P156" s="55">
        <v>13.3</v>
      </c>
      <c r="Q156" s="17">
        <v>59</v>
      </c>
      <c r="R156" s="17">
        <v>60</v>
      </c>
      <c r="S156" s="17">
        <v>62</v>
      </c>
      <c r="T156" s="17">
        <v>64</v>
      </c>
      <c r="U156" s="17">
        <v>65</v>
      </c>
      <c r="V156" s="17">
        <v>65</v>
      </c>
      <c r="W156" s="17">
        <v>67</v>
      </c>
      <c r="X156" s="3">
        <v>99</v>
      </c>
    </row>
    <row r="157" spans="1:24" s="3" customFormat="1" x14ac:dyDescent="0.25">
      <c r="A157" s="16" t="s">
        <v>953</v>
      </c>
      <c r="B157" s="17" t="s">
        <v>7</v>
      </c>
      <c r="C157" s="17" t="s">
        <v>836</v>
      </c>
      <c r="D157" s="18" t="s">
        <v>90</v>
      </c>
      <c r="E157" s="18" t="s">
        <v>1614</v>
      </c>
      <c r="F157" s="18">
        <v>5.94</v>
      </c>
      <c r="G157" s="22">
        <v>2.2000000000000002</v>
      </c>
      <c r="H157" s="17">
        <v>8.93</v>
      </c>
      <c r="I157" s="25">
        <v>9.4869238438530505</v>
      </c>
      <c r="J157" s="24">
        <f>G157/F157*((100-H157)/100)*((100-I157)/100)*100</f>
        <v>30.529725353852971</v>
      </c>
      <c r="K157" s="53">
        <v>5.1074718526100309</v>
      </c>
      <c r="L157" s="54">
        <f>J157*10000/K157</f>
        <v>59774.632606641993</v>
      </c>
      <c r="M157" s="55">
        <v>49.6</v>
      </c>
      <c r="N157" s="55">
        <v>19.3</v>
      </c>
      <c r="O157" s="56">
        <v>1.2614000000000001</v>
      </c>
      <c r="P157" s="55">
        <v>20.9</v>
      </c>
      <c r="Q157" s="17">
        <v>59</v>
      </c>
      <c r="R157" s="17">
        <v>60</v>
      </c>
      <c r="S157" s="17">
        <v>62</v>
      </c>
      <c r="T157" s="17">
        <v>64</v>
      </c>
      <c r="U157" s="17">
        <v>65</v>
      </c>
      <c r="V157" s="17">
        <v>65</v>
      </c>
      <c r="W157" s="17">
        <v>67</v>
      </c>
      <c r="X157" s="3">
        <v>99</v>
      </c>
    </row>
    <row r="158" spans="1:24" s="3" customFormat="1" x14ac:dyDescent="0.25">
      <c r="A158" s="16" t="s">
        <v>973</v>
      </c>
      <c r="B158" s="17" t="s">
        <v>7</v>
      </c>
      <c r="C158" s="17" t="s">
        <v>836</v>
      </c>
      <c r="D158" s="18" t="s">
        <v>102</v>
      </c>
      <c r="E158" s="18" t="s">
        <v>1790</v>
      </c>
      <c r="F158" s="18">
        <v>5.94</v>
      </c>
      <c r="G158" s="22">
        <v>2.44</v>
      </c>
      <c r="H158" s="17">
        <v>8.93</v>
      </c>
      <c r="I158" s="25">
        <v>4.8180924287119051</v>
      </c>
      <c r="J158" s="24">
        <f>G158/F158*((100-H158)/100)*((100-I158)/100)*100</f>
        <v>35.60681452347135</v>
      </c>
      <c r="K158" s="53">
        <v>5.3973902728351124</v>
      </c>
      <c r="L158" s="54">
        <f>J158*10000/K158</f>
        <v>65970.427787442532</v>
      </c>
      <c r="M158" s="55">
        <v>53.9</v>
      </c>
      <c r="N158" s="55">
        <v>16.3</v>
      </c>
      <c r="O158" s="56">
        <v>6.5975000000000001E-3</v>
      </c>
      <c r="P158" s="55">
        <v>10.9</v>
      </c>
      <c r="Q158" s="17">
        <v>59</v>
      </c>
      <c r="R158" s="17">
        <v>60</v>
      </c>
      <c r="S158" s="17">
        <v>62</v>
      </c>
      <c r="T158" s="17">
        <v>64</v>
      </c>
      <c r="U158" s="17">
        <v>65</v>
      </c>
      <c r="V158" s="17">
        <v>65</v>
      </c>
      <c r="W158" s="17">
        <v>67</v>
      </c>
      <c r="X158" s="3">
        <v>99</v>
      </c>
    </row>
    <row r="159" spans="1:24" s="3" customFormat="1" x14ac:dyDescent="0.25">
      <c r="A159" s="16" t="s">
        <v>1307</v>
      </c>
      <c r="B159" s="17" t="s">
        <v>10</v>
      </c>
      <c r="C159" s="17" t="s">
        <v>836</v>
      </c>
      <c r="D159" s="18" t="s">
        <v>56</v>
      </c>
      <c r="E159" s="18" t="s">
        <v>1515</v>
      </c>
      <c r="F159" s="18">
        <v>5.94</v>
      </c>
      <c r="G159" s="22">
        <v>1.99</v>
      </c>
      <c r="H159" s="17">
        <v>7.69</v>
      </c>
      <c r="I159" s="25">
        <v>13.211915419046163</v>
      </c>
      <c r="J159" s="24">
        <f>G159/F159*((100-H159)/100)*((100-I159)/100)*100</f>
        <v>26.839565815587573</v>
      </c>
      <c r="K159" s="53">
        <v>5.459837019790454</v>
      </c>
      <c r="L159" s="54">
        <f>J159*10000/K159</f>
        <v>49158.181312558052</v>
      </c>
      <c r="M159" s="55">
        <v>46.9</v>
      </c>
      <c r="N159" s="55">
        <v>20.5</v>
      </c>
      <c r="O159" s="56">
        <v>6.6558999999999999</v>
      </c>
      <c r="P159" s="55">
        <v>55.8</v>
      </c>
      <c r="Q159" s="17">
        <v>57</v>
      </c>
      <c r="R159" s="17">
        <v>61</v>
      </c>
      <c r="S159" s="17">
        <v>62</v>
      </c>
      <c r="T159" s="17">
        <v>64</v>
      </c>
      <c r="U159" s="17">
        <v>65</v>
      </c>
      <c r="V159" s="17">
        <v>65</v>
      </c>
      <c r="W159" s="17">
        <v>67</v>
      </c>
      <c r="X159" s="3">
        <v>99</v>
      </c>
    </row>
    <row r="160" spans="1:24" s="3" customFormat="1" x14ac:dyDescent="0.25">
      <c r="A160" s="16" t="s">
        <v>847</v>
      </c>
      <c r="B160" s="17" t="s">
        <v>7</v>
      </c>
      <c r="C160" s="17" t="s">
        <v>836</v>
      </c>
      <c r="D160" s="18" t="s">
        <v>56</v>
      </c>
      <c r="E160" s="18" t="s">
        <v>1515</v>
      </c>
      <c r="F160" s="18">
        <v>5.94</v>
      </c>
      <c r="G160" s="22">
        <v>1.73</v>
      </c>
      <c r="H160" s="17">
        <v>8.93</v>
      </c>
      <c r="I160" s="25">
        <v>9.6102304923807313</v>
      </c>
      <c r="J160" s="24">
        <f>G160/F160*((100-H160)/100)*((100-I160)/100)*100</f>
        <v>23.974760294060388</v>
      </c>
      <c r="K160" s="53">
        <v>5.3604651162790695</v>
      </c>
      <c r="L160" s="54">
        <f>J160*10000/K160</f>
        <v>44725.14935551396</v>
      </c>
      <c r="M160" s="55">
        <v>48</v>
      </c>
      <c r="N160" s="55">
        <v>19.899999999999999</v>
      </c>
      <c r="O160" s="56">
        <v>10.128</v>
      </c>
      <c r="P160" s="55">
        <v>59</v>
      </c>
      <c r="Q160" s="17">
        <v>57</v>
      </c>
      <c r="R160" s="17">
        <v>61</v>
      </c>
      <c r="S160" s="17">
        <v>62</v>
      </c>
      <c r="T160" s="17">
        <v>64</v>
      </c>
      <c r="U160" s="17">
        <v>65</v>
      </c>
      <c r="V160" s="17">
        <v>65</v>
      </c>
      <c r="W160" s="17">
        <v>65</v>
      </c>
      <c r="X160" s="3">
        <v>99</v>
      </c>
    </row>
    <row r="161" spans="1:24" s="3" customFormat="1" x14ac:dyDescent="0.25">
      <c r="A161" s="16" t="s">
        <v>930</v>
      </c>
      <c r="B161" s="17" t="s">
        <v>7</v>
      </c>
      <c r="C161" s="17" t="s">
        <v>836</v>
      </c>
      <c r="D161" s="18" t="s">
        <v>34</v>
      </c>
      <c r="E161" s="18" t="s">
        <v>1684</v>
      </c>
      <c r="F161" s="18">
        <v>5.94</v>
      </c>
      <c r="G161" s="22">
        <v>2.08</v>
      </c>
      <c r="H161" s="17">
        <v>8.93</v>
      </c>
      <c r="I161" s="25">
        <v>6.9913589945011712</v>
      </c>
      <c r="J161" s="24">
        <f>G161/F161*((100-H161)/100)*((100-I161)/100)*100</f>
        <v>29.660299036449867</v>
      </c>
      <c r="K161" s="53">
        <v>5.3082191780821919</v>
      </c>
      <c r="L161" s="54">
        <f>J161*10000/K161</f>
        <v>55876.176249312011</v>
      </c>
      <c r="M161" s="55">
        <v>49.6</v>
      </c>
      <c r="N161" s="55">
        <v>16.8</v>
      </c>
      <c r="O161" s="56">
        <v>1.6465000000000001</v>
      </c>
      <c r="P161" s="55">
        <v>16.2</v>
      </c>
      <c r="Q161" s="17">
        <v>57</v>
      </c>
      <c r="R161" s="17">
        <v>61</v>
      </c>
      <c r="S161" s="17">
        <v>62</v>
      </c>
      <c r="T161" s="17">
        <v>64</v>
      </c>
      <c r="U161" s="17">
        <v>65</v>
      </c>
      <c r="V161" s="17">
        <v>65</v>
      </c>
      <c r="W161" s="17">
        <v>67</v>
      </c>
      <c r="X161" s="3">
        <v>99</v>
      </c>
    </row>
    <row r="162" spans="1:24" s="3" customFormat="1" x14ac:dyDescent="0.25">
      <c r="A162" s="16" t="s">
        <v>1351</v>
      </c>
      <c r="B162" s="17" t="s">
        <v>10</v>
      </c>
      <c r="C162" s="17" t="s">
        <v>836</v>
      </c>
      <c r="D162" s="18" t="s">
        <v>66</v>
      </c>
      <c r="E162" s="18" t="s">
        <v>1766</v>
      </c>
      <c r="F162" s="18">
        <v>5.94</v>
      </c>
      <c r="G162" s="22">
        <v>2.72</v>
      </c>
      <c r="H162" s="17">
        <v>7.69</v>
      </c>
      <c r="I162" s="25">
        <v>10.874379534173347</v>
      </c>
      <c r="J162" s="24">
        <f>G162/F162*((100-H162)/100)*((100-I162)/100)*100</f>
        <v>37.673309745025676</v>
      </c>
      <c r="K162" s="53">
        <v>5.1244813278008294</v>
      </c>
      <c r="L162" s="54">
        <f>J162*10000/K162</f>
        <v>73516.337235232291</v>
      </c>
      <c r="M162" s="55">
        <v>53</v>
      </c>
      <c r="N162" s="55">
        <v>16.8</v>
      </c>
      <c r="O162" s="56">
        <v>0.31319000000000002</v>
      </c>
      <c r="P162" s="55">
        <v>16.7</v>
      </c>
      <c r="Q162" s="17">
        <v>59</v>
      </c>
      <c r="R162" s="17">
        <v>61</v>
      </c>
      <c r="S162" s="17">
        <v>62</v>
      </c>
      <c r="T162" s="17">
        <v>64</v>
      </c>
      <c r="U162" s="17">
        <v>65</v>
      </c>
      <c r="V162" s="17">
        <v>65</v>
      </c>
      <c r="W162" s="17">
        <v>65</v>
      </c>
      <c r="X162" s="3">
        <v>99</v>
      </c>
    </row>
    <row r="163" spans="1:24" s="3" customFormat="1" x14ac:dyDescent="0.25">
      <c r="A163" s="16" t="s">
        <v>1439</v>
      </c>
      <c r="B163" s="17" t="s">
        <v>10</v>
      </c>
      <c r="C163" s="17" t="s">
        <v>836</v>
      </c>
      <c r="D163" s="18" t="s">
        <v>78</v>
      </c>
      <c r="E163" s="18" t="s">
        <v>1588</v>
      </c>
      <c r="F163" s="18">
        <v>5.94</v>
      </c>
      <c r="G163" s="22">
        <v>1.64</v>
      </c>
      <c r="H163" s="17">
        <v>7.69</v>
      </c>
      <c r="I163" s="25">
        <v>11.941792423775787</v>
      </c>
      <c r="J163" s="24">
        <f>G163/F163*((100-H163)/100)*((100-I163)/100)*100</f>
        <v>22.442746046855998</v>
      </c>
      <c r="K163" s="53">
        <v>5.9085290482076642</v>
      </c>
      <c r="L163" s="54">
        <f>J163*10000/K163</f>
        <v>37983.643414030339</v>
      </c>
      <c r="M163" s="55">
        <v>49.4</v>
      </c>
      <c r="N163" s="55">
        <v>18.2</v>
      </c>
      <c r="O163" s="56">
        <v>1.1042000000000001</v>
      </c>
      <c r="P163" s="55">
        <v>15.7</v>
      </c>
      <c r="Q163" s="17">
        <v>59</v>
      </c>
      <c r="R163" s="17">
        <v>61</v>
      </c>
      <c r="S163" s="17">
        <v>62</v>
      </c>
      <c r="T163" s="17">
        <v>64</v>
      </c>
      <c r="U163" s="17">
        <v>65</v>
      </c>
      <c r="V163" s="17">
        <v>65</v>
      </c>
      <c r="W163" s="17">
        <v>67</v>
      </c>
      <c r="X163" s="3">
        <v>99</v>
      </c>
    </row>
    <row r="164" spans="1:24" s="3" customFormat="1" x14ac:dyDescent="0.25">
      <c r="A164" s="16" t="s">
        <v>1432</v>
      </c>
      <c r="B164" s="17" t="s">
        <v>10</v>
      </c>
      <c r="C164" s="17" t="s">
        <v>836</v>
      </c>
      <c r="D164" s="18" t="s">
        <v>79</v>
      </c>
      <c r="E164" s="18" t="s">
        <v>1682</v>
      </c>
      <c r="F164" s="18">
        <v>5.94</v>
      </c>
      <c r="G164" s="22">
        <v>1.86</v>
      </c>
      <c r="H164" s="17">
        <v>7.69</v>
      </c>
      <c r="I164" s="25">
        <v>5.9778427450376954</v>
      </c>
      <c r="J164" s="24">
        <f>G164/F164*((100-H164)/100)*((100-I164)/100)*100</f>
        <v>27.177247012360883</v>
      </c>
      <c r="K164" s="53">
        <v>5.0101626016260159</v>
      </c>
      <c r="L164" s="54">
        <f>J164*10000/K164</f>
        <v>54244.241501345052</v>
      </c>
      <c r="M164" s="55">
        <v>50.8</v>
      </c>
      <c r="N164" s="55">
        <v>18</v>
      </c>
      <c r="O164" s="56">
        <v>-0.44189000000000001</v>
      </c>
      <c r="P164" s="55">
        <v>14.7</v>
      </c>
      <c r="Q164" s="17">
        <v>59</v>
      </c>
      <c r="R164" s="17">
        <v>60</v>
      </c>
      <c r="S164" s="17">
        <v>63</v>
      </c>
      <c r="T164" s="17">
        <v>64</v>
      </c>
      <c r="U164" s="17">
        <v>65</v>
      </c>
      <c r="V164" s="17">
        <v>65</v>
      </c>
      <c r="W164" s="17">
        <v>67</v>
      </c>
      <c r="X164" s="3">
        <v>99</v>
      </c>
    </row>
    <row r="165" spans="1:24" s="3" customFormat="1" x14ac:dyDescent="0.25">
      <c r="A165" s="16" t="s">
        <v>1381</v>
      </c>
      <c r="B165" s="17" t="s">
        <v>10</v>
      </c>
      <c r="C165" s="17" t="s">
        <v>836</v>
      </c>
      <c r="D165" s="18" t="s">
        <v>179</v>
      </c>
      <c r="E165" s="18" t="s">
        <v>1666</v>
      </c>
      <c r="F165" s="18">
        <v>5.94</v>
      </c>
      <c r="G165" s="22">
        <v>2.1</v>
      </c>
      <c r="H165" s="17">
        <v>7.69</v>
      </c>
      <c r="I165" s="25">
        <v>6.449381197632408</v>
      </c>
      <c r="J165" s="24">
        <f>G165/F165*((100-H165)/100)*((100-I165)/100)*100</f>
        <v>30.530102702790845</v>
      </c>
      <c r="K165" s="53">
        <v>5.6947608200455582</v>
      </c>
      <c r="L165" s="54">
        <f>J165*10000/K165</f>
        <v>53610.86034610073</v>
      </c>
      <c r="M165" s="55">
        <v>49.8</v>
      </c>
      <c r="N165" s="55">
        <v>18.7</v>
      </c>
      <c r="O165" s="56">
        <v>-0.50324999999999998</v>
      </c>
      <c r="P165" s="55">
        <v>18.8</v>
      </c>
      <c r="Q165" s="17">
        <v>57</v>
      </c>
      <c r="R165" s="17">
        <v>59</v>
      </c>
      <c r="S165" s="17">
        <v>60</v>
      </c>
      <c r="T165" s="17">
        <v>65</v>
      </c>
      <c r="U165" s="17">
        <v>65</v>
      </c>
      <c r="V165" s="17">
        <v>65</v>
      </c>
      <c r="W165" s="17">
        <v>67</v>
      </c>
      <c r="X165" s="3">
        <v>99</v>
      </c>
    </row>
    <row r="166" spans="1:24" s="3" customFormat="1" x14ac:dyDescent="0.25">
      <c r="A166" s="16" t="s">
        <v>1393</v>
      </c>
      <c r="B166" s="17" t="s">
        <v>10</v>
      </c>
      <c r="C166" s="17" t="s">
        <v>836</v>
      </c>
      <c r="D166" s="18" t="s">
        <v>286</v>
      </c>
      <c r="E166" s="18" t="s">
        <v>1556</v>
      </c>
      <c r="F166" s="18">
        <v>5.94</v>
      </c>
      <c r="G166" s="22">
        <v>2.2400000000000002</v>
      </c>
      <c r="H166" s="17">
        <v>7.69</v>
      </c>
      <c r="I166" s="25">
        <v>9.9146875720544294</v>
      </c>
      <c r="J166" s="24">
        <f>G166/F166*((100-H166)/100)*((100-I166)/100)*100</f>
        <v>31.359152232493248</v>
      </c>
      <c r="K166" s="53">
        <v>4.8191593352883677</v>
      </c>
      <c r="L166" s="54">
        <f>J166*10000/K166</f>
        <v>65071.831103124925</v>
      </c>
      <c r="M166" s="55">
        <v>52.1</v>
      </c>
      <c r="N166" s="55">
        <v>16.399999999999999</v>
      </c>
      <c r="O166" s="56">
        <v>1.5205</v>
      </c>
      <c r="P166" s="55">
        <v>14.6</v>
      </c>
      <c r="Q166" s="17">
        <v>57</v>
      </c>
      <c r="R166" s="17">
        <v>59</v>
      </c>
      <c r="S166" s="17">
        <v>60</v>
      </c>
      <c r="T166" s="17">
        <v>65</v>
      </c>
      <c r="U166" s="17">
        <v>65</v>
      </c>
      <c r="V166" s="17">
        <v>65</v>
      </c>
      <c r="W166" s="17">
        <v>65</v>
      </c>
      <c r="X166" s="3">
        <v>99</v>
      </c>
    </row>
    <row r="167" spans="1:24" s="3" customFormat="1" x14ac:dyDescent="0.25">
      <c r="A167" s="16" t="s">
        <v>1330</v>
      </c>
      <c r="B167" s="17" t="s">
        <v>10</v>
      </c>
      <c r="C167" s="17" t="s">
        <v>836</v>
      </c>
      <c r="D167" s="18" t="s">
        <v>46</v>
      </c>
      <c r="E167" s="18" t="s">
        <v>1531</v>
      </c>
      <c r="F167" s="18">
        <v>5.94</v>
      </c>
      <c r="G167" s="22">
        <v>2.2599999999999998</v>
      </c>
      <c r="H167" s="17">
        <v>7.69</v>
      </c>
      <c r="I167" s="25">
        <v>12.832820820520523</v>
      </c>
      <c r="J167" s="24">
        <f>G167/F167*((100-H167)/100)*((100-I167)/100)*100</f>
        <v>30.614257947357764</v>
      </c>
      <c r="K167" s="53">
        <v>6.0565110565110567</v>
      </c>
      <c r="L167" s="54">
        <f>J167*10000/K167</f>
        <v>50547.679450606935</v>
      </c>
      <c r="M167" s="55">
        <v>48.6</v>
      </c>
      <c r="N167" s="55">
        <v>19.8</v>
      </c>
      <c r="O167" s="56">
        <v>5.4888000000000003</v>
      </c>
      <c r="P167" s="55">
        <v>63.2</v>
      </c>
      <c r="Q167" s="17">
        <v>57</v>
      </c>
      <c r="R167" s="17">
        <v>59</v>
      </c>
      <c r="S167" s="17">
        <v>61</v>
      </c>
      <c r="T167" s="17">
        <v>65</v>
      </c>
      <c r="U167" s="17">
        <v>65</v>
      </c>
      <c r="V167" s="17">
        <v>65</v>
      </c>
      <c r="W167" s="17">
        <v>67</v>
      </c>
      <c r="X167" s="3">
        <v>99</v>
      </c>
    </row>
    <row r="168" spans="1:24" s="3" customFormat="1" x14ac:dyDescent="0.25">
      <c r="A168" s="16" t="s">
        <v>980</v>
      </c>
      <c r="B168" s="17" t="s">
        <v>7</v>
      </c>
      <c r="C168" s="17" t="s">
        <v>836</v>
      </c>
      <c r="D168" s="18" t="s">
        <v>263</v>
      </c>
      <c r="E168" s="18" t="s">
        <v>1774</v>
      </c>
      <c r="F168" s="18">
        <v>5.94</v>
      </c>
      <c r="G168" s="22">
        <v>2.15</v>
      </c>
      <c r="H168" s="17">
        <v>8.93</v>
      </c>
      <c r="I168" s="25">
        <v>4.729360306178231</v>
      </c>
      <c r="J168" s="24">
        <f>G168/F168*((100-H168)/100)*((100-I168)/100)*100</f>
        <v>31.404105870993515</v>
      </c>
      <c r="K168" s="53">
        <v>4.9737118822292326</v>
      </c>
      <c r="L168" s="54">
        <f>J168*10000/K168</f>
        <v>63140.179034492248</v>
      </c>
      <c r="M168" s="55">
        <v>50.9</v>
      </c>
      <c r="N168" s="55">
        <v>17.5</v>
      </c>
      <c r="O168" s="56">
        <v>2.7864</v>
      </c>
      <c r="P168" s="55">
        <v>14</v>
      </c>
      <c r="Q168" s="17">
        <v>57</v>
      </c>
      <c r="R168" s="17">
        <v>59</v>
      </c>
      <c r="S168" s="17">
        <v>61</v>
      </c>
      <c r="T168" s="17">
        <v>65</v>
      </c>
      <c r="U168" s="17">
        <v>65</v>
      </c>
      <c r="V168" s="17">
        <v>65</v>
      </c>
      <c r="W168" s="17">
        <v>65</v>
      </c>
      <c r="X168" s="3">
        <v>99</v>
      </c>
    </row>
    <row r="169" spans="1:24" s="3" customFormat="1" x14ac:dyDescent="0.25">
      <c r="A169" s="66" t="s">
        <v>1260</v>
      </c>
      <c r="B169" s="17" t="s">
        <v>10</v>
      </c>
      <c r="C169" s="17" t="s">
        <v>836</v>
      </c>
      <c r="D169" s="18" t="s">
        <v>143</v>
      </c>
      <c r="E169" s="18" t="s">
        <v>1858</v>
      </c>
      <c r="F169" s="18">
        <v>5.94</v>
      </c>
      <c r="G169" s="22">
        <v>1.36</v>
      </c>
      <c r="H169" s="17">
        <v>7.69</v>
      </c>
      <c r="I169" s="25">
        <v>13.276231263383288</v>
      </c>
      <c r="J169" s="24">
        <f>G169/F169*((100-H169)/100)*((100-I169)/100)*100</f>
        <v>18.329024722600742</v>
      </c>
      <c r="K169" s="53">
        <v>5.0433839479392626</v>
      </c>
      <c r="L169" s="54">
        <f>J169*10000/K169</f>
        <v>36342.711385457813</v>
      </c>
      <c r="M169" s="55">
        <v>50.9</v>
      </c>
      <c r="N169" s="55">
        <v>20.100000000000001</v>
      </c>
      <c r="O169" s="56">
        <v>48.427</v>
      </c>
      <c r="P169" s="55">
        <v>60.9</v>
      </c>
      <c r="Q169" s="17">
        <v>57</v>
      </c>
      <c r="R169" s="17">
        <v>60</v>
      </c>
      <c r="S169" s="17">
        <v>61</v>
      </c>
      <c r="T169" s="17">
        <v>65</v>
      </c>
      <c r="U169" s="17">
        <v>65</v>
      </c>
      <c r="V169" s="17">
        <v>65</v>
      </c>
      <c r="W169" s="17">
        <v>67</v>
      </c>
      <c r="X169" s="3">
        <v>99</v>
      </c>
    </row>
    <row r="170" spans="1:24" s="3" customFormat="1" x14ac:dyDescent="0.25">
      <c r="A170" s="16" t="s">
        <v>1332</v>
      </c>
      <c r="B170" s="17" t="s">
        <v>10</v>
      </c>
      <c r="C170" s="17" t="s">
        <v>836</v>
      </c>
      <c r="D170" s="18" t="s">
        <v>263</v>
      </c>
      <c r="E170" s="18" t="s">
        <v>1774</v>
      </c>
      <c r="F170" s="18">
        <v>5.94</v>
      </c>
      <c r="G170" s="22">
        <v>2.4700000000000002</v>
      </c>
      <c r="H170" s="17">
        <v>7.69</v>
      </c>
      <c r="I170" s="25">
        <v>10.905401978189198</v>
      </c>
      <c r="J170" s="24">
        <f>G170/F170*((100-H170)/100)*((100-I170)/100)*100</f>
        <v>34.198781461585163</v>
      </c>
      <c r="K170" s="53">
        <v>5.005055611729019</v>
      </c>
      <c r="L170" s="54">
        <f>J170*10000/K170</f>
        <v>68328.474475773182</v>
      </c>
      <c r="M170" s="55">
        <v>50.8</v>
      </c>
      <c r="N170" s="55">
        <v>18.100000000000001</v>
      </c>
      <c r="O170" s="56">
        <v>3.6433</v>
      </c>
      <c r="P170" s="55">
        <v>12</v>
      </c>
      <c r="Q170" s="17">
        <v>57</v>
      </c>
      <c r="R170" s="17">
        <v>60</v>
      </c>
      <c r="S170" s="17">
        <v>61</v>
      </c>
      <c r="T170" s="17">
        <v>65</v>
      </c>
      <c r="U170" s="17">
        <v>65</v>
      </c>
      <c r="V170" s="17">
        <v>65</v>
      </c>
      <c r="W170" s="17">
        <v>67</v>
      </c>
      <c r="X170" s="3">
        <v>99</v>
      </c>
    </row>
    <row r="171" spans="1:24" s="3" customFormat="1" x14ac:dyDescent="0.25">
      <c r="A171" s="16" t="s">
        <v>1377</v>
      </c>
      <c r="B171" s="17" t="s">
        <v>10</v>
      </c>
      <c r="C171" s="17" t="s">
        <v>836</v>
      </c>
      <c r="D171" s="18" t="s">
        <v>28</v>
      </c>
      <c r="E171" s="18" t="s">
        <v>1636</v>
      </c>
      <c r="F171" s="18">
        <v>5.94</v>
      </c>
      <c r="G171" s="22">
        <v>2.44</v>
      </c>
      <c r="H171" s="17">
        <v>7.69</v>
      </c>
      <c r="I171" s="25">
        <v>7.7117282533853659</v>
      </c>
      <c r="J171" s="24">
        <f>G171/F171*((100-H171)/100)*((100-I171)/100)*100</f>
        <v>34.994407559645104</v>
      </c>
      <c r="K171" s="53">
        <v>4.8809523809523814</v>
      </c>
      <c r="L171" s="54">
        <f>J171*10000/K171</f>
        <v>71695.859390492406</v>
      </c>
      <c r="M171" s="55">
        <v>50.2</v>
      </c>
      <c r="N171" s="55">
        <v>16.899999999999999</v>
      </c>
      <c r="O171" s="56">
        <v>-0.87416000000000005</v>
      </c>
      <c r="P171" s="55">
        <v>10.5</v>
      </c>
      <c r="Q171" s="17">
        <v>57</v>
      </c>
      <c r="R171" s="17">
        <v>60</v>
      </c>
      <c r="S171" s="17">
        <v>61</v>
      </c>
      <c r="T171" s="17">
        <v>65</v>
      </c>
      <c r="U171" s="17">
        <v>65</v>
      </c>
      <c r="V171" s="17">
        <v>65</v>
      </c>
      <c r="W171" s="17">
        <v>67</v>
      </c>
      <c r="X171" s="3">
        <v>99</v>
      </c>
    </row>
    <row r="172" spans="1:24" s="3" customFormat="1" x14ac:dyDescent="0.25">
      <c r="A172" s="16" t="s">
        <v>860</v>
      </c>
      <c r="B172" s="17" t="s">
        <v>7</v>
      </c>
      <c r="C172" s="17" t="s">
        <v>836</v>
      </c>
      <c r="D172" s="18" t="s">
        <v>100</v>
      </c>
      <c r="E172" s="18" t="s">
        <v>1468</v>
      </c>
      <c r="F172" s="18">
        <v>5.94</v>
      </c>
      <c r="G172" s="22">
        <v>1.67</v>
      </c>
      <c r="H172" s="17">
        <v>8.93</v>
      </c>
      <c r="I172" s="25">
        <v>5.6846595087512801</v>
      </c>
      <c r="J172" s="24">
        <f>G172/F172*((100-H172)/100)*((100-I172)/100)*100</f>
        <v>24.148363228549652</v>
      </c>
      <c r="K172" s="53">
        <v>5.6220095693779903</v>
      </c>
      <c r="L172" s="54">
        <f>J172*10000/K172</f>
        <v>42953.258849079808</v>
      </c>
      <c r="M172" s="55">
        <v>50.6</v>
      </c>
      <c r="N172" s="55">
        <v>19.5</v>
      </c>
      <c r="O172" s="56">
        <v>42.860999999999997</v>
      </c>
      <c r="P172" s="55">
        <v>62.2</v>
      </c>
      <c r="Q172" s="17">
        <v>57</v>
      </c>
      <c r="R172" s="17">
        <v>60</v>
      </c>
      <c r="S172" s="17">
        <v>61</v>
      </c>
      <c r="T172" s="17">
        <v>65</v>
      </c>
      <c r="U172" s="17">
        <v>65</v>
      </c>
      <c r="V172" s="17">
        <v>65</v>
      </c>
      <c r="W172" s="17">
        <v>67</v>
      </c>
      <c r="X172" s="3">
        <v>99</v>
      </c>
    </row>
    <row r="173" spans="1:24" s="3" customFormat="1" x14ac:dyDescent="0.25">
      <c r="A173" s="16" t="s">
        <v>893</v>
      </c>
      <c r="B173" s="17" t="s">
        <v>7</v>
      </c>
      <c r="C173" s="17" t="s">
        <v>836</v>
      </c>
      <c r="D173" s="18" t="s">
        <v>79</v>
      </c>
      <c r="E173" s="18" t="s">
        <v>1682</v>
      </c>
      <c r="F173" s="18">
        <v>5.94</v>
      </c>
      <c r="G173" s="22">
        <v>1.97</v>
      </c>
      <c r="H173" s="17">
        <v>8.93</v>
      </c>
      <c r="I173" s="25">
        <v>5.2284918856522147</v>
      </c>
      <c r="J173" s="24">
        <f>G173/F173*((100-H173)/100)*((100-I173)/100)*100</f>
        <v>28.624170455602854</v>
      </c>
      <c r="K173" s="53">
        <v>5.1265822784810124</v>
      </c>
      <c r="L173" s="54">
        <f>J173*10000/K173</f>
        <v>55834.801629447546</v>
      </c>
      <c r="M173" s="55">
        <v>50.7</v>
      </c>
      <c r="N173" s="55">
        <v>17.8</v>
      </c>
      <c r="O173" s="56">
        <v>2.8391999999999999</v>
      </c>
      <c r="P173" s="55">
        <v>14.8</v>
      </c>
      <c r="Q173" s="17">
        <v>57</v>
      </c>
      <c r="R173" s="17">
        <v>60</v>
      </c>
      <c r="S173" s="17">
        <v>61</v>
      </c>
      <c r="T173" s="17">
        <v>65</v>
      </c>
      <c r="U173" s="17">
        <v>65</v>
      </c>
      <c r="V173" s="17">
        <v>65</v>
      </c>
      <c r="W173" s="17">
        <v>67</v>
      </c>
      <c r="X173" s="3">
        <v>99</v>
      </c>
    </row>
    <row r="174" spans="1:24" s="3" customFormat="1" x14ac:dyDescent="0.25">
      <c r="A174" s="16" t="s">
        <v>927</v>
      </c>
      <c r="B174" s="17" t="s">
        <v>7</v>
      </c>
      <c r="C174" s="17" t="s">
        <v>836</v>
      </c>
      <c r="D174" s="18" t="s">
        <v>88</v>
      </c>
      <c r="E174" s="18" t="s">
        <v>1506</v>
      </c>
      <c r="F174" s="18">
        <v>5.94</v>
      </c>
      <c r="G174" s="22">
        <v>1.87</v>
      </c>
      <c r="H174" s="17">
        <v>8.93</v>
      </c>
      <c r="I174" s="25">
        <v>11.011485735457567</v>
      </c>
      <c r="J174" s="24">
        <f>G174/F174*((100-H174)/100)*((100-I174)/100)*100</f>
        <v>25.513171833189251</v>
      </c>
      <c r="K174" s="53">
        <v>6.121919584954604</v>
      </c>
      <c r="L174" s="54">
        <f>J174*10000/K174</f>
        <v>41675.117549552786</v>
      </c>
      <c r="M174" s="55">
        <v>49.1</v>
      </c>
      <c r="N174" s="55">
        <v>20.100000000000001</v>
      </c>
      <c r="O174" s="56">
        <v>7.8978999999999999</v>
      </c>
      <c r="P174" s="55">
        <v>60.2</v>
      </c>
      <c r="Q174" s="17">
        <v>57</v>
      </c>
      <c r="R174" s="17">
        <v>60</v>
      </c>
      <c r="S174" s="17">
        <v>61</v>
      </c>
      <c r="T174" s="17">
        <v>65</v>
      </c>
      <c r="U174" s="17">
        <v>65</v>
      </c>
      <c r="V174" s="17">
        <v>65</v>
      </c>
      <c r="W174" s="17">
        <v>67</v>
      </c>
      <c r="X174" s="3">
        <v>99</v>
      </c>
    </row>
    <row r="175" spans="1:24" s="3" customFormat="1" x14ac:dyDescent="0.25">
      <c r="A175" s="66" t="s">
        <v>1028</v>
      </c>
      <c r="B175" s="17" t="s">
        <v>7</v>
      </c>
      <c r="C175" s="17" t="s">
        <v>836</v>
      </c>
      <c r="D175" s="18" t="s">
        <v>112</v>
      </c>
      <c r="E175" s="18" t="s">
        <v>1844</v>
      </c>
      <c r="F175" s="18">
        <v>5.94</v>
      </c>
      <c r="G175" s="22">
        <v>1.73</v>
      </c>
      <c r="H175" s="17">
        <v>8.93</v>
      </c>
      <c r="I175" s="25">
        <v>7.2750684049573531</v>
      </c>
      <c r="J175" s="24">
        <f>G175/F175*((100-H175)/100)*((100-I175)/100)*100</f>
        <v>24.59413294650458</v>
      </c>
      <c r="K175" s="53">
        <v>5.5942376950780313</v>
      </c>
      <c r="L175" s="54">
        <f>J175*10000/K175</f>
        <v>43963.332069610115</v>
      </c>
      <c r="M175" s="55">
        <v>48.2</v>
      </c>
      <c r="N175" s="55">
        <v>19.2</v>
      </c>
      <c r="O175" s="56">
        <v>1.9317</v>
      </c>
      <c r="P175" s="55">
        <v>26.5</v>
      </c>
      <c r="Q175" s="17">
        <v>57</v>
      </c>
      <c r="R175" s="17">
        <v>60</v>
      </c>
      <c r="S175" s="17">
        <v>61</v>
      </c>
      <c r="T175" s="17">
        <v>65</v>
      </c>
      <c r="U175" s="17">
        <v>65</v>
      </c>
      <c r="V175" s="17">
        <v>65</v>
      </c>
      <c r="W175" s="17">
        <v>67</v>
      </c>
      <c r="X175" s="3">
        <v>99</v>
      </c>
    </row>
    <row r="176" spans="1:24" s="3" customFormat="1" x14ac:dyDescent="0.25">
      <c r="A176" s="16" t="s">
        <v>856</v>
      </c>
      <c r="B176" s="17" t="s">
        <v>7</v>
      </c>
      <c r="C176" s="17" t="s">
        <v>836</v>
      </c>
      <c r="D176" s="18" t="s">
        <v>70</v>
      </c>
      <c r="E176" s="18" t="s">
        <v>1482</v>
      </c>
      <c r="F176" s="18">
        <v>5.94</v>
      </c>
      <c r="G176" s="22">
        <v>1.91</v>
      </c>
      <c r="H176" s="17">
        <v>8.93</v>
      </c>
      <c r="I176" s="25">
        <v>10.778902177246245</v>
      </c>
      <c r="J176" s="24">
        <f>G176/F176*((100-H176)/100)*((100-I176)/100)*100</f>
        <v>26.127016621804263</v>
      </c>
      <c r="K176" s="53">
        <v>5.3583617747440275</v>
      </c>
      <c r="L176" s="54">
        <f>J176*10000/K176</f>
        <v>48759.336752793941</v>
      </c>
      <c r="M176" s="55">
        <v>53</v>
      </c>
      <c r="N176" s="55">
        <v>19.5</v>
      </c>
      <c r="O176" s="56">
        <v>37.71</v>
      </c>
      <c r="P176" s="55">
        <v>45.9</v>
      </c>
      <c r="Q176" s="17">
        <v>59</v>
      </c>
      <c r="R176" s="17">
        <v>60</v>
      </c>
      <c r="S176" s="17">
        <v>61</v>
      </c>
      <c r="T176" s="17">
        <v>65</v>
      </c>
      <c r="U176" s="17">
        <v>65</v>
      </c>
      <c r="V176" s="17">
        <v>65</v>
      </c>
      <c r="W176" s="17">
        <v>65</v>
      </c>
      <c r="X176" s="3">
        <v>99</v>
      </c>
    </row>
    <row r="177" spans="1:24" s="3" customFormat="1" x14ac:dyDescent="0.25">
      <c r="A177" s="16" t="s">
        <v>1008</v>
      </c>
      <c r="B177" s="17" t="s">
        <v>7</v>
      </c>
      <c r="C177" s="17" t="s">
        <v>836</v>
      </c>
      <c r="D177" s="18" t="s">
        <v>65</v>
      </c>
      <c r="E177" s="18" t="s">
        <v>1658</v>
      </c>
      <c r="F177" s="18">
        <v>5.94</v>
      </c>
      <c r="G177" s="22">
        <v>2.2000000000000002</v>
      </c>
      <c r="H177" s="17">
        <v>8.93</v>
      </c>
      <c r="I177" s="25">
        <v>4.3674082161867105</v>
      </c>
      <c r="J177" s="24">
        <f>G177/F177*((100-H177)/100)*((100-I177)/100)*100</f>
        <v>32.256519013895833</v>
      </c>
      <c r="K177" s="53">
        <v>5.1724137931034484</v>
      </c>
      <c r="L177" s="54">
        <f>J177*10000/K177</f>
        <v>62362.60342686528</v>
      </c>
      <c r="M177" s="55">
        <v>50.2</v>
      </c>
      <c r="N177" s="55">
        <v>18.600000000000001</v>
      </c>
      <c r="O177" s="56">
        <v>2.7229000000000001</v>
      </c>
      <c r="P177" s="55">
        <v>20.3</v>
      </c>
      <c r="Q177" s="17">
        <v>55</v>
      </c>
      <c r="R177" s="17">
        <v>60</v>
      </c>
      <c r="S177" s="17">
        <v>62</v>
      </c>
      <c r="T177" s="17">
        <v>65</v>
      </c>
      <c r="U177" s="17">
        <v>65</v>
      </c>
      <c r="V177" s="17">
        <v>65</v>
      </c>
      <c r="W177" s="17">
        <v>67</v>
      </c>
      <c r="X177" s="3">
        <v>99</v>
      </c>
    </row>
    <row r="178" spans="1:24" s="3" customFormat="1" x14ac:dyDescent="0.25">
      <c r="A178" s="16" t="s">
        <v>1277</v>
      </c>
      <c r="B178" s="17" t="s">
        <v>10</v>
      </c>
      <c r="C178" s="17" t="s">
        <v>836</v>
      </c>
      <c r="D178" s="18" t="s">
        <v>16</v>
      </c>
      <c r="E178" s="18" t="s">
        <v>1541</v>
      </c>
      <c r="F178" s="18">
        <v>5.94</v>
      </c>
      <c r="G178" s="22">
        <v>2.1800000000000002</v>
      </c>
      <c r="H178" s="17">
        <v>7.69</v>
      </c>
      <c r="I178" s="25">
        <v>8.9831659998490263</v>
      </c>
      <c r="J178" s="24">
        <f>G178/F178*((100-H178)/100)*((100-I178)/100)*100</f>
        <v>30.834756571527915</v>
      </c>
      <c r="K178" s="53">
        <v>4.7331319234642502</v>
      </c>
      <c r="L178" s="54">
        <f>J178*10000/K178</f>
        <v>65146.623990483437</v>
      </c>
      <c r="M178" s="55">
        <v>52.3</v>
      </c>
      <c r="N178" s="55">
        <v>16.8</v>
      </c>
      <c r="O178" s="56">
        <v>1.3130999999999999</v>
      </c>
      <c r="P178" s="55">
        <v>10</v>
      </c>
      <c r="Q178" s="17">
        <v>57</v>
      </c>
      <c r="R178" s="17">
        <v>60</v>
      </c>
      <c r="S178" s="17">
        <v>62</v>
      </c>
      <c r="T178" s="17">
        <v>65</v>
      </c>
      <c r="U178" s="17">
        <v>65</v>
      </c>
      <c r="V178" s="17">
        <v>65</v>
      </c>
      <c r="W178" s="17">
        <v>67</v>
      </c>
      <c r="X178" s="3">
        <v>99</v>
      </c>
    </row>
    <row r="179" spans="1:24" s="3" customFormat="1" x14ac:dyDescent="0.25">
      <c r="A179" s="16" t="s">
        <v>1323</v>
      </c>
      <c r="B179" s="17" t="s">
        <v>10</v>
      </c>
      <c r="C179" s="17" t="s">
        <v>836</v>
      </c>
      <c r="D179" s="18" t="s">
        <v>53</v>
      </c>
      <c r="E179" s="18" t="s">
        <v>1686</v>
      </c>
      <c r="F179" s="18">
        <v>5.94</v>
      </c>
      <c r="G179" s="22">
        <v>1.71</v>
      </c>
      <c r="H179" s="17">
        <v>7.69</v>
      </c>
      <c r="I179" s="25">
        <v>8.7591240875912426</v>
      </c>
      <c r="J179" s="24">
        <f>G179/F179*((100-H179)/100)*((100-I179)/100)*100</f>
        <v>24.246433311214332</v>
      </c>
      <c r="K179" s="53">
        <v>5.0303030303030303</v>
      </c>
      <c r="L179" s="54">
        <f>J179*10000/K179</f>
        <v>48200.740919883916</v>
      </c>
      <c r="M179" s="55">
        <v>49.5</v>
      </c>
      <c r="N179" s="55">
        <v>20.399999999999999</v>
      </c>
      <c r="O179" s="56">
        <v>48.511000000000003</v>
      </c>
      <c r="P179" s="55">
        <v>67.5</v>
      </c>
      <c r="Q179" s="17">
        <v>57</v>
      </c>
      <c r="R179" s="17">
        <v>60</v>
      </c>
      <c r="S179" s="17">
        <v>62</v>
      </c>
      <c r="T179" s="17">
        <v>65</v>
      </c>
      <c r="U179" s="17">
        <v>65</v>
      </c>
      <c r="V179" s="17">
        <v>65</v>
      </c>
      <c r="W179" s="17">
        <v>67</v>
      </c>
      <c r="X179" s="3">
        <v>99</v>
      </c>
    </row>
    <row r="180" spans="1:24" s="3" customFormat="1" x14ac:dyDescent="0.25">
      <c r="A180" s="16" t="s">
        <v>1354</v>
      </c>
      <c r="B180" s="17" t="s">
        <v>10</v>
      </c>
      <c r="C180" s="17" t="s">
        <v>836</v>
      </c>
      <c r="D180" s="18" t="s">
        <v>77</v>
      </c>
      <c r="E180" s="18" t="s">
        <v>1630</v>
      </c>
      <c r="F180" s="18">
        <v>5.94</v>
      </c>
      <c r="G180" s="22">
        <v>1.47</v>
      </c>
      <c r="H180" s="17">
        <v>7.69</v>
      </c>
      <c r="I180" s="25">
        <v>6.2898885044213815</v>
      </c>
      <c r="J180" s="24">
        <f>G180/F180*((100-H180)/100)*((100-I180)/100)*100</f>
        <v>21.407507031095268</v>
      </c>
      <c r="K180" s="53">
        <v>4.8125633232016209</v>
      </c>
      <c r="L180" s="54">
        <f>J180*10000/K180</f>
        <v>44482.546188823217</v>
      </c>
      <c r="M180" s="55">
        <v>51.2</v>
      </c>
      <c r="N180" s="55">
        <v>19.5</v>
      </c>
      <c r="O180" s="56">
        <v>2.8433999999999999</v>
      </c>
      <c r="P180" s="55">
        <v>13.4</v>
      </c>
      <c r="Q180" s="17">
        <v>57</v>
      </c>
      <c r="R180" s="17">
        <v>60</v>
      </c>
      <c r="S180" s="17">
        <v>62</v>
      </c>
      <c r="T180" s="17">
        <v>65</v>
      </c>
      <c r="U180" s="17">
        <v>65</v>
      </c>
      <c r="V180" s="17">
        <v>65</v>
      </c>
      <c r="W180" s="17">
        <v>65</v>
      </c>
      <c r="X180" s="3">
        <v>99</v>
      </c>
    </row>
    <row r="181" spans="1:24" s="3" customFormat="1" x14ac:dyDescent="0.25">
      <c r="A181" s="16" t="s">
        <v>1383</v>
      </c>
      <c r="B181" s="17" t="s">
        <v>10</v>
      </c>
      <c r="C181" s="17" t="s">
        <v>836</v>
      </c>
      <c r="D181" s="18" t="s">
        <v>207</v>
      </c>
      <c r="E181" s="18" t="s">
        <v>1628</v>
      </c>
      <c r="F181" s="18">
        <v>5.94</v>
      </c>
      <c r="G181" s="22">
        <v>2.1</v>
      </c>
      <c r="H181" s="17">
        <v>7.69</v>
      </c>
      <c r="I181" s="25">
        <v>14.116196640468491</v>
      </c>
      <c r="J181" s="24">
        <f>G181/F181*((100-H181)/100)*((100-I181)/100)*100</f>
        <v>28.028049099408324</v>
      </c>
      <c r="K181" s="53">
        <v>4.0789473684210522</v>
      </c>
      <c r="L181" s="54">
        <f>J181*10000/K181</f>
        <v>68713.926824355891</v>
      </c>
      <c r="M181" s="55">
        <v>50.7</v>
      </c>
      <c r="N181" s="55">
        <v>17.7</v>
      </c>
      <c r="O181" s="56">
        <v>1.6414</v>
      </c>
      <c r="P181" s="55">
        <v>23</v>
      </c>
      <c r="Q181" s="17">
        <v>57</v>
      </c>
      <c r="R181" s="17">
        <v>60</v>
      </c>
      <c r="S181" s="17">
        <v>62</v>
      </c>
      <c r="T181" s="17">
        <v>65</v>
      </c>
      <c r="U181" s="17">
        <v>65</v>
      </c>
      <c r="V181" s="17">
        <v>65</v>
      </c>
      <c r="W181" s="17">
        <v>65</v>
      </c>
      <c r="X181" s="3">
        <v>99</v>
      </c>
    </row>
    <row r="182" spans="1:24" s="3" customFormat="1" x14ac:dyDescent="0.25">
      <c r="A182" s="16" t="s">
        <v>1397</v>
      </c>
      <c r="B182" s="17" t="s">
        <v>10</v>
      </c>
      <c r="C182" s="17" t="s">
        <v>836</v>
      </c>
      <c r="D182" s="18" t="s">
        <v>297</v>
      </c>
      <c r="E182" s="18" t="s">
        <v>1794</v>
      </c>
      <c r="F182" s="18">
        <v>5.94</v>
      </c>
      <c r="G182" s="22">
        <v>2.48</v>
      </c>
      <c r="H182" s="17">
        <v>7.69</v>
      </c>
      <c r="I182" s="25">
        <v>14.85140872250097</v>
      </c>
      <c r="J182" s="24">
        <f>G182/F182*((100-H182)/100)*((100-I182)/100)*100</f>
        <v>32.816439095704247</v>
      </c>
      <c r="K182" s="53">
        <v>5.0311203319502074</v>
      </c>
      <c r="L182" s="54">
        <f>J182*10000/K182</f>
        <v>65226.90162527607</v>
      </c>
      <c r="M182" s="55">
        <v>51.9</v>
      </c>
      <c r="N182" s="55">
        <v>15.4</v>
      </c>
      <c r="O182" s="56">
        <v>4.6239999999999997</v>
      </c>
      <c r="P182" s="55">
        <v>18.3</v>
      </c>
      <c r="Q182" s="17">
        <v>57</v>
      </c>
      <c r="R182" s="17">
        <v>60</v>
      </c>
      <c r="S182" s="17">
        <v>62</v>
      </c>
      <c r="T182" s="17">
        <v>65</v>
      </c>
      <c r="U182" s="17">
        <v>65</v>
      </c>
      <c r="V182" s="17">
        <v>65</v>
      </c>
      <c r="W182" s="17">
        <v>65</v>
      </c>
      <c r="X182" s="3">
        <v>99</v>
      </c>
    </row>
    <row r="183" spans="1:24" s="3" customFormat="1" x14ac:dyDescent="0.25">
      <c r="A183" s="16" t="s">
        <v>1405</v>
      </c>
      <c r="B183" s="17" t="s">
        <v>10</v>
      </c>
      <c r="C183" s="17" t="s">
        <v>836</v>
      </c>
      <c r="D183" s="18" t="s">
        <v>88</v>
      </c>
      <c r="E183" s="18" t="s">
        <v>1506</v>
      </c>
      <c r="F183" s="18">
        <v>5.94</v>
      </c>
      <c r="G183" s="22">
        <v>1.62</v>
      </c>
      <c r="H183" s="17">
        <v>7.69</v>
      </c>
      <c r="I183" s="25">
        <v>18.008739076154807</v>
      </c>
      <c r="J183" s="24">
        <f>G183/F183*((100-H183)/100)*((100-I183)/100)*100</f>
        <v>20.641672625127679</v>
      </c>
      <c r="K183" s="53">
        <v>6.2183754993342211</v>
      </c>
      <c r="L183" s="54">
        <f>J183*10000/K183</f>
        <v>33194.638418567207</v>
      </c>
      <c r="M183" s="55">
        <v>49</v>
      </c>
      <c r="N183" s="55">
        <v>19.899999999999999</v>
      </c>
      <c r="O183" s="56">
        <v>4.3301999999999996</v>
      </c>
      <c r="P183" s="55">
        <v>66.3</v>
      </c>
      <c r="Q183" s="17">
        <v>57</v>
      </c>
      <c r="R183" s="17">
        <v>60</v>
      </c>
      <c r="S183" s="17">
        <v>62</v>
      </c>
      <c r="T183" s="17">
        <v>65</v>
      </c>
      <c r="U183" s="17">
        <v>65</v>
      </c>
      <c r="V183" s="17">
        <v>65</v>
      </c>
      <c r="W183" s="17">
        <v>65</v>
      </c>
      <c r="X183" s="3">
        <v>99</v>
      </c>
    </row>
    <row r="184" spans="1:24" s="3" customFormat="1" x14ac:dyDescent="0.25">
      <c r="A184" s="16" t="s">
        <v>887</v>
      </c>
      <c r="B184" s="17" t="s">
        <v>7</v>
      </c>
      <c r="C184" s="17" t="s">
        <v>836</v>
      </c>
      <c r="D184" s="18" t="s">
        <v>80</v>
      </c>
      <c r="E184" s="18" t="s">
        <v>1718</v>
      </c>
      <c r="F184" s="18">
        <v>5.94</v>
      </c>
      <c r="G184" s="22">
        <v>2.4300000000000002</v>
      </c>
      <c r="H184" s="17">
        <v>8.93</v>
      </c>
      <c r="I184" s="25">
        <v>7.3916250102433789</v>
      </c>
      <c r="J184" s="24">
        <f>G184/F184*((100-H184)/100)*((100-I184)/100)*100</f>
        <v>34.502091996751915</v>
      </c>
      <c r="K184" s="53">
        <v>4.7679324894514767</v>
      </c>
      <c r="L184" s="54">
        <f>J184*10000/K184</f>
        <v>72362.79471885135</v>
      </c>
      <c r="M184" s="55">
        <v>51.3</v>
      </c>
      <c r="N184" s="55">
        <v>17.600000000000001</v>
      </c>
      <c r="O184" s="56">
        <v>0.78698000000000001</v>
      </c>
      <c r="P184" s="55">
        <v>18</v>
      </c>
      <c r="Q184" s="17">
        <v>57</v>
      </c>
      <c r="R184" s="17">
        <v>60</v>
      </c>
      <c r="S184" s="17">
        <v>62</v>
      </c>
      <c r="T184" s="17">
        <v>65</v>
      </c>
      <c r="U184" s="17">
        <v>65</v>
      </c>
      <c r="V184" s="17">
        <v>65</v>
      </c>
      <c r="W184" s="17">
        <v>67</v>
      </c>
      <c r="X184" s="3">
        <v>99</v>
      </c>
    </row>
    <row r="185" spans="1:24" s="3" customFormat="1" x14ac:dyDescent="0.25">
      <c r="A185" s="66" t="s">
        <v>1022</v>
      </c>
      <c r="B185" s="17" t="s">
        <v>7</v>
      </c>
      <c r="C185" s="17" t="s">
        <v>836</v>
      </c>
      <c r="D185" s="18" t="s">
        <v>136</v>
      </c>
      <c r="E185" s="18" t="s">
        <v>1840</v>
      </c>
      <c r="F185" s="18">
        <v>5.94</v>
      </c>
      <c r="G185" s="22">
        <v>1.67</v>
      </c>
      <c r="H185" s="17">
        <v>8.93</v>
      </c>
      <c r="I185" s="25">
        <v>6.4043144855481664</v>
      </c>
      <c r="J185" s="24">
        <f>G185/F185*((100-H185)/100)*((100-I185)/100)*100</f>
        <v>23.964103810215288</v>
      </c>
      <c r="K185" s="53">
        <v>4.821073558648111</v>
      </c>
      <c r="L185" s="54">
        <f>J185*10000/K185</f>
        <v>49706.98645995171</v>
      </c>
      <c r="M185" s="55">
        <v>48.8</v>
      </c>
      <c r="N185" s="55">
        <v>19.100000000000001</v>
      </c>
      <c r="O185" s="56">
        <v>5.1189</v>
      </c>
      <c r="P185" s="55">
        <v>47.8</v>
      </c>
      <c r="Q185" s="17">
        <v>57</v>
      </c>
      <c r="R185" s="17">
        <v>60</v>
      </c>
      <c r="S185" s="17">
        <v>62</v>
      </c>
      <c r="T185" s="17">
        <v>65</v>
      </c>
      <c r="U185" s="17">
        <v>65</v>
      </c>
      <c r="V185" s="17">
        <v>65</v>
      </c>
      <c r="W185" s="17">
        <v>67</v>
      </c>
      <c r="X185" s="3">
        <v>99</v>
      </c>
    </row>
    <row r="186" spans="1:24" s="3" customFormat="1" x14ac:dyDescent="0.25">
      <c r="A186" s="16" t="s">
        <v>1342</v>
      </c>
      <c r="B186" s="17" t="s">
        <v>10</v>
      </c>
      <c r="C186" s="17" t="s">
        <v>836</v>
      </c>
      <c r="D186" s="18" t="s">
        <v>9</v>
      </c>
      <c r="E186" s="18" t="s">
        <v>1714</v>
      </c>
      <c r="F186" s="18">
        <v>5.94</v>
      </c>
      <c r="G186" s="22">
        <v>2.5299999999999998</v>
      </c>
      <c r="H186" s="17">
        <v>7.69</v>
      </c>
      <c r="I186" s="25">
        <v>9.2346279547009136</v>
      </c>
      <c r="J186" s="24">
        <f>G186/F186*((100-H186)/100)*((100-I186)/100)*100</f>
        <v>35.686423027877005</v>
      </c>
      <c r="K186" s="53">
        <v>5.7939393939393939</v>
      </c>
      <c r="L186" s="54">
        <f>J186*10000/K186</f>
        <v>61592.675728030394</v>
      </c>
      <c r="M186" s="55">
        <v>48.2</v>
      </c>
      <c r="N186" s="55">
        <v>17.899999999999999</v>
      </c>
      <c r="O186" s="56">
        <v>2.3673000000000002</v>
      </c>
      <c r="P186" s="55">
        <v>23.2</v>
      </c>
      <c r="Q186" s="17">
        <v>59</v>
      </c>
      <c r="R186" s="17">
        <v>60</v>
      </c>
      <c r="S186" s="17">
        <v>62</v>
      </c>
      <c r="T186" s="17">
        <v>65</v>
      </c>
      <c r="U186" s="17">
        <v>65</v>
      </c>
      <c r="V186" s="17">
        <v>65</v>
      </c>
      <c r="W186" s="17">
        <v>67</v>
      </c>
      <c r="X186" s="3">
        <v>99</v>
      </c>
    </row>
    <row r="187" spans="1:24" s="3" customFormat="1" x14ac:dyDescent="0.25">
      <c r="A187" s="16" t="s">
        <v>969</v>
      </c>
      <c r="B187" s="17" t="s">
        <v>7</v>
      </c>
      <c r="C187" s="17" t="s">
        <v>836</v>
      </c>
      <c r="D187" s="18" t="s">
        <v>51</v>
      </c>
      <c r="E187" s="18" t="s">
        <v>1519</v>
      </c>
      <c r="F187" s="18">
        <v>5.94</v>
      </c>
      <c r="G187" s="22">
        <v>1.1100000000000001</v>
      </c>
      <c r="H187" s="17">
        <v>8.93</v>
      </c>
      <c r="I187" s="25">
        <v>9.5656787690441938</v>
      </c>
      <c r="J187" s="24">
        <f>G187/F187*((100-H187)/100)*((100-I187)/100)*100</f>
        <v>15.390231539223048</v>
      </c>
      <c r="K187" s="53">
        <v>6.1733333333333329</v>
      </c>
      <c r="L187" s="54">
        <f>J187*10000/K187</f>
        <v>24930.180679087014</v>
      </c>
      <c r="M187" s="55">
        <v>44.3</v>
      </c>
      <c r="N187" s="55">
        <v>20.6</v>
      </c>
      <c r="O187" s="56">
        <v>1.0772999999999999</v>
      </c>
      <c r="P187" s="55">
        <v>20.7</v>
      </c>
      <c r="Q187" s="17">
        <v>59</v>
      </c>
      <c r="R187" s="17">
        <v>60</v>
      </c>
      <c r="S187" s="17">
        <v>62</v>
      </c>
      <c r="T187" s="17">
        <v>65</v>
      </c>
      <c r="U187" s="17">
        <v>65</v>
      </c>
      <c r="V187" s="17">
        <v>65</v>
      </c>
      <c r="W187" s="17">
        <v>67</v>
      </c>
      <c r="X187" s="3">
        <v>99</v>
      </c>
    </row>
    <row r="188" spans="1:24" s="3" customFormat="1" x14ac:dyDescent="0.25">
      <c r="A188" s="16" t="s">
        <v>974</v>
      </c>
      <c r="B188" s="17" t="s">
        <v>7</v>
      </c>
      <c r="C188" s="17" t="s">
        <v>836</v>
      </c>
      <c r="D188" s="18" t="s">
        <v>61</v>
      </c>
      <c r="E188" s="18" t="s">
        <v>1676</v>
      </c>
      <c r="F188" s="18">
        <v>5.94</v>
      </c>
      <c r="G188" s="22">
        <v>2.5299999999999998</v>
      </c>
      <c r="H188" s="17">
        <v>8.93</v>
      </c>
      <c r="I188" s="25">
        <v>6.6332345566446449</v>
      </c>
      <c r="J188" s="24">
        <f>G188/F188*((100-H188)/100)*((100-I188)/100)*100</f>
        <v>36.216103808390095</v>
      </c>
      <c r="K188" s="53">
        <v>4.7233606557377046</v>
      </c>
      <c r="L188" s="54">
        <f>J188*10000/K188</f>
        <v>76674.441034682721</v>
      </c>
      <c r="M188" s="55">
        <v>51.8</v>
      </c>
      <c r="N188" s="55">
        <v>16</v>
      </c>
      <c r="O188" s="56">
        <v>0.68003000000000002</v>
      </c>
      <c r="P188" s="55">
        <v>16.2</v>
      </c>
      <c r="Q188" s="17">
        <v>59</v>
      </c>
      <c r="R188" s="17">
        <v>60</v>
      </c>
      <c r="S188" s="17">
        <v>62</v>
      </c>
      <c r="T188" s="17">
        <v>65</v>
      </c>
      <c r="U188" s="17">
        <v>65</v>
      </c>
      <c r="V188" s="17">
        <v>65</v>
      </c>
      <c r="W188" s="17">
        <v>67</v>
      </c>
      <c r="X188" s="3">
        <v>99</v>
      </c>
    </row>
    <row r="189" spans="1:24" s="3" customFormat="1" x14ac:dyDescent="0.25">
      <c r="A189" s="66" t="s">
        <v>1029</v>
      </c>
      <c r="B189" s="17" t="s">
        <v>7</v>
      </c>
      <c r="C189" s="17" t="s">
        <v>836</v>
      </c>
      <c r="D189" s="18" t="s">
        <v>134</v>
      </c>
      <c r="E189" s="18" t="s">
        <v>1852</v>
      </c>
      <c r="F189" s="18">
        <v>5.94</v>
      </c>
      <c r="G189" s="22">
        <v>0.85</v>
      </c>
      <c r="H189" s="17">
        <v>8.93</v>
      </c>
      <c r="I189" s="25">
        <v>16.162300511894006</v>
      </c>
      <c r="J189" s="24">
        <f>G189/F189*((100-H189)/100)*((100-I189)/100)*100</f>
        <v>10.925647135563201</v>
      </c>
      <c r="K189" s="53">
        <v>4.3613138686131387</v>
      </c>
      <c r="L189" s="54">
        <f>J189*10000/K189</f>
        <v>25051.274603718131</v>
      </c>
      <c r="M189" s="55">
        <v>46.8</v>
      </c>
      <c r="N189" s="55">
        <v>21.7</v>
      </c>
      <c r="O189" s="56">
        <v>42.014000000000003</v>
      </c>
      <c r="P189" s="55">
        <v>63.6</v>
      </c>
      <c r="Q189" s="17">
        <v>59</v>
      </c>
      <c r="R189" s="17">
        <v>60</v>
      </c>
      <c r="S189" s="17">
        <v>62</v>
      </c>
      <c r="T189" s="17">
        <v>65</v>
      </c>
      <c r="U189" s="17">
        <v>65</v>
      </c>
      <c r="V189" s="17">
        <v>65</v>
      </c>
      <c r="W189" s="17">
        <v>65</v>
      </c>
      <c r="X189" s="3">
        <v>99</v>
      </c>
    </row>
    <row r="190" spans="1:24" s="3" customFormat="1" x14ac:dyDescent="0.25">
      <c r="A190" s="58" t="s">
        <v>1333</v>
      </c>
      <c r="B190" s="59" t="s">
        <v>10</v>
      </c>
      <c r="C190" s="59" t="s">
        <v>836</v>
      </c>
      <c r="D190" s="60" t="s">
        <v>90</v>
      </c>
      <c r="E190" s="18" t="s">
        <v>1614</v>
      </c>
      <c r="F190" s="60">
        <v>5.94</v>
      </c>
      <c r="G190" s="61" t="s">
        <v>424</v>
      </c>
      <c r="H190" s="61" t="s">
        <v>424</v>
      </c>
      <c r="I190" s="25" t="s">
        <v>424</v>
      </c>
      <c r="J190" s="61" t="s">
        <v>424</v>
      </c>
      <c r="K190" s="61" t="s">
        <v>424</v>
      </c>
      <c r="L190" s="61" t="s">
        <v>424</v>
      </c>
      <c r="M190" s="61" t="s">
        <v>424</v>
      </c>
      <c r="N190" s="61" t="s">
        <v>424</v>
      </c>
      <c r="O190" s="61" t="s">
        <v>424</v>
      </c>
      <c r="P190" s="61" t="s">
        <v>424</v>
      </c>
      <c r="Q190" s="17">
        <v>59</v>
      </c>
      <c r="R190" s="17">
        <v>61</v>
      </c>
      <c r="S190" s="17">
        <v>62</v>
      </c>
      <c r="T190" s="17">
        <v>65</v>
      </c>
      <c r="U190" s="17">
        <v>65</v>
      </c>
      <c r="V190" s="17">
        <v>65</v>
      </c>
      <c r="W190" s="17">
        <v>67</v>
      </c>
      <c r="X190" s="3">
        <v>99</v>
      </c>
    </row>
    <row r="191" spans="1:24" s="3" customFormat="1" x14ac:dyDescent="0.25">
      <c r="A191" s="16" t="s">
        <v>1447</v>
      </c>
      <c r="B191" s="17" t="s">
        <v>10</v>
      </c>
      <c r="C191" s="17" t="s">
        <v>836</v>
      </c>
      <c r="D191" s="18" t="s">
        <v>19</v>
      </c>
      <c r="E191" s="18" t="s">
        <v>1680</v>
      </c>
      <c r="F191" s="18">
        <v>5.94</v>
      </c>
      <c r="G191" s="22">
        <v>2.1</v>
      </c>
      <c r="H191" s="17">
        <v>7.69</v>
      </c>
      <c r="I191" s="25">
        <v>7.4304595051482929</v>
      </c>
      <c r="J191" s="24">
        <f>G191/F191*((100-H191)/100)*((100-I191)/100)*100</f>
        <v>30.209929283615324</v>
      </c>
      <c r="K191" s="53">
        <v>4.2249778565101863</v>
      </c>
      <c r="L191" s="54">
        <f>J191*10000/K191</f>
        <v>71503.165956397686</v>
      </c>
      <c r="M191" s="55">
        <v>51</v>
      </c>
      <c r="N191" s="55">
        <v>17.100000000000001</v>
      </c>
      <c r="O191" s="56">
        <v>-0.47587000000000002</v>
      </c>
      <c r="P191" s="55">
        <v>15.2</v>
      </c>
      <c r="Q191" s="17">
        <v>59</v>
      </c>
      <c r="R191" s="17">
        <v>61</v>
      </c>
      <c r="S191" s="17">
        <v>62</v>
      </c>
      <c r="T191" s="17">
        <v>65</v>
      </c>
      <c r="U191" s="17">
        <v>65</v>
      </c>
      <c r="V191" s="17">
        <v>65</v>
      </c>
      <c r="W191" s="17">
        <v>65</v>
      </c>
      <c r="X191" s="3">
        <v>99</v>
      </c>
    </row>
    <row r="192" spans="1:24" s="3" customFormat="1" x14ac:dyDescent="0.25">
      <c r="A192" s="16" t="s">
        <v>842</v>
      </c>
      <c r="B192" s="17" t="s">
        <v>7</v>
      </c>
      <c r="C192" s="17" t="s">
        <v>836</v>
      </c>
      <c r="D192" s="18" t="s">
        <v>19</v>
      </c>
      <c r="E192" s="18" t="s">
        <v>1680</v>
      </c>
      <c r="F192" s="18">
        <v>5.94</v>
      </c>
      <c r="G192" s="22">
        <v>2.23</v>
      </c>
      <c r="H192" s="17">
        <v>8.93</v>
      </c>
      <c r="I192" s="25">
        <v>4.8681386077890174</v>
      </c>
      <c r="J192" s="24">
        <f>G192/F192*((100-H192)/100)*((100-I192)/100)*100</f>
        <v>32.525183023374908</v>
      </c>
      <c r="K192" s="53">
        <v>4.4136657433056321</v>
      </c>
      <c r="L192" s="54">
        <f>J192*10000/K192</f>
        <v>73691.994172207167</v>
      </c>
      <c r="M192" s="55">
        <v>50.7</v>
      </c>
      <c r="N192" s="55">
        <v>17.7</v>
      </c>
      <c r="O192" s="56">
        <v>1.9734000000000002E-2</v>
      </c>
      <c r="P192" s="55">
        <v>14.3</v>
      </c>
      <c r="Q192" s="17">
        <v>59</v>
      </c>
      <c r="R192" s="17">
        <v>61</v>
      </c>
      <c r="S192" s="17">
        <v>62</v>
      </c>
      <c r="T192" s="17">
        <v>65</v>
      </c>
      <c r="U192" s="17">
        <v>65</v>
      </c>
      <c r="V192" s="17">
        <v>65</v>
      </c>
      <c r="W192" s="17">
        <v>67</v>
      </c>
      <c r="X192" s="3">
        <v>99</v>
      </c>
    </row>
    <row r="193" spans="1:24" s="3" customFormat="1" x14ac:dyDescent="0.25">
      <c r="A193" s="16" t="s">
        <v>848</v>
      </c>
      <c r="B193" s="17" t="s">
        <v>7</v>
      </c>
      <c r="C193" s="17" t="s">
        <v>836</v>
      </c>
      <c r="D193" s="18" t="s">
        <v>44</v>
      </c>
      <c r="E193" s="18" t="s">
        <v>1782</v>
      </c>
      <c r="F193" s="18">
        <v>5.94</v>
      </c>
      <c r="G193" s="22">
        <v>2.86</v>
      </c>
      <c r="H193" s="17">
        <v>8.93</v>
      </c>
      <c r="I193" s="25">
        <v>5.8300092052776993</v>
      </c>
      <c r="J193" s="24">
        <f>G193/F193*((100-H193)/100)*((100-I193)/100)*100</f>
        <v>41.292145852510984</v>
      </c>
      <c r="K193" s="53">
        <v>4.6687054026503567</v>
      </c>
      <c r="L193" s="54">
        <f>J193*10000/K193</f>
        <v>88444.530745225493</v>
      </c>
      <c r="M193" s="55">
        <v>51.9</v>
      </c>
      <c r="N193" s="55">
        <v>17.100000000000001</v>
      </c>
      <c r="O193" s="56">
        <v>1.2605999999999999</v>
      </c>
      <c r="P193" s="55">
        <v>26.7</v>
      </c>
      <c r="Q193" s="17">
        <v>59</v>
      </c>
      <c r="R193" s="17">
        <v>61</v>
      </c>
      <c r="S193" s="17">
        <v>62</v>
      </c>
      <c r="T193" s="17">
        <v>65</v>
      </c>
      <c r="U193" s="17">
        <v>65</v>
      </c>
      <c r="V193" s="17">
        <v>65</v>
      </c>
      <c r="W193" s="17">
        <v>67</v>
      </c>
      <c r="X193" s="3">
        <v>99</v>
      </c>
    </row>
    <row r="194" spans="1:24" s="3" customFormat="1" x14ac:dyDescent="0.25">
      <c r="A194" s="16" t="s">
        <v>936</v>
      </c>
      <c r="B194" s="17" t="s">
        <v>7</v>
      </c>
      <c r="C194" s="17" t="s">
        <v>836</v>
      </c>
      <c r="D194" s="18" t="s">
        <v>217</v>
      </c>
      <c r="E194" s="18" t="s">
        <v>1547</v>
      </c>
      <c r="F194" s="18">
        <v>5.94</v>
      </c>
      <c r="G194" s="22">
        <v>2.0499999999999998</v>
      </c>
      <c r="H194" s="17">
        <v>8.93</v>
      </c>
      <c r="I194" s="25">
        <v>10.361608145541656</v>
      </c>
      <c r="J194" s="24">
        <f>G194/F194*((100-H194)/100)*((100-I194)/100)*100</f>
        <v>28.173240925387738</v>
      </c>
      <c r="K194" s="53">
        <v>4.1884816753926701</v>
      </c>
      <c r="L194" s="54">
        <f>J194*10000/K194</f>
        <v>67263.612709363224</v>
      </c>
      <c r="M194" s="55">
        <v>51.3</v>
      </c>
      <c r="N194" s="55">
        <v>17.2</v>
      </c>
      <c r="O194" s="56">
        <v>-0.52124000000000004</v>
      </c>
      <c r="P194" s="55">
        <v>12.7</v>
      </c>
      <c r="Q194" s="17">
        <v>59</v>
      </c>
      <c r="R194" s="17">
        <v>61</v>
      </c>
      <c r="S194" s="17">
        <v>62</v>
      </c>
      <c r="T194" s="17">
        <v>65</v>
      </c>
      <c r="U194" s="17">
        <v>65</v>
      </c>
      <c r="V194" s="17">
        <v>65</v>
      </c>
      <c r="W194" s="17">
        <v>67</v>
      </c>
      <c r="X194" s="3">
        <v>99</v>
      </c>
    </row>
    <row r="195" spans="1:24" s="3" customFormat="1" x14ac:dyDescent="0.25">
      <c r="A195" s="16" t="s">
        <v>1302</v>
      </c>
      <c r="B195" s="17" t="s">
        <v>10</v>
      </c>
      <c r="C195" s="17" t="s">
        <v>836</v>
      </c>
      <c r="D195" s="18" t="s">
        <v>49</v>
      </c>
      <c r="E195" s="18" t="s">
        <v>1554</v>
      </c>
      <c r="F195" s="18">
        <v>5.94</v>
      </c>
      <c r="G195" s="22">
        <v>2.35</v>
      </c>
      <c r="H195" s="17">
        <v>7.69</v>
      </c>
      <c r="I195" s="25">
        <v>13.306510607168972</v>
      </c>
      <c r="J195" s="24">
        <f>G195/F195*((100-H195)/100)*((100-I195)/100)*100</f>
        <v>31.660418541671287</v>
      </c>
      <c r="K195" s="53">
        <v>5.4831199068684517</v>
      </c>
      <c r="L195" s="54">
        <f>J195*10000/K195</f>
        <v>57741.612584491799</v>
      </c>
      <c r="M195" s="55">
        <v>52.3</v>
      </c>
      <c r="N195" s="55">
        <v>18.3</v>
      </c>
      <c r="O195" s="56">
        <v>7.2713000000000001</v>
      </c>
      <c r="P195" s="55">
        <v>23.6</v>
      </c>
      <c r="Q195" s="17">
        <v>60</v>
      </c>
      <c r="R195" s="17">
        <v>61</v>
      </c>
      <c r="S195" s="17">
        <v>62</v>
      </c>
      <c r="T195" s="17">
        <v>65</v>
      </c>
      <c r="U195" s="17">
        <v>65</v>
      </c>
      <c r="V195" s="17">
        <v>65</v>
      </c>
      <c r="W195" s="17">
        <v>67</v>
      </c>
      <c r="X195" s="3">
        <v>99</v>
      </c>
    </row>
    <row r="196" spans="1:24" s="3" customFormat="1" x14ac:dyDescent="0.25">
      <c r="A196" s="16" t="s">
        <v>1327</v>
      </c>
      <c r="B196" s="17" t="s">
        <v>10</v>
      </c>
      <c r="C196" s="17" t="s">
        <v>836</v>
      </c>
      <c r="D196" s="18" t="s">
        <v>290</v>
      </c>
      <c r="E196" s="18" t="s">
        <v>1814</v>
      </c>
      <c r="F196" s="18">
        <v>5.94</v>
      </c>
      <c r="G196" s="22">
        <v>2.78</v>
      </c>
      <c r="H196" s="17">
        <v>7.69</v>
      </c>
      <c r="I196" s="25">
        <v>12.509374531273441</v>
      </c>
      <c r="J196" s="24">
        <f>G196/F196*((100-H196)/100)*((100-I196)/100)*100</f>
        <v>37.797982812980557</v>
      </c>
      <c r="K196" s="53">
        <v>4.4576116681859617</v>
      </c>
      <c r="L196" s="54">
        <f>J196*10000/K196</f>
        <v>84794.247742003412</v>
      </c>
      <c r="M196" s="55">
        <v>51.4</v>
      </c>
      <c r="N196" s="55">
        <v>17.2</v>
      </c>
      <c r="O196" s="56">
        <v>-0.43143999999999999</v>
      </c>
      <c r="P196" s="55">
        <v>9.6</v>
      </c>
      <c r="Q196" s="17">
        <v>60</v>
      </c>
      <c r="R196" s="17">
        <v>61</v>
      </c>
      <c r="S196" s="17">
        <v>62</v>
      </c>
      <c r="T196" s="17">
        <v>65</v>
      </c>
      <c r="U196" s="17">
        <v>65</v>
      </c>
      <c r="V196" s="17">
        <v>65</v>
      </c>
      <c r="W196" s="17">
        <v>65</v>
      </c>
      <c r="X196" s="3">
        <v>99</v>
      </c>
    </row>
    <row r="197" spans="1:24" s="3" customFormat="1" x14ac:dyDescent="0.25">
      <c r="A197" s="16" t="s">
        <v>1375</v>
      </c>
      <c r="B197" s="17" t="s">
        <v>10</v>
      </c>
      <c r="C197" s="17" t="s">
        <v>836</v>
      </c>
      <c r="D197" s="18" t="s">
        <v>96</v>
      </c>
      <c r="E197" s="18" t="s">
        <v>1527</v>
      </c>
      <c r="F197" s="18">
        <v>5.94</v>
      </c>
      <c r="G197" s="22">
        <v>1.91</v>
      </c>
      <c r="H197" s="17">
        <v>7.69</v>
      </c>
      <c r="I197" s="25">
        <v>18.690426854537925</v>
      </c>
      <c r="J197" s="24">
        <f>G197/F197*((100-H197)/100)*((100-I197)/100)*100</f>
        <v>24.134447123535395</v>
      </c>
      <c r="K197" s="53">
        <v>5.3217011995637948</v>
      </c>
      <c r="L197" s="54">
        <f>J197*10000/K197</f>
        <v>45351.000025167945</v>
      </c>
      <c r="M197" s="55">
        <v>46.8</v>
      </c>
      <c r="N197" s="55">
        <v>19.399999999999999</v>
      </c>
      <c r="O197" s="56">
        <v>8.1302000000000003</v>
      </c>
      <c r="P197" s="55">
        <v>60.4</v>
      </c>
      <c r="Q197" s="17">
        <v>60</v>
      </c>
      <c r="R197" s="17">
        <v>61</v>
      </c>
      <c r="S197" s="17">
        <v>62</v>
      </c>
      <c r="T197" s="17">
        <v>65</v>
      </c>
      <c r="U197" s="17">
        <v>65</v>
      </c>
      <c r="V197" s="17">
        <v>65</v>
      </c>
      <c r="W197" s="17">
        <v>67</v>
      </c>
      <c r="X197" s="3">
        <v>99</v>
      </c>
    </row>
    <row r="198" spans="1:24" s="62" customFormat="1" x14ac:dyDescent="0.25">
      <c r="A198" s="16" t="s">
        <v>837</v>
      </c>
      <c r="B198" s="17" t="s">
        <v>7</v>
      </c>
      <c r="C198" s="17" t="s">
        <v>836</v>
      </c>
      <c r="D198" s="18" t="s">
        <v>29</v>
      </c>
      <c r="E198" s="18" t="s">
        <v>1638</v>
      </c>
      <c r="F198" s="18">
        <v>5.94</v>
      </c>
      <c r="G198" s="22">
        <v>2.2599999999999998</v>
      </c>
      <c r="H198" s="17">
        <v>8.93</v>
      </c>
      <c r="I198" s="25">
        <v>4.6753246753246787</v>
      </c>
      <c r="J198" s="24">
        <f>G198/F198*((100-H198)/100)*((100-I198)/100)*100</f>
        <v>33.029550658096106</v>
      </c>
      <c r="K198" s="53">
        <v>4.7604485219164117</v>
      </c>
      <c r="L198" s="54">
        <f>J198*10000/K198</f>
        <v>69383.274508762916</v>
      </c>
      <c r="M198" s="55">
        <v>47.5</v>
      </c>
      <c r="N198" s="55">
        <v>18.899999999999999</v>
      </c>
      <c r="O198" s="56">
        <v>-1.9898</v>
      </c>
      <c r="P198" s="55">
        <v>21.2</v>
      </c>
      <c r="Q198" s="17">
        <v>60</v>
      </c>
      <c r="R198" s="17">
        <v>61</v>
      </c>
      <c r="S198" s="17">
        <v>62</v>
      </c>
      <c r="T198" s="17">
        <v>65</v>
      </c>
      <c r="U198" s="17">
        <v>65</v>
      </c>
      <c r="V198" s="17">
        <v>65</v>
      </c>
      <c r="W198" s="17">
        <v>65</v>
      </c>
      <c r="X198" s="3">
        <v>99</v>
      </c>
    </row>
    <row r="199" spans="1:24" s="62" customFormat="1" x14ac:dyDescent="0.25">
      <c r="A199" s="16" t="s">
        <v>854</v>
      </c>
      <c r="B199" s="17" t="s">
        <v>7</v>
      </c>
      <c r="C199" s="17" t="s">
        <v>836</v>
      </c>
      <c r="D199" s="18" t="s">
        <v>27</v>
      </c>
      <c r="E199" s="18" t="s">
        <v>1586</v>
      </c>
      <c r="F199" s="18">
        <v>5.94</v>
      </c>
      <c r="G199" s="22">
        <v>2.15</v>
      </c>
      <c r="H199" s="17">
        <v>8.93</v>
      </c>
      <c r="I199" s="25">
        <v>10.521553142481086</v>
      </c>
      <c r="J199" s="24">
        <f>G199/F199*((100-H199)/100)*((100-I199)/100)*100</f>
        <v>29.494822616036419</v>
      </c>
      <c r="K199" s="53">
        <v>5.1160220994475134</v>
      </c>
      <c r="L199" s="54">
        <f>J199*10000/K199</f>
        <v>57651.867100459953</v>
      </c>
      <c r="M199" s="55">
        <v>53.1</v>
      </c>
      <c r="N199" s="55">
        <v>17.399999999999999</v>
      </c>
      <c r="O199" s="56">
        <v>1.6364000000000001</v>
      </c>
      <c r="P199" s="55">
        <v>19.399999999999999</v>
      </c>
      <c r="Q199" s="17">
        <v>60</v>
      </c>
      <c r="R199" s="17">
        <v>61</v>
      </c>
      <c r="S199" s="17">
        <v>62</v>
      </c>
      <c r="T199" s="17">
        <v>65</v>
      </c>
      <c r="U199" s="17">
        <v>65</v>
      </c>
      <c r="V199" s="17">
        <v>65</v>
      </c>
      <c r="W199" s="17">
        <v>67</v>
      </c>
      <c r="X199" s="3">
        <v>99</v>
      </c>
    </row>
    <row r="200" spans="1:24" s="3" customFormat="1" x14ac:dyDescent="0.25">
      <c r="A200" s="16" t="s">
        <v>920</v>
      </c>
      <c r="B200" s="17" t="s">
        <v>7</v>
      </c>
      <c r="C200" s="17" t="s">
        <v>836</v>
      </c>
      <c r="D200" s="18" t="s">
        <v>22</v>
      </c>
      <c r="E200" s="18" t="s">
        <v>1812</v>
      </c>
      <c r="F200" s="18">
        <v>5.94</v>
      </c>
      <c r="G200" s="22">
        <v>2.69</v>
      </c>
      <c r="H200" s="17">
        <v>8.93</v>
      </c>
      <c r="I200" s="25">
        <v>5.2627291242362473</v>
      </c>
      <c r="J200" s="24">
        <f>G200/F200*((100-H200)/100)*((100-I200)/100)*100</f>
        <v>39.071676036673587</v>
      </c>
      <c r="K200" s="53">
        <v>5.7875457875457874</v>
      </c>
      <c r="L200" s="54">
        <f>J200*10000/K200</f>
        <v>67509.921253239809</v>
      </c>
      <c r="M200" s="55">
        <v>53</v>
      </c>
      <c r="N200" s="55">
        <v>16.5</v>
      </c>
      <c r="O200" s="56">
        <v>6.1917999999999997</v>
      </c>
      <c r="P200" s="55">
        <v>22.1</v>
      </c>
      <c r="Q200" s="17">
        <v>60</v>
      </c>
      <c r="R200" s="17">
        <v>61</v>
      </c>
      <c r="S200" s="17">
        <v>62</v>
      </c>
      <c r="T200" s="17">
        <v>65</v>
      </c>
      <c r="U200" s="17">
        <v>65</v>
      </c>
      <c r="V200" s="17">
        <v>65</v>
      </c>
      <c r="W200" s="17">
        <v>67</v>
      </c>
      <c r="X200" s="3">
        <v>99</v>
      </c>
    </row>
    <row r="201" spans="1:24" s="3" customFormat="1" x14ac:dyDescent="0.25">
      <c r="A201" s="16" t="s">
        <v>933</v>
      </c>
      <c r="B201" s="17" t="s">
        <v>7</v>
      </c>
      <c r="C201" s="17" t="s">
        <v>836</v>
      </c>
      <c r="D201" s="18" t="s">
        <v>243</v>
      </c>
      <c r="E201" s="18" t="s">
        <v>1746</v>
      </c>
      <c r="F201" s="18">
        <v>5.94</v>
      </c>
      <c r="G201" s="22">
        <v>1.67</v>
      </c>
      <c r="H201" s="17">
        <v>8.93</v>
      </c>
      <c r="I201" s="25">
        <v>7.6061630965802358</v>
      </c>
      <c r="J201" s="24">
        <f>G201/F201*((100-H201)/100)*((100-I201)/100)*100</f>
        <v>23.656384231896819</v>
      </c>
      <c r="K201" s="53">
        <v>5.6746987951807233</v>
      </c>
      <c r="L201" s="54">
        <f>J201*10000/K201</f>
        <v>41687.471151750229</v>
      </c>
      <c r="M201" s="55">
        <v>51.7</v>
      </c>
      <c r="N201" s="55">
        <v>16.7</v>
      </c>
      <c r="O201" s="56">
        <v>1.6101000000000001</v>
      </c>
      <c r="P201" s="55">
        <v>18.2</v>
      </c>
      <c r="Q201" s="17">
        <v>60</v>
      </c>
      <c r="R201" s="17">
        <v>61</v>
      </c>
      <c r="S201" s="17">
        <v>62</v>
      </c>
      <c r="T201" s="17">
        <v>65</v>
      </c>
      <c r="U201" s="17">
        <v>65</v>
      </c>
      <c r="V201" s="17">
        <v>65</v>
      </c>
      <c r="W201" s="17">
        <v>67</v>
      </c>
      <c r="X201" s="3">
        <v>99</v>
      </c>
    </row>
    <row r="202" spans="1:24" s="3" customFormat="1" x14ac:dyDescent="0.25">
      <c r="A202" s="16" t="s">
        <v>932</v>
      </c>
      <c r="B202" s="17" t="s">
        <v>7</v>
      </c>
      <c r="C202" s="17" t="s">
        <v>836</v>
      </c>
      <c r="D202" s="18" t="s">
        <v>59</v>
      </c>
      <c r="E202" s="18" t="s">
        <v>1517</v>
      </c>
      <c r="F202" s="18">
        <v>5.94</v>
      </c>
      <c r="G202" s="22">
        <v>1.65</v>
      </c>
      <c r="H202" s="17">
        <v>8.93</v>
      </c>
      <c r="I202" s="25">
        <v>7.7853309481216426</v>
      </c>
      <c r="J202" s="24">
        <f>G202/F202*((100-H202)/100)*((100-I202)/100)*100</f>
        <v>23.327749751540445</v>
      </c>
      <c r="K202" s="53">
        <v>4.9414270500532478</v>
      </c>
      <c r="L202" s="54">
        <f>J202*10000/K202</f>
        <v>47208.528053225171</v>
      </c>
      <c r="M202" s="55">
        <v>47.9</v>
      </c>
      <c r="N202" s="55">
        <v>20.100000000000001</v>
      </c>
      <c r="O202" s="56">
        <v>5.0593000000000004</v>
      </c>
      <c r="P202" s="55">
        <v>53.5</v>
      </c>
      <c r="Q202" s="17">
        <v>60</v>
      </c>
      <c r="R202" s="17">
        <v>61</v>
      </c>
      <c r="S202" s="17">
        <v>62</v>
      </c>
      <c r="T202" s="17">
        <v>65</v>
      </c>
      <c r="U202" s="17">
        <v>65</v>
      </c>
      <c r="V202" s="17">
        <v>65</v>
      </c>
      <c r="W202" s="17">
        <v>67</v>
      </c>
      <c r="X202" s="3">
        <v>99</v>
      </c>
    </row>
    <row r="203" spans="1:24" s="3" customFormat="1" x14ac:dyDescent="0.25">
      <c r="A203" s="16" t="s">
        <v>998</v>
      </c>
      <c r="B203" s="17" t="s">
        <v>7</v>
      </c>
      <c r="C203" s="17" t="s">
        <v>836</v>
      </c>
      <c r="D203" s="18" t="s">
        <v>35</v>
      </c>
      <c r="E203" s="18" t="s">
        <v>1662</v>
      </c>
      <c r="F203" s="18">
        <v>5.94</v>
      </c>
      <c r="G203" s="22">
        <v>2.15</v>
      </c>
      <c r="H203" s="17">
        <v>8.93</v>
      </c>
      <c r="I203" s="25">
        <v>6.3436426116838414</v>
      </c>
      <c r="J203" s="24">
        <f>G203/F203*((100-H203)/100)*((100-I203)/100)*100</f>
        <v>30.871989233688542</v>
      </c>
      <c r="K203" s="53">
        <v>5.3160270880361171</v>
      </c>
      <c r="L203" s="54">
        <f>J203*10000/K203</f>
        <v>58073.423484178442</v>
      </c>
      <c r="M203" s="55">
        <v>50</v>
      </c>
      <c r="N203" s="55">
        <v>16.5</v>
      </c>
      <c r="O203" s="56">
        <v>4.3781999999999996</v>
      </c>
      <c r="P203" s="55">
        <v>11.7</v>
      </c>
      <c r="Q203" s="17">
        <v>60</v>
      </c>
      <c r="R203" s="17">
        <v>61</v>
      </c>
      <c r="S203" s="17">
        <v>62</v>
      </c>
      <c r="T203" s="17">
        <v>65</v>
      </c>
      <c r="U203" s="17">
        <v>65</v>
      </c>
      <c r="V203" s="17">
        <v>65</v>
      </c>
      <c r="W203" s="17">
        <v>67</v>
      </c>
      <c r="X203" s="3">
        <v>99</v>
      </c>
    </row>
    <row r="204" spans="1:24" s="3" customFormat="1" x14ac:dyDescent="0.25">
      <c r="A204" s="16" t="s">
        <v>1311</v>
      </c>
      <c r="B204" s="17" t="s">
        <v>10</v>
      </c>
      <c r="C204" s="17" t="s">
        <v>836</v>
      </c>
      <c r="D204" s="18" t="s">
        <v>41</v>
      </c>
      <c r="E204" s="18" t="s">
        <v>1660</v>
      </c>
      <c r="F204" s="18">
        <v>5.94</v>
      </c>
      <c r="G204" s="22">
        <v>2.0099999999999998</v>
      </c>
      <c r="H204" s="17">
        <v>7.69</v>
      </c>
      <c r="I204" s="25">
        <v>7.3442873519296912</v>
      </c>
      <c r="J204" s="24">
        <f>G204/F204*((100-H204)/100)*((100-I204)/100)*100</f>
        <v>28.942134945172011</v>
      </c>
      <c r="K204" s="53">
        <v>5.9123222748815163</v>
      </c>
      <c r="L204" s="54">
        <f>J204*10000/K204</f>
        <v>48952.22824393824</v>
      </c>
      <c r="M204" s="55">
        <v>52.2</v>
      </c>
      <c r="N204" s="55">
        <v>17.2</v>
      </c>
      <c r="O204" s="56">
        <v>4.4111000000000002</v>
      </c>
      <c r="P204" s="55">
        <v>21.9</v>
      </c>
      <c r="Q204" s="17">
        <v>59</v>
      </c>
      <c r="R204" s="17">
        <v>61</v>
      </c>
      <c r="S204" s="17">
        <v>63</v>
      </c>
      <c r="T204" s="17">
        <v>65</v>
      </c>
      <c r="U204" s="17">
        <v>65</v>
      </c>
      <c r="V204" s="17">
        <v>65</v>
      </c>
      <c r="W204" s="17">
        <v>67</v>
      </c>
      <c r="X204" s="3">
        <v>99</v>
      </c>
    </row>
    <row r="205" spans="1:24" s="3" customFormat="1" x14ac:dyDescent="0.25">
      <c r="A205" s="16" t="s">
        <v>879</v>
      </c>
      <c r="B205" s="17" t="s">
        <v>7</v>
      </c>
      <c r="C205" s="17" t="s">
        <v>836</v>
      </c>
      <c r="D205" s="18" t="s">
        <v>204</v>
      </c>
      <c r="E205" s="18" t="s">
        <v>1786</v>
      </c>
      <c r="F205" s="18">
        <v>5.94</v>
      </c>
      <c r="G205" s="22">
        <v>1.84</v>
      </c>
      <c r="H205" s="17">
        <v>8.93</v>
      </c>
      <c r="I205" s="25">
        <v>7.2027972027971892</v>
      </c>
      <c r="J205" s="24">
        <f>G205/F205*((100-H205)/100)*((100-I205)/100)*100</f>
        <v>26.178309623036895</v>
      </c>
      <c r="K205" s="53">
        <v>4.4171220400728597</v>
      </c>
      <c r="L205" s="54">
        <f>J205*10000/K205</f>
        <v>59265.533950710334</v>
      </c>
      <c r="M205" s="55">
        <v>54.1</v>
      </c>
      <c r="N205" s="55">
        <v>18.2</v>
      </c>
      <c r="O205" s="56">
        <v>2.3416999999999999</v>
      </c>
      <c r="P205" s="55">
        <v>12.9</v>
      </c>
      <c r="Q205" s="17">
        <v>59</v>
      </c>
      <c r="R205" s="17">
        <v>61</v>
      </c>
      <c r="S205" s="17">
        <v>63</v>
      </c>
      <c r="T205" s="17">
        <v>65</v>
      </c>
      <c r="U205" s="17">
        <v>65</v>
      </c>
      <c r="V205" s="17">
        <v>65</v>
      </c>
      <c r="W205" s="17">
        <v>67</v>
      </c>
      <c r="X205" s="3">
        <v>99</v>
      </c>
    </row>
    <row r="206" spans="1:24" s="3" customFormat="1" x14ac:dyDescent="0.25">
      <c r="A206" s="16" t="s">
        <v>900</v>
      </c>
      <c r="B206" s="17" t="s">
        <v>7</v>
      </c>
      <c r="C206" s="17" t="s">
        <v>836</v>
      </c>
      <c r="D206" s="18" t="s">
        <v>294</v>
      </c>
      <c r="E206" s="18" t="s">
        <v>1513</v>
      </c>
      <c r="F206" s="18">
        <v>5.94</v>
      </c>
      <c r="G206" s="22">
        <v>1.47</v>
      </c>
      <c r="H206" s="17">
        <v>8.93</v>
      </c>
      <c r="I206" s="25">
        <v>8.1802563763710818</v>
      </c>
      <c r="J206" s="24">
        <f>G206/F206*((100-H206)/100)*((100-I206)/100)*100</f>
        <v>20.693897905979313</v>
      </c>
      <c r="K206" s="53">
        <v>5.9950248756218905</v>
      </c>
      <c r="L206" s="54">
        <f>J206*10000/K206</f>
        <v>34518.452108728976</v>
      </c>
      <c r="M206" s="55">
        <v>47.5</v>
      </c>
      <c r="N206" s="55">
        <v>20.2</v>
      </c>
      <c r="O206" s="56">
        <v>5.4436</v>
      </c>
      <c r="P206" s="55">
        <v>67</v>
      </c>
      <c r="Q206" s="17">
        <v>59</v>
      </c>
      <c r="R206" s="17">
        <v>61</v>
      </c>
      <c r="S206" s="17">
        <v>63</v>
      </c>
      <c r="T206" s="17">
        <v>65</v>
      </c>
      <c r="U206" s="17">
        <v>65</v>
      </c>
      <c r="V206" s="17">
        <v>65</v>
      </c>
      <c r="W206" s="17">
        <v>67</v>
      </c>
      <c r="X206" s="3">
        <v>99</v>
      </c>
    </row>
    <row r="207" spans="1:24" s="3" customFormat="1" x14ac:dyDescent="0.25">
      <c r="A207" s="16" t="s">
        <v>984</v>
      </c>
      <c r="B207" s="17" t="s">
        <v>7</v>
      </c>
      <c r="C207" s="17" t="s">
        <v>836</v>
      </c>
      <c r="D207" s="18" t="s">
        <v>82</v>
      </c>
      <c r="E207" s="18" t="s">
        <v>1760</v>
      </c>
      <c r="F207" s="18">
        <v>5.94</v>
      </c>
      <c r="G207" s="22">
        <v>2.73</v>
      </c>
      <c r="H207" s="17">
        <v>8.93</v>
      </c>
      <c r="I207" s="25">
        <v>4.249678054692815</v>
      </c>
      <c r="J207" s="24">
        <f>G207/F207*((100-H207)/100)*((100-I207)/100)*100</f>
        <v>40.076684120195978</v>
      </c>
      <c r="K207" s="53">
        <v>5.686512758201701</v>
      </c>
      <c r="L207" s="54">
        <f>J207*10000/K207</f>
        <v>70476.732972054029</v>
      </c>
      <c r="M207" s="55">
        <v>52.3</v>
      </c>
      <c r="N207" s="55">
        <v>16.8</v>
      </c>
      <c r="O207" s="56">
        <v>-1.3452999999999999</v>
      </c>
      <c r="P207" s="55">
        <v>11.3</v>
      </c>
      <c r="Q207" s="17">
        <v>59</v>
      </c>
      <c r="R207" s="17">
        <v>61</v>
      </c>
      <c r="S207" s="17">
        <v>63</v>
      </c>
      <c r="T207" s="17">
        <v>65</v>
      </c>
      <c r="U207" s="17">
        <v>65</v>
      </c>
      <c r="V207" s="17">
        <v>65</v>
      </c>
      <c r="W207" s="17">
        <v>67</v>
      </c>
      <c r="X207" s="3">
        <v>99</v>
      </c>
    </row>
    <row r="208" spans="1:24" s="3" customFormat="1" x14ac:dyDescent="0.25">
      <c r="A208" s="16" t="s">
        <v>1015</v>
      </c>
      <c r="B208" s="17" t="s">
        <v>7</v>
      </c>
      <c r="C208" s="17" t="s">
        <v>836</v>
      </c>
      <c r="D208" s="18" t="s">
        <v>92</v>
      </c>
      <c r="E208" s="18" t="s">
        <v>1748</v>
      </c>
      <c r="F208" s="18">
        <v>5.94</v>
      </c>
      <c r="G208" s="22">
        <v>2.41</v>
      </c>
      <c r="H208" s="17">
        <v>8.93</v>
      </c>
      <c r="I208" s="25">
        <v>5.3779679503314011</v>
      </c>
      <c r="J208" s="24">
        <f>G208/F208*((100-H208)/100)*((100-I208)/100)*100</f>
        <v>34.962155868046466</v>
      </c>
      <c r="K208" s="53">
        <v>5.3837471783295712</v>
      </c>
      <c r="L208" s="54">
        <f>J208*10000/K208</f>
        <v>64940.188886979384</v>
      </c>
      <c r="M208" s="55">
        <v>51.6</v>
      </c>
      <c r="N208" s="55">
        <v>16.600000000000001</v>
      </c>
      <c r="O208" s="56">
        <v>4.9015000000000004</v>
      </c>
      <c r="P208" s="55">
        <v>14.4</v>
      </c>
      <c r="Q208" s="17">
        <v>59</v>
      </c>
      <c r="R208" s="17">
        <v>61</v>
      </c>
      <c r="S208" s="17">
        <v>63</v>
      </c>
      <c r="T208" s="17">
        <v>65</v>
      </c>
      <c r="U208" s="17">
        <v>65</v>
      </c>
      <c r="V208" s="17">
        <v>65</v>
      </c>
      <c r="W208" s="17">
        <v>67</v>
      </c>
      <c r="X208" s="3">
        <v>99</v>
      </c>
    </row>
    <row r="209" spans="1:24" s="2" customFormat="1" x14ac:dyDescent="0.25">
      <c r="A209" s="16" t="s">
        <v>1285</v>
      </c>
      <c r="B209" s="17" t="s">
        <v>10</v>
      </c>
      <c r="C209" s="17" t="s">
        <v>836</v>
      </c>
      <c r="D209" s="18" t="s">
        <v>192</v>
      </c>
      <c r="E209" s="18" t="s">
        <v>1744</v>
      </c>
      <c r="F209" s="18">
        <v>5.94</v>
      </c>
      <c r="G209" s="22">
        <v>2.23</v>
      </c>
      <c r="H209" s="17">
        <v>7.69</v>
      </c>
      <c r="I209" s="25">
        <v>6.4518657886484823</v>
      </c>
      <c r="J209" s="24">
        <f>G209/F209*((100-H209)/100)*((100-I209)/100)*100</f>
        <v>32.419200404008727</v>
      </c>
      <c r="K209" s="53">
        <v>4.79</v>
      </c>
      <c r="L209" s="54">
        <f>J209*10000/K209</f>
        <v>67681.002931124691</v>
      </c>
      <c r="M209" s="55">
        <v>53.2</v>
      </c>
      <c r="N209" s="55">
        <v>16.7</v>
      </c>
      <c r="O209" s="56">
        <v>2.2650000000000001</v>
      </c>
      <c r="P209" s="55">
        <v>10.9</v>
      </c>
      <c r="Q209" s="17">
        <v>60</v>
      </c>
      <c r="R209" s="17">
        <v>61</v>
      </c>
      <c r="S209" s="17">
        <v>63</v>
      </c>
      <c r="T209" s="17">
        <v>65</v>
      </c>
      <c r="U209" s="17">
        <v>65</v>
      </c>
      <c r="V209" s="17">
        <v>65</v>
      </c>
      <c r="W209" s="17">
        <v>67</v>
      </c>
      <c r="X209" s="3">
        <v>99</v>
      </c>
    </row>
    <row r="210" spans="1:24" s="3" customFormat="1" x14ac:dyDescent="0.25">
      <c r="A210" s="16" t="s">
        <v>851</v>
      </c>
      <c r="B210" s="17" t="s">
        <v>7</v>
      </c>
      <c r="C210" s="17" t="s">
        <v>836</v>
      </c>
      <c r="D210" s="18" t="s">
        <v>72</v>
      </c>
      <c r="E210" s="18" t="s">
        <v>1772</v>
      </c>
      <c r="F210" s="18">
        <v>5.94</v>
      </c>
      <c r="G210" s="22">
        <v>2.29</v>
      </c>
      <c r="H210" s="17">
        <v>8.93</v>
      </c>
      <c r="I210" s="25">
        <v>4.6691806650668513</v>
      </c>
      <c r="J210" s="24">
        <f>G210/F210*((100-H210)/100)*((100-I210)/100)*100</f>
        <v>33.470153150751017</v>
      </c>
      <c r="K210" s="53">
        <v>5.8904109589041092</v>
      </c>
      <c r="L210" s="54">
        <f>J210*10000/K210</f>
        <v>56821.422790809869</v>
      </c>
      <c r="M210" s="55">
        <v>51.6</v>
      </c>
      <c r="N210" s="55">
        <v>16.2</v>
      </c>
      <c r="O210" s="56">
        <v>3.0017999999999998</v>
      </c>
      <c r="P210" s="55">
        <v>13.6</v>
      </c>
      <c r="Q210" s="17">
        <v>60</v>
      </c>
      <c r="R210" s="17">
        <v>61</v>
      </c>
      <c r="S210" s="17">
        <v>63</v>
      </c>
      <c r="T210" s="17">
        <v>65</v>
      </c>
      <c r="U210" s="17">
        <v>65</v>
      </c>
      <c r="V210" s="17">
        <v>65</v>
      </c>
      <c r="W210" s="17">
        <v>67</v>
      </c>
      <c r="X210" s="3">
        <v>99</v>
      </c>
    </row>
    <row r="211" spans="1:24" s="3" customFormat="1" x14ac:dyDescent="0.25">
      <c r="A211" s="16" t="s">
        <v>959</v>
      </c>
      <c r="B211" s="17" t="s">
        <v>7</v>
      </c>
      <c r="C211" s="17" t="s">
        <v>836</v>
      </c>
      <c r="D211" s="18" t="s">
        <v>172</v>
      </c>
      <c r="E211" s="18" t="s">
        <v>1476</v>
      </c>
      <c r="F211" s="18">
        <v>5.94</v>
      </c>
      <c r="G211" s="22">
        <v>1.27</v>
      </c>
      <c r="H211" s="17">
        <v>8.93</v>
      </c>
      <c r="I211" s="25">
        <v>9.8641283488140079</v>
      </c>
      <c r="J211" s="24">
        <f>G211/F211*((100-H211)/100)*((100-I211)/100)*100</f>
        <v>17.550531592116762</v>
      </c>
      <c r="K211" s="53">
        <v>3.9170124481327799</v>
      </c>
      <c r="L211" s="54">
        <f>J211*10000/K211</f>
        <v>44805.912221399783</v>
      </c>
      <c r="M211" s="55">
        <v>48</v>
      </c>
      <c r="N211" s="55">
        <v>24.2</v>
      </c>
      <c r="O211" s="56">
        <v>46.192999999999998</v>
      </c>
      <c r="P211" s="55">
        <v>66</v>
      </c>
      <c r="Q211" s="17">
        <v>60</v>
      </c>
      <c r="R211" s="17">
        <v>61</v>
      </c>
      <c r="S211" s="17">
        <v>63</v>
      </c>
      <c r="T211" s="17">
        <v>65</v>
      </c>
      <c r="U211" s="17">
        <v>65</v>
      </c>
      <c r="V211" s="17">
        <v>65</v>
      </c>
      <c r="W211" s="17">
        <v>67</v>
      </c>
      <c r="X211" s="3">
        <v>97</v>
      </c>
    </row>
    <row r="212" spans="1:24" s="3" customFormat="1" x14ac:dyDescent="0.25">
      <c r="A212" s="16" t="s">
        <v>962</v>
      </c>
      <c r="B212" s="17" t="s">
        <v>7</v>
      </c>
      <c r="C212" s="17" t="s">
        <v>836</v>
      </c>
      <c r="D212" s="18" t="s">
        <v>74</v>
      </c>
      <c r="E212" s="18" t="s">
        <v>1678</v>
      </c>
      <c r="F212" s="18">
        <v>5.94</v>
      </c>
      <c r="G212" s="22">
        <v>2.25</v>
      </c>
      <c r="H212" s="17">
        <v>8.93</v>
      </c>
      <c r="I212" s="25">
        <v>7.0166870166870092</v>
      </c>
      <c r="J212" s="24">
        <f>G212/F212*((100-H212)/100)*((100-I212)/100)*100</f>
        <v>32.075720884054213</v>
      </c>
      <c r="K212" s="53">
        <v>5.8465286236297196</v>
      </c>
      <c r="L212" s="54">
        <f>J212*10000/K212</f>
        <v>54862.847595434396</v>
      </c>
      <c r="M212" s="55">
        <v>51.6</v>
      </c>
      <c r="N212" s="55">
        <v>17.100000000000001</v>
      </c>
      <c r="O212" s="56">
        <v>-0.52932000000000001</v>
      </c>
      <c r="P212" s="55">
        <v>16.5</v>
      </c>
      <c r="Q212" s="17">
        <v>60</v>
      </c>
      <c r="R212" s="17">
        <v>61</v>
      </c>
      <c r="S212" s="17">
        <v>63</v>
      </c>
      <c r="T212" s="17">
        <v>65</v>
      </c>
      <c r="U212" s="17">
        <v>65</v>
      </c>
      <c r="V212" s="17">
        <v>65</v>
      </c>
      <c r="W212" s="17">
        <v>67</v>
      </c>
      <c r="X212" s="3">
        <v>97</v>
      </c>
    </row>
    <row r="213" spans="1:24" s="3" customFormat="1" x14ac:dyDescent="0.25">
      <c r="A213" s="16" t="s">
        <v>999</v>
      </c>
      <c r="B213" s="17" t="s">
        <v>7</v>
      </c>
      <c r="C213" s="17" t="s">
        <v>836</v>
      </c>
      <c r="D213" s="18" t="s">
        <v>55</v>
      </c>
      <c r="E213" s="18" t="s">
        <v>1654</v>
      </c>
      <c r="F213" s="18">
        <v>5.94</v>
      </c>
      <c r="G213" s="22">
        <v>1.84</v>
      </c>
      <c r="H213" s="17">
        <v>8.93</v>
      </c>
      <c r="I213" s="25">
        <v>4.8665398971758549</v>
      </c>
      <c r="J213" s="24">
        <f>G213/F213*((100-H213)/100)*((100-I213)/100)*100</f>
        <v>26.837373315283021</v>
      </c>
      <c r="K213" s="53">
        <v>5.3198653198653201</v>
      </c>
      <c r="L213" s="54">
        <f>J213*10000/K213</f>
        <v>50447.467561006692</v>
      </c>
      <c r="M213" s="55">
        <v>49.6</v>
      </c>
      <c r="N213" s="55">
        <v>18.2</v>
      </c>
      <c r="O213" s="56">
        <v>3.4689000000000001</v>
      </c>
      <c r="P213" s="55">
        <v>14.5</v>
      </c>
      <c r="Q213" s="17">
        <v>60</v>
      </c>
      <c r="R213" s="17">
        <v>61</v>
      </c>
      <c r="S213" s="17">
        <v>63</v>
      </c>
      <c r="T213" s="17">
        <v>65</v>
      </c>
      <c r="U213" s="17">
        <v>65</v>
      </c>
      <c r="V213" s="17">
        <v>65</v>
      </c>
      <c r="W213" s="17">
        <v>67</v>
      </c>
      <c r="X213" s="3">
        <v>97</v>
      </c>
    </row>
    <row r="214" spans="1:24" s="3" customFormat="1" x14ac:dyDescent="0.25">
      <c r="A214" s="16" t="s">
        <v>1010</v>
      </c>
      <c r="B214" s="17" t="s">
        <v>7</v>
      </c>
      <c r="C214" s="17" t="s">
        <v>836</v>
      </c>
      <c r="D214" s="18" t="s">
        <v>192</v>
      </c>
      <c r="E214" s="18" t="s">
        <v>1744</v>
      </c>
      <c r="F214" s="18">
        <v>5.94</v>
      </c>
      <c r="G214" s="22">
        <v>2.16</v>
      </c>
      <c r="H214" s="17">
        <v>8.93</v>
      </c>
      <c r="I214" s="25">
        <v>6.0069044879171445</v>
      </c>
      <c r="J214" s="24">
        <f>G214/F214*((100-H214)/100)*((100-I214)/100)*100</f>
        <v>31.127095302855949</v>
      </c>
      <c r="K214" s="53">
        <v>5.0683491062039954</v>
      </c>
      <c r="L214" s="54">
        <f>J214*10000/K214</f>
        <v>61414.663139037366</v>
      </c>
      <c r="M214" s="55">
        <v>52.9</v>
      </c>
      <c r="N214" s="55">
        <v>16.7</v>
      </c>
      <c r="O214" s="56">
        <v>0.60187999999999997</v>
      </c>
      <c r="P214" s="55">
        <v>10.8</v>
      </c>
      <c r="Q214" s="17">
        <v>60</v>
      </c>
      <c r="R214" s="17">
        <v>61</v>
      </c>
      <c r="S214" s="17">
        <v>63</v>
      </c>
      <c r="T214" s="17">
        <v>65</v>
      </c>
      <c r="U214" s="17">
        <v>65</v>
      </c>
      <c r="V214" s="17">
        <v>65</v>
      </c>
      <c r="W214" s="17">
        <v>67</v>
      </c>
      <c r="X214" s="3">
        <v>97</v>
      </c>
    </row>
    <row r="215" spans="1:24" s="3" customFormat="1" x14ac:dyDescent="0.25">
      <c r="A215" s="66" t="s">
        <v>1265</v>
      </c>
      <c r="B215" s="17" t="s">
        <v>10</v>
      </c>
      <c r="C215" s="17" t="s">
        <v>836</v>
      </c>
      <c r="D215" s="18" t="s">
        <v>136</v>
      </c>
      <c r="E215" s="18" t="s">
        <v>1840</v>
      </c>
      <c r="F215" s="18">
        <v>5.94</v>
      </c>
      <c r="G215" s="22">
        <v>1.55</v>
      </c>
      <c r="H215" s="17">
        <v>7.69</v>
      </c>
      <c r="I215" s="25">
        <v>9.9251369915875589</v>
      </c>
      <c r="J215" s="24">
        <f>G215/F215*((100-H215)/100)*((100-I215)/100)*100</f>
        <v>21.69689635803898</v>
      </c>
      <c r="K215" s="53">
        <v>4.9226006191950464</v>
      </c>
      <c r="L215" s="54">
        <f>J215*10000/K215</f>
        <v>44076.085054381074</v>
      </c>
      <c r="M215" s="55">
        <v>49.9</v>
      </c>
      <c r="N215" s="55">
        <v>18.8</v>
      </c>
      <c r="O215" s="56">
        <v>5.7477</v>
      </c>
      <c r="P215" s="55">
        <v>56.2</v>
      </c>
      <c r="Q215" s="17">
        <v>60</v>
      </c>
      <c r="R215" s="17">
        <v>62</v>
      </c>
      <c r="S215" s="17">
        <v>63</v>
      </c>
      <c r="T215" s="17">
        <v>65</v>
      </c>
      <c r="U215" s="17">
        <v>65</v>
      </c>
      <c r="V215" s="17">
        <v>65</v>
      </c>
      <c r="W215" s="17">
        <v>67</v>
      </c>
      <c r="X215" s="3">
        <v>97</v>
      </c>
    </row>
    <row r="216" spans="1:24" s="3" customFormat="1" x14ac:dyDescent="0.25">
      <c r="A216" s="16" t="s">
        <v>1273</v>
      </c>
      <c r="B216" s="17" t="s">
        <v>10</v>
      </c>
      <c r="C216" s="17" t="s">
        <v>836</v>
      </c>
      <c r="D216" s="18" t="s">
        <v>65</v>
      </c>
      <c r="E216" s="18" t="s">
        <v>1658</v>
      </c>
      <c r="F216" s="18">
        <v>5.94</v>
      </c>
      <c r="G216" s="22">
        <v>1.95</v>
      </c>
      <c r="H216" s="17">
        <v>7.69</v>
      </c>
      <c r="I216" s="25">
        <v>10.555597896501798</v>
      </c>
      <c r="J216" s="24">
        <f>G216/F216*((100-H216)/100)*((100-I216)/100)*100</f>
        <v>27.105041882894177</v>
      </c>
      <c r="K216" s="53">
        <v>5.0760869565217392</v>
      </c>
      <c r="L216" s="54">
        <f>J216*10000/K216</f>
        <v>53397.512917050626</v>
      </c>
      <c r="M216" s="55">
        <v>51.4</v>
      </c>
      <c r="N216" s="55">
        <v>17.100000000000001</v>
      </c>
      <c r="O216" s="56">
        <v>1.5551999999999999</v>
      </c>
      <c r="P216" s="55">
        <v>19</v>
      </c>
      <c r="Q216" s="17">
        <v>60</v>
      </c>
      <c r="R216" s="17">
        <v>62</v>
      </c>
      <c r="S216" s="17">
        <v>63</v>
      </c>
      <c r="T216" s="17">
        <v>65</v>
      </c>
      <c r="U216" s="17">
        <v>65</v>
      </c>
      <c r="V216" s="17">
        <v>65</v>
      </c>
      <c r="W216" s="17">
        <v>65</v>
      </c>
      <c r="X216" s="3">
        <v>97</v>
      </c>
    </row>
    <row r="217" spans="1:24" s="3" customFormat="1" x14ac:dyDescent="0.25">
      <c r="A217" s="16" t="s">
        <v>1290</v>
      </c>
      <c r="B217" s="17" t="s">
        <v>10</v>
      </c>
      <c r="C217" s="17" t="s">
        <v>836</v>
      </c>
      <c r="D217" s="18" t="s">
        <v>102</v>
      </c>
      <c r="E217" s="18" t="s">
        <v>1790</v>
      </c>
      <c r="F217" s="18">
        <v>5.94</v>
      </c>
      <c r="G217" s="22">
        <v>3.15</v>
      </c>
      <c r="H217" s="17">
        <v>7.69</v>
      </c>
      <c r="I217" s="25">
        <v>10.372969262451383</v>
      </c>
      <c r="J217" s="24">
        <f>G217/F217*((100-H217)/100)*((100-I217)/100)*100</f>
        <v>43.874468524001358</v>
      </c>
      <c r="K217" s="53">
        <v>5.2101769911504423</v>
      </c>
      <c r="L217" s="54">
        <f>J217*10000/K217</f>
        <v>84209.171009972881</v>
      </c>
      <c r="M217" s="55">
        <v>54.3</v>
      </c>
      <c r="N217" s="55">
        <v>16.2</v>
      </c>
      <c r="O217" s="56">
        <v>0.57674999999999998</v>
      </c>
      <c r="P217" s="55">
        <v>15</v>
      </c>
      <c r="Q217" s="17">
        <v>60</v>
      </c>
      <c r="R217" s="17">
        <v>62</v>
      </c>
      <c r="S217" s="17">
        <v>63</v>
      </c>
      <c r="T217" s="17">
        <v>65</v>
      </c>
      <c r="U217" s="17">
        <v>65</v>
      </c>
      <c r="V217" s="17">
        <v>65</v>
      </c>
      <c r="W217" s="17">
        <v>67</v>
      </c>
      <c r="X217" s="3">
        <v>97</v>
      </c>
    </row>
    <row r="218" spans="1:24" s="3" customFormat="1" x14ac:dyDescent="0.25">
      <c r="A218" s="16" t="s">
        <v>1309</v>
      </c>
      <c r="B218" s="17" t="s">
        <v>10</v>
      </c>
      <c r="C218" s="17" t="s">
        <v>836</v>
      </c>
      <c r="D218" s="18" t="s">
        <v>248</v>
      </c>
      <c r="E218" s="18" t="s">
        <v>1816</v>
      </c>
      <c r="F218" s="18">
        <v>5.94</v>
      </c>
      <c r="G218" s="22">
        <v>2.5</v>
      </c>
      <c r="H218" s="17">
        <v>7.69</v>
      </c>
      <c r="I218" s="25">
        <v>6.7993244731624873</v>
      </c>
      <c r="J218" s="24">
        <f>G218/F218*((100-H218)/100)*((100-I218)/100)*100</f>
        <v>36.20940386314129</v>
      </c>
      <c r="K218" s="53">
        <v>4.8008171603677221</v>
      </c>
      <c r="L218" s="54">
        <f>J218*10000/K218</f>
        <v>75423.417834075153</v>
      </c>
      <c r="M218" s="55">
        <v>52.5</v>
      </c>
      <c r="N218" s="55">
        <v>16.600000000000001</v>
      </c>
      <c r="O218" s="56">
        <v>4.2629999999999999</v>
      </c>
      <c r="P218" s="55">
        <v>19.100000000000001</v>
      </c>
      <c r="Q218" s="17">
        <v>60</v>
      </c>
      <c r="R218" s="17">
        <v>62</v>
      </c>
      <c r="S218" s="17">
        <v>63</v>
      </c>
      <c r="T218" s="17">
        <v>65</v>
      </c>
      <c r="U218" s="17">
        <v>65</v>
      </c>
      <c r="V218" s="17">
        <v>65</v>
      </c>
      <c r="W218" s="17">
        <v>67</v>
      </c>
      <c r="X218" s="3">
        <v>97</v>
      </c>
    </row>
    <row r="219" spans="1:24" s="3" customFormat="1" x14ac:dyDescent="0.25">
      <c r="A219" s="16" t="s">
        <v>1315</v>
      </c>
      <c r="B219" s="17" t="s">
        <v>10</v>
      </c>
      <c r="C219" s="17" t="s">
        <v>836</v>
      </c>
      <c r="D219" s="18" t="s">
        <v>94</v>
      </c>
      <c r="E219" s="18" t="s">
        <v>1582</v>
      </c>
      <c r="F219" s="18">
        <v>5.94</v>
      </c>
      <c r="G219" s="22">
        <v>2.4500000000000002</v>
      </c>
      <c r="H219" s="17">
        <v>7.69</v>
      </c>
      <c r="I219" s="25">
        <v>8.7164265546948467</v>
      </c>
      <c r="J219" s="24">
        <f>G219/F219*((100-H219)/100)*((100-I219)/100)*100</f>
        <v>34.755298533002517</v>
      </c>
      <c r="K219" s="53">
        <v>4.7368421052631575</v>
      </c>
      <c r="L219" s="54">
        <f>J219*10000/K219</f>
        <v>73372.296903005306</v>
      </c>
      <c r="M219" s="55">
        <v>54.2</v>
      </c>
      <c r="N219" s="55">
        <v>16.399999999999999</v>
      </c>
      <c r="O219" s="56">
        <v>1.8764000000000001</v>
      </c>
      <c r="P219" s="55">
        <v>12.8</v>
      </c>
      <c r="Q219" s="17">
        <v>60</v>
      </c>
      <c r="R219" s="17">
        <v>62</v>
      </c>
      <c r="S219" s="17">
        <v>63</v>
      </c>
      <c r="T219" s="17">
        <v>65</v>
      </c>
      <c r="U219" s="17">
        <v>65</v>
      </c>
      <c r="V219" s="17">
        <v>65</v>
      </c>
      <c r="W219" s="17">
        <v>67</v>
      </c>
      <c r="X219" s="3">
        <v>97</v>
      </c>
    </row>
    <row r="220" spans="1:24" s="3" customFormat="1" x14ac:dyDescent="0.25">
      <c r="A220" s="16" t="s">
        <v>1326</v>
      </c>
      <c r="B220" s="17" t="s">
        <v>10</v>
      </c>
      <c r="C220" s="17" t="s">
        <v>836</v>
      </c>
      <c r="D220" s="18" t="s">
        <v>76</v>
      </c>
      <c r="E220" s="18" t="s">
        <v>1818</v>
      </c>
      <c r="F220" s="18">
        <v>5.94</v>
      </c>
      <c r="G220" s="22">
        <v>3.12</v>
      </c>
      <c r="H220" s="17">
        <v>7.69</v>
      </c>
      <c r="I220" s="25">
        <v>11.884278644842025</v>
      </c>
      <c r="J220" s="24">
        <f>G220/F220*((100-H220)/100)*((100-I220)/100)*100</f>
        <v>42.723842059729385</v>
      </c>
      <c r="K220" s="53">
        <v>5.3517877739331023</v>
      </c>
      <c r="L220" s="54">
        <f>J220*10000/K220</f>
        <v>79830.972124537453</v>
      </c>
      <c r="M220" s="55">
        <v>51</v>
      </c>
      <c r="N220" s="55">
        <v>16.5</v>
      </c>
      <c r="O220" s="56">
        <v>3.6455000000000002</v>
      </c>
      <c r="P220" s="55">
        <v>19.399999999999999</v>
      </c>
      <c r="Q220" s="17">
        <v>60</v>
      </c>
      <c r="R220" s="17">
        <v>62</v>
      </c>
      <c r="S220" s="17">
        <v>63</v>
      </c>
      <c r="T220" s="17">
        <v>65</v>
      </c>
      <c r="U220" s="17">
        <v>65</v>
      </c>
      <c r="V220" s="17">
        <v>65</v>
      </c>
      <c r="W220" s="17">
        <v>65</v>
      </c>
      <c r="X220" s="3">
        <v>97</v>
      </c>
    </row>
    <row r="221" spans="1:24" s="3" customFormat="1" x14ac:dyDescent="0.25">
      <c r="A221" s="16" t="s">
        <v>1331</v>
      </c>
      <c r="B221" s="17" t="s">
        <v>10</v>
      </c>
      <c r="C221" s="17" t="s">
        <v>836</v>
      </c>
      <c r="D221" s="18" t="s">
        <v>21</v>
      </c>
      <c r="E221" s="18" t="s">
        <v>1578</v>
      </c>
      <c r="F221" s="18">
        <v>5.94</v>
      </c>
      <c r="G221" s="22">
        <v>3.17</v>
      </c>
      <c r="H221" s="17">
        <v>7.69</v>
      </c>
      <c r="I221" s="25">
        <v>6.5463635653464545</v>
      </c>
      <c r="J221" s="24">
        <f>G221/F221*((100-H221)/100)*((100-I221)/100)*100</f>
        <v>46.038140434893421</v>
      </c>
      <c r="K221" s="53">
        <v>4.6380952380952385</v>
      </c>
      <c r="L221" s="54">
        <f>J221*10000/K221</f>
        <v>99260.877734369788</v>
      </c>
      <c r="M221" s="55">
        <v>52.6</v>
      </c>
      <c r="N221" s="55">
        <v>17.100000000000001</v>
      </c>
      <c r="O221" s="56">
        <v>0.65273000000000003</v>
      </c>
      <c r="P221" s="55">
        <v>16.100000000000001</v>
      </c>
      <c r="Q221" s="17">
        <v>60</v>
      </c>
      <c r="R221" s="17">
        <v>62</v>
      </c>
      <c r="S221" s="17">
        <v>63</v>
      </c>
      <c r="T221" s="17">
        <v>65</v>
      </c>
      <c r="U221" s="17">
        <v>65</v>
      </c>
      <c r="V221" s="17">
        <v>65</v>
      </c>
      <c r="W221" s="17">
        <v>67</v>
      </c>
      <c r="X221" s="3">
        <v>97</v>
      </c>
    </row>
    <row r="222" spans="1:24" s="3" customFormat="1" x14ac:dyDescent="0.25">
      <c r="A222" s="16" t="s">
        <v>1339</v>
      </c>
      <c r="B222" s="17" t="s">
        <v>10</v>
      </c>
      <c r="C222" s="17" t="s">
        <v>836</v>
      </c>
      <c r="D222" s="18" t="s">
        <v>64</v>
      </c>
      <c r="E222" s="18" t="s">
        <v>1798</v>
      </c>
      <c r="F222" s="18">
        <v>5.94</v>
      </c>
      <c r="G222" s="22">
        <v>2.2599999999999998</v>
      </c>
      <c r="H222" s="17">
        <v>7.69</v>
      </c>
      <c r="I222" s="25">
        <v>17.922948073701846</v>
      </c>
      <c r="J222" s="24">
        <f>G222/F222*((100-H222)/100)*((100-I222)/100)*100</f>
        <v>28.826538415985649</v>
      </c>
      <c r="K222" s="53">
        <v>5.5011933174224348</v>
      </c>
      <c r="L222" s="54">
        <f>J222*10000/K222</f>
        <v>52400.51885595655</v>
      </c>
      <c r="M222" s="55">
        <v>51.6</v>
      </c>
      <c r="N222" s="55">
        <v>17.7</v>
      </c>
      <c r="O222" s="56">
        <v>1.1412</v>
      </c>
      <c r="P222" s="55">
        <v>10.3</v>
      </c>
      <c r="Q222" s="17">
        <v>60</v>
      </c>
      <c r="R222" s="17">
        <v>62</v>
      </c>
      <c r="S222" s="17">
        <v>63</v>
      </c>
      <c r="T222" s="17">
        <v>65</v>
      </c>
      <c r="U222" s="17">
        <v>65</v>
      </c>
      <c r="V222" s="17">
        <v>65</v>
      </c>
      <c r="W222" s="17">
        <v>67</v>
      </c>
      <c r="X222" s="3">
        <v>97</v>
      </c>
    </row>
    <row r="223" spans="1:24" s="3" customFormat="1" x14ac:dyDescent="0.25">
      <c r="A223" s="16" t="s">
        <v>1379</v>
      </c>
      <c r="B223" s="17" t="s">
        <v>10</v>
      </c>
      <c r="C223" s="17" t="s">
        <v>836</v>
      </c>
      <c r="D223" s="18" t="s">
        <v>37</v>
      </c>
      <c r="E223" s="18" t="s">
        <v>1736</v>
      </c>
      <c r="F223" s="18">
        <v>5.94</v>
      </c>
      <c r="G223" s="22">
        <v>2.1</v>
      </c>
      <c r="H223" s="17">
        <v>7.69</v>
      </c>
      <c r="I223" s="25">
        <v>5.6262042389209999</v>
      </c>
      <c r="J223" s="24">
        <f>G223/F223*((100-H223)/100)*((100-I223)/100)*100</f>
        <v>30.798745256028496</v>
      </c>
      <c r="K223" s="53">
        <v>5.2391073326248669</v>
      </c>
      <c r="L223" s="54">
        <f>J223*10000/K223</f>
        <v>58786.246016070625</v>
      </c>
      <c r="M223" s="55">
        <v>50.6</v>
      </c>
      <c r="N223" s="55">
        <v>16.899999999999999</v>
      </c>
      <c r="O223" s="56">
        <v>-0.44169000000000003</v>
      </c>
      <c r="P223" s="55">
        <v>12.9</v>
      </c>
      <c r="Q223" s="17">
        <v>60</v>
      </c>
      <c r="R223" s="17">
        <v>62</v>
      </c>
      <c r="S223" s="17">
        <v>63</v>
      </c>
      <c r="T223" s="17">
        <v>65</v>
      </c>
      <c r="U223" s="17">
        <v>65</v>
      </c>
      <c r="V223" s="17">
        <v>65</v>
      </c>
      <c r="W223" s="17">
        <v>67</v>
      </c>
      <c r="X223" s="3">
        <v>97</v>
      </c>
    </row>
    <row r="224" spans="1:24" s="3" customFormat="1" x14ac:dyDescent="0.25">
      <c r="A224" s="16" t="s">
        <v>1387</v>
      </c>
      <c r="B224" s="17" t="s">
        <v>10</v>
      </c>
      <c r="C224" s="17" t="s">
        <v>836</v>
      </c>
      <c r="D224" s="18" t="s">
        <v>217</v>
      </c>
      <c r="E224" s="18" t="s">
        <v>1547</v>
      </c>
      <c r="F224" s="18">
        <v>5.94</v>
      </c>
      <c r="G224" s="22">
        <v>2.1</v>
      </c>
      <c r="H224" s="17">
        <v>7.69</v>
      </c>
      <c r="I224" s="25">
        <v>8.1191633865863988</v>
      </c>
      <c r="J224" s="24">
        <f>G224/F224*((100-H224)/100)*((100-I224)/100)*100</f>
        <v>29.985171815398726</v>
      </c>
      <c r="K224" s="53">
        <v>4.2100768573868486</v>
      </c>
      <c r="L224" s="54">
        <f>J224*10000/K224</f>
        <v>71222.385792762492</v>
      </c>
      <c r="M224" s="55">
        <v>52.4</v>
      </c>
      <c r="N224" s="55">
        <v>16.899999999999999</v>
      </c>
      <c r="O224" s="56">
        <v>-0.66579999999999995</v>
      </c>
      <c r="P224" s="55">
        <v>11.4</v>
      </c>
      <c r="Q224" s="17">
        <v>60</v>
      </c>
      <c r="R224" s="17">
        <v>62</v>
      </c>
      <c r="S224" s="17">
        <v>63</v>
      </c>
      <c r="T224" s="17">
        <v>65</v>
      </c>
      <c r="U224" s="17">
        <v>65</v>
      </c>
      <c r="V224" s="17">
        <v>65</v>
      </c>
      <c r="W224" s="17">
        <v>67</v>
      </c>
      <c r="X224" s="3">
        <v>97</v>
      </c>
    </row>
    <row r="225" spans="1:24" s="3" customFormat="1" x14ac:dyDescent="0.25">
      <c r="A225" s="16" t="s">
        <v>1440</v>
      </c>
      <c r="B225" s="17" t="s">
        <v>10</v>
      </c>
      <c r="C225" s="17" t="s">
        <v>836</v>
      </c>
      <c r="D225" s="18" t="s">
        <v>80</v>
      </c>
      <c r="E225" s="18" t="s">
        <v>1718</v>
      </c>
      <c r="F225" s="18">
        <v>5.94</v>
      </c>
      <c r="G225" s="22">
        <v>2.5299999999999998</v>
      </c>
      <c r="H225" s="17">
        <v>7.69</v>
      </c>
      <c r="I225" s="25">
        <v>9.2403410400184356</v>
      </c>
      <c r="J225" s="24">
        <f>G225/F225*((100-H225)/100)*((100-I225)/100)*100</f>
        <v>35.684176801426972</v>
      </c>
      <c r="K225" s="53">
        <v>4.6831683168316829</v>
      </c>
      <c r="L225" s="54">
        <f>J225*10000/K225</f>
        <v>76196.656595013192</v>
      </c>
      <c r="M225" s="55">
        <v>51.5</v>
      </c>
      <c r="N225" s="55">
        <v>17.2</v>
      </c>
      <c r="O225" s="56">
        <v>1.7763</v>
      </c>
      <c r="P225" s="55">
        <v>20.3</v>
      </c>
      <c r="Q225" s="17">
        <v>60</v>
      </c>
      <c r="R225" s="17">
        <v>62</v>
      </c>
      <c r="S225" s="17">
        <v>63</v>
      </c>
      <c r="T225" s="17">
        <v>65</v>
      </c>
      <c r="U225" s="17">
        <v>65</v>
      </c>
      <c r="V225" s="17">
        <v>65</v>
      </c>
      <c r="W225" s="17">
        <v>67</v>
      </c>
      <c r="X225" s="3">
        <v>97</v>
      </c>
    </row>
    <row r="226" spans="1:24" s="3" customFormat="1" x14ac:dyDescent="0.25">
      <c r="A226" s="16" t="s">
        <v>835</v>
      </c>
      <c r="B226" s="17" t="s">
        <v>7</v>
      </c>
      <c r="C226" s="17" t="s">
        <v>836</v>
      </c>
      <c r="D226" s="18" t="s">
        <v>75</v>
      </c>
      <c r="E226" s="18" t="s">
        <v>1808</v>
      </c>
      <c r="F226" s="18">
        <v>5.94</v>
      </c>
      <c r="G226" s="17">
        <v>2.97</v>
      </c>
      <c r="H226" s="17">
        <v>8.93</v>
      </c>
      <c r="I226" s="25">
        <v>6.2288526607197747</v>
      </c>
      <c r="J226" s="24">
        <f>G226/F226*((100-H226)/100)*((100-I226)/100)*100</f>
        <v>42.698691940941238</v>
      </c>
      <c r="K226" s="53">
        <v>4.6432264736297828</v>
      </c>
      <c r="L226" s="54">
        <f>J226*10000/K226</f>
        <v>91959.098233608413</v>
      </c>
      <c r="M226" s="55">
        <v>51.8</v>
      </c>
      <c r="N226" s="55">
        <v>17.5</v>
      </c>
      <c r="O226" s="56">
        <v>3.0099</v>
      </c>
      <c r="P226" s="55">
        <v>15.3</v>
      </c>
      <c r="Q226" s="17">
        <v>60</v>
      </c>
      <c r="R226" s="17">
        <v>62</v>
      </c>
      <c r="S226" s="17">
        <v>63</v>
      </c>
      <c r="T226" s="17">
        <v>65</v>
      </c>
      <c r="U226" s="17">
        <v>65</v>
      </c>
      <c r="V226" s="17">
        <v>65</v>
      </c>
      <c r="W226" s="17">
        <v>67</v>
      </c>
      <c r="X226" s="3">
        <v>97</v>
      </c>
    </row>
    <row r="227" spans="1:24" s="3" customFormat="1" x14ac:dyDescent="0.25">
      <c r="A227" s="16" t="s">
        <v>897</v>
      </c>
      <c r="B227" s="17" t="s">
        <v>7</v>
      </c>
      <c r="C227" s="17" t="s">
        <v>836</v>
      </c>
      <c r="D227" s="18" t="s">
        <v>37</v>
      </c>
      <c r="E227" s="18" t="s">
        <v>1736</v>
      </c>
      <c r="F227" s="18">
        <v>5.94</v>
      </c>
      <c r="G227" s="22">
        <v>2.16</v>
      </c>
      <c r="H227" s="17">
        <v>8.93</v>
      </c>
      <c r="I227" s="25">
        <v>3.6354651983622799</v>
      </c>
      <c r="J227" s="24">
        <f>G227/F227*((100-H227)/100)*((100-I227)/100)*100</f>
        <v>31.912429761400535</v>
      </c>
      <c r="K227" s="53">
        <v>5.5839416058394162</v>
      </c>
      <c r="L227" s="54">
        <f>J227*10000/K227</f>
        <v>57150.364409305526</v>
      </c>
      <c r="M227" s="55">
        <v>49.9</v>
      </c>
      <c r="N227" s="55">
        <v>17.899999999999999</v>
      </c>
      <c r="O227" s="56">
        <v>-6.1934999999999997E-2</v>
      </c>
      <c r="P227" s="55">
        <v>12.5</v>
      </c>
      <c r="Q227" s="17">
        <v>60</v>
      </c>
      <c r="R227" s="17">
        <v>62</v>
      </c>
      <c r="S227" s="17">
        <v>63</v>
      </c>
      <c r="T227" s="17">
        <v>65</v>
      </c>
      <c r="U227" s="17">
        <v>65</v>
      </c>
      <c r="V227" s="17">
        <v>65</v>
      </c>
      <c r="W227" s="17">
        <v>67</v>
      </c>
      <c r="X227" s="3">
        <v>97</v>
      </c>
    </row>
    <row r="228" spans="1:24" s="3" customFormat="1" x14ac:dyDescent="0.25">
      <c r="A228" s="16" t="s">
        <v>904</v>
      </c>
      <c r="B228" s="17" t="s">
        <v>7</v>
      </c>
      <c r="C228" s="17" t="s">
        <v>836</v>
      </c>
      <c r="D228" s="18" t="s">
        <v>32</v>
      </c>
      <c r="E228" s="18" t="s">
        <v>1810</v>
      </c>
      <c r="F228" s="18">
        <v>5.94</v>
      </c>
      <c r="G228" s="22">
        <v>3.27</v>
      </c>
      <c r="H228" s="17">
        <v>8.93</v>
      </c>
      <c r="I228" s="25">
        <v>5.8373971904796438</v>
      </c>
      <c r="J228" s="24">
        <f>G228/F228*((100-H228)/100)*((100-I228)/100)*100</f>
        <v>47.207945349851968</v>
      </c>
      <c r="K228" s="53">
        <v>4.273897058823529</v>
      </c>
      <c r="L228" s="54">
        <f>J228*10000/K228</f>
        <v>110456.43987234181</v>
      </c>
      <c r="M228" s="55">
        <v>51.3</v>
      </c>
      <c r="N228" s="55">
        <v>16.7</v>
      </c>
      <c r="O228" s="56">
        <v>1.2464</v>
      </c>
      <c r="P228" s="55">
        <v>16.7</v>
      </c>
      <c r="Q228" s="17">
        <v>60</v>
      </c>
      <c r="R228" s="17">
        <v>62</v>
      </c>
      <c r="S228" s="17">
        <v>63</v>
      </c>
      <c r="T228" s="17">
        <v>65</v>
      </c>
      <c r="U228" s="17">
        <v>65</v>
      </c>
      <c r="V228" s="17">
        <v>65</v>
      </c>
      <c r="W228" s="17">
        <v>67</v>
      </c>
      <c r="X228" s="3">
        <v>97</v>
      </c>
    </row>
    <row r="229" spans="1:24" s="3" customFormat="1" x14ac:dyDescent="0.25">
      <c r="A229" s="16" t="s">
        <v>939</v>
      </c>
      <c r="B229" s="17" t="s">
        <v>7</v>
      </c>
      <c r="C229" s="17" t="s">
        <v>836</v>
      </c>
      <c r="D229" s="18" t="s">
        <v>12</v>
      </c>
      <c r="E229" s="18" t="s">
        <v>1708</v>
      </c>
      <c r="F229" s="18">
        <v>5.94</v>
      </c>
      <c r="G229" s="22">
        <v>2.12</v>
      </c>
      <c r="H229" s="17">
        <v>8.93</v>
      </c>
      <c r="I229" s="25">
        <v>5.4369714055577925</v>
      </c>
      <c r="J229" s="24">
        <f>G229/F229*((100-H229)/100)*((100-I229)/100)*100</f>
        <v>30.73591351832189</v>
      </c>
      <c r="K229" s="53">
        <v>5.0687830687830688</v>
      </c>
      <c r="L229" s="54">
        <f>J229*10000/K229</f>
        <v>60637.658193766569</v>
      </c>
      <c r="M229" s="55">
        <v>49.6</v>
      </c>
      <c r="N229" s="55">
        <v>17.7</v>
      </c>
      <c r="O229" s="56">
        <v>3.9489000000000001</v>
      </c>
      <c r="P229" s="55">
        <v>14.8</v>
      </c>
      <c r="Q229" s="17">
        <v>60</v>
      </c>
      <c r="R229" s="17">
        <v>62</v>
      </c>
      <c r="S229" s="17">
        <v>63</v>
      </c>
      <c r="T229" s="17">
        <v>65</v>
      </c>
      <c r="U229" s="17">
        <v>65</v>
      </c>
      <c r="V229" s="17">
        <v>65</v>
      </c>
      <c r="W229" s="17">
        <v>67</v>
      </c>
      <c r="X229" s="3">
        <v>97</v>
      </c>
    </row>
    <row r="230" spans="1:24" s="3" customFormat="1" x14ac:dyDescent="0.25">
      <c r="A230" s="16" t="s">
        <v>1005</v>
      </c>
      <c r="B230" s="17" t="s">
        <v>7</v>
      </c>
      <c r="C230" s="17" t="s">
        <v>836</v>
      </c>
      <c r="D230" s="18" t="s">
        <v>281</v>
      </c>
      <c r="E230" s="18" t="s">
        <v>1612</v>
      </c>
      <c r="F230" s="18">
        <v>5.94</v>
      </c>
      <c r="G230" s="22">
        <v>2.23</v>
      </c>
      <c r="H230" s="17">
        <v>8.93</v>
      </c>
      <c r="I230" s="25">
        <v>7.8812234873855802</v>
      </c>
      <c r="J230" s="24">
        <f>G230/F230*((100-H230)/100)*((100-I230)/100)*100</f>
        <v>31.49502198437451</v>
      </c>
      <c r="K230" s="53">
        <v>4.8755186721991706</v>
      </c>
      <c r="L230" s="54">
        <f>J230*10000/K230</f>
        <v>64598.300410504315</v>
      </c>
      <c r="M230" s="55">
        <v>48.9</v>
      </c>
      <c r="N230" s="55">
        <v>16.5</v>
      </c>
      <c r="O230" s="56">
        <v>3.6084000000000001</v>
      </c>
      <c r="P230" s="55">
        <v>15.8</v>
      </c>
      <c r="Q230" s="17">
        <v>60</v>
      </c>
      <c r="R230" s="17">
        <v>62</v>
      </c>
      <c r="S230" s="17">
        <v>63</v>
      </c>
      <c r="T230" s="17">
        <v>65</v>
      </c>
      <c r="U230" s="17">
        <v>65</v>
      </c>
      <c r="V230" s="17">
        <v>65</v>
      </c>
      <c r="W230" s="17">
        <v>67</v>
      </c>
      <c r="X230" s="3">
        <v>97</v>
      </c>
    </row>
    <row r="231" spans="1:24" s="3" customFormat="1" x14ac:dyDescent="0.25">
      <c r="A231" s="66" t="s">
        <v>1025</v>
      </c>
      <c r="B231" s="17" t="s">
        <v>7</v>
      </c>
      <c r="C231" s="17" t="s">
        <v>836</v>
      </c>
      <c r="D231" s="18" t="s">
        <v>110</v>
      </c>
      <c r="E231" s="18" t="s">
        <v>1822</v>
      </c>
      <c r="F231" s="18">
        <v>5.94</v>
      </c>
      <c r="G231" s="22">
        <v>0.83</v>
      </c>
      <c r="H231" s="17">
        <v>8.93</v>
      </c>
      <c r="I231" s="25">
        <v>8.7876676537188541</v>
      </c>
      <c r="J231" s="24">
        <f>G231/F231*((100-H231)/100)*((100-I231)/100)*100</f>
        <v>11.607014980848369</v>
      </c>
      <c r="K231" s="53">
        <v>4.6534653465346532</v>
      </c>
      <c r="L231" s="54">
        <f>J231*10000/K231</f>
        <v>24942.734320546497</v>
      </c>
      <c r="M231" s="55">
        <v>46.4</v>
      </c>
      <c r="N231" s="55">
        <v>22</v>
      </c>
      <c r="O231" s="56">
        <v>41.165999999999997</v>
      </c>
      <c r="P231" s="55">
        <v>60.8</v>
      </c>
      <c r="Q231" s="17">
        <v>60</v>
      </c>
      <c r="R231" s="17">
        <v>62</v>
      </c>
      <c r="S231" s="17">
        <v>63</v>
      </c>
      <c r="T231" s="17">
        <v>65</v>
      </c>
      <c r="U231" s="17">
        <v>65</v>
      </c>
      <c r="V231" s="17">
        <v>65</v>
      </c>
      <c r="W231" s="17">
        <v>67</v>
      </c>
      <c r="X231" s="3">
        <v>97</v>
      </c>
    </row>
    <row r="232" spans="1:24" s="3" customFormat="1" x14ac:dyDescent="0.25">
      <c r="A232" s="16" t="s">
        <v>1410</v>
      </c>
      <c r="B232" s="17" t="s">
        <v>10</v>
      </c>
      <c r="C232" s="17" t="s">
        <v>836</v>
      </c>
      <c r="D232" s="18" t="s">
        <v>72</v>
      </c>
      <c r="E232" s="18" t="s">
        <v>1772</v>
      </c>
      <c r="F232" s="18">
        <v>5.94</v>
      </c>
      <c r="G232" s="22">
        <v>2.4700000000000002</v>
      </c>
      <c r="H232" s="17">
        <v>7.69</v>
      </c>
      <c r="I232" s="25">
        <v>7.5966641394996284</v>
      </c>
      <c r="J232" s="24">
        <f>G232/F232*((100-H232)/100)*((100-I232)/100)*100</f>
        <v>35.468833796647289</v>
      </c>
      <c r="K232" s="53">
        <v>5.7464454976303321</v>
      </c>
      <c r="L232" s="54">
        <f>J232*10000/K232</f>
        <v>61723.08396777384</v>
      </c>
      <c r="M232" s="55">
        <v>52.3</v>
      </c>
      <c r="N232" s="55">
        <v>16</v>
      </c>
      <c r="O232" s="56">
        <v>2.3298000000000001</v>
      </c>
      <c r="P232" s="55">
        <v>18.399999999999999</v>
      </c>
      <c r="Q232" s="17">
        <v>61</v>
      </c>
      <c r="R232" s="17">
        <v>62</v>
      </c>
      <c r="S232" s="17">
        <v>63</v>
      </c>
      <c r="T232" s="17">
        <v>65</v>
      </c>
      <c r="U232" s="17">
        <v>65</v>
      </c>
      <c r="V232" s="17">
        <v>65</v>
      </c>
      <c r="W232" s="17">
        <v>67</v>
      </c>
      <c r="X232" s="3">
        <v>97</v>
      </c>
    </row>
    <row r="233" spans="1:24" s="3" customFormat="1" x14ac:dyDescent="0.25">
      <c r="A233" s="16" t="s">
        <v>1407</v>
      </c>
      <c r="B233" s="17" t="s">
        <v>10</v>
      </c>
      <c r="C233" s="17" t="s">
        <v>836</v>
      </c>
      <c r="D233" s="18" t="s">
        <v>95</v>
      </c>
      <c r="E233" s="18" t="s">
        <v>1650</v>
      </c>
      <c r="F233" s="18">
        <v>5.94</v>
      </c>
      <c r="G233" s="22">
        <v>1.99</v>
      </c>
      <c r="H233" s="17">
        <v>7.69</v>
      </c>
      <c r="I233" s="25">
        <v>9.3451409927755673</v>
      </c>
      <c r="J233" s="24">
        <f>G233/F233*((100-H233)/100)*((100-I233)/100)*100</f>
        <v>28.035381430242769</v>
      </c>
      <c r="K233" s="53">
        <v>5.1229946524064172</v>
      </c>
      <c r="L233" s="54">
        <f>J233*10000/K233</f>
        <v>54724.596319993718</v>
      </c>
      <c r="M233" s="55">
        <v>51.3</v>
      </c>
      <c r="N233" s="55">
        <v>15.9</v>
      </c>
      <c r="O233" s="56">
        <v>-4.5255999999999998</v>
      </c>
      <c r="P233" s="55">
        <v>12.4</v>
      </c>
      <c r="Q233" s="17">
        <v>60</v>
      </c>
      <c r="R233" s="17">
        <v>61</v>
      </c>
      <c r="S233" s="17">
        <v>64</v>
      </c>
      <c r="T233" s="17">
        <v>65</v>
      </c>
      <c r="U233" s="17">
        <v>65</v>
      </c>
      <c r="V233" s="17">
        <v>65</v>
      </c>
      <c r="W233" s="17">
        <v>67</v>
      </c>
      <c r="X233" s="3">
        <v>97</v>
      </c>
    </row>
    <row r="234" spans="1:24" s="3" customFormat="1" x14ac:dyDescent="0.25">
      <c r="A234" s="58" t="s">
        <v>1269</v>
      </c>
      <c r="B234" s="59" t="s">
        <v>10</v>
      </c>
      <c r="C234" s="59" t="s">
        <v>836</v>
      </c>
      <c r="D234" s="60" t="s">
        <v>58</v>
      </c>
      <c r="E234" s="18" t="s">
        <v>1778</v>
      </c>
      <c r="F234" s="60">
        <v>5.94</v>
      </c>
      <c r="G234" s="61" t="s">
        <v>424</v>
      </c>
      <c r="H234" s="61" t="s">
        <v>424</v>
      </c>
      <c r="I234" s="61" t="s">
        <v>424</v>
      </c>
      <c r="J234" s="61" t="s">
        <v>424</v>
      </c>
      <c r="K234" s="61" t="s">
        <v>424</v>
      </c>
      <c r="L234" s="61" t="s">
        <v>424</v>
      </c>
      <c r="M234" s="61" t="s">
        <v>424</v>
      </c>
      <c r="N234" s="61" t="s">
        <v>424</v>
      </c>
      <c r="O234" s="61" t="s">
        <v>424</v>
      </c>
      <c r="P234" s="61" t="s">
        <v>424</v>
      </c>
      <c r="Q234" s="17">
        <v>60</v>
      </c>
      <c r="R234" s="17">
        <v>62</v>
      </c>
      <c r="S234" s="17">
        <v>64</v>
      </c>
      <c r="T234" s="17">
        <v>65</v>
      </c>
      <c r="U234" s="17">
        <v>65</v>
      </c>
      <c r="V234" s="17">
        <v>65</v>
      </c>
      <c r="W234" s="17">
        <v>67</v>
      </c>
      <c r="X234" s="3">
        <v>97</v>
      </c>
    </row>
    <row r="235" spans="1:24" s="3" customFormat="1" x14ac:dyDescent="0.25">
      <c r="A235" s="16" t="s">
        <v>849</v>
      </c>
      <c r="B235" s="17" t="s">
        <v>7</v>
      </c>
      <c r="C235" s="17" t="s">
        <v>836</v>
      </c>
      <c r="D235" s="18" t="s">
        <v>50</v>
      </c>
      <c r="E235" s="18" t="s">
        <v>1758</v>
      </c>
      <c r="F235" s="18">
        <v>5.94</v>
      </c>
      <c r="G235" s="22">
        <v>2.14</v>
      </c>
      <c r="H235" s="17">
        <v>8.93</v>
      </c>
      <c r="I235" s="25">
        <v>4.1880015284677032</v>
      </c>
      <c r="J235" s="24">
        <f>G235/F235*((100-H235)/100)*((100-I235)/100)*100</f>
        <v>31.435658619052575</v>
      </c>
      <c r="K235" s="53">
        <v>4.5471349353049906</v>
      </c>
      <c r="L235" s="54">
        <f>J235*10000/K235</f>
        <v>69132.891515883908</v>
      </c>
      <c r="M235" s="55">
        <v>51.3</v>
      </c>
      <c r="N235" s="55">
        <v>18.399999999999999</v>
      </c>
      <c r="O235" s="56">
        <v>4.2611999999999997</v>
      </c>
      <c r="P235" s="55">
        <v>15.7</v>
      </c>
      <c r="Q235" s="17">
        <v>60</v>
      </c>
      <c r="R235" s="17">
        <v>62</v>
      </c>
      <c r="S235" s="17">
        <v>64</v>
      </c>
      <c r="T235" s="17">
        <v>65</v>
      </c>
      <c r="U235" s="17">
        <v>65</v>
      </c>
      <c r="V235" s="17">
        <v>65</v>
      </c>
      <c r="W235" s="17">
        <v>67</v>
      </c>
      <c r="X235" s="3">
        <v>97</v>
      </c>
    </row>
    <row r="236" spans="1:24" s="3" customFormat="1" x14ac:dyDescent="0.25">
      <c r="A236" s="16" t="s">
        <v>1271</v>
      </c>
      <c r="B236" s="17" t="s">
        <v>10</v>
      </c>
      <c r="C236" s="17" t="s">
        <v>836</v>
      </c>
      <c r="D236" s="18" t="s">
        <v>32</v>
      </c>
      <c r="E236" s="18" t="s">
        <v>1810</v>
      </c>
      <c r="F236" s="18">
        <v>5.94</v>
      </c>
      <c r="G236" s="22">
        <v>2.21</v>
      </c>
      <c r="H236" s="17">
        <v>7.69</v>
      </c>
      <c r="I236" s="25">
        <v>8.0509455808568173</v>
      </c>
      <c r="J236" s="24">
        <f>G236/F236*((100-H236)/100)*((100-I236)/100)*100</f>
        <v>31.579252595425501</v>
      </c>
      <c r="K236" s="53">
        <v>4.3321299638989172</v>
      </c>
      <c r="L236" s="54">
        <f>J236*10000/K236</f>
        <v>72895.441407773862</v>
      </c>
      <c r="M236" s="55">
        <v>50.5</v>
      </c>
      <c r="N236" s="55">
        <v>17.3</v>
      </c>
      <c r="O236" s="56">
        <v>4.3765000000000001</v>
      </c>
      <c r="P236" s="55">
        <v>15.7</v>
      </c>
      <c r="Q236" s="17">
        <v>61</v>
      </c>
      <c r="R236" s="17">
        <v>62</v>
      </c>
      <c r="S236" s="17">
        <v>64</v>
      </c>
      <c r="T236" s="17">
        <v>65</v>
      </c>
      <c r="U236" s="17">
        <v>65</v>
      </c>
      <c r="V236" s="17">
        <v>65</v>
      </c>
      <c r="W236" s="17">
        <v>67</v>
      </c>
      <c r="X236" s="3">
        <v>97</v>
      </c>
    </row>
    <row r="237" spans="1:24" s="3" customFormat="1" x14ac:dyDescent="0.25">
      <c r="A237" s="16" t="s">
        <v>1398</v>
      </c>
      <c r="B237" s="17" t="s">
        <v>10</v>
      </c>
      <c r="C237" s="17" t="s">
        <v>836</v>
      </c>
      <c r="D237" s="18" t="s">
        <v>40</v>
      </c>
      <c r="E237" s="18" t="s">
        <v>1590</v>
      </c>
      <c r="F237" s="18">
        <v>5.94</v>
      </c>
      <c r="G237" s="22">
        <v>1.75</v>
      </c>
      <c r="H237" s="17">
        <v>7.69</v>
      </c>
      <c r="I237" s="25">
        <v>8.5626441199077643</v>
      </c>
      <c r="J237" s="24">
        <f>G237/F237*((100-H237)/100)*((100-I237)/100)*100</f>
        <v>24.867035458349832</v>
      </c>
      <c r="K237" s="53">
        <v>5.0924024640657084</v>
      </c>
      <c r="L237" s="54">
        <f>J237*10000/K237</f>
        <v>48831.638178291811</v>
      </c>
      <c r="M237" s="55">
        <v>50.7</v>
      </c>
      <c r="N237" s="55">
        <v>16.7</v>
      </c>
      <c r="O237" s="56">
        <v>1.8001</v>
      </c>
      <c r="P237" s="55">
        <v>15.5</v>
      </c>
      <c r="Q237" s="17">
        <v>61</v>
      </c>
      <c r="R237" s="17">
        <v>62</v>
      </c>
      <c r="S237" s="17">
        <v>64</v>
      </c>
      <c r="T237" s="17">
        <v>65</v>
      </c>
      <c r="U237" s="17">
        <v>65</v>
      </c>
      <c r="V237" s="17">
        <v>65</v>
      </c>
      <c r="W237" s="17">
        <v>67</v>
      </c>
      <c r="X237" s="3">
        <v>97</v>
      </c>
    </row>
    <row r="238" spans="1:24" s="3" customFormat="1" x14ac:dyDescent="0.25">
      <c r="A238" s="16" t="s">
        <v>902</v>
      </c>
      <c r="B238" s="17" t="s">
        <v>7</v>
      </c>
      <c r="C238" s="17" t="s">
        <v>836</v>
      </c>
      <c r="D238" s="18" t="s">
        <v>64</v>
      </c>
      <c r="E238" s="18" t="s">
        <v>1798</v>
      </c>
      <c r="F238" s="18">
        <v>5.94</v>
      </c>
      <c r="G238" s="22">
        <v>2.2200000000000002</v>
      </c>
      <c r="H238" s="17">
        <v>8.93</v>
      </c>
      <c r="I238" s="25">
        <v>8.9624791128664736</v>
      </c>
      <c r="J238" s="24">
        <f>G238/F238*((100-H238)/100)*((100-I238)/100)*100</f>
        <v>30.985769697583461</v>
      </c>
      <c r="K238" s="53">
        <v>5.324232081911263</v>
      </c>
      <c r="L238" s="54">
        <f>J238*10000/K238</f>
        <v>58197.631547384321</v>
      </c>
      <c r="M238" s="55">
        <v>52.8</v>
      </c>
      <c r="N238" s="55">
        <v>16.7</v>
      </c>
      <c r="O238" s="56">
        <v>2.4706999999999999</v>
      </c>
      <c r="P238" s="55">
        <v>13.1</v>
      </c>
      <c r="Q238" s="17">
        <v>60</v>
      </c>
      <c r="R238" s="17">
        <v>63</v>
      </c>
      <c r="S238" s="17">
        <v>64</v>
      </c>
      <c r="T238" s="17">
        <v>65</v>
      </c>
      <c r="U238" s="17">
        <v>65</v>
      </c>
      <c r="V238" s="17">
        <v>65</v>
      </c>
      <c r="W238" s="17">
        <v>65</v>
      </c>
      <c r="X238" s="3">
        <v>97</v>
      </c>
    </row>
    <row r="239" spans="1:24" s="3" customFormat="1" x14ac:dyDescent="0.25">
      <c r="A239" s="66" t="s">
        <v>1019</v>
      </c>
      <c r="B239" s="17" t="s">
        <v>7</v>
      </c>
      <c r="C239" s="17" t="s">
        <v>836</v>
      </c>
      <c r="D239" s="18" t="s">
        <v>113</v>
      </c>
      <c r="E239" s="18" t="s">
        <v>1846</v>
      </c>
      <c r="F239" s="18">
        <v>5.94</v>
      </c>
      <c r="G239" s="22">
        <v>1.1100000000000001</v>
      </c>
      <c r="H239" s="17">
        <v>8.93</v>
      </c>
      <c r="I239" s="25">
        <v>8.4477207253007958</v>
      </c>
      <c r="J239" s="24">
        <f>G239/F239*((100-H239)/100)*((100-I239)/100)*100</f>
        <v>15.580487107133015</v>
      </c>
      <c r="K239" s="53">
        <v>4.8790746582544688</v>
      </c>
      <c r="L239" s="54">
        <f>J239*10000/K239</f>
        <v>31933.282842421333</v>
      </c>
      <c r="M239" s="55">
        <v>47.8</v>
      </c>
      <c r="N239" s="55">
        <v>21.9</v>
      </c>
      <c r="O239" s="56">
        <v>47.322000000000003</v>
      </c>
      <c r="P239" s="55">
        <v>57.8</v>
      </c>
      <c r="Q239" s="17">
        <v>60</v>
      </c>
      <c r="R239" s="17">
        <v>63</v>
      </c>
      <c r="S239" s="17">
        <v>64</v>
      </c>
      <c r="T239" s="17">
        <v>65</v>
      </c>
      <c r="U239" s="17">
        <v>65</v>
      </c>
      <c r="V239" s="17">
        <v>65</v>
      </c>
      <c r="W239" s="17">
        <v>67</v>
      </c>
      <c r="X239" s="3">
        <v>97</v>
      </c>
    </row>
    <row r="240" spans="1:24" s="3" customFormat="1" x14ac:dyDescent="0.25">
      <c r="A240" s="16" t="s">
        <v>1399</v>
      </c>
      <c r="B240" s="17" t="s">
        <v>10</v>
      </c>
      <c r="C240" s="17" t="s">
        <v>836</v>
      </c>
      <c r="D240" s="18" t="s">
        <v>24</v>
      </c>
      <c r="E240" s="18" t="s">
        <v>1784</v>
      </c>
      <c r="F240" s="18">
        <v>5.94</v>
      </c>
      <c r="G240" s="22">
        <v>2.39</v>
      </c>
      <c r="H240" s="17">
        <v>7.69</v>
      </c>
      <c r="I240" s="25">
        <v>9.3879747808703744</v>
      </c>
      <c r="J240" s="24">
        <f>G240/F240*((100-H240)/100)*((100-I240)/100)*100</f>
        <v>33.654724839506862</v>
      </c>
      <c r="K240" s="53">
        <v>4.91</v>
      </c>
      <c r="L240" s="54">
        <f>J240*10000/K240</f>
        <v>68543.227779036373</v>
      </c>
      <c r="M240" s="55">
        <v>52.1</v>
      </c>
      <c r="N240" s="55">
        <v>15.5</v>
      </c>
      <c r="O240" s="56">
        <v>2.0192999999999999</v>
      </c>
      <c r="P240" s="55">
        <v>13.3</v>
      </c>
      <c r="Q240" s="17">
        <v>61</v>
      </c>
      <c r="R240" s="17">
        <v>63</v>
      </c>
      <c r="S240" s="17">
        <v>64</v>
      </c>
      <c r="T240" s="17">
        <v>65</v>
      </c>
      <c r="U240" s="17">
        <v>65</v>
      </c>
      <c r="V240" s="17">
        <v>65</v>
      </c>
      <c r="W240" s="17">
        <v>65</v>
      </c>
      <c r="X240" s="3">
        <v>97</v>
      </c>
    </row>
    <row r="241" spans="1:24" s="3" customFormat="1" x14ac:dyDescent="0.25">
      <c r="A241" s="16" t="s">
        <v>1446</v>
      </c>
      <c r="B241" s="17" t="s">
        <v>10</v>
      </c>
      <c r="C241" s="17" t="s">
        <v>836</v>
      </c>
      <c r="D241" s="18" t="s">
        <v>99</v>
      </c>
      <c r="E241" s="18" t="s">
        <v>1646</v>
      </c>
      <c r="F241" s="18">
        <v>5.94</v>
      </c>
      <c r="G241" s="22">
        <v>1.65</v>
      </c>
      <c r="H241" s="17">
        <v>7.69</v>
      </c>
      <c r="I241" s="25">
        <v>12.07733189555573</v>
      </c>
      <c r="J241" s="24">
        <f>G241/F241*((100-H241)/100)*((100-I241)/100)*100</f>
        <v>22.544837479781247</v>
      </c>
      <c r="K241" s="53">
        <v>5.186813186813187</v>
      </c>
      <c r="L241" s="54">
        <f>J241*10000/K241</f>
        <v>43465.682429239263</v>
      </c>
      <c r="M241" s="55">
        <v>50.3</v>
      </c>
      <c r="N241" s="55">
        <v>18.600000000000001</v>
      </c>
      <c r="O241" s="56">
        <v>3.4895999999999998</v>
      </c>
      <c r="P241" s="55">
        <v>21.4</v>
      </c>
      <c r="Q241" s="17">
        <v>61</v>
      </c>
      <c r="R241" s="17">
        <v>63</v>
      </c>
      <c r="S241" s="17">
        <v>64</v>
      </c>
      <c r="T241" s="17">
        <v>65</v>
      </c>
      <c r="U241" s="17">
        <v>65</v>
      </c>
      <c r="V241" s="17">
        <v>65</v>
      </c>
      <c r="W241" s="17">
        <v>67</v>
      </c>
      <c r="X241" s="3">
        <v>97</v>
      </c>
    </row>
    <row r="242" spans="1:24" s="3" customFormat="1" x14ac:dyDescent="0.25">
      <c r="A242" s="66" t="s">
        <v>1252</v>
      </c>
      <c r="B242" s="17" t="s">
        <v>10</v>
      </c>
      <c r="C242" s="17" t="s">
        <v>836</v>
      </c>
      <c r="D242" s="18" t="s">
        <v>119</v>
      </c>
      <c r="E242" s="18" t="s">
        <v>1826</v>
      </c>
      <c r="F242" s="18">
        <v>5.94</v>
      </c>
      <c r="G242" s="22">
        <v>0.81</v>
      </c>
      <c r="H242" s="17">
        <v>7.69</v>
      </c>
      <c r="I242" s="25">
        <v>21.524015890213061</v>
      </c>
      <c r="J242" s="24">
        <f>G242/F242*((100-H242)/100)*((100-I242)/100)*100</f>
        <v>9.8783428543287712</v>
      </c>
      <c r="K242" s="53">
        <v>4.7906026557711954</v>
      </c>
      <c r="L242" s="54">
        <f>J242*10000/K242</f>
        <v>20620.250862234258</v>
      </c>
      <c r="M242" s="55">
        <v>46.9</v>
      </c>
      <c r="N242" s="55">
        <v>23</v>
      </c>
      <c r="O242" s="56">
        <v>35.454000000000001</v>
      </c>
      <c r="P242" s="55">
        <v>62.8</v>
      </c>
      <c r="Q242" s="17">
        <v>60</v>
      </c>
      <c r="R242" s="17">
        <v>62</v>
      </c>
      <c r="S242" s="17">
        <v>65</v>
      </c>
      <c r="T242" s="17">
        <v>65</v>
      </c>
      <c r="U242" s="17">
        <v>65</v>
      </c>
      <c r="V242" s="17">
        <v>65</v>
      </c>
      <c r="W242" s="17">
        <v>67</v>
      </c>
      <c r="X242" s="3">
        <v>97</v>
      </c>
    </row>
    <row r="243" spans="1:24" s="3" customFormat="1" x14ac:dyDescent="0.25">
      <c r="A243" s="16" t="s">
        <v>1295</v>
      </c>
      <c r="B243" s="17" t="s">
        <v>10</v>
      </c>
      <c r="C243" s="17" t="s">
        <v>836</v>
      </c>
      <c r="D243" s="18" t="s">
        <v>101</v>
      </c>
      <c r="E243" s="18" t="s">
        <v>1792</v>
      </c>
      <c r="F243" s="18">
        <v>5.94</v>
      </c>
      <c r="G243" s="22">
        <v>2.66</v>
      </c>
      <c r="H243" s="17">
        <v>7.69</v>
      </c>
      <c r="I243" s="25">
        <v>8.3824441687344926</v>
      </c>
      <c r="J243" s="24">
        <f>G243/F243*((100-H243)/100)*((100-I243)/100)*100</f>
        <v>37.87238400600296</v>
      </c>
      <c r="K243" s="53">
        <v>5.1200873362445414</v>
      </c>
      <c r="L243" s="54">
        <f>J243*10000/K243</f>
        <v>73968.238271852257</v>
      </c>
      <c r="M243" s="55">
        <v>52.6</v>
      </c>
      <c r="N243" s="55">
        <v>17.100000000000001</v>
      </c>
      <c r="O243" s="56">
        <v>0.58926000000000001</v>
      </c>
      <c r="P243" s="55">
        <v>15.5</v>
      </c>
      <c r="Q243" s="17">
        <v>60</v>
      </c>
      <c r="R243" s="17">
        <v>62</v>
      </c>
      <c r="S243" s="17">
        <v>65</v>
      </c>
      <c r="T243" s="17">
        <v>65</v>
      </c>
      <c r="U243" s="17">
        <v>65</v>
      </c>
      <c r="V243" s="17">
        <v>65</v>
      </c>
      <c r="W243" s="17">
        <v>67</v>
      </c>
      <c r="X243" s="3">
        <v>97</v>
      </c>
    </row>
    <row r="244" spans="1:24" s="3" customFormat="1" x14ac:dyDescent="0.25">
      <c r="A244" s="16" t="s">
        <v>1324</v>
      </c>
      <c r="B244" s="17" t="s">
        <v>10</v>
      </c>
      <c r="C244" s="17" t="s">
        <v>836</v>
      </c>
      <c r="D244" s="18" t="s">
        <v>44</v>
      </c>
      <c r="E244" s="18" t="s">
        <v>1782</v>
      </c>
      <c r="F244" s="18">
        <v>5.94</v>
      </c>
      <c r="G244" s="22">
        <v>2.48</v>
      </c>
      <c r="H244" s="17">
        <v>7.69</v>
      </c>
      <c r="I244" s="25">
        <v>13.718062384137983</v>
      </c>
      <c r="J244" s="24">
        <f>G244/F244*((100-H244)/100)*((100-I244)/100)*100</f>
        <v>33.253233064097905</v>
      </c>
      <c r="K244" s="53">
        <v>4.7109826589595372</v>
      </c>
      <c r="L244" s="54">
        <f>J244*10000/K244</f>
        <v>70586.617424404147</v>
      </c>
      <c r="M244" s="55">
        <v>53.2</v>
      </c>
      <c r="N244" s="55">
        <v>16.5</v>
      </c>
      <c r="O244" s="56">
        <v>2.2006000000000001</v>
      </c>
      <c r="P244" s="55">
        <v>19.899999999999999</v>
      </c>
      <c r="Q244" s="17">
        <v>60</v>
      </c>
      <c r="R244" s="17">
        <v>62</v>
      </c>
      <c r="S244" s="17">
        <v>65</v>
      </c>
      <c r="T244" s="17">
        <v>65</v>
      </c>
      <c r="U244" s="17">
        <v>65</v>
      </c>
      <c r="V244" s="17">
        <v>65</v>
      </c>
      <c r="W244" s="17">
        <v>67</v>
      </c>
      <c r="X244" s="3">
        <v>97</v>
      </c>
    </row>
    <row r="245" spans="1:24" s="3" customFormat="1" x14ac:dyDescent="0.25">
      <c r="A245" s="16" t="s">
        <v>857</v>
      </c>
      <c r="B245" s="17" t="s">
        <v>7</v>
      </c>
      <c r="C245" s="17" t="s">
        <v>836</v>
      </c>
      <c r="D245" s="18" t="s">
        <v>33</v>
      </c>
      <c r="E245" s="18" t="s">
        <v>1732</v>
      </c>
      <c r="F245" s="18">
        <v>5.94</v>
      </c>
      <c r="G245" s="22">
        <v>2.0699999999999998</v>
      </c>
      <c r="H245" s="17">
        <v>8.93</v>
      </c>
      <c r="I245" s="25">
        <v>11.518567127306417</v>
      </c>
      <c r="J245" s="24">
        <f>G245/F245*((100-H245)/100)*((100-I245)/100)*100</f>
        <v>28.080923349920106</v>
      </c>
      <c r="K245" s="53">
        <v>4.4123314065510595</v>
      </c>
      <c r="L245" s="54">
        <f>J245*10000/K245</f>
        <v>63641.917985190114</v>
      </c>
      <c r="M245" s="55">
        <v>47.5</v>
      </c>
      <c r="N245" s="55">
        <v>18.5</v>
      </c>
      <c r="O245" s="56">
        <v>2.9733000000000001</v>
      </c>
      <c r="P245" s="55">
        <v>16.100000000000001</v>
      </c>
      <c r="Q245" s="17">
        <v>60</v>
      </c>
      <c r="R245" s="17">
        <v>63</v>
      </c>
      <c r="S245" s="17">
        <v>65</v>
      </c>
      <c r="T245" s="17">
        <v>65</v>
      </c>
      <c r="U245" s="17">
        <v>65</v>
      </c>
      <c r="V245" s="17">
        <v>65</v>
      </c>
      <c r="W245" s="17">
        <v>67</v>
      </c>
      <c r="X245" s="3">
        <v>97</v>
      </c>
    </row>
    <row r="246" spans="1:24" s="62" customFormat="1" x14ac:dyDescent="0.25">
      <c r="A246" s="16" t="s">
        <v>1314</v>
      </c>
      <c r="B246" s="17" t="s">
        <v>10</v>
      </c>
      <c r="C246" s="17" t="s">
        <v>836</v>
      </c>
      <c r="D246" s="18" t="s">
        <v>92</v>
      </c>
      <c r="E246" s="18" t="s">
        <v>1748</v>
      </c>
      <c r="F246" s="18">
        <v>5.94</v>
      </c>
      <c r="G246" s="22">
        <v>2.27</v>
      </c>
      <c r="H246" s="17">
        <v>7.69</v>
      </c>
      <c r="I246" s="25">
        <v>9.4752069436631086</v>
      </c>
      <c r="J246" s="24">
        <f>G246/F246*((100-H246)/100)*((100-I246)/100)*100</f>
        <v>31.934175216766231</v>
      </c>
      <c r="K246" s="53">
        <v>5.331161780673181</v>
      </c>
      <c r="L246" s="54">
        <f>J246*10000/K246</f>
        <v>59900.968176459675</v>
      </c>
      <c r="M246" s="55">
        <v>51.2</v>
      </c>
      <c r="N246" s="55">
        <v>17.100000000000001</v>
      </c>
      <c r="O246" s="56">
        <v>1.7881</v>
      </c>
      <c r="P246" s="55">
        <v>14.4</v>
      </c>
      <c r="Q246" s="17">
        <v>61</v>
      </c>
      <c r="R246" s="17">
        <v>63</v>
      </c>
      <c r="S246" s="17">
        <v>65</v>
      </c>
      <c r="T246" s="17">
        <v>65</v>
      </c>
      <c r="U246" s="17">
        <v>65</v>
      </c>
      <c r="V246" s="17">
        <v>65</v>
      </c>
      <c r="W246" s="17">
        <v>67</v>
      </c>
      <c r="X246" s="3">
        <v>97</v>
      </c>
    </row>
    <row r="247" spans="1:24" s="3" customFormat="1" x14ac:dyDescent="0.25">
      <c r="A247" s="16" t="s">
        <v>1318</v>
      </c>
      <c r="B247" s="17" t="s">
        <v>10</v>
      </c>
      <c r="C247" s="17" t="s">
        <v>836</v>
      </c>
      <c r="D247" s="18" t="s">
        <v>73</v>
      </c>
      <c r="E247" s="18" t="s">
        <v>1640</v>
      </c>
      <c r="F247" s="18">
        <v>5.94</v>
      </c>
      <c r="G247" s="22">
        <v>1.98</v>
      </c>
      <c r="H247" s="17">
        <v>7.69</v>
      </c>
      <c r="I247" s="25">
        <v>7.2170985214463474</v>
      </c>
      <c r="J247" s="24">
        <f>G247/F247*((100-H247)/100)*((100-I247)/100)*100</f>
        <v>28.54929878495096</v>
      </c>
      <c r="K247" s="53">
        <v>4.711729622266402</v>
      </c>
      <c r="L247" s="54">
        <f>J247*10000/K247</f>
        <v>60591.9716828284</v>
      </c>
      <c r="M247" s="55">
        <v>57</v>
      </c>
      <c r="N247" s="55">
        <v>15.7</v>
      </c>
      <c r="O247" s="56">
        <v>1.0085</v>
      </c>
      <c r="P247" s="55">
        <v>14.4</v>
      </c>
      <c r="Q247" s="17">
        <v>61</v>
      </c>
      <c r="R247" s="17">
        <v>63</v>
      </c>
      <c r="S247" s="17">
        <v>65</v>
      </c>
      <c r="T247" s="17">
        <v>65</v>
      </c>
      <c r="U247" s="17">
        <v>65</v>
      </c>
      <c r="V247" s="17">
        <v>65</v>
      </c>
      <c r="W247" s="17">
        <v>67</v>
      </c>
      <c r="X247" s="3">
        <v>97</v>
      </c>
    </row>
    <row r="248" spans="1:24" s="3" customFormat="1" x14ac:dyDescent="0.25">
      <c r="A248" s="16" t="s">
        <v>1404</v>
      </c>
      <c r="B248" s="17" t="s">
        <v>10</v>
      </c>
      <c r="C248" s="17" t="s">
        <v>836</v>
      </c>
      <c r="D248" s="18" t="s">
        <v>47</v>
      </c>
      <c r="E248" s="18" t="s">
        <v>1754</v>
      </c>
      <c r="F248" s="18">
        <v>5.94</v>
      </c>
      <c r="G248" s="22">
        <v>2.19</v>
      </c>
      <c r="H248" s="17">
        <v>7.69</v>
      </c>
      <c r="I248" s="25">
        <v>11.492106603293152</v>
      </c>
      <c r="J248" s="24">
        <f>G248/F248*((100-H248)/100)*((100-I248)/100)*100</f>
        <v>30.122320488881343</v>
      </c>
      <c r="K248" s="53">
        <v>5.4011299435028253</v>
      </c>
      <c r="L248" s="54">
        <f>J248*10000/K248</f>
        <v>55770.405089246837</v>
      </c>
      <c r="M248" s="55">
        <v>52.6</v>
      </c>
      <c r="N248" s="55">
        <v>16.600000000000001</v>
      </c>
      <c r="O248" s="56">
        <v>1.6626000000000001</v>
      </c>
      <c r="P248" s="55">
        <v>19</v>
      </c>
      <c r="Q248" s="17">
        <v>61</v>
      </c>
      <c r="R248" s="17">
        <v>63</v>
      </c>
      <c r="S248" s="17">
        <v>65</v>
      </c>
      <c r="T248" s="17">
        <v>65</v>
      </c>
      <c r="U248" s="17">
        <v>65</v>
      </c>
      <c r="V248" s="17">
        <v>65</v>
      </c>
      <c r="W248" s="17">
        <v>67</v>
      </c>
      <c r="X248" s="3">
        <v>97</v>
      </c>
    </row>
    <row r="249" spans="1:24" s="3" customFormat="1" x14ac:dyDescent="0.25">
      <c r="A249" s="16" t="s">
        <v>1409</v>
      </c>
      <c r="B249" s="17" t="s">
        <v>10</v>
      </c>
      <c r="C249" s="17" t="s">
        <v>836</v>
      </c>
      <c r="D249" s="18" t="s">
        <v>33</v>
      </c>
      <c r="E249" s="18" t="s">
        <v>1732</v>
      </c>
      <c r="F249" s="18">
        <v>5.94</v>
      </c>
      <c r="G249" s="22">
        <v>2.23</v>
      </c>
      <c r="H249" s="17">
        <v>7.69</v>
      </c>
      <c r="I249" s="25">
        <v>11.609987404608434</v>
      </c>
      <c r="J249" s="24">
        <f>G249/F249*((100-H249)/100)*((100-I249)/100)*100</f>
        <v>30.631648147773948</v>
      </c>
      <c r="K249" s="53">
        <v>4.2752293577981648</v>
      </c>
      <c r="L249" s="54">
        <f>J249*10000/K249</f>
        <v>71649.134079557087</v>
      </c>
      <c r="M249" s="55">
        <v>48.8</v>
      </c>
      <c r="N249" s="55">
        <v>17.7</v>
      </c>
      <c r="O249" s="56">
        <v>2.8959000000000001</v>
      </c>
      <c r="P249" s="55">
        <v>16.3</v>
      </c>
      <c r="Q249" s="17">
        <v>62</v>
      </c>
      <c r="R249" s="17">
        <v>65</v>
      </c>
      <c r="S249" s="17">
        <v>65</v>
      </c>
      <c r="T249" s="17">
        <v>65</v>
      </c>
      <c r="U249" s="17">
        <v>65</v>
      </c>
      <c r="V249" s="17">
        <v>65</v>
      </c>
      <c r="W249" s="17">
        <v>67</v>
      </c>
      <c r="X249" s="3">
        <v>97</v>
      </c>
    </row>
    <row r="250" spans="1:24" s="3" customFormat="1" x14ac:dyDescent="0.25">
      <c r="A250" s="16" t="s">
        <v>1274</v>
      </c>
      <c r="B250" s="17" t="s">
        <v>10</v>
      </c>
      <c r="C250" s="17" t="s">
        <v>836</v>
      </c>
      <c r="D250" s="18" t="s">
        <v>29</v>
      </c>
      <c r="E250" s="18" t="s">
        <v>1638</v>
      </c>
      <c r="F250" s="18">
        <v>5.94</v>
      </c>
      <c r="G250" s="22">
        <v>2.2200000000000002</v>
      </c>
      <c r="H250" s="17">
        <v>7.69</v>
      </c>
      <c r="I250" s="25">
        <v>8.1097560975609664</v>
      </c>
      <c r="J250" s="24">
        <f>G250/F250*((100-H250)/100)*((100-I250)/100)*100</f>
        <v>31.701855691056917</v>
      </c>
      <c r="K250" s="53">
        <v>4.791666666666667</v>
      </c>
      <c r="L250" s="54">
        <f>J250*10000/K250</f>
        <v>66160.394485683995</v>
      </c>
      <c r="M250" s="55">
        <v>47.4</v>
      </c>
      <c r="N250" s="55">
        <v>20.100000000000001</v>
      </c>
      <c r="O250" s="56">
        <v>2.0659999999999998</v>
      </c>
      <c r="P250" s="55">
        <v>27</v>
      </c>
      <c r="Q250" s="17">
        <v>60</v>
      </c>
      <c r="R250" s="17">
        <v>61</v>
      </c>
      <c r="S250" s="17">
        <v>62</v>
      </c>
      <c r="T250" s="17">
        <v>65</v>
      </c>
      <c r="U250" s="17">
        <v>67</v>
      </c>
      <c r="V250" s="17">
        <v>65</v>
      </c>
      <c r="W250" s="17">
        <v>67</v>
      </c>
      <c r="X250" s="3">
        <v>97</v>
      </c>
    </row>
    <row r="251" spans="1:24" s="3" customFormat="1" x14ac:dyDescent="0.25">
      <c r="A251" s="16" t="s">
        <v>889</v>
      </c>
      <c r="B251" s="17" t="s">
        <v>7</v>
      </c>
      <c r="C251" s="17" t="s">
        <v>836</v>
      </c>
      <c r="D251" s="18" t="s">
        <v>45</v>
      </c>
      <c r="E251" s="18" t="s">
        <v>1472</v>
      </c>
      <c r="F251" s="18">
        <v>5.94</v>
      </c>
      <c r="G251" s="22">
        <v>1.44</v>
      </c>
      <c r="H251" s="17">
        <v>8.93</v>
      </c>
      <c r="I251" s="25">
        <v>9.1031126772380198</v>
      </c>
      <c r="J251" s="24">
        <f>G251/F251*((100-H251)/100)*((100-I251)/100)*100</f>
        <v>20.06782915996105</v>
      </c>
      <c r="K251" s="53">
        <v>5.1184346035015444</v>
      </c>
      <c r="L251" s="54">
        <f>J251*10000/K251</f>
        <v>39206.966024793117</v>
      </c>
      <c r="M251" s="55">
        <v>50.3</v>
      </c>
      <c r="N251" s="55">
        <v>20.9</v>
      </c>
      <c r="O251" s="56">
        <v>48.527999999999999</v>
      </c>
      <c r="P251" s="55">
        <v>63.6</v>
      </c>
      <c r="Q251" s="17">
        <v>57</v>
      </c>
      <c r="R251" s="17">
        <v>59</v>
      </c>
      <c r="S251" s="17">
        <v>60</v>
      </c>
      <c r="T251" s="17">
        <v>62</v>
      </c>
      <c r="U251" s="17">
        <v>64</v>
      </c>
      <c r="V251" s="17">
        <v>67</v>
      </c>
      <c r="W251" s="17">
        <v>67</v>
      </c>
      <c r="X251" s="3">
        <v>97</v>
      </c>
    </row>
    <row r="252" spans="1:24" s="3" customFormat="1" x14ac:dyDescent="0.25">
      <c r="A252" s="16" t="s">
        <v>1425</v>
      </c>
      <c r="B252" s="17" t="s">
        <v>10</v>
      </c>
      <c r="C252" s="17" t="s">
        <v>836</v>
      </c>
      <c r="D252" s="18" t="s">
        <v>170</v>
      </c>
      <c r="E252" s="73" t="s">
        <v>1803</v>
      </c>
      <c r="F252" s="18">
        <v>5.94</v>
      </c>
      <c r="G252" s="22">
        <v>1.84</v>
      </c>
      <c r="H252" s="17">
        <v>7.69</v>
      </c>
      <c r="I252" s="25">
        <v>7.4659182036888545</v>
      </c>
      <c r="J252" s="24">
        <f>G252/F252*((100-H252)/100)*((100-I252)/100)*100</f>
        <v>26.459513142653478</v>
      </c>
      <c r="K252" s="53">
        <v>5.1753453772582363</v>
      </c>
      <c r="L252" s="54">
        <f>J252*10000/K252</f>
        <v>51126.081862909494</v>
      </c>
      <c r="M252" s="55">
        <v>51.8</v>
      </c>
      <c r="N252" s="55">
        <v>16.399999999999999</v>
      </c>
      <c r="O252" s="56">
        <v>2.3435000000000001</v>
      </c>
      <c r="P252" s="55">
        <v>22.8</v>
      </c>
      <c r="Q252" s="17">
        <v>57</v>
      </c>
      <c r="R252" s="17">
        <v>60</v>
      </c>
      <c r="S252" s="17">
        <v>61</v>
      </c>
      <c r="T252" s="17">
        <v>63</v>
      </c>
      <c r="U252" s="17">
        <v>64</v>
      </c>
      <c r="V252" s="17">
        <v>67</v>
      </c>
      <c r="W252" s="17">
        <v>67</v>
      </c>
      <c r="X252" s="3">
        <v>97</v>
      </c>
    </row>
    <row r="253" spans="1:24" s="3" customFormat="1" x14ac:dyDescent="0.25">
      <c r="A253" s="16" t="s">
        <v>1408</v>
      </c>
      <c r="B253" s="17" t="s">
        <v>10</v>
      </c>
      <c r="C253" s="17" t="s">
        <v>836</v>
      </c>
      <c r="D253" s="18" t="s">
        <v>93</v>
      </c>
      <c r="E253" s="18" t="s">
        <v>1562</v>
      </c>
      <c r="F253" s="18">
        <v>5.94</v>
      </c>
      <c r="G253" s="22">
        <v>2.2799999999999998</v>
      </c>
      <c r="H253" s="17">
        <v>7.69</v>
      </c>
      <c r="I253" s="25">
        <v>11.001267427122936</v>
      </c>
      <c r="J253" s="24">
        <f>G253/F253*((100-H253)/100)*((100-I253)/100)*100</f>
        <v>31.534138802473393</v>
      </c>
      <c r="K253" s="53">
        <v>4.5251396648044695</v>
      </c>
      <c r="L253" s="54">
        <f>J253*10000/K253</f>
        <v>69686.553649910333</v>
      </c>
      <c r="M253" s="55">
        <v>53.1</v>
      </c>
      <c r="N253" s="55">
        <v>15.5</v>
      </c>
      <c r="O253" s="56">
        <v>-0.60006000000000004</v>
      </c>
      <c r="P253" s="55">
        <v>10.6</v>
      </c>
      <c r="Q253" s="17">
        <v>57</v>
      </c>
      <c r="R253" s="17">
        <v>60</v>
      </c>
      <c r="S253" s="17">
        <v>61</v>
      </c>
      <c r="T253" s="17">
        <v>61</v>
      </c>
      <c r="U253" s="17">
        <v>65</v>
      </c>
      <c r="V253" s="17">
        <v>67</v>
      </c>
      <c r="W253" s="17">
        <v>68</v>
      </c>
      <c r="X253" s="3">
        <v>97</v>
      </c>
    </row>
    <row r="254" spans="1:24" s="3" customFormat="1" x14ac:dyDescent="0.25">
      <c r="A254" s="66" t="s">
        <v>1244</v>
      </c>
      <c r="B254" s="17" t="s">
        <v>10</v>
      </c>
      <c r="C254" s="17" t="s">
        <v>836</v>
      </c>
      <c r="D254" s="18" t="s">
        <v>115</v>
      </c>
      <c r="E254" s="18" t="s">
        <v>1834</v>
      </c>
      <c r="F254" s="18">
        <v>5.94</v>
      </c>
      <c r="G254" s="22">
        <v>1.1499999999999999</v>
      </c>
      <c r="H254" s="17">
        <v>7.69</v>
      </c>
      <c r="I254" s="25">
        <v>17.211636477691528</v>
      </c>
      <c r="J254" s="24">
        <f>G254/F254*((100-H254)/100)*((100-I254)/100)*100</f>
        <v>14.795493118275992</v>
      </c>
      <c r="K254" s="53">
        <v>5.6776556776556779</v>
      </c>
      <c r="L254" s="54">
        <f>J254*10000/K254</f>
        <v>26059.158847028037</v>
      </c>
      <c r="M254" s="55">
        <v>46.9</v>
      </c>
      <c r="N254" s="55">
        <v>22.2</v>
      </c>
      <c r="O254" s="56">
        <v>11.518000000000001</v>
      </c>
      <c r="P254" s="55">
        <v>73.2</v>
      </c>
      <c r="Q254" s="17">
        <v>55</v>
      </c>
      <c r="R254" s="17">
        <v>57</v>
      </c>
      <c r="S254" s="17">
        <v>60</v>
      </c>
      <c r="T254" s="17">
        <v>62</v>
      </c>
      <c r="U254" s="17">
        <v>65</v>
      </c>
      <c r="V254" s="17">
        <v>67</v>
      </c>
      <c r="W254" s="17">
        <v>67</v>
      </c>
      <c r="X254" s="3">
        <v>97</v>
      </c>
    </row>
    <row r="255" spans="1:24" s="3" customFormat="1" x14ac:dyDescent="0.25">
      <c r="A255" s="66" t="s">
        <v>1259</v>
      </c>
      <c r="B255" s="17" t="s">
        <v>10</v>
      </c>
      <c r="C255" s="17" t="s">
        <v>836</v>
      </c>
      <c r="D255" s="18" t="s">
        <v>131</v>
      </c>
      <c r="E255" s="18" t="s">
        <v>1842</v>
      </c>
      <c r="F255" s="18">
        <v>5.94</v>
      </c>
      <c r="G255" s="22">
        <v>1.48</v>
      </c>
      <c r="H255" s="17">
        <v>7.69</v>
      </c>
      <c r="I255" s="25">
        <v>13.481765834932823</v>
      </c>
      <c r="J255" s="24">
        <f>G255/F255*((100-H255)/100)*((100-I255)/100)*100</f>
        <v>19.899019073654006</v>
      </c>
      <c r="K255" s="53">
        <v>5.8012422360248443</v>
      </c>
      <c r="L255" s="54">
        <f>J255*10000/K255</f>
        <v>34301.306968504236</v>
      </c>
      <c r="M255" s="55">
        <v>49.6</v>
      </c>
      <c r="N255" s="55">
        <v>20.2</v>
      </c>
      <c r="O255" s="56">
        <v>13.189</v>
      </c>
      <c r="P255" s="55">
        <v>74.3</v>
      </c>
      <c r="Q255" s="17">
        <v>57</v>
      </c>
      <c r="R255" s="17">
        <v>59</v>
      </c>
      <c r="S255" s="17">
        <v>60</v>
      </c>
      <c r="T255" s="17">
        <v>62</v>
      </c>
      <c r="U255" s="17">
        <v>65</v>
      </c>
      <c r="V255" s="17">
        <v>67</v>
      </c>
      <c r="W255" s="17">
        <v>67</v>
      </c>
      <c r="X255" s="3">
        <v>97</v>
      </c>
    </row>
    <row r="256" spans="1:24" s="3" customFormat="1" x14ac:dyDescent="0.25">
      <c r="A256" s="16" t="s">
        <v>869</v>
      </c>
      <c r="B256" s="17" t="s">
        <v>7</v>
      </c>
      <c r="C256" s="17" t="s">
        <v>836</v>
      </c>
      <c r="D256" s="18" t="s">
        <v>219</v>
      </c>
      <c r="E256" s="18" t="s">
        <v>1560</v>
      </c>
      <c r="F256" s="18">
        <v>5.94</v>
      </c>
      <c r="G256" s="22">
        <v>2.48</v>
      </c>
      <c r="H256" s="17">
        <v>8.93</v>
      </c>
      <c r="I256" s="25">
        <v>7.849952929249044</v>
      </c>
      <c r="J256" s="24">
        <f>G256/F256*((100-H256)/100)*((100-I256)/100)*100</f>
        <v>35.037743890738312</v>
      </c>
      <c r="K256" s="53">
        <v>4.591439688715953</v>
      </c>
      <c r="L256" s="54">
        <f>J256*10000/K256</f>
        <v>76311.018473896154</v>
      </c>
      <c r="M256" s="55">
        <v>53.5</v>
      </c>
      <c r="N256" s="55">
        <v>16</v>
      </c>
      <c r="O256" s="56">
        <v>1.0466</v>
      </c>
      <c r="P256" s="55">
        <v>15.3</v>
      </c>
      <c r="Q256" s="17">
        <v>59</v>
      </c>
      <c r="R256" s="17">
        <v>60</v>
      </c>
      <c r="S256" s="17">
        <v>61</v>
      </c>
      <c r="T256" s="17">
        <v>62</v>
      </c>
      <c r="U256" s="17">
        <v>65</v>
      </c>
      <c r="V256" s="17">
        <v>67</v>
      </c>
      <c r="W256" s="17">
        <v>67</v>
      </c>
      <c r="X256" s="3">
        <v>97</v>
      </c>
    </row>
    <row r="257" spans="1:24" s="3" customFormat="1" x14ac:dyDescent="0.25">
      <c r="A257" s="16" t="s">
        <v>846</v>
      </c>
      <c r="B257" s="17" t="s">
        <v>7</v>
      </c>
      <c r="C257" s="17" t="s">
        <v>836</v>
      </c>
      <c r="D257" s="18" t="s">
        <v>63</v>
      </c>
      <c r="E257" s="18" t="s">
        <v>1462</v>
      </c>
      <c r="F257" s="18">
        <v>5.94</v>
      </c>
      <c r="G257" s="22">
        <v>0.91</v>
      </c>
      <c r="H257" s="17">
        <v>8.93</v>
      </c>
      <c r="I257" s="25">
        <v>13.47126436781609</v>
      </c>
      <c r="J257" s="24">
        <f>G257/F257*((100-H257)/100)*((100-I257)/100)*100</f>
        <v>12.07231730330121</v>
      </c>
      <c r="K257" s="53">
        <v>4.9945355191256828</v>
      </c>
      <c r="L257" s="54">
        <f>J257*10000/K257</f>
        <v>24171.051055843778</v>
      </c>
      <c r="M257" s="55">
        <v>50.2</v>
      </c>
      <c r="N257" s="55">
        <v>20.9</v>
      </c>
      <c r="O257" s="56">
        <v>48.036000000000001</v>
      </c>
      <c r="P257" s="55">
        <v>67.400000000000006</v>
      </c>
      <c r="Q257" s="17">
        <v>55</v>
      </c>
      <c r="R257" s="17">
        <v>59</v>
      </c>
      <c r="S257" s="17">
        <v>60</v>
      </c>
      <c r="T257" s="17">
        <v>63</v>
      </c>
      <c r="U257" s="17">
        <v>65</v>
      </c>
      <c r="V257" s="17">
        <v>67</v>
      </c>
      <c r="W257" s="17">
        <v>67</v>
      </c>
      <c r="X257" s="3">
        <v>97</v>
      </c>
    </row>
    <row r="258" spans="1:24" s="3" customFormat="1" x14ac:dyDescent="0.25">
      <c r="A258" s="16" t="s">
        <v>1426</v>
      </c>
      <c r="B258" s="17" t="s">
        <v>10</v>
      </c>
      <c r="C258" s="17" t="s">
        <v>836</v>
      </c>
      <c r="D258" s="18" t="s">
        <v>205</v>
      </c>
      <c r="E258" s="18" t="s">
        <v>1492</v>
      </c>
      <c r="F258" s="18">
        <v>5.94</v>
      </c>
      <c r="G258" s="22">
        <v>1.72</v>
      </c>
      <c r="H258" s="17">
        <v>7.69</v>
      </c>
      <c r="I258" s="25">
        <v>13.634499726626565</v>
      </c>
      <c r="J258" s="24">
        <f>G258/F258*((100-H258)/100)*((100-I258)/100)*100</f>
        <v>23.085062033677399</v>
      </c>
      <c r="K258" s="53">
        <v>5.2995867768595044</v>
      </c>
      <c r="L258" s="54">
        <f>J258*10000/K258</f>
        <v>43560.117053800626</v>
      </c>
      <c r="M258" s="55">
        <v>50.8</v>
      </c>
      <c r="N258" s="55">
        <v>18.600000000000001</v>
      </c>
      <c r="O258" s="56">
        <v>31.76</v>
      </c>
      <c r="P258" s="55">
        <v>51.8</v>
      </c>
      <c r="Q258" s="17">
        <v>57</v>
      </c>
      <c r="R258" s="17">
        <v>59</v>
      </c>
      <c r="S258" s="17">
        <v>60</v>
      </c>
      <c r="T258" s="17">
        <v>63</v>
      </c>
      <c r="U258" s="17">
        <v>65</v>
      </c>
      <c r="V258" s="17">
        <v>67</v>
      </c>
      <c r="W258" s="17">
        <v>67</v>
      </c>
      <c r="X258" s="3">
        <v>97</v>
      </c>
    </row>
    <row r="259" spans="1:24" s="3" customFormat="1" x14ac:dyDescent="0.25">
      <c r="A259" s="16" t="s">
        <v>988</v>
      </c>
      <c r="B259" s="17" t="s">
        <v>7</v>
      </c>
      <c r="C259" s="17" t="s">
        <v>836</v>
      </c>
      <c r="D259" s="18" t="s">
        <v>46</v>
      </c>
      <c r="E259" s="18" t="s">
        <v>1531</v>
      </c>
      <c r="F259" s="18">
        <v>5.94</v>
      </c>
      <c r="G259" s="22">
        <v>1.86</v>
      </c>
      <c r="H259" s="17">
        <v>8.93</v>
      </c>
      <c r="I259" s="25">
        <v>7.2514177693761841</v>
      </c>
      <c r="J259" s="24">
        <f>G259/F259*((100-H259)/100)*((100-I259)/100)*100</f>
        <v>26.448991403639415</v>
      </c>
      <c r="K259" s="53">
        <v>5.6279069767441863</v>
      </c>
      <c r="L259" s="54">
        <f>J259*10000/K259</f>
        <v>46996.141750268383</v>
      </c>
      <c r="M259" s="55">
        <v>50.9</v>
      </c>
      <c r="N259" s="55">
        <v>18</v>
      </c>
      <c r="O259" s="56">
        <v>4.3921000000000001</v>
      </c>
      <c r="P259" s="55">
        <v>50.5</v>
      </c>
      <c r="Q259" s="17">
        <v>57</v>
      </c>
      <c r="R259" s="17">
        <v>59</v>
      </c>
      <c r="S259" s="17">
        <v>60</v>
      </c>
      <c r="T259" s="17">
        <v>63</v>
      </c>
      <c r="U259" s="17">
        <v>65</v>
      </c>
      <c r="V259" s="17">
        <v>67</v>
      </c>
      <c r="W259" s="17">
        <v>67</v>
      </c>
      <c r="X259" s="3">
        <v>97</v>
      </c>
    </row>
    <row r="260" spans="1:24" s="3" customFormat="1" x14ac:dyDescent="0.25">
      <c r="A260" s="16" t="s">
        <v>1300</v>
      </c>
      <c r="B260" s="17" t="s">
        <v>10</v>
      </c>
      <c r="C260" s="17" t="s">
        <v>836</v>
      </c>
      <c r="D260" s="18" t="s">
        <v>45</v>
      </c>
      <c r="E260" s="18" t="s">
        <v>1472</v>
      </c>
      <c r="F260" s="18">
        <v>5.94</v>
      </c>
      <c r="G260" s="22">
        <v>1.45</v>
      </c>
      <c r="H260" s="17">
        <v>7.69</v>
      </c>
      <c r="I260" s="25">
        <v>11.285022483569698</v>
      </c>
      <c r="J260" s="24">
        <f>G260/F260*((100-H260)/100)*((100-I260)/100)*100</f>
        <v>19.99066562808996</v>
      </c>
      <c r="K260" s="53">
        <v>4.5559845559845558</v>
      </c>
      <c r="L260" s="54">
        <f>J260*10000/K260</f>
        <v>43877.816929451692</v>
      </c>
      <c r="M260" s="55">
        <v>51.8</v>
      </c>
      <c r="N260" s="55">
        <v>19.899999999999999</v>
      </c>
      <c r="O260" s="56">
        <v>49.027999999999999</v>
      </c>
      <c r="P260" s="55">
        <v>67.099999999999994</v>
      </c>
      <c r="Q260" s="17">
        <v>57</v>
      </c>
      <c r="R260" s="17">
        <v>59</v>
      </c>
      <c r="S260" s="17">
        <v>61</v>
      </c>
      <c r="T260" s="17">
        <v>63</v>
      </c>
      <c r="U260" s="17">
        <v>65</v>
      </c>
      <c r="V260" s="17">
        <v>67</v>
      </c>
      <c r="W260" s="17">
        <v>67</v>
      </c>
      <c r="X260" s="3">
        <v>97</v>
      </c>
    </row>
    <row r="261" spans="1:24" s="3" customFormat="1" x14ac:dyDescent="0.25">
      <c r="A261" s="16" t="s">
        <v>1270</v>
      </c>
      <c r="B261" s="17" t="s">
        <v>10</v>
      </c>
      <c r="C261" s="17" t="s">
        <v>836</v>
      </c>
      <c r="D261" s="18" t="s">
        <v>63</v>
      </c>
      <c r="E261" s="18" t="s">
        <v>1462</v>
      </c>
      <c r="F261" s="18">
        <v>5.94</v>
      </c>
      <c r="G261" s="22">
        <v>1.58</v>
      </c>
      <c r="H261" s="17">
        <v>7.69</v>
      </c>
      <c r="I261" s="25">
        <v>10.110633066994465</v>
      </c>
      <c r="J261" s="24">
        <f>G261/F261*((100-H261)/100)*((100-I261)/100)*100</f>
        <v>22.071289880985642</v>
      </c>
      <c r="K261" s="53">
        <v>4.6252465483234717</v>
      </c>
      <c r="L261" s="54">
        <f>J261*10000/K261</f>
        <v>47719.164049721621</v>
      </c>
      <c r="M261" s="55">
        <v>50.9</v>
      </c>
      <c r="N261" s="55">
        <v>19.899999999999999</v>
      </c>
      <c r="O261" s="56">
        <v>37.969000000000001</v>
      </c>
      <c r="P261" s="55">
        <v>56.9</v>
      </c>
      <c r="Q261" s="17">
        <v>57</v>
      </c>
      <c r="R261" s="17">
        <v>60</v>
      </c>
      <c r="S261" s="17">
        <v>61</v>
      </c>
      <c r="T261" s="17">
        <v>63</v>
      </c>
      <c r="U261" s="17">
        <v>65</v>
      </c>
      <c r="V261" s="17">
        <v>67</v>
      </c>
      <c r="W261" s="17">
        <v>67</v>
      </c>
      <c r="X261" s="3">
        <v>97</v>
      </c>
    </row>
    <row r="262" spans="1:24" s="3" customFormat="1" x14ac:dyDescent="0.25">
      <c r="A262" s="16" t="s">
        <v>1293</v>
      </c>
      <c r="B262" s="17" t="s">
        <v>10</v>
      </c>
      <c r="C262" s="17" t="s">
        <v>836</v>
      </c>
      <c r="D262" s="18" t="s">
        <v>219</v>
      </c>
      <c r="E262" s="18" t="s">
        <v>1560</v>
      </c>
      <c r="F262" s="18">
        <v>5.94</v>
      </c>
      <c r="G262" s="22">
        <v>2.16</v>
      </c>
      <c r="H262" s="17">
        <v>7.69</v>
      </c>
      <c r="I262" s="25">
        <v>8.4237645405574249</v>
      </c>
      <c r="J262" s="24">
        <f>G262/F262*((100-H262)/100)*((100-I262)/100)*100</f>
        <v>30.739644710040526</v>
      </c>
      <c r="K262" s="53">
        <v>4.3613138686131387</v>
      </c>
      <c r="L262" s="54">
        <f>J262*10000/K262</f>
        <v>70482.532640595018</v>
      </c>
      <c r="M262" s="55">
        <v>53.1</v>
      </c>
      <c r="N262" s="55">
        <v>15.6</v>
      </c>
      <c r="O262" s="56">
        <v>-0.41719000000000001</v>
      </c>
      <c r="P262" s="55">
        <v>11.5</v>
      </c>
      <c r="Q262" s="17">
        <v>57</v>
      </c>
      <c r="R262" s="17">
        <v>60</v>
      </c>
      <c r="S262" s="17">
        <v>61</v>
      </c>
      <c r="T262" s="17">
        <v>63</v>
      </c>
      <c r="U262" s="17">
        <v>65</v>
      </c>
      <c r="V262" s="17">
        <v>67</v>
      </c>
      <c r="W262" s="17">
        <v>67</v>
      </c>
      <c r="X262" s="3">
        <v>97</v>
      </c>
    </row>
    <row r="263" spans="1:24" s="3" customFormat="1" x14ac:dyDescent="0.25">
      <c r="A263" s="16" t="s">
        <v>997</v>
      </c>
      <c r="B263" s="17" t="s">
        <v>7</v>
      </c>
      <c r="C263" s="17" t="s">
        <v>836</v>
      </c>
      <c r="D263" s="18" t="s">
        <v>207</v>
      </c>
      <c r="E263" s="18" t="s">
        <v>1628</v>
      </c>
      <c r="F263" s="18">
        <v>5.94</v>
      </c>
      <c r="G263" s="22">
        <v>1.82</v>
      </c>
      <c r="H263" s="17">
        <v>8.93</v>
      </c>
      <c r="I263" s="25">
        <v>6.1995724432797612</v>
      </c>
      <c r="J263" s="24">
        <f>G263/F263*((100-H263)/100)*((100-I263)/100)*100</f>
        <v>26.173698630327831</v>
      </c>
      <c r="K263" s="53">
        <v>4.2388331814038285</v>
      </c>
      <c r="L263" s="54">
        <f>J263*10000/K263</f>
        <v>61747.413757999209</v>
      </c>
      <c r="M263" s="55">
        <v>50.3</v>
      </c>
      <c r="N263" s="55">
        <v>18.3</v>
      </c>
      <c r="O263" s="56">
        <v>1.089</v>
      </c>
      <c r="P263" s="55">
        <v>17.7</v>
      </c>
      <c r="Q263" s="17">
        <v>57</v>
      </c>
      <c r="R263" s="17">
        <v>60</v>
      </c>
      <c r="S263" s="17">
        <v>61</v>
      </c>
      <c r="T263" s="17">
        <v>63</v>
      </c>
      <c r="U263" s="17">
        <v>65</v>
      </c>
      <c r="V263" s="17">
        <v>67</v>
      </c>
      <c r="W263" s="17">
        <v>67</v>
      </c>
      <c r="X263" s="3">
        <v>97</v>
      </c>
    </row>
    <row r="264" spans="1:24" s="3" customFormat="1" x14ac:dyDescent="0.25">
      <c r="A264" s="16" t="s">
        <v>1353</v>
      </c>
      <c r="B264" s="17" t="s">
        <v>10</v>
      </c>
      <c r="C264" s="17" t="s">
        <v>836</v>
      </c>
      <c r="D264" s="18" t="s">
        <v>89</v>
      </c>
      <c r="E264" s="18" t="s">
        <v>1752</v>
      </c>
      <c r="F264" s="18">
        <v>5.94</v>
      </c>
      <c r="G264" s="22">
        <v>1.75</v>
      </c>
      <c r="H264" s="17">
        <v>7.69</v>
      </c>
      <c r="I264" s="25">
        <v>7.5080115977414952</v>
      </c>
      <c r="J264" s="24">
        <f>G264/F264*((100-H264)/100)*((100-I264)/100)*100</f>
        <v>25.153850229750578</v>
      </c>
      <c r="K264" s="53">
        <v>4.9640287769784175</v>
      </c>
      <c r="L264" s="54">
        <f>J264*10000/K264</f>
        <v>50672.249013555505</v>
      </c>
      <c r="M264" s="55">
        <v>50.2</v>
      </c>
      <c r="N264" s="55">
        <v>17.7</v>
      </c>
      <c r="O264" s="56">
        <v>2.6959</v>
      </c>
      <c r="P264" s="55">
        <v>20.3</v>
      </c>
      <c r="Q264" s="17">
        <v>57</v>
      </c>
      <c r="R264" s="17">
        <v>60</v>
      </c>
      <c r="S264" s="17">
        <v>62</v>
      </c>
      <c r="T264" s="17">
        <v>63</v>
      </c>
      <c r="U264" s="17">
        <v>65</v>
      </c>
      <c r="V264" s="17">
        <v>67</v>
      </c>
      <c r="W264" s="17">
        <v>67</v>
      </c>
      <c r="X264" s="3">
        <v>97</v>
      </c>
    </row>
    <row r="265" spans="1:24" s="3" customFormat="1" x14ac:dyDescent="0.25">
      <c r="A265" s="16" t="s">
        <v>918</v>
      </c>
      <c r="B265" s="17" t="s">
        <v>7</v>
      </c>
      <c r="C265" s="17" t="s">
        <v>836</v>
      </c>
      <c r="D265" s="18" t="s">
        <v>43</v>
      </c>
      <c r="E265" s="18" t="s">
        <v>1502</v>
      </c>
      <c r="F265" s="18">
        <v>5.94</v>
      </c>
      <c r="G265" s="22">
        <v>1.78</v>
      </c>
      <c r="H265" s="17">
        <v>8.93</v>
      </c>
      <c r="I265" s="25">
        <v>5.3577007185254493</v>
      </c>
      <c r="J265" s="24">
        <f>G265/F265*((100-H265)/100)*((100-I265)/100)*100</f>
        <v>25.828202134854745</v>
      </c>
      <c r="K265" s="53">
        <v>5.2338530066815148</v>
      </c>
      <c r="L265" s="54">
        <f>J265*10000/K265</f>
        <v>49348.352164041615</v>
      </c>
      <c r="M265" s="55">
        <v>48.2</v>
      </c>
      <c r="N265" s="55">
        <v>21</v>
      </c>
      <c r="O265" s="56">
        <v>8.5930999999999997</v>
      </c>
      <c r="P265" s="55">
        <v>57.4</v>
      </c>
      <c r="Q265" s="17">
        <v>57</v>
      </c>
      <c r="R265" s="17">
        <v>59</v>
      </c>
      <c r="S265" s="17">
        <v>60</v>
      </c>
      <c r="T265" s="17">
        <v>64</v>
      </c>
      <c r="U265" s="17">
        <v>65</v>
      </c>
      <c r="V265" s="17">
        <v>67</v>
      </c>
      <c r="W265" s="17">
        <v>67</v>
      </c>
      <c r="X265" s="3">
        <v>97</v>
      </c>
    </row>
    <row r="266" spans="1:24" s="3" customFormat="1" x14ac:dyDescent="0.25">
      <c r="A266" s="66" t="s">
        <v>1020</v>
      </c>
      <c r="B266" s="17" t="s">
        <v>7</v>
      </c>
      <c r="C266" s="17" t="s">
        <v>836</v>
      </c>
      <c r="D266" s="18" t="s">
        <v>132</v>
      </c>
      <c r="E266" s="18" t="s">
        <v>1828</v>
      </c>
      <c r="F266" s="18">
        <v>5.94</v>
      </c>
      <c r="G266" s="22">
        <v>0.96</v>
      </c>
      <c r="H266" s="17">
        <v>8.93</v>
      </c>
      <c r="I266" s="25">
        <v>6.5494042311745133</v>
      </c>
      <c r="J266" s="24">
        <f>G266/F266*((100-H266)/100)*((100-I266)/100)*100</f>
        <v>13.75441738451222</v>
      </c>
      <c r="K266" s="53">
        <v>5.0421940928270041</v>
      </c>
      <c r="L266" s="54">
        <f>J266*10000/K266</f>
        <v>27278.635314890344</v>
      </c>
      <c r="M266" s="55">
        <v>46.1</v>
      </c>
      <c r="N266" s="55">
        <v>22.6</v>
      </c>
      <c r="O266" s="56">
        <v>18.018000000000001</v>
      </c>
      <c r="P266" s="55">
        <v>65.900000000000006</v>
      </c>
      <c r="Q266" s="17">
        <v>57</v>
      </c>
      <c r="R266" s="17">
        <v>59</v>
      </c>
      <c r="S266" s="17">
        <v>60</v>
      </c>
      <c r="T266" s="17">
        <v>64</v>
      </c>
      <c r="U266" s="17">
        <v>65</v>
      </c>
      <c r="V266" s="17">
        <v>67</v>
      </c>
      <c r="W266" s="17">
        <v>67</v>
      </c>
      <c r="X266" s="3">
        <v>97</v>
      </c>
    </row>
    <row r="267" spans="1:24" s="3" customFormat="1" x14ac:dyDescent="0.25">
      <c r="A267" s="16" t="s">
        <v>1370</v>
      </c>
      <c r="B267" s="17" t="s">
        <v>10</v>
      </c>
      <c r="C267" s="17" t="s">
        <v>836</v>
      </c>
      <c r="D267" s="18" t="s">
        <v>204</v>
      </c>
      <c r="E267" s="18" t="s">
        <v>1786</v>
      </c>
      <c r="F267" s="18">
        <v>5.94</v>
      </c>
      <c r="G267" s="22">
        <v>2.15</v>
      </c>
      <c r="H267" s="17">
        <v>7.69</v>
      </c>
      <c r="I267" s="25">
        <v>8.0357142857142758</v>
      </c>
      <c r="J267" s="24">
        <f>G267/F267*((100-H267)/100)*((100-I267)/100)*100</f>
        <v>30.726986381673882</v>
      </c>
      <c r="K267" s="53">
        <v>4.4495412844036695</v>
      </c>
      <c r="L267" s="54">
        <f>J267*10000/K267</f>
        <v>69056.526094895948</v>
      </c>
      <c r="M267" s="55">
        <v>53.4</v>
      </c>
      <c r="N267" s="55">
        <v>17.7</v>
      </c>
      <c r="O267" s="56">
        <v>1.3051999999999999</v>
      </c>
      <c r="P267" s="55">
        <v>9.8000000000000007</v>
      </c>
      <c r="Q267" s="17">
        <v>57</v>
      </c>
      <c r="R267" s="17">
        <v>61</v>
      </c>
      <c r="S267" s="17">
        <v>62</v>
      </c>
      <c r="T267" s="17">
        <v>64</v>
      </c>
      <c r="U267" s="17">
        <v>65</v>
      </c>
      <c r="V267" s="17">
        <v>67</v>
      </c>
      <c r="W267" s="17">
        <v>67</v>
      </c>
      <c r="X267" s="3">
        <v>97</v>
      </c>
    </row>
    <row r="268" spans="1:24" s="3" customFormat="1" x14ac:dyDescent="0.25">
      <c r="A268" s="16" t="s">
        <v>1382</v>
      </c>
      <c r="B268" s="17" t="s">
        <v>10</v>
      </c>
      <c r="C268" s="17" t="s">
        <v>836</v>
      </c>
      <c r="D268" s="18" t="s">
        <v>195</v>
      </c>
      <c r="E268" s="18" t="s">
        <v>1750</v>
      </c>
      <c r="F268" s="18">
        <v>5.94</v>
      </c>
      <c r="G268" s="22">
        <v>2.14</v>
      </c>
      <c r="H268" s="17">
        <v>7.69</v>
      </c>
      <c r="I268" s="25">
        <v>9.6112476951444314</v>
      </c>
      <c r="J268" s="24">
        <f>G268/F268*((100-H268)/100)*((100-I268)/100)*100</f>
        <v>30.060103454644789</v>
      </c>
      <c r="K268" s="53">
        <v>4.7343895619757692</v>
      </c>
      <c r="L268" s="54">
        <f>J268*10000/K268</f>
        <v>63493.092533137518</v>
      </c>
      <c r="M268" s="55">
        <v>51.3</v>
      </c>
      <c r="N268" s="55">
        <v>16.100000000000001</v>
      </c>
      <c r="O268" s="56">
        <v>3.0122</v>
      </c>
      <c r="P268" s="55">
        <v>18.600000000000001</v>
      </c>
      <c r="Q268" s="17">
        <v>57</v>
      </c>
      <c r="R268" s="17">
        <v>61</v>
      </c>
      <c r="S268" s="17">
        <v>62</v>
      </c>
      <c r="T268" s="17">
        <v>64</v>
      </c>
      <c r="U268" s="17">
        <v>65</v>
      </c>
      <c r="V268" s="17">
        <v>67</v>
      </c>
      <c r="W268" s="17">
        <v>67</v>
      </c>
      <c r="X268" s="3">
        <v>97</v>
      </c>
    </row>
    <row r="269" spans="1:24" s="62" customFormat="1" x14ac:dyDescent="0.25">
      <c r="A269" s="16" t="s">
        <v>867</v>
      </c>
      <c r="B269" s="17" t="s">
        <v>7</v>
      </c>
      <c r="C269" s="17" t="s">
        <v>836</v>
      </c>
      <c r="D269" s="18" t="s">
        <v>58</v>
      </c>
      <c r="E269" s="18" t="s">
        <v>1778</v>
      </c>
      <c r="F269" s="18">
        <v>5.94</v>
      </c>
      <c r="G269" s="75">
        <v>2.5499999999999998</v>
      </c>
      <c r="H269" s="17">
        <v>8.93</v>
      </c>
      <c r="I269" s="25">
        <v>6.824064632520189</v>
      </c>
      <c r="J269" s="24">
        <f>G269/F269*((100-H269)/100)*((100-I269)/100)*100</f>
        <v>36.427790751661249</v>
      </c>
      <c r="K269" s="53">
        <v>5.2433628318584073</v>
      </c>
      <c r="L269" s="54">
        <f>J269*10000/K269</f>
        <v>69474.098817514285</v>
      </c>
      <c r="M269" s="55">
        <v>51.8</v>
      </c>
      <c r="N269" s="55">
        <v>19</v>
      </c>
      <c r="O269" s="56">
        <v>4.6257999999999999</v>
      </c>
      <c r="P269" s="55">
        <v>13.5</v>
      </c>
      <c r="Q269" s="17">
        <v>60</v>
      </c>
      <c r="R269" s="17">
        <v>61</v>
      </c>
      <c r="S269" s="17">
        <v>62</v>
      </c>
      <c r="T269" s="17">
        <v>64</v>
      </c>
      <c r="U269" s="17">
        <v>65</v>
      </c>
      <c r="V269" s="17">
        <v>67</v>
      </c>
      <c r="W269" s="17">
        <v>67</v>
      </c>
      <c r="X269" s="3">
        <v>97</v>
      </c>
    </row>
    <row r="270" spans="1:24" s="3" customFormat="1" x14ac:dyDescent="0.25">
      <c r="A270" s="16" t="s">
        <v>989</v>
      </c>
      <c r="B270" s="17" t="s">
        <v>7</v>
      </c>
      <c r="C270" s="17" t="s">
        <v>836</v>
      </c>
      <c r="D270" s="18" t="s">
        <v>9</v>
      </c>
      <c r="E270" s="18" t="s">
        <v>1714</v>
      </c>
      <c r="F270" s="18">
        <v>5.94</v>
      </c>
      <c r="G270" s="22">
        <v>2.15</v>
      </c>
      <c r="H270" s="17">
        <v>8.93</v>
      </c>
      <c r="I270" s="25">
        <v>6.3999999999999986</v>
      </c>
      <c r="J270" s="24">
        <f>G270/F270*((100-H270)/100)*((100-I270)/100)*100</f>
        <v>30.853412121212116</v>
      </c>
      <c r="K270" s="53">
        <v>5.791962174940898</v>
      </c>
      <c r="L270" s="54">
        <f>J270*10000/K270</f>
        <v>53269.360519480513</v>
      </c>
      <c r="M270" s="55">
        <v>47.8</v>
      </c>
      <c r="N270" s="55">
        <v>18.600000000000001</v>
      </c>
      <c r="O270" s="56">
        <v>5.0433000000000003</v>
      </c>
      <c r="P270" s="55">
        <v>21.1</v>
      </c>
      <c r="Q270" s="17">
        <v>59</v>
      </c>
      <c r="R270" s="17">
        <v>60</v>
      </c>
      <c r="S270" s="17">
        <v>63</v>
      </c>
      <c r="T270" s="17">
        <v>64</v>
      </c>
      <c r="U270" s="17">
        <v>65</v>
      </c>
      <c r="V270" s="17">
        <v>67</v>
      </c>
      <c r="W270" s="17">
        <v>67</v>
      </c>
      <c r="X270" s="3">
        <v>97</v>
      </c>
    </row>
    <row r="271" spans="1:24" s="3" customFormat="1" x14ac:dyDescent="0.25">
      <c r="A271" s="16" t="s">
        <v>1352</v>
      </c>
      <c r="B271" s="17" t="s">
        <v>10</v>
      </c>
      <c r="C271" s="17" t="s">
        <v>836</v>
      </c>
      <c r="D271" s="18" t="s">
        <v>86</v>
      </c>
      <c r="E271" s="18" t="s">
        <v>1478</v>
      </c>
      <c r="F271" s="18">
        <v>5.94</v>
      </c>
      <c r="G271" s="22">
        <v>1.34</v>
      </c>
      <c r="H271" s="17">
        <v>7.69</v>
      </c>
      <c r="I271" s="25">
        <v>13.915602124300273</v>
      </c>
      <c r="J271" s="24">
        <f>G271/F271*((100-H271)/100)*((100-I271)/100)*100</f>
        <v>17.926336749147858</v>
      </c>
      <c r="K271" s="53">
        <v>5.0165745856353592</v>
      </c>
      <c r="L271" s="54">
        <f>J271*10000/K271</f>
        <v>35734.217528587687</v>
      </c>
      <c r="M271" s="55">
        <v>46.5</v>
      </c>
      <c r="N271" s="55">
        <v>20.8</v>
      </c>
      <c r="O271" s="56">
        <v>44.636000000000003</v>
      </c>
      <c r="P271" s="55">
        <v>60.8</v>
      </c>
      <c r="Q271" s="17">
        <v>57</v>
      </c>
      <c r="R271" s="17">
        <v>60</v>
      </c>
      <c r="S271" s="17">
        <v>61</v>
      </c>
      <c r="T271" s="17">
        <v>65</v>
      </c>
      <c r="U271" s="17">
        <v>65</v>
      </c>
      <c r="V271" s="17">
        <v>67</v>
      </c>
      <c r="W271" s="17">
        <v>67</v>
      </c>
      <c r="X271" s="3">
        <v>97</v>
      </c>
    </row>
    <row r="272" spans="1:24" s="3" customFormat="1" x14ac:dyDescent="0.25">
      <c r="A272" s="16" t="s">
        <v>993</v>
      </c>
      <c r="B272" s="17" t="s">
        <v>7</v>
      </c>
      <c r="C272" s="17" t="s">
        <v>836</v>
      </c>
      <c r="D272" s="18" t="s">
        <v>97</v>
      </c>
      <c r="E272" s="18" t="s">
        <v>1529</v>
      </c>
      <c r="F272" s="18">
        <v>5.94</v>
      </c>
      <c r="G272" s="22">
        <v>1.42</v>
      </c>
      <c r="H272" s="17">
        <v>8.93</v>
      </c>
      <c r="I272" s="25">
        <v>9.9245827984595678</v>
      </c>
      <c r="J272" s="24">
        <f>G272/F272*((100-H272)/100)*((100-I272)/100)*100</f>
        <v>19.610267520627751</v>
      </c>
      <c r="K272" s="53">
        <v>6.1125319693094626</v>
      </c>
      <c r="L272" s="54">
        <f>J272*10000/K272</f>
        <v>32082.069458432852</v>
      </c>
      <c r="M272" s="55">
        <v>46.7</v>
      </c>
      <c r="N272" s="55">
        <v>20.3</v>
      </c>
      <c r="O272" s="56">
        <v>1.135</v>
      </c>
      <c r="P272" s="55">
        <v>24</v>
      </c>
      <c r="Q272" s="17">
        <v>57</v>
      </c>
      <c r="R272" s="17">
        <v>60</v>
      </c>
      <c r="S272" s="17">
        <v>61</v>
      </c>
      <c r="T272" s="17">
        <v>65</v>
      </c>
      <c r="U272" s="17">
        <v>65</v>
      </c>
      <c r="V272" s="17">
        <v>67</v>
      </c>
      <c r="W272" s="17">
        <v>67</v>
      </c>
      <c r="X272" s="3">
        <v>97</v>
      </c>
    </row>
    <row r="273" spans="1:24" s="3" customFormat="1" x14ac:dyDescent="0.25">
      <c r="A273" s="16" t="s">
        <v>1001</v>
      </c>
      <c r="B273" s="17" t="s">
        <v>7</v>
      </c>
      <c r="C273" s="17" t="s">
        <v>836</v>
      </c>
      <c r="D273" s="18" t="s">
        <v>17</v>
      </c>
      <c r="E273" s="18" t="s">
        <v>1716</v>
      </c>
      <c r="F273" s="18">
        <v>5.94</v>
      </c>
      <c r="G273" s="22">
        <v>2</v>
      </c>
      <c r="H273" s="17">
        <v>8.93</v>
      </c>
      <c r="I273" s="25">
        <v>5.0808666463228649</v>
      </c>
      <c r="J273" s="24">
        <f>G273/F273*((100-H273)/100)*((100-I273)/100)*100</f>
        <v>29.105338298045037</v>
      </c>
      <c r="K273" s="53">
        <v>6.0073710073710069</v>
      </c>
      <c r="L273" s="54">
        <f>J273*10000/K273</f>
        <v>48449.377044189489</v>
      </c>
      <c r="M273" s="55">
        <v>51</v>
      </c>
      <c r="N273" s="55">
        <v>17.600000000000001</v>
      </c>
      <c r="O273" s="56">
        <v>2.9159000000000002</v>
      </c>
      <c r="P273" s="55">
        <v>18.399999999999999</v>
      </c>
      <c r="Q273" s="17">
        <v>57</v>
      </c>
      <c r="R273" s="17">
        <v>60</v>
      </c>
      <c r="S273" s="17">
        <v>61</v>
      </c>
      <c r="T273" s="17">
        <v>65</v>
      </c>
      <c r="U273" s="17">
        <v>65</v>
      </c>
      <c r="V273" s="17">
        <v>67</v>
      </c>
      <c r="W273" s="17">
        <v>67</v>
      </c>
      <c r="X273" s="3">
        <v>97</v>
      </c>
    </row>
    <row r="274" spans="1:24" s="3" customFormat="1" x14ac:dyDescent="0.25">
      <c r="A274" s="16" t="s">
        <v>1012</v>
      </c>
      <c r="B274" s="17" t="s">
        <v>7</v>
      </c>
      <c r="C274" s="17" t="s">
        <v>836</v>
      </c>
      <c r="D274" s="18" t="s">
        <v>86</v>
      </c>
      <c r="E274" s="18" t="s">
        <v>1478</v>
      </c>
      <c r="F274" s="18">
        <v>5.94</v>
      </c>
      <c r="G274" s="22">
        <v>1.26</v>
      </c>
      <c r="H274" s="17">
        <v>8.93</v>
      </c>
      <c r="I274" s="25">
        <v>7.0888396608356894</v>
      </c>
      <c r="J274" s="24">
        <f>G274/F274*((100-H274)/100)*((100-I274)/100)*100</f>
        <v>17.948465334731466</v>
      </c>
      <c r="K274" s="53">
        <v>4.9638802889576885</v>
      </c>
      <c r="L274" s="54">
        <f>J274*10000/K274</f>
        <v>36158.134946683553</v>
      </c>
      <c r="M274" s="55">
        <v>47.9</v>
      </c>
      <c r="N274" s="55">
        <v>19.7</v>
      </c>
      <c r="O274" s="56">
        <v>45.247</v>
      </c>
      <c r="P274" s="55">
        <v>56.6</v>
      </c>
      <c r="Q274" s="17">
        <v>57</v>
      </c>
      <c r="R274" s="17">
        <v>60</v>
      </c>
      <c r="S274" s="17">
        <v>61</v>
      </c>
      <c r="T274" s="17">
        <v>65</v>
      </c>
      <c r="U274" s="17">
        <v>65</v>
      </c>
      <c r="V274" s="17">
        <v>67</v>
      </c>
      <c r="W274" s="17">
        <v>67</v>
      </c>
      <c r="X274" s="3">
        <v>97</v>
      </c>
    </row>
    <row r="275" spans="1:24" s="3" customFormat="1" x14ac:dyDescent="0.25">
      <c r="A275" s="16" t="s">
        <v>1415</v>
      </c>
      <c r="B275" s="17" t="s">
        <v>10</v>
      </c>
      <c r="C275" s="17" t="s">
        <v>836</v>
      </c>
      <c r="D275" s="18" t="s">
        <v>97</v>
      </c>
      <c r="E275" s="18" t="s">
        <v>1529</v>
      </c>
      <c r="F275" s="18">
        <v>5.94</v>
      </c>
      <c r="G275" s="22">
        <v>1.4</v>
      </c>
      <c r="H275" s="17">
        <v>7.69</v>
      </c>
      <c r="I275" s="25">
        <v>14.661852102610403</v>
      </c>
      <c r="J275" s="24">
        <f>G275/F275*((100-H275)/100)*((100-I275)/100)*100</f>
        <v>18.56665017739267</v>
      </c>
      <c r="K275" s="53">
        <v>6.1366459627329188</v>
      </c>
      <c r="L275" s="54">
        <f>J275*10000/K275</f>
        <v>30255.371240488057</v>
      </c>
      <c r="M275" s="55">
        <v>45.7</v>
      </c>
      <c r="N275" s="55">
        <v>20.3</v>
      </c>
      <c r="O275" s="56">
        <v>3.0392000000000001</v>
      </c>
      <c r="P275" s="55">
        <v>26.1</v>
      </c>
      <c r="Q275" s="17">
        <v>59</v>
      </c>
      <c r="R275" s="17">
        <v>60</v>
      </c>
      <c r="S275" s="17">
        <v>61</v>
      </c>
      <c r="T275" s="17">
        <v>65</v>
      </c>
      <c r="U275" s="17">
        <v>65</v>
      </c>
      <c r="V275" s="17">
        <v>67</v>
      </c>
      <c r="W275" s="17">
        <v>67</v>
      </c>
      <c r="X275" s="3">
        <v>97</v>
      </c>
    </row>
    <row r="276" spans="1:24" s="3" customFormat="1" x14ac:dyDescent="0.25">
      <c r="A276" s="16" t="s">
        <v>912</v>
      </c>
      <c r="B276" s="17" t="s">
        <v>7</v>
      </c>
      <c r="C276" s="17" t="s">
        <v>836</v>
      </c>
      <c r="D276" s="18" t="s">
        <v>60</v>
      </c>
      <c r="E276" s="18" t="s">
        <v>1776</v>
      </c>
      <c r="F276" s="18">
        <v>5.94</v>
      </c>
      <c r="G276" s="22">
        <v>2.39</v>
      </c>
      <c r="H276" s="17">
        <v>8.93</v>
      </c>
      <c r="I276" s="25">
        <v>3.5618536959019571</v>
      </c>
      <c r="J276" s="24">
        <f>G276/F276*((100-H276)/100)*((100-I276)/100)*100</f>
        <v>35.33748576019353</v>
      </c>
      <c r="K276" s="53">
        <v>5.4403567447045704</v>
      </c>
      <c r="L276" s="54">
        <f>J276*10000/K276</f>
        <v>64954.353948552452</v>
      </c>
      <c r="M276" s="55">
        <v>52</v>
      </c>
      <c r="N276" s="55">
        <v>17.100000000000001</v>
      </c>
      <c r="O276" s="56">
        <v>1.6672</v>
      </c>
      <c r="P276" s="55">
        <v>9.5</v>
      </c>
      <c r="Q276" s="17">
        <v>57</v>
      </c>
      <c r="R276" s="17">
        <v>60</v>
      </c>
      <c r="S276" s="17">
        <v>62</v>
      </c>
      <c r="T276" s="17">
        <v>65</v>
      </c>
      <c r="U276" s="17">
        <v>65</v>
      </c>
      <c r="V276" s="17">
        <v>67</v>
      </c>
      <c r="W276" s="17">
        <v>67</v>
      </c>
      <c r="X276" s="3">
        <v>97</v>
      </c>
    </row>
    <row r="277" spans="1:24" s="3" customFormat="1" x14ac:dyDescent="0.25">
      <c r="A277" s="16" t="s">
        <v>858</v>
      </c>
      <c r="B277" s="17" t="s">
        <v>7</v>
      </c>
      <c r="C277" s="17" t="s">
        <v>836</v>
      </c>
      <c r="D277" s="18" t="s">
        <v>21</v>
      </c>
      <c r="E277" s="18" t="s">
        <v>1578</v>
      </c>
      <c r="F277" s="18">
        <v>5.94</v>
      </c>
      <c r="G277" s="22">
        <v>2.5099999999999998</v>
      </c>
      <c r="H277" s="17">
        <v>8.93</v>
      </c>
      <c r="I277" s="25">
        <v>4.6969696969696928</v>
      </c>
      <c r="J277" s="24">
        <f>G277/F277*((100-H277)/100)*((100-I277)/100)*100</f>
        <v>36.674932481379443</v>
      </c>
      <c r="K277" s="53">
        <v>4.5869776482021383</v>
      </c>
      <c r="L277" s="54">
        <f>J277*10000/K277</f>
        <v>79954.460854532721</v>
      </c>
      <c r="M277" s="55">
        <v>54.8</v>
      </c>
      <c r="N277" s="55">
        <v>16</v>
      </c>
      <c r="O277" s="56">
        <v>2.1629</v>
      </c>
      <c r="P277" s="55">
        <v>15.9</v>
      </c>
      <c r="Q277" s="17">
        <v>59</v>
      </c>
      <c r="R277" s="17">
        <v>60</v>
      </c>
      <c r="S277" s="17">
        <v>62</v>
      </c>
      <c r="T277" s="17">
        <v>65</v>
      </c>
      <c r="U277" s="17">
        <v>65</v>
      </c>
      <c r="V277" s="17">
        <v>67</v>
      </c>
      <c r="W277" s="17">
        <v>67</v>
      </c>
      <c r="X277" s="3">
        <v>97</v>
      </c>
    </row>
    <row r="278" spans="1:24" s="3" customFormat="1" x14ac:dyDescent="0.25">
      <c r="A278" s="16" t="s">
        <v>1388</v>
      </c>
      <c r="B278" s="17" t="s">
        <v>10</v>
      </c>
      <c r="C278" s="17" t="s">
        <v>836</v>
      </c>
      <c r="D278" s="18" t="s">
        <v>15</v>
      </c>
      <c r="E278" s="18" t="s">
        <v>1648</v>
      </c>
      <c r="F278" s="18">
        <v>5.94</v>
      </c>
      <c r="G278" s="22">
        <v>1.82</v>
      </c>
      <c r="H278" s="17">
        <v>7.69</v>
      </c>
      <c r="I278" s="25">
        <v>5.7917436845348202</v>
      </c>
      <c r="J278" s="24">
        <f>G278/F278*((100-H278)/100)*((100-I278)/100)*100</f>
        <v>26.645425480933799</v>
      </c>
      <c r="K278" s="53">
        <v>5.1115834218916048</v>
      </c>
      <c r="L278" s="54">
        <f>J278*10000/K278</f>
        <v>52127.537167481722</v>
      </c>
      <c r="M278" s="55">
        <v>52.1</v>
      </c>
      <c r="N278" s="55">
        <v>16.600000000000001</v>
      </c>
      <c r="O278" s="56">
        <v>2.2170999999999998</v>
      </c>
      <c r="P278" s="55">
        <v>20.2</v>
      </c>
      <c r="Q278" s="17">
        <v>57</v>
      </c>
      <c r="R278" s="17">
        <v>61</v>
      </c>
      <c r="S278" s="17">
        <v>62</v>
      </c>
      <c r="T278" s="17">
        <v>65</v>
      </c>
      <c r="U278" s="17">
        <v>65</v>
      </c>
      <c r="V278" s="17">
        <v>67</v>
      </c>
      <c r="W278" s="17">
        <v>67</v>
      </c>
      <c r="X278" s="3">
        <v>97</v>
      </c>
    </row>
    <row r="279" spans="1:24" s="3" customFormat="1" x14ac:dyDescent="0.25">
      <c r="A279" s="16" t="s">
        <v>1406</v>
      </c>
      <c r="B279" s="17" t="s">
        <v>10</v>
      </c>
      <c r="C279" s="17" t="s">
        <v>836</v>
      </c>
      <c r="D279" s="18" t="s">
        <v>70</v>
      </c>
      <c r="E279" s="18" t="s">
        <v>1482</v>
      </c>
      <c r="F279" s="18">
        <v>5.94</v>
      </c>
      <c r="G279" s="22">
        <v>1.52</v>
      </c>
      <c r="H279" s="17">
        <v>7.69</v>
      </c>
      <c r="I279" s="25">
        <v>11.456731441353279</v>
      </c>
      <c r="J279" s="24">
        <f>G279/F279*((100-H279)/100)*((100-I279)/100)*100</f>
        <v>20.915172160582479</v>
      </c>
      <c r="K279" s="53">
        <v>4.8214285714285712</v>
      </c>
      <c r="L279" s="54">
        <f>J279*10000/K279</f>
        <v>43379.616333059959</v>
      </c>
      <c r="M279" s="55">
        <v>53.4</v>
      </c>
      <c r="N279" s="55">
        <v>19.2</v>
      </c>
      <c r="O279" s="56">
        <v>41.244</v>
      </c>
      <c r="P279" s="55">
        <v>51.6</v>
      </c>
      <c r="Q279" s="17">
        <v>57</v>
      </c>
      <c r="R279" s="17">
        <v>61</v>
      </c>
      <c r="S279" s="17">
        <v>62</v>
      </c>
      <c r="T279" s="17">
        <v>65</v>
      </c>
      <c r="U279" s="17">
        <v>65</v>
      </c>
      <c r="V279" s="17">
        <v>67</v>
      </c>
      <c r="W279" s="17">
        <v>67</v>
      </c>
      <c r="X279" s="3">
        <v>97</v>
      </c>
    </row>
    <row r="280" spans="1:24" s="3" customFormat="1" x14ac:dyDescent="0.25">
      <c r="A280" s="16" t="s">
        <v>871</v>
      </c>
      <c r="B280" s="17" t="s">
        <v>7</v>
      </c>
      <c r="C280" s="17" t="s">
        <v>836</v>
      </c>
      <c r="D280" s="18" t="s">
        <v>67</v>
      </c>
      <c r="E280" s="18" t="s">
        <v>1490</v>
      </c>
      <c r="F280" s="18">
        <v>5.94</v>
      </c>
      <c r="G280" s="22">
        <v>1.73</v>
      </c>
      <c r="H280" s="17">
        <v>8.93</v>
      </c>
      <c r="I280" s="25">
        <v>7.2345390898483162</v>
      </c>
      <c r="J280" s="24">
        <f>G280/F280*((100-H280)/100)*((100-I280)/100)*100</f>
        <v>24.604882842426594</v>
      </c>
      <c r="K280" s="53">
        <v>4.4837476099426388</v>
      </c>
      <c r="L280" s="54">
        <f>J280*10000/K280</f>
        <v>54875.708855390651</v>
      </c>
      <c r="M280" s="55">
        <v>49.2</v>
      </c>
      <c r="N280" s="55">
        <v>20.100000000000001</v>
      </c>
      <c r="O280" s="56">
        <v>7.9550000000000001</v>
      </c>
      <c r="P280" s="55">
        <v>44.1</v>
      </c>
      <c r="Q280" s="17">
        <v>57</v>
      </c>
      <c r="R280" s="17">
        <v>61</v>
      </c>
      <c r="S280" s="17">
        <v>62</v>
      </c>
      <c r="T280" s="17">
        <v>65</v>
      </c>
      <c r="U280" s="17">
        <v>65</v>
      </c>
      <c r="V280" s="17">
        <v>67</v>
      </c>
      <c r="W280" s="17">
        <v>67</v>
      </c>
      <c r="X280" s="3">
        <v>97</v>
      </c>
    </row>
    <row r="281" spans="1:24" s="3" customFormat="1" x14ac:dyDescent="0.25">
      <c r="A281" s="16" t="s">
        <v>985</v>
      </c>
      <c r="B281" s="17" t="s">
        <v>7</v>
      </c>
      <c r="C281" s="17" t="s">
        <v>836</v>
      </c>
      <c r="D281" s="18" t="s">
        <v>68</v>
      </c>
      <c r="E281" s="18" t="s">
        <v>1788</v>
      </c>
      <c r="F281" s="18">
        <v>5.94</v>
      </c>
      <c r="G281" s="22">
        <v>2.33</v>
      </c>
      <c r="H281" s="17">
        <v>8.93</v>
      </c>
      <c r="I281" s="25">
        <v>4.4728660260034001</v>
      </c>
      <c r="J281" s="24">
        <f>G281/F281*((100-H281)/100)*((100-I281)/100)*100</f>
        <v>34.124913622992686</v>
      </c>
      <c r="K281" s="53">
        <v>4.8194014447884417</v>
      </c>
      <c r="L281" s="54">
        <f>J281*10000/K281</f>
        <v>70807.368952205376</v>
      </c>
      <c r="M281" s="55">
        <v>51.2</v>
      </c>
      <c r="N281" s="55">
        <v>17.3</v>
      </c>
      <c r="O281" s="56">
        <v>-0.26401000000000002</v>
      </c>
      <c r="P281" s="55">
        <v>10.4</v>
      </c>
      <c r="Q281" s="17">
        <v>57</v>
      </c>
      <c r="R281" s="17">
        <v>61</v>
      </c>
      <c r="S281" s="17">
        <v>62</v>
      </c>
      <c r="T281" s="17">
        <v>65</v>
      </c>
      <c r="U281" s="17">
        <v>65</v>
      </c>
      <c r="V281" s="17">
        <v>67</v>
      </c>
      <c r="W281" s="17">
        <v>67</v>
      </c>
      <c r="X281" s="3">
        <v>97</v>
      </c>
    </row>
    <row r="282" spans="1:24" s="3" customFormat="1" x14ac:dyDescent="0.25">
      <c r="A282" s="16" t="s">
        <v>1430</v>
      </c>
      <c r="B282" s="17" t="s">
        <v>10</v>
      </c>
      <c r="C282" s="17" t="s">
        <v>836</v>
      </c>
      <c r="D282" s="18" t="s">
        <v>17</v>
      </c>
      <c r="E282" s="18" t="s">
        <v>1716</v>
      </c>
      <c r="F282" s="18">
        <v>5.94</v>
      </c>
      <c r="G282" s="22">
        <v>2.2200000000000002</v>
      </c>
      <c r="H282" s="17">
        <v>7.69</v>
      </c>
      <c r="I282" s="25">
        <v>5.7160370852808162</v>
      </c>
      <c r="J282" s="24">
        <f>G282/F282*((100-H282)/100)*((100-I282)/100)*100</f>
        <v>32.527681496599598</v>
      </c>
      <c r="K282" s="53">
        <v>5.4867256637168138</v>
      </c>
      <c r="L282" s="54">
        <f>J282*10000/K282</f>
        <v>59284.322727673461</v>
      </c>
      <c r="M282" s="55">
        <v>52.7</v>
      </c>
      <c r="N282" s="55">
        <v>16.7</v>
      </c>
      <c r="O282" s="56">
        <v>2.8056000000000001</v>
      </c>
      <c r="P282" s="55">
        <v>21.9</v>
      </c>
      <c r="Q282" s="17">
        <v>59</v>
      </c>
      <c r="R282" s="17">
        <v>61</v>
      </c>
      <c r="S282" s="17">
        <v>62</v>
      </c>
      <c r="T282" s="17">
        <v>65</v>
      </c>
      <c r="U282" s="17">
        <v>65</v>
      </c>
      <c r="V282" s="17">
        <v>67</v>
      </c>
      <c r="W282" s="17">
        <v>67</v>
      </c>
      <c r="X282" s="3">
        <v>97</v>
      </c>
    </row>
    <row r="283" spans="1:24" s="3" customFormat="1" x14ac:dyDescent="0.25">
      <c r="A283" s="16" t="s">
        <v>853</v>
      </c>
      <c r="B283" s="17" t="s">
        <v>7</v>
      </c>
      <c r="C283" s="17" t="s">
        <v>836</v>
      </c>
      <c r="D283" s="18" t="s">
        <v>18</v>
      </c>
      <c r="E283" s="18" t="s">
        <v>1806</v>
      </c>
      <c r="F283" s="18">
        <v>5.94</v>
      </c>
      <c r="G283" s="22">
        <v>2.76</v>
      </c>
      <c r="H283" s="17">
        <v>8.93</v>
      </c>
      <c r="I283" s="25">
        <v>3.9260792883981215</v>
      </c>
      <c r="J283" s="24">
        <f>G283/F283*((100-H283)/100)*((100-I283)/100)*100</f>
        <v>40.65401920438957</v>
      </c>
      <c r="K283" s="53">
        <v>4.4890510948905114</v>
      </c>
      <c r="L283" s="54">
        <f>J283*10000/K283</f>
        <v>90562.61188620115</v>
      </c>
      <c r="M283" s="55">
        <v>54.7</v>
      </c>
      <c r="N283" s="55">
        <v>15.7</v>
      </c>
      <c r="O283" s="56">
        <v>2.6419000000000001</v>
      </c>
      <c r="P283" s="55">
        <v>16.7</v>
      </c>
      <c r="Q283" s="17">
        <v>59</v>
      </c>
      <c r="R283" s="17">
        <v>61</v>
      </c>
      <c r="S283" s="17">
        <v>62</v>
      </c>
      <c r="T283" s="17">
        <v>65</v>
      </c>
      <c r="U283" s="17">
        <v>65</v>
      </c>
      <c r="V283" s="17">
        <v>67</v>
      </c>
      <c r="W283" s="17">
        <v>67</v>
      </c>
      <c r="X283" s="3">
        <v>97</v>
      </c>
    </row>
    <row r="284" spans="1:24" s="3" customFormat="1" x14ac:dyDescent="0.25">
      <c r="A284" s="16" t="s">
        <v>872</v>
      </c>
      <c r="B284" s="17" t="s">
        <v>7</v>
      </c>
      <c r="C284" s="17" t="s">
        <v>836</v>
      </c>
      <c r="D284" s="18" t="s">
        <v>39</v>
      </c>
      <c r="E284" s="18" t="s">
        <v>1574</v>
      </c>
      <c r="F284" s="18">
        <v>5.94</v>
      </c>
      <c r="G284" s="22">
        <v>2.1</v>
      </c>
      <c r="H284" s="17">
        <v>8.93</v>
      </c>
      <c r="I284" s="25">
        <v>5.5836397058823577</v>
      </c>
      <c r="J284" s="24">
        <f>G284/F284*((100-H284)/100)*((100-I284)/100)*100</f>
        <v>30.39873006257427</v>
      </c>
      <c r="K284" s="53">
        <v>4.9894067796610173</v>
      </c>
      <c r="L284" s="54">
        <f>J284*10000/K284</f>
        <v>60926.541781465203</v>
      </c>
      <c r="M284" s="55">
        <v>51.1</v>
      </c>
      <c r="N284" s="55">
        <v>17.8</v>
      </c>
      <c r="O284" s="56">
        <v>3.5764999999999998</v>
      </c>
      <c r="P284" s="55">
        <v>19.899999999999999</v>
      </c>
      <c r="Q284" s="17">
        <v>59</v>
      </c>
      <c r="R284" s="17">
        <v>61</v>
      </c>
      <c r="S284" s="17">
        <v>62</v>
      </c>
      <c r="T284" s="17">
        <v>65</v>
      </c>
      <c r="U284" s="17">
        <v>65</v>
      </c>
      <c r="V284" s="17">
        <v>67</v>
      </c>
      <c r="W284" s="17">
        <v>67</v>
      </c>
      <c r="X284" s="3">
        <v>97</v>
      </c>
    </row>
    <row r="285" spans="1:24" s="3" customFormat="1" x14ac:dyDescent="0.25">
      <c r="A285" s="16" t="s">
        <v>906</v>
      </c>
      <c r="B285" s="17" t="s">
        <v>7</v>
      </c>
      <c r="C285" s="17" t="s">
        <v>836</v>
      </c>
      <c r="D285" s="18" t="s">
        <v>87</v>
      </c>
      <c r="E285" s="18" t="s">
        <v>1545</v>
      </c>
      <c r="F285" s="18">
        <v>5.94</v>
      </c>
      <c r="G285" s="22">
        <v>1.74</v>
      </c>
      <c r="H285" s="17">
        <v>8.93</v>
      </c>
      <c r="I285" s="25">
        <v>7.0679580565116558</v>
      </c>
      <c r="J285" s="24">
        <f>G285/F285*((100-H285)/100)*((100-I285)/100)*100</f>
        <v>24.791546538788989</v>
      </c>
      <c r="K285" s="53">
        <v>4.9019607843137258</v>
      </c>
      <c r="L285" s="54">
        <f>J285*10000/K285</f>
        <v>50574.754939129532</v>
      </c>
      <c r="M285" s="55">
        <v>52.2</v>
      </c>
      <c r="N285" s="55">
        <v>17.899999999999999</v>
      </c>
      <c r="O285" s="56">
        <v>3.6535000000000002</v>
      </c>
      <c r="P285" s="55">
        <v>20.399999999999999</v>
      </c>
      <c r="Q285" s="17">
        <v>59</v>
      </c>
      <c r="R285" s="17">
        <v>61</v>
      </c>
      <c r="S285" s="17">
        <v>62</v>
      </c>
      <c r="T285" s="17">
        <v>65</v>
      </c>
      <c r="U285" s="17">
        <v>65</v>
      </c>
      <c r="V285" s="17">
        <v>67</v>
      </c>
      <c r="W285" s="17">
        <v>67</v>
      </c>
      <c r="X285" s="3">
        <v>97</v>
      </c>
    </row>
    <row r="286" spans="1:24" s="3" customFormat="1" x14ac:dyDescent="0.25">
      <c r="A286" s="16" t="s">
        <v>1391</v>
      </c>
      <c r="B286" s="17" t="s">
        <v>10</v>
      </c>
      <c r="C286" s="17" t="s">
        <v>836</v>
      </c>
      <c r="D286" s="18" t="s">
        <v>100</v>
      </c>
      <c r="E286" s="18" t="s">
        <v>1468</v>
      </c>
      <c r="F286" s="18">
        <v>5.94</v>
      </c>
      <c r="G286" s="22">
        <v>1.72</v>
      </c>
      <c r="H286" s="17">
        <v>7.69</v>
      </c>
      <c r="I286" s="25">
        <v>10.8714076585253</v>
      </c>
      <c r="J286" s="24">
        <f>G286/F286*((100-H286)/100)*((100-I286)/100)*100</f>
        <v>23.823622588470421</v>
      </c>
      <c r="K286" s="53">
        <v>5.2238805970149258</v>
      </c>
      <c r="L286" s="54">
        <f>J286*10000/K286</f>
        <v>45605.220383643376</v>
      </c>
      <c r="M286" s="55">
        <v>52.7</v>
      </c>
      <c r="N286" s="55">
        <v>18.600000000000001</v>
      </c>
      <c r="O286" s="56">
        <v>46.78</v>
      </c>
      <c r="P286" s="55">
        <v>62.5</v>
      </c>
      <c r="Q286" s="17">
        <v>60</v>
      </c>
      <c r="R286" s="17">
        <v>61</v>
      </c>
      <c r="S286" s="17">
        <v>62</v>
      </c>
      <c r="T286" s="17">
        <v>65</v>
      </c>
      <c r="U286" s="17">
        <v>65</v>
      </c>
      <c r="V286" s="17">
        <v>67</v>
      </c>
      <c r="W286" s="17">
        <v>67</v>
      </c>
      <c r="X286" s="3">
        <v>97</v>
      </c>
    </row>
    <row r="287" spans="1:24" s="3" customFormat="1" x14ac:dyDescent="0.25">
      <c r="A287" s="16" t="s">
        <v>1445</v>
      </c>
      <c r="B287" s="17" t="s">
        <v>10</v>
      </c>
      <c r="C287" s="17" t="s">
        <v>836</v>
      </c>
      <c r="D287" s="18" t="s">
        <v>61</v>
      </c>
      <c r="E287" s="18" t="s">
        <v>1676</v>
      </c>
      <c r="F287" s="18">
        <v>5.94</v>
      </c>
      <c r="G287" s="22">
        <v>2.5</v>
      </c>
      <c r="H287" s="17">
        <v>7.69</v>
      </c>
      <c r="I287" s="25">
        <v>5.7608111222060066</v>
      </c>
      <c r="J287" s="24">
        <f>G287/F287*((100-H287)/100)*((100-I287)/100)*100</f>
        <v>36.612876790021723</v>
      </c>
      <c r="K287" s="53">
        <v>4.62</v>
      </c>
      <c r="L287" s="54">
        <f>J287*10000/K287</f>
        <v>79248.651060653079</v>
      </c>
      <c r="M287" s="55">
        <v>52.9</v>
      </c>
      <c r="N287" s="55">
        <v>16.7</v>
      </c>
      <c r="O287" s="56">
        <v>0.36895</v>
      </c>
      <c r="P287" s="55">
        <v>21.5</v>
      </c>
      <c r="Q287" s="17">
        <v>60</v>
      </c>
      <c r="R287" s="17">
        <v>61</v>
      </c>
      <c r="S287" s="17">
        <v>62</v>
      </c>
      <c r="T287" s="17">
        <v>65</v>
      </c>
      <c r="U287" s="17">
        <v>65</v>
      </c>
      <c r="V287" s="17">
        <v>67</v>
      </c>
      <c r="W287" s="17">
        <v>67</v>
      </c>
      <c r="X287" s="3">
        <v>97</v>
      </c>
    </row>
    <row r="288" spans="1:24" s="3" customFormat="1" x14ac:dyDescent="0.25">
      <c r="A288" s="16" t="s">
        <v>964</v>
      </c>
      <c r="B288" s="17" t="s">
        <v>7</v>
      </c>
      <c r="C288" s="17" t="s">
        <v>836</v>
      </c>
      <c r="D288" s="18" t="s">
        <v>96</v>
      </c>
      <c r="E288" s="18" t="s">
        <v>1527</v>
      </c>
      <c r="F288" s="18">
        <v>5.94</v>
      </c>
      <c r="G288" s="22">
        <v>1.63</v>
      </c>
      <c r="H288" s="17">
        <v>8.93</v>
      </c>
      <c r="I288" s="25">
        <v>8.0828531381404627</v>
      </c>
      <c r="J288" s="24">
        <f>G288/F288*((100-H288)/100)*((100-I288)/100)*100</f>
        <v>22.970636600128891</v>
      </c>
      <c r="K288" s="53">
        <v>5.36231884057971</v>
      </c>
      <c r="L288" s="54">
        <f>J288*10000/K288</f>
        <v>42837.133119159284</v>
      </c>
      <c r="M288" s="55">
        <v>47.1</v>
      </c>
      <c r="N288" s="55">
        <v>19.399999999999999</v>
      </c>
      <c r="O288" s="56">
        <v>5.9424999999999999</v>
      </c>
      <c r="P288" s="55">
        <v>46</v>
      </c>
      <c r="Q288" s="17">
        <v>60</v>
      </c>
      <c r="R288" s="17">
        <v>61</v>
      </c>
      <c r="S288" s="17">
        <v>62</v>
      </c>
      <c r="T288" s="17">
        <v>65</v>
      </c>
      <c r="U288" s="17">
        <v>65</v>
      </c>
      <c r="V288" s="17">
        <v>67</v>
      </c>
      <c r="W288" s="17">
        <v>67</v>
      </c>
      <c r="X288" s="3">
        <v>97</v>
      </c>
    </row>
    <row r="289" spans="1:24" s="3" customFormat="1" x14ac:dyDescent="0.25">
      <c r="A289" s="66" t="s">
        <v>1038</v>
      </c>
      <c r="B289" s="17" t="s">
        <v>7</v>
      </c>
      <c r="C289" s="17" t="s">
        <v>836</v>
      </c>
      <c r="D289" s="18" t="s">
        <v>130</v>
      </c>
      <c r="E289" s="18" t="s">
        <v>1848</v>
      </c>
      <c r="F289" s="18">
        <v>5.94</v>
      </c>
      <c r="G289" s="22">
        <v>0.92</v>
      </c>
      <c r="H289" s="17">
        <v>8.93</v>
      </c>
      <c r="I289" s="25">
        <v>12.873780295876614</v>
      </c>
      <c r="J289" s="24">
        <f>G289/F289*((100-H289)/100)*((100-I289)/100)*100</f>
        <v>12.289255963262887</v>
      </c>
      <c r="K289" s="53">
        <v>6.0796915167095111</v>
      </c>
      <c r="L289" s="54">
        <f>J289*10000/K289</f>
        <v>20213.617630905974</v>
      </c>
      <c r="M289" s="55">
        <v>48.2</v>
      </c>
      <c r="N289" s="55">
        <v>21.4</v>
      </c>
      <c r="O289" s="56">
        <v>46.725999999999999</v>
      </c>
      <c r="P289" s="55">
        <v>72.400000000000006</v>
      </c>
      <c r="Q289" s="17">
        <v>60</v>
      </c>
      <c r="R289" s="17">
        <v>61</v>
      </c>
      <c r="S289" s="17">
        <v>62</v>
      </c>
      <c r="T289" s="17">
        <v>65</v>
      </c>
      <c r="U289" s="17">
        <v>65</v>
      </c>
      <c r="V289" s="17">
        <v>67</v>
      </c>
      <c r="W289" s="17">
        <v>67</v>
      </c>
      <c r="X289" s="3">
        <v>97</v>
      </c>
    </row>
    <row r="290" spans="1:24" s="3" customFormat="1" x14ac:dyDescent="0.25">
      <c r="A290" s="16" t="s">
        <v>852</v>
      </c>
      <c r="B290" s="17" t="s">
        <v>7</v>
      </c>
      <c r="C290" s="17" t="s">
        <v>836</v>
      </c>
      <c r="D290" s="18" t="s">
        <v>25</v>
      </c>
      <c r="E290" s="18" t="s">
        <v>1756</v>
      </c>
      <c r="F290" s="18">
        <v>5.94</v>
      </c>
      <c r="G290" s="22">
        <v>2.08</v>
      </c>
      <c r="H290" s="17">
        <v>8.93</v>
      </c>
      <c r="I290" s="25">
        <v>4.8259432874817501</v>
      </c>
      <c r="J290" s="24">
        <f>G290/F290*((100-H290)/100)*((100-I290)/100)*100</f>
        <v>30.350846459937369</v>
      </c>
      <c r="K290" s="53">
        <v>4.8674443266171794</v>
      </c>
      <c r="L290" s="54">
        <f>J290*10000/K290</f>
        <v>62354.789132289625</v>
      </c>
      <c r="M290" s="55">
        <v>52.1</v>
      </c>
      <c r="N290" s="55">
        <v>16.8</v>
      </c>
      <c r="O290" s="56">
        <v>0.74241000000000001</v>
      </c>
      <c r="P290" s="55">
        <v>8.6999999999999993</v>
      </c>
      <c r="Q290" s="17">
        <v>59</v>
      </c>
      <c r="R290" s="17">
        <v>60</v>
      </c>
      <c r="S290" s="17">
        <v>63</v>
      </c>
      <c r="T290" s="17">
        <v>65</v>
      </c>
      <c r="U290" s="17">
        <v>65</v>
      </c>
      <c r="V290" s="17">
        <v>67</v>
      </c>
      <c r="W290" s="17">
        <v>67</v>
      </c>
      <c r="X290" s="3">
        <v>97</v>
      </c>
    </row>
    <row r="291" spans="1:24" s="3" customFormat="1" x14ac:dyDescent="0.25">
      <c r="A291" s="16" t="s">
        <v>1424</v>
      </c>
      <c r="B291" s="17" t="s">
        <v>10</v>
      </c>
      <c r="C291" s="17" t="s">
        <v>836</v>
      </c>
      <c r="D291" s="18" t="s">
        <v>36</v>
      </c>
      <c r="E291" s="18" t="s">
        <v>1523</v>
      </c>
      <c r="F291" s="18">
        <v>5.94</v>
      </c>
      <c r="G291" s="22">
        <v>1.82</v>
      </c>
      <c r="H291" s="17">
        <v>7.69</v>
      </c>
      <c r="I291" s="25">
        <v>11.562759767248542</v>
      </c>
      <c r="J291" s="24">
        <f>G291/F291*((100-H291)/100)*((100-I291)/100)*100</f>
        <v>25.013178106921252</v>
      </c>
      <c r="K291" s="53">
        <v>4.8027613412228796</v>
      </c>
      <c r="L291" s="54">
        <f>J291*10000/K291</f>
        <v>52080.826694903801</v>
      </c>
      <c r="M291" s="55">
        <v>48.9</v>
      </c>
      <c r="N291" s="55">
        <v>18.8</v>
      </c>
      <c r="O291" s="56">
        <v>5.1487999999999996</v>
      </c>
      <c r="P291" s="55">
        <v>53.2</v>
      </c>
      <c r="Q291" s="17">
        <v>57</v>
      </c>
      <c r="R291" s="17">
        <v>61</v>
      </c>
      <c r="S291" s="17">
        <v>63</v>
      </c>
      <c r="T291" s="17">
        <v>65</v>
      </c>
      <c r="U291" s="17">
        <v>65</v>
      </c>
      <c r="V291" s="17">
        <v>67</v>
      </c>
      <c r="W291" s="17">
        <v>67</v>
      </c>
      <c r="X291" s="3">
        <v>97</v>
      </c>
    </row>
    <row r="292" spans="1:24" s="3" customFormat="1" x14ac:dyDescent="0.25">
      <c r="A292" s="16" t="s">
        <v>865</v>
      </c>
      <c r="B292" s="17" t="s">
        <v>7</v>
      </c>
      <c r="C292" s="17" t="s">
        <v>836</v>
      </c>
      <c r="D292" s="18" t="s">
        <v>20</v>
      </c>
      <c r="E292" s="18" t="s">
        <v>1618</v>
      </c>
      <c r="F292" s="18">
        <v>5.94</v>
      </c>
      <c r="G292" s="22">
        <v>2.2799999999999998</v>
      </c>
      <c r="H292" s="17">
        <v>8.93</v>
      </c>
      <c r="I292" s="25">
        <v>5.5327868852458835</v>
      </c>
      <c r="J292" s="24">
        <f>G292/F292*((100-H292)/100)*((100-I292)/100)*100</f>
        <v>33.022111690677256</v>
      </c>
      <c r="K292" s="53">
        <v>4.3449575871819039</v>
      </c>
      <c r="L292" s="54">
        <f>J292*10000/K292</f>
        <v>76000.998923662832</v>
      </c>
      <c r="M292" s="55">
        <v>54.8</v>
      </c>
      <c r="N292" s="55">
        <v>17.399999999999999</v>
      </c>
      <c r="O292" s="56">
        <v>-0.90088999999999997</v>
      </c>
      <c r="P292" s="55">
        <v>10.3</v>
      </c>
      <c r="Q292" s="17">
        <v>57</v>
      </c>
      <c r="R292" s="17">
        <v>61</v>
      </c>
      <c r="S292" s="17">
        <v>63</v>
      </c>
      <c r="T292" s="17">
        <v>65</v>
      </c>
      <c r="U292" s="17">
        <v>65</v>
      </c>
      <c r="V292" s="17">
        <v>67</v>
      </c>
      <c r="W292" s="17">
        <v>67</v>
      </c>
      <c r="X292" s="3">
        <v>97</v>
      </c>
    </row>
    <row r="293" spans="1:24" s="3" customFormat="1" x14ac:dyDescent="0.25">
      <c r="A293" s="16" t="s">
        <v>895</v>
      </c>
      <c r="B293" s="17" t="s">
        <v>7</v>
      </c>
      <c r="C293" s="17" t="s">
        <v>836</v>
      </c>
      <c r="D293" s="18" t="s">
        <v>275</v>
      </c>
      <c r="E293" s="18" t="s">
        <v>1762</v>
      </c>
      <c r="F293" s="18">
        <v>5.94</v>
      </c>
      <c r="G293" s="22">
        <v>2.4</v>
      </c>
      <c r="H293" s="17">
        <v>8.93</v>
      </c>
      <c r="I293" s="25">
        <v>5.1981662230109444</v>
      </c>
      <c r="J293" s="24">
        <f>G293/F293*((100-H293)/100)*((100-I293)/100)*100</f>
        <v>34.883244452809656</v>
      </c>
      <c r="K293" s="53">
        <v>4.4886363636363633</v>
      </c>
      <c r="L293" s="54">
        <f>J293*10000/K293</f>
        <v>77714.569920183538</v>
      </c>
      <c r="M293" s="55">
        <v>53.7</v>
      </c>
      <c r="N293" s="55">
        <v>15.6</v>
      </c>
      <c r="O293" s="56">
        <v>1.5201</v>
      </c>
      <c r="P293" s="55">
        <v>18.3</v>
      </c>
      <c r="Q293" s="17">
        <v>59</v>
      </c>
      <c r="R293" s="17">
        <v>61</v>
      </c>
      <c r="S293" s="17">
        <v>63</v>
      </c>
      <c r="T293" s="17">
        <v>65</v>
      </c>
      <c r="U293" s="17">
        <v>65</v>
      </c>
      <c r="V293" s="17">
        <v>67</v>
      </c>
      <c r="W293" s="17">
        <v>67</v>
      </c>
      <c r="X293" s="3">
        <v>97</v>
      </c>
    </row>
    <row r="294" spans="1:24" s="3" customFormat="1" x14ac:dyDescent="0.25">
      <c r="A294" s="66" t="s">
        <v>1264</v>
      </c>
      <c r="B294" s="17" t="s">
        <v>10</v>
      </c>
      <c r="C294" s="17" t="s">
        <v>836</v>
      </c>
      <c r="D294" s="18" t="s">
        <v>132</v>
      </c>
      <c r="E294" s="18" t="s">
        <v>1828</v>
      </c>
      <c r="F294" s="18">
        <v>5.94</v>
      </c>
      <c r="G294" s="22">
        <v>0.61</v>
      </c>
      <c r="H294" s="17">
        <v>7.69</v>
      </c>
      <c r="I294" s="25">
        <v>12.615847040160308</v>
      </c>
      <c r="J294" s="24">
        <f>G294/F294*((100-H294)/100)*((100-I294)/100)*100</f>
        <v>8.2837087667187035</v>
      </c>
      <c r="K294" s="53">
        <v>4.8603929679420892</v>
      </c>
      <c r="L294" s="54">
        <f>J294*10000/K294</f>
        <v>17043.290164716993</v>
      </c>
      <c r="M294" s="55">
        <v>47.6</v>
      </c>
      <c r="N294" s="55">
        <v>21.6</v>
      </c>
      <c r="O294" s="56">
        <v>12.166</v>
      </c>
      <c r="P294" s="55">
        <v>70.099999999999994</v>
      </c>
      <c r="Q294" s="17">
        <v>60</v>
      </c>
      <c r="R294" s="17">
        <v>61</v>
      </c>
      <c r="S294" s="17">
        <v>63</v>
      </c>
      <c r="T294" s="17">
        <v>65</v>
      </c>
      <c r="U294" s="17">
        <v>65</v>
      </c>
      <c r="V294" s="17">
        <v>67</v>
      </c>
      <c r="W294" s="17">
        <v>67</v>
      </c>
      <c r="X294" s="3">
        <v>97</v>
      </c>
    </row>
    <row r="295" spans="1:24" s="3" customFormat="1" x14ac:dyDescent="0.25">
      <c r="A295" s="16" t="s">
        <v>1288</v>
      </c>
      <c r="B295" s="17" t="s">
        <v>10</v>
      </c>
      <c r="C295" s="17" t="s">
        <v>836</v>
      </c>
      <c r="D295" s="18" t="s">
        <v>206</v>
      </c>
      <c r="E295" s="18" t="s">
        <v>1533</v>
      </c>
      <c r="F295" s="18">
        <v>5.94</v>
      </c>
      <c r="G295" s="22">
        <v>2.15</v>
      </c>
      <c r="H295" s="17">
        <v>7.69</v>
      </c>
      <c r="I295" s="25">
        <v>7.4754047563715282</v>
      </c>
      <c r="J295" s="24">
        <f>G295/F295*((100-H295)/100)*((100-I295)/100)*100</f>
        <v>30.914196265857889</v>
      </c>
      <c r="K295" s="53">
        <v>5.2021857923497263</v>
      </c>
      <c r="L295" s="54">
        <f>J295*10000/K295</f>
        <v>59425.398284159601</v>
      </c>
      <c r="M295" s="55">
        <v>54</v>
      </c>
      <c r="N295" s="55">
        <v>16.5</v>
      </c>
      <c r="O295" s="56">
        <v>2.83</v>
      </c>
      <c r="P295" s="55">
        <v>14.5</v>
      </c>
      <c r="Q295" s="17">
        <v>60</v>
      </c>
      <c r="R295" s="17">
        <v>61</v>
      </c>
      <c r="S295" s="17">
        <v>63</v>
      </c>
      <c r="T295" s="17">
        <v>65</v>
      </c>
      <c r="U295" s="17">
        <v>65</v>
      </c>
      <c r="V295" s="17">
        <v>67</v>
      </c>
      <c r="W295" s="17">
        <v>67</v>
      </c>
      <c r="X295" s="3">
        <v>97</v>
      </c>
    </row>
    <row r="296" spans="1:24" s="3" customFormat="1" x14ac:dyDescent="0.25">
      <c r="A296" s="16" t="s">
        <v>1289</v>
      </c>
      <c r="B296" s="17" t="s">
        <v>10</v>
      </c>
      <c r="C296" s="17" t="s">
        <v>836</v>
      </c>
      <c r="D296" s="18" t="s">
        <v>39</v>
      </c>
      <c r="E296" s="18" t="s">
        <v>1574</v>
      </c>
      <c r="F296" s="18">
        <v>5.94</v>
      </c>
      <c r="G296" s="22">
        <v>2.35</v>
      </c>
      <c r="H296" s="17">
        <v>7.69</v>
      </c>
      <c r="I296" s="25">
        <v>14.843450968383985</v>
      </c>
      <c r="J296" s="24">
        <f>G296/F296*((100-H296)/100)*((100-I296)/100)*100</f>
        <v>31.099128697988071</v>
      </c>
      <c r="K296" s="53">
        <v>4.8715313463514907</v>
      </c>
      <c r="L296" s="54">
        <f>J296*10000/K296</f>
        <v>63838.506799878458</v>
      </c>
      <c r="M296" s="55">
        <v>50.3</v>
      </c>
      <c r="N296" s="55">
        <v>18.399999999999999</v>
      </c>
      <c r="O296" s="56">
        <v>1.5761000000000001</v>
      </c>
      <c r="P296" s="55">
        <v>19.8</v>
      </c>
      <c r="Q296" s="17">
        <v>60</v>
      </c>
      <c r="R296" s="17">
        <v>61</v>
      </c>
      <c r="S296" s="17">
        <v>63</v>
      </c>
      <c r="T296" s="17">
        <v>65</v>
      </c>
      <c r="U296" s="17">
        <v>65</v>
      </c>
      <c r="V296" s="17">
        <v>67</v>
      </c>
      <c r="W296" s="17">
        <v>67</v>
      </c>
      <c r="X296" s="3">
        <v>97</v>
      </c>
    </row>
    <row r="297" spans="1:24" s="3" customFormat="1" x14ac:dyDescent="0.25">
      <c r="A297" s="16" t="s">
        <v>1335</v>
      </c>
      <c r="B297" s="17" t="s">
        <v>10</v>
      </c>
      <c r="C297" s="17" t="s">
        <v>836</v>
      </c>
      <c r="D297" s="18" t="s">
        <v>255</v>
      </c>
      <c r="E297" s="18" t="s">
        <v>1558</v>
      </c>
      <c r="F297" s="18">
        <v>5.94</v>
      </c>
      <c r="G297" s="22">
        <v>2.21</v>
      </c>
      <c r="H297" s="17">
        <v>7.69</v>
      </c>
      <c r="I297" s="25">
        <v>11.645879562323055</v>
      </c>
      <c r="J297" s="24">
        <f>G297/F297*((100-H297)/100)*((100-I297)/100)*100</f>
        <v>30.34459793821604</v>
      </c>
      <c r="K297" s="53">
        <v>5.1130247578040908</v>
      </c>
      <c r="L297" s="54">
        <f>J297*10000/K297</f>
        <v>59347.645230742528</v>
      </c>
      <c r="M297" s="55">
        <v>51.5</v>
      </c>
      <c r="N297" s="55">
        <v>18.100000000000001</v>
      </c>
      <c r="O297" s="56">
        <v>3.4788000000000001</v>
      </c>
      <c r="P297" s="55">
        <v>17.2</v>
      </c>
      <c r="Q297" s="17">
        <v>60</v>
      </c>
      <c r="R297" s="17">
        <v>61</v>
      </c>
      <c r="S297" s="17">
        <v>63</v>
      </c>
      <c r="T297" s="17">
        <v>65</v>
      </c>
      <c r="U297" s="17">
        <v>65</v>
      </c>
      <c r="V297" s="17">
        <v>67</v>
      </c>
      <c r="W297" s="17">
        <v>67</v>
      </c>
      <c r="X297" s="3">
        <v>97</v>
      </c>
    </row>
    <row r="298" spans="1:24" s="3" customFormat="1" x14ac:dyDescent="0.25">
      <c r="A298" s="16" t="s">
        <v>1366</v>
      </c>
      <c r="B298" s="17" t="s">
        <v>10</v>
      </c>
      <c r="C298" s="17" t="s">
        <v>836</v>
      </c>
      <c r="D298" s="18" t="s">
        <v>84</v>
      </c>
      <c r="E298" s="18" t="s">
        <v>1672</v>
      </c>
      <c r="F298" s="18">
        <v>5.94</v>
      </c>
      <c r="G298" s="22">
        <v>1.55</v>
      </c>
      <c r="H298" s="17">
        <v>7.69</v>
      </c>
      <c r="I298" s="25">
        <v>10.991551091981501</v>
      </c>
      <c r="J298" s="24">
        <f>G298/F298*((100-H298)/100)*((100-I298)/100)*100</f>
        <v>21.440022515124138</v>
      </c>
      <c r="K298" s="53">
        <v>4.848790322580645</v>
      </c>
      <c r="L298" s="54">
        <f>J298*10000/K298</f>
        <v>44217.260571732113</v>
      </c>
      <c r="M298" s="55">
        <v>53.3</v>
      </c>
      <c r="N298" s="55">
        <v>17</v>
      </c>
      <c r="O298" s="56">
        <v>2.4984000000000002</v>
      </c>
      <c r="P298" s="55">
        <v>23</v>
      </c>
      <c r="Q298" s="17">
        <v>60</v>
      </c>
      <c r="R298" s="17">
        <v>61</v>
      </c>
      <c r="S298" s="17">
        <v>63</v>
      </c>
      <c r="T298" s="17">
        <v>65</v>
      </c>
      <c r="U298" s="17">
        <v>65</v>
      </c>
      <c r="V298" s="17">
        <v>67</v>
      </c>
      <c r="W298" s="17">
        <v>67</v>
      </c>
      <c r="X298" s="3">
        <v>97</v>
      </c>
    </row>
    <row r="299" spans="1:24" s="3" customFormat="1" x14ac:dyDescent="0.25">
      <c r="A299" s="16" t="s">
        <v>1394</v>
      </c>
      <c r="B299" s="17" t="s">
        <v>10</v>
      </c>
      <c r="C299" s="17" t="s">
        <v>836</v>
      </c>
      <c r="D299" s="18" t="s">
        <v>75</v>
      </c>
      <c r="E299" s="18" t="s">
        <v>1808</v>
      </c>
      <c r="F299" s="18">
        <v>5.94</v>
      </c>
      <c r="G299" s="22">
        <v>2.19</v>
      </c>
      <c r="H299" s="17">
        <v>7.69</v>
      </c>
      <c r="I299" s="25">
        <v>10.801800300050015</v>
      </c>
      <c r="J299" s="24">
        <f>G299/F299*((100-H299)/100)*((100-I299)/100)*100</f>
        <v>30.357255780003729</v>
      </c>
      <c r="K299" s="53">
        <v>4.5602294455066925</v>
      </c>
      <c r="L299" s="54">
        <f>J299*10000/K299</f>
        <v>66569.579760762892</v>
      </c>
      <c r="M299" s="55">
        <v>53.6</v>
      </c>
      <c r="N299" s="55">
        <v>15.8</v>
      </c>
      <c r="O299" s="56">
        <v>2.6501999999999999</v>
      </c>
      <c r="P299" s="55">
        <v>15.9</v>
      </c>
      <c r="Q299" s="17">
        <v>60</v>
      </c>
      <c r="R299" s="17">
        <v>61</v>
      </c>
      <c r="S299" s="17">
        <v>63</v>
      </c>
      <c r="T299" s="17">
        <v>65</v>
      </c>
      <c r="U299" s="17">
        <v>65</v>
      </c>
      <c r="V299" s="17">
        <v>67</v>
      </c>
      <c r="W299" s="17">
        <v>67</v>
      </c>
      <c r="X299" s="3">
        <v>97</v>
      </c>
    </row>
    <row r="300" spans="1:24" s="3" customFormat="1" x14ac:dyDescent="0.25">
      <c r="A300" s="16" t="s">
        <v>1427</v>
      </c>
      <c r="B300" s="17" t="s">
        <v>10</v>
      </c>
      <c r="C300" s="17" t="s">
        <v>836</v>
      </c>
      <c r="D300" s="18" t="s">
        <v>266</v>
      </c>
      <c r="E300" s="18" t="s">
        <v>1486</v>
      </c>
      <c r="F300" s="18">
        <v>5.94</v>
      </c>
      <c r="G300" s="22">
        <v>1.67</v>
      </c>
      <c r="H300" s="17">
        <v>7.69</v>
      </c>
      <c r="I300" s="25">
        <v>10.994334510222513</v>
      </c>
      <c r="J300" s="24">
        <f>G300/F300*((100-H300)/100)*((100-I300)/100)*100</f>
        <v>23.099172860056346</v>
      </c>
      <c r="K300" s="53">
        <v>5.6782713085234091</v>
      </c>
      <c r="L300" s="54">
        <f>J300*10000/K300</f>
        <v>40679.938673207056</v>
      </c>
      <c r="M300" s="55">
        <v>49.3</v>
      </c>
      <c r="N300" s="55">
        <v>19</v>
      </c>
      <c r="O300" s="56">
        <v>27.856000000000002</v>
      </c>
      <c r="P300" s="55">
        <v>49.7</v>
      </c>
      <c r="Q300" s="17">
        <v>60</v>
      </c>
      <c r="R300" s="17">
        <v>61</v>
      </c>
      <c r="S300" s="17">
        <v>63</v>
      </c>
      <c r="T300" s="17">
        <v>65</v>
      </c>
      <c r="U300" s="17">
        <v>65</v>
      </c>
      <c r="V300" s="17">
        <v>67</v>
      </c>
      <c r="W300" s="17">
        <v>67</v>
      </c>
      <c r="X300" s="3">
        <v>97</v>
      </c>
    </row>
    <row r="301" spans="1:24" s="3" customFormat="1" x14ac:dyDescent="0.25">
      <c r="A301" s="16" t="s">
        <v>850</v>
      </c>
      <c r="B301" s="17" t="s">
        <v>7</v>
      </c>
      <c r="C301" s="17" t="s">
        <v>836</v>
      </c>
      <c r="D301" s="18" t="s">
        <v>99</v>
      </c>
      <c r="E301" s="18" t="s">
        <v>1646</v>
      </c>
      <c r="F301" s="18">
        <v>5.94</v>
      </c>
      <c r="G301" s="22">
        <v>1.65</v>
      </c>
      <c r="H301" s="17">
        <v>8.93</v>
      </c>
      <c r="I301" s="25">
        <v>6.0722521137586405</v>
      </c>
      <c r="J301" s="24">
        <f>G301/F301*((100-H301)/100)*((100-I301)/100)*100</f>
        <v>23.761111111111109</v>
      </c>
      <c r="K301" s="53">
        <v>5.0109890109890109</v>
      </c>
      <c r="L301" s="54">
        <f>J301*10000/K301</f>
        <v>47418.006822612086</v>
      </c>
      <c r="M301" s="55">
        <v>50.4</v>
      </c>
      <c r="N301" s="55">
        <v>18.8</v>
      </c>
      <c r="O301" s="56">
        <v>1.704</v>
      </c>
      <c r="P301" s="55">
        <v>20</v>
      </c>
      <c r="Q301" s="17">
        <v>60</v>
      </c>
      <c r="R301" s="17">
        <v>61</v>
      </c>
      <c r="S301" s="17">
        <v>63</v>
      </c>
      <c r="T301" s="17">
        <v>65</v>
      </c>
      <c r="U301" s="17">
        <v>65</v>
      </c>
      <c r="V301" s="17">
        <v>67</v>
      </c>
      <c r="W301" s="17">
        <v>67</v>
      </c>
      <c r="X301" s="3">
        <v>97</v>
      </c>
    </row>
    <row r="302" spans="1:24" s="3" customFormat="1" x14ac:dyDescent="0.25">
      <c r="A302" s="16" t="s">
        <v>884</v>
      </c>
      <c r="B302" s="17" t="s">
        <v>7</v>
      </c>
      <c r="C302" s="17" t="s">
        <v>836</v>
      </c>
      <c r="D302" s="18" t="s">
        <v>84</v>
      </c>
      <c r="E302" s="18" t="s">
        <v>1672</v>
      </c>
      <c r="F302" s="18">
        <v>5.94</v>
      </c>
      <c r="G302" s="22">
        <v>2.27</v>
      </c>
      <c r="H302" s="17">
        <v>8.93</v>
      </c>
      <c r="I302" s="25">
        <v>8.3141061341395517</v>
      </c>
      <c r="J302" s="24">
        <f>G302/F302*((100-H302)/100)*((100-I302)/100)*100</f>
        <v>31.909299637047265</v>
      </c>
      <c r="K302" s="53">
        <v>5.1287793952967524</v>
      </c>
      <c r="L302" s="54">
        <f>J302*10000/K302</f>
        <v>62216.167196251547</v>
      </c>
      <c r="M302" s="55">
        <v>53.3</v>
      </c>
      <c r="N302" s="55">
        <v>17.5</v>
      </c>
      <c r="O302" s="56">
        <v>2.1131000000000002</v>
      </c>
      <c r="P302" s="55">
        <v>19.5</v>
      </c>
      <c r="Q302" s="17">
        <v>60</v>
      </c>
      <c r="R302" s="17">
        <v>61</v>
      </c>
      <c r="S302" s="17">
        <v>63</v>
      </c>
      <c r="T302" s="17">
        <v>65</v>
      </c>
      <c r="U302" s="17">
        <v>65</v>
      </c>
      <c r="V302" s="17">
        <v>67</v>
      </c>
      <c r="W302" s="17">
        <v>69</v>
      </c>
      <c r="X302" s="3">
        <v>97</v>
      </c>
    </row>
    <row r="303" spans="1:24" s="3" customFormat="1" x14ac:dyDescent="0.25">
      <c r="A303" s="16" t="s">
        <v>917</v>
      </c>
      <c r="B303" s="17" t="s">
        <v>7</v>
      </c>
      <c r="C303" s="17" t="s">
        <v>836</v>
      </c>
      <c r="D303" s="18" t="s">
        <v>38</v>
      </c>
      <c r="E303" s="18" t="s">
        <v>1549</v>
      </c>
      <c r="F303" s="18">
        <v>5.94</v>
      </c>
      <c r="G303" s="22">
        <v>2.4700000000000002</v>
      </c>
      <c r="H303" s="17">
        <v>8.93</v>
      </c>
      <c r="I303" s="25">
        <v>4.8492105066227564</v>
      </c>
      <c r="J303" s="24">
        <f>G303/F303*((100-H303)/100)*((100-I303)/100)*100</f>
        <v>36.032819067221901</v>
      </c>
      <c r="K303" s="53">
        <v>4.6627565982404695</v>
      </c>
      <c r="L303" s="54">
        <f>J303*10000/K303</f>
        <v>77277.932716494775</v>
      </c>
      <c r="M303" s="55">
        <v>53.3</v>
      </c>
      <c r="N303" s="55">
        <v>16.7</v>
      </c>
      <c r="O303" s="56">
        <v>3.1299000000000001</v>
      </c>
      <c r="P303" s="55">
        <v>17.600000000000001</v>
      </c>
      <c r="Q303" s="17">
        <v>60</v>
      </c>
      <c r="R303" s="17">
        <v>61</v>
      </c>
      <c r="S303" s="17">
        <v>63</v>
      </c>
      <c r="T303" s="17">
        <v>65</v>
      </c>
      <c r="U303" s="17">
        <v>65</v>
      </c>
      <c r="V303" s="17">
        <v>67</v>
      </c>
      <c r="W303" s="17">
        <v>67</v>
      </c>
      <c r="X303" s="3">
        <v>97</v>
      </c>
    </row>
    <row r="304" spans="1:24" s="3" customFormat="1" x14ac:dyDescent="0.25">
      <c r="A304" s="16" t="s">
        <v>929</v>
      </c>
      <c r="B304" s="17" t="s">
        <v>7</v>
      </c>
      <c r="C304" s="17" t="s">
        <v>836</v>
      </c>
      <c r="D304" s="18" t="s">
        <v>40</v>
      </c>
      <c r="E304" s="18" t="s">
        <v>1590</v>
      </c>
      <c r="F304" s="18">
        <v>5.94</v>
      </c>
      <c r="G304" s="22">
        <v>2.87</v>
      </c>
      <c r="H304" s="17">
        <v>8.93</v>
      </c>
      <c r="I304" s="25">
        <v>10.322308826627346</v>
      </c>
      <c r="J304" s="24">
        <f>G304/F304*((100-H304)/100)*((100-I304)/100)*100</f>
        <v>39.459829717014252</v>
      </c>
      <c r="K304" s="53">
        <v>4.7373637264618438</v>
      </c>
      <c r="L304" s="54">
        <f>J304*10000/K304</f>
        <v>83294.912519806225</v>
      </c>
      <c r="M304" s="55">
        <v>49.5</v>
      </c>
      <c r="N304" s="55">
        <v>18.600000000000001</v>
      </c>
      <c r="O304" s="56">
        <v>1.3704000000000001</v>
      </c>
      <c r="P304" s="55">
        <v>17.399999999999999</v>
      </c>
      <c r="Q304" s="17">
        <v>60</v>
      </c>
      <c r="R304" s="17">
        <v>61</v>
      </c>
      <c r="S304" s="17">
        <v>63</v>
      </c>
      <c r="T304" s="17">
        <v>65</v>
      </c>
      <c r="U304" s="17">
        <v>65</v>
      </c>
      <c r="V304" s="17">
        <v>67</v>
      </c>
      <c r="W304" s="17">
        <v>65</v>
      </c>
      <c r="X304" s="3">
        <v>97</v>
      </c>
    </row>
    <row r="305" spans="1:24" s="3" customFormat="1" x14ac:dyDescent="0.25">
      <c r="A305" s="16" t="s">
        <v>947</v>
      </c>
      <c r="B305" s="17" t="s">
        <v>7</v>
      </c>
      <c r="C305" s="17" t="s">
        <v>836</v>
      </c>
      <c r="D305" s="18" t="s">
        <v>54</v>
      </c>
      <c r="E305" s="18" t="s">
        <v>1730</v>
      </c>
      <c r="F305" s="18">
        <v>5.94</v>
      </c>
      <c r="G305" s="22">
        <v>2.25</v>
      </c>
      <c r="H305" s="17">
        <v>8.93</v>
      </c>
      <c r="I305" s="25">
        <v>6.1021361304647526</v>
      </c>
      <c r="J305" s="24">
        <f>G305/F305*((100-H305)/100)*((100-I305)/100)*100</f>
        <v>32.391206297721872</v>
      </c>
      <c r="K305" s="53">
        <v>5.1584699453551917</v>
      </c>
      <c r="L305" s="54">
        <f>J305*10000/K305</f>
        <v>62792.274920371841</v>
      </c>
      <c r="M305" s="55">
        <v>52.4</v>
      </c>
      <c r="N305" s="55">
        <v>17.7</v>
      </c>
      <c r="O305" s="56">
        <v>1.8608</v>
      </c>
      <c r="P305" s="55">
        <v>15.5</v>
      </c>
      <c r="Q305" s="17">
        <v>60</v>
      </c>
      <c r="R305" s="17">
        <v>61</v>
      </c>
      <c r="S305" s="17">
        <v>63</v>
      </c>
      <c r="T305" s="17">
        <v>65</v>
      </c>
      <c r="U305" s="17">
        <v>65</v>
      </c>
      <c r="V305" s="17">
        <v>67</v>
      </c>
      <c r="W305" s="17">
        <v>67</v>
      </c>
      <c r="X305" s="3">
        <v>97</v>
      </c>
    </row>
    <row r="306" spans="1:24" s="3" customFormat="1" x14ac:dyDescent="0.25">
      <c r="A306" s="16" t="s">
        <v>977</v>
      </c>
      <c r="B306" s="17" t="s">
        <v>7</v>
      </c>
      <c r="C306" s="17" t="s">
        <v>836</v>
      </c>
      <c r="D306" s="18" t="s">
        <v>98</v>
      </c>
      <c r="E306" s="18" t="s">
        <v>1626</v>
      </c>
      <c r="F306" s="18">
        <v>5.94</v>
      </c>
      <c r="G306" s="22">
        <v>1.98</v>
      </c>
      <c r="H306" s="17">
        <v>8.93</v>
      </c>
      <c r="I306" s="25">
        <v>7.5353582193368789</v>
      </c>
      <c r="J306" s="24">
        <f>G306/F306*((100-H306)/100)*((100-I306)/100)*100</f>
        <v>28.0691830898833</v>
      </c>
      <c r="K306" s="53">
        <v>5.7372986369268899</v>
      </c>
      <c r="L306" s="54">
        <f>J306*10000/K306</f>
        <v>48924.040504397024</v>
      </c>
      <c r="M306" s="55">
        <v>51.2</v>
      </c>
      <c r="N306" s="55">
        <v>19.600000000000001</v>
      </c>
      <c r="O306" s="56">
        <v>0.66927000000000003</v>
      </c>
      <c r="P306" s="55">
        <v>17.899999999999999</v>
      </c>
      <c r="Q306" s="17">
        <v>60</v>
      </c>
      <c r="R306" s="17">
        <v>61</v>
      </c>
      <c r="S306" s="17">
        <v>63</v>
      </c>
      <c r="T306" s="17">
        <v>65</v>
      </c>
      <c r="U306" s="17">
        <v>65</v>
      </c>
      <c r="V306" s="17">
        <v>67</v>
      </c>
      <c r="W306" s="17">
        <v>67</v>
      </c>
      <c r="X306" s="3">
        <v>97</v>
      </c>
    </row>
    <row r="307" spans="1:24" s="3" customFormat="1" x14ac:dyDescent="0.25">
      <c r="A307" s="16" t="s">
        <v>1350</v>
      </c>
      <c r="B307" s="17" t="s">
        <v>10</v>
      </c>
      <c r="C307" s="17" t="s">
        <v>836</v>
      </c>
      <c r="D307" s="18" t="s">
        <v>294</v>
      </c>
      <c r="E307" s="18" t="s">
        <v>1513</v>
      </c>
      <c r="F307" s="18">
        <v>5.94</v>
      </c>
      <c r="G307" s="22">
        <v>1.65</v>
      </c>
      <c r="H307" s="17">
        <v>7.69</v>
      </c>
      <c r="I307" s="25">
        <v>22.52134451196061</v>
      </c>
      <c r="J307" s="24">
        <f>G307/F307*((100-H307)/100)*((100-I307)/100)*100</f>
        <v>19.866818578058098</v>
      </c>
      <c r="K307" s="53">
        <v>5.7125000000000004</v>
      </c>
      <c r="L307" s="54">
        <f>J307*10000/K307</f>
        <v>34777.800574281129</v>
      </c>
      <c r="M307" s="55">
        <v>47</v>
      </c>
      <c r="N307" s="55">
        <v>20.7</v>
      </c>
      <c r="O307" s="56">
        <v>6.1866000000000003</v>
      </c>
      <c r="P307" s="55">
        <v>72.5</v>
      </c>
      <c r="Q307" s="17">
        <v>60</v>
      </c>
      <c r="R307" s="17">
        <v>62</v>
      </c>
      <c r="S307" s="17">
        <v>63</v>
      </c>
      <c r="T307" s="17">
        <v>65</v>
      </c>
      <c r="U307" s="17">
        <v>65</v>
      </c>
      <c r="V307" s="17">
        <v>67</v>
      </c>
      <c r="W307" s="17">
        <v>67</v>
      </c>
      <c r="X307" s="3">
        <v>97</v>
      </c>
    </row>
    <row r="308" spans="1:24" s="3" customFormat="1" x14ac:dyDescent="0.25">
      <c r="A308" s="16" t="s">
        <v>1380</v>
      </c>
      <c r="B308" s="17" t="s">
        <v>10</v>
      </c>
      <c r="C308" s="17" t="s">
        <v>836</v>
      </c>
      <c r="D308" s="18" t="s">
        <v>243</v>
      </c>
      <c r="E308" s="18" t="s">
        <v>1746</v>
      </c>
      <c r="F308" s="18">
        <v>5.94</v>
      </c>
      <c r="G308" s="22">
        <v>2.42</v>
      </c>
      <c r="H308" s="17">
        <v>7.69</v>
      </c>
      <c r="I308" s="25">
        <v>8.7896916705016057</v>
      </c>
      <c r="J308" s="24">
        <f>G308/F308*((100-H308)/100)*((100-I308)/100)*100</f>
        <v>34.302170066983692</v>
      </c>
      <c r="K308" s="53">
        <v>5.6400966183574877</v>
      </c>
      <c r="L308" s="54">
        <f>J308*10000/K308</f>
        <v>60818.408598420763</v>
      </c>
      <c r="M308" s="55">
        <v>51.5</v>
      </c>
      <c r="N308" s="55">
        <v>16.2</v>
      </c>
      <c r="O308" s="56">
        <v>4.3377999999999997</v>
      </c>
      <c r="P308" s="55">
        <v>15.1</v>
      </c>
      <c r="Q308" s="17">
        <v>60</v>
      </c>
      <c r="R308" s="17">
        <v>62</v>
      </c>
      <c r="S308" s="17">
        <v>63</v>
      </c>
      <c r="T308" s="17">
        <v>65</v>
      </c>
      <c r="U308" s="17">
        <v>65</v>
      </c>
      <c r="V308" s="17">
        <v>67</v>
      </c>
      <c r="W308" s="17">
        <v>67</v>
      </c>
      <c r="X308" s="3">
        <v>97</v>
      </c>
    </row>
    <row r="309" spans="1:24" s="3" customFormat="1" x14ac:dyDescent="0.25">
      <c r="A309" s="16" t="s">
        <v>1384</v>
      </c>
      <c r="B309" s="17" t="s">
        <v>10</v>
      </c>
      <c r="C309" s="17" t="s">
        <v>836</v>
      </c>
      <c r="D309" s="18" t="s">
        <v>42</v>
      </c>
      <c r="E309" s="18" t="s">
        <v>1656</v>
      </c>
      <c r="F309" s="18">
        <v>5.94</v>
      </c>
      <c r="G309" s="22">
        <v>1.98</v>
      </c>
      <c r="H309" s="17">
        <v>7.69</v>
      </c>
      <c r="I309" s="25">
        <v>7.9947575360419432</v>
      </c>
      <c r="J309" s="24">
        <f>G309/F309*((100-H309)/100)*((100-I309)/100)*100</f>
        <v>28.310013106159893</v>
      </c>
      <c r="K309" s="53">
        <v>5.3475336322869955</v>
      </c>
      <c r="L309" s="54">
        <f>J309*10000/K309</f>
        <v>52940.318009841983</v>
      </c>
      <c r="M309" s="55">
        <v>50.3</v>
      </c>
      <c r="N309" s="55">
        <v>16.600000000000001</v>
      </c>
      <c r="O309" s="56">
        <v>2.0356000000000001</v>
      </c>
      <c r="P309" s="55">
        <v>16.2</v>
      </c>
      <c r="Q309" s="17">
        <v>60</v>
      </c>
      <c r="R309" s="17">
        <v>62</v>
      </c>
      <c r="S309" s="17">
        <v>63</v>
      </c>
      <c r="T309" s="17">
        <v>65</v>
      </c>
      <c r="U309" s="17">
        <v>65</v>
      </c>
      <c r="V309" s="17">
        <v>67</v>
      </c>
      <c r="W309" s="17">
        <v>67</v>
      </c>
      <c r="X309" s="3">
        <v>97</v>
      </c>
    </row>
    <row r="310" spans="1:24" s="3" customFormat="1" x14ac:dyDescent="0.25">
      <c r="A310" s="16" t="s">
        <v>1434</v>
      </c>
      <c r="B310" s="17" t="s">
        <v>10</v>
      </c>
      <c r="C310" s="17" t="s">
        <v>836</v>
      </c>
      <c r="D310" s="18" t="s">
        <v>43</v>
      </c>
      <c r="E310" s="18" t="s">
        <v>1502</v>
      </c>
      <c r="F310" s="18">
        <v>5.94</v>
      </c>
      <c r="G310" s="22">
        <v>1.82</v>
      </c>
      <c r="H310" s="17">
        <v>7.69</v>
      </c>
      <c r="I310" s="25">
        <v>9.8190219484020034</v>
      </c>
      <c r="J310" s="24">
        <f>G310/F310*((100-H310)/100)*((100-I310)/100)*100</f>
        <v>25.506368809387681</v>
      </c>
      <c r="K310" s="53">
        <v>5.155412647374062</v>
      </c>
      <c r="L310" s="54">
        <f>J310*10000/K310</f>
        <v>49474.931599082549</v>
      </c>
      <c r="M310" s="55">
        <v>48.1</v>
      </c>
      <c r="N310" s="55">
        <v>20.9</v>
      </c>
      <c r="O310" s="56">
        <v>8.6582000000000008</v>
      </c>
      <c r="P310" s="55">
        <v>56.9</v>
      </c>
      <c r="Q310" s="17">
        <v>60</v>
      </c>
      <c r="R310" s="17">
        <v>62</v>
      </c>
      <c r="S310" s="17">
        <v>63</v>
      </c>
      <c r="T310" s="17">
        <v>65</v>
      </c>
      <c r="U310" s="17">
        <v>65</v>
      </c>
      <c r="V310" s="17">
        <v>67</v>
      </c>
      <c r="W310" s="17">
        <v>67</v>
      </c>
      <c r="X310" s="3">
        <v>97</v>
      </c>
    </row>
    <row r="311" spans="1:24" s="3" customFormat="1" x14ac:dyDescent="0.25">
      <c r="A311" s="16" t="s">
        <v>866</v>
      </c>
      <c r="B311" s="17" t="s">
        <v>7</v>
      </c>
      <c r="C311" s="17" t="s">
        <v>836</v>
      </c>
      <c r="D311" s="18" t="s">
        <v>259</v>
      </c>
      <c r="E311" s="18" t="s">
        <v>1572</v>
      </c>
      <c r="F311" s="18">
        <v>5.94</v>
      </c>
      <c r="G311" s="22">
        <v>2.41</v>
      </c>
      <c r="H311" s="17">
        <v>8.93</v>
      </c>
      <c r="I311" s="25">
        <v>7.5369530220986372</v>
      </c>
      <c r="J311" s="24">
        <f>G311/F311*((100-H311)/100)*((100-I311)/100)*100</f>
        <v>34.16442651304498</v>
      </c>
      <c r="K311" s="53">
        <v>4.5607476635514015</v>
      </c>
      <c r="L311" s="54">
        <f>J311*10000/K311</f>
        <v>74909.705674094526</v>
      </c>
      <c r="M311" s="55">
        <v>49.2</v>
      </c>
      <c r="N311" s="55">
        <v>18.5</v>
      </c>
      <c r="O311" s="56">
        <v>4.4923000000000002</v>
      </c>
      <c r="P311" s="55">
        <v>18.5</v>
      </c>
      <c r="Q311" s="17">
        <v>60</v>
      </c>
      <c r="R311" s="17">
        <v>62</v>
      </c>
      <c r="S311" s="17">
        <v>63</v>
      </c>
      <c r="T311" s="17">
        <v>65</v>
      </c>
      <c r="U311" s="17">
        <v>65</v>
      </c>
      <c r="V311" s="17">
        <v>67</v>
      </c>
      <c r="W311" s="17">
        <v>67</v>
      </c>
      <c r="X311" s="3">
        <v>97</v>
      </c>
    </row>
    <row r="312" spans="1:24" s="3" customFormat="1" x14ac:dyDescent="0.25">
      <c r="A312" s="16" t="s">
        <v>877</v>
      </c>
      <c r="B312" s="17" t="s">
        <v>7</v>
      </c>
      <c r="C312" s="17" t="s">
        <v>836</v>
      </c>
      <c r="D312" s="18" t="s">
        <v>26</v>
      </c>
      <c r="E312" s="18" t="s">
        <v>1568</v>
      </c>
      <c r="F312" s="18">
        <v>5.94</v>
      </c>
      <c r="G312" s="22">
        <v>1.62</v>
      </c>
      <c r="H312" s="17">
        <v>8.93</v>
      </c>
      <c r="I312" s="25">
        <v>6.1562021439509893</v>
      </c>
      <c r="J312" s="24">
        <f>G312/F312*((100-H312)/100)*((100-I312)/100)*100</f>
        <v>23.308240011137404</v>
      </c>
      <c r="K312" s="53">
        <v>4.9258160237388724</v>
      </c>
      <c r="L312" s="54">
        <f>J312*10000/K312</f>
        <v>47318.53544429702</v>
      </c>
      <c r="M312" s="55">
        <v>48.1</v>
      </c>
      <c r="N312" s="55">
        <v>18</v>
      </c>
      <c r="O312" s="56">
        <v>-2.1652999999999998</v>
      </c>
      <c r="P312" s="55">
        <v>13.7</v>
      </c>
      <c r="Q312" s="17">
        <v>60</v>
      </c>
      <c r="R312" s="17">
        <v>62</v>
      </c>
      <c r="S312" s="17">
        <v>63</v>
      </c>
      <c r="T312" s="17">
        <v>65</v>
      </c>
      <c r="U312" s="17">
        <v>65</v>
      </c>
      <c r="V312" s="17">
        <v>67</v>
      </c>
      <c r="W312" s="17">
        <v>67</v>
      </c>
      <c r="X312" s="3">
        <v>97</v>
      </c>
    </row>
    <row r="313" spans="1:24" s="3" customFormat="1" x14ac:dyDescent="0.25">
      <c r="A313" s="16" t="s">
        <v>875</v>
      </c>
      <c r="B313" s="17" t="s">
        <v>7</v>
      </c>
      <c r="C313" s="17" t="s">
        <v>836</v>
      </c>
      <c r="D313" s="18" t="s">
        <v>47</v>
      </c>
      <c r="E313" s="18" t="s">
        <v>1754</v>
      </c>
      <c r="F313" s="18">
        <v>5.94</v>
      </c>
      <c r="G313" s="22">
        <v>2.4500000000000002</v>
      </c>
      <c r="H313" s="17">
        <v>8.93</v>
      </c>
      <c r="I313" s="25">
        <v>7.8084090559063712</v>
      </c>
      <c r="J313" s="24">
        <f>G313/F313*((100-H313)/100)*((100-I313)/100)*100</f>
        <v>34.629505149549814</v>
      </c>
      <c r="K313" s="53">
        <v>5.4609929078014181</v>
      </c>
      <c r="L313" s="54">
        <f>J313*10000/K313</f>
        <v>63412.47046865616</v>
      </c>
      <c r="M313" s="55">
        <v>51.5</v>
      </c>
      <c r="N313" s="55">
        <v>17</v>
      </c>
      <c r="O313" s="56">
        <v>4.1638999999999999</v>
      </c>
      <c r="P313" s="55">
        <v>18.7</v>
      </c>
      <c r="Q313" s="17">
        <v>60</v>
      </c>
      <c r="R313" s="17">
        <v>62</v>
      </c>
      <c r="S313" s="17">
        <v>63</v>
      </c>
      <c r="T313" s="17">
        <v>65</v>
      </c>
      <c r="U313" s="17">
        <v>65</v>
      </c>
      <c r="V313" s="17">
        <v>67</v>
      </c>
      <c r="W313" s="17">
        <v>67</v>
      </c>
      <c r="X313" s="3">
        <v>97</v>
      </c>
    </row>
    <row r="314" spans="1:24" s="3" customFormat="1" x14ac:dyDescent="0.25">
      <c r="A314" s="16" t="s">
        <v>881</v>
      </c>
      <c r="B314" s="17" t="s">
        <v>7</v>
      </c>
      <c r="C314" s="17" t="s">
        <v>836</v>
      </c>
      <c r="D314" s="18" t="s">
        <v>94</v>
      </c>
      <c r="E314" s="18" t="s">
        <v>1582</v>
      </c>
      <c r="F314" s="18">
        <v>5.94</v>
      </c>
      <c r="G314" s="22">
        <v>2.46</v>
      </c>
      <c r="H314" s="17">
        <v>8.93</v>
      </c>
      <c r="I314" s="25">
        <v>7.3170731707317076</v>
      </c>
      <c r="J314" s="24">
        <f>G314/F314*((100-H314)/100)*((100-I314)/100)*100</f>
        <v>34.956161616161616</v>
      </c>
      <c r="K314" s="53">
        <v>4.6903553299492389</v>
      </c>
      <c r="L314" s="54">
        <f>J314*10000/K314</f>
        <v>74527.747168656249</v>
      </c>
      <c r="M314" s="55">
        <v>53.8</v>
      </c>
      <c r="N314" s="55">
        <v>16.8</v>
      </c>
      <c r="O314" s="56">
        <v>2.7</v>
      </c>
      <c r="P314" s="55">
        <v>12.7</v>
      </c>
      <c r="Q314" s="17">
        <v>60</v>
      </c>
      <c r="R314" s="17">
        <v>62</v>
      </c>
      <c r="S314" s="17">
        <v>63</v>
      </c>
      <c r="T314" s="17">
        <v>65</v>
      </c>
      <c r="U314" s="17">
        <v>65</v>
      </c>
      <c r="V314" s="17">
        <v>67</v>
      </c>
      <c r="W314" s="17">
        <v>67</v>
      </c>
      <c r="X314" s="3">
        <v>97</v>
      </c>
    </row>
    <row r="315" spans="1:24" s="3" customFormat="1" x14ac:dyDescent="0.25">
      <c r="A315" s="16" t="s">
        <v>892</v>
      </c>
      <c r="B315" s="17" t="s">
        <v>7</v>
      </c>
      <c r="C315" s="17" t="s">
        <v>836</v>
      </c>
      <c r="D315" s="18" t="s">
        <v>174</v>
      </c>
      <c r="E315" s="18" t="s">
        <v>1696</v>
      </c>
      <c r="F315" s="18">
        <v>5.94</v>
      </c>
      <c r="G315" s="22">
        <v>1.74</v>
      </c>
      <c r="H315" s="17">
        <v>8.93</v>
      </c>
      <c r="I315" s="25">
        <v>10.382513661202189</v>
      </c>
      <c r="J315" s="24">
        <f>G315/F315*((100-H315)/100)*((100-I315)/100)*100</f>
        <v>23.907320196500521</v>
      </c>
      <c r="K315" s="53">
        <v>4.8626653102746697</v>
      </c>
      <c r="L315" s="54">
        <f>J315*10000/K315</f>
        <v>49165.053876903788</v>
      </c>
      <c r="M315" s="55">
        <v>47.6</v>
      </c>
      <c r="N315" s="55">
        <v>19.899999999999999</v>
      </c>
      <c r="O315" s="56">
        <v>31.692</v>
      </c>
      <c r="P315" s="55">
        <v>47.9</v>
      </c>
      <c r="Q315" s="17">
        <v>60</v>
      </c>
      <c r="R315" s="17">
        <v>62</v>
      </c>
      <c r="S315" s="17">
        <v>63</v>
      </c>
      <c r="T315" s="17">
        <v>65</v>
      </c>
      <c r="U315" s="17">
        <v>65</v>
      </c>
      <c r="V315" s="17">
        <v>67</v>
      </c>
      <c r="W315" s="17">
        <v>68</v>
      </c>
      <c r="X315" s="3">
        <v>97</v>
      </c>
    </row>
    <row r="316" spans="1:24" s="3" customFormat="1" x14ac:dyDescent="0.25">
      <c r="A316" s="16" t="s">
        <v>891</v>
      </c>
      <c r="B316" s="17" t="s">
        <v>7</v>
      </c>
      <c r="C316" s="17" t="s">
        <v>836</v>
      </c>
      <c r="D316" s="18" t="s">
        <v>95</v>
      </c>
      <c r="E316" s="18" t="s">
        <v>1650</v>
      </c>
      <c r="F316" s="18">
        <v>5.94</v>
      </c>
      <c r="G316" s="22">
        <v>1.89</v>
      </c>
      <c r="H316" s="17">
        <v>8.93</v>
      </c>
      <c r="I316" s="25">
        <v>5.9288537549407225</v>
      </c>
      <c r="J316" s="24">
        <f>G316/F316*((100-H316)/100)*((100-I316)/100)*100</f>
        <v>27.258825008983102</v>
      </c>
      <c r="K316" s="53">
        <v>4.9949748743718594</v>
      </c>
      <c r="L316" s="54">
        <f>J316*10000/K316</f>
        <v>54572.496748366568</v>
      </c>
      <c r="M316" s="55">
        <v>50.1</v>
      </c>
      <c r="N316" s="55">
        <v>17.399999999999999</v>
      </c>
      <c r="O316" s="56">
        <v>-1.1922999999999999</v>
      </c>
      <c r="P316" s="55">
        <v>11.5</v>
      </c>
      <c r="Q316" s="17">
        <v>60</v>
      </c>
      <c r="R316" s="17">
        <v>62</v>
      </c>
      <c r="S316" s="17">
        <v>63</v>
      </c>
      <c r="T316" s="17">
        <v>65</v>
      </c>
      <c r="U316" s="17">
        <v>65</v>
      </c>
      <c r="V316" s="17">
        <v>67</v>
      </c>
      <c r="W316" s="17">
        <v>67</v>
      </c>
      <c r="X316" s="3">
        <v>97</v>
      </c>
    </row>
    <row r="317" spans="1:24" s="3" customFormat="1" x14ac:dyDescent="0.25">
      <c r="A317" s="16" t="s">
        <v>909</v>
      </c>
      <c r="B317" s="17" t="s">
        <v>7</v>
      </c>
      <c r="C317" s="17" t="s">
        <v>836</v>
      </c>
      <c r="D317" s="18" t="s">
        <v>24</v>
      </c>
      <c r="E317" s="18" t="s">
        <v>1784</v>
      </c>
      <c r="F317" s="18">
        <v>5.94</v>
      </c>
      <c r="G317" s="22">
        <v>2.4900000000000002</v>
      </c>
      <c r="H317" s="17">
        <v>8.93</v>
      </c>
      <c r="I317" s="25">
        <v>3.5682158920539875</v>
      </c>
      <c r="J317" s="24">
        <f>G317/F317*((100-H317)/100)*((100-I317)/100)*100</f>
        <v>36.81361282994866</v>
      </c>
      <c r="K317" s="53">
        <v>4.7848360655737707</v>
      </c>
      <c r="L317" s="54">
        <f>J317*10000/K317</f>
        <v>76938.085914410898</v>
      </c>
      <c r="M317" s="55">
        <v>51.2</v>
      </c>
      <c r="N317" s="55">
        <v>17.2</v>
      </c>
      <c r="O317" s="56">
        <v>8.5394000000000005</v>
      </c>
      <c r="P317" s="55">
        <v>18.8</v>
      </c>
      <c r="Q317" s="17">
        <v>60</v>
      </c>
      <c r="R317" s="17">
        <v>62</v>
      </c>
      <c r="S317" s="17">
        <v>63</v>
      </c>
      <c r="T317" s="17">
        <v>65</v>
      </c>
      <c r="U317" s="17">
        <v>65</v>
      </c>
      <c r="V317" s="17">
        <v>67</v>
      </c>
      <c r="W317" s="17">
        <v>67</v>
      </c>
      <c r="X317" s="3">
        <v>97</v>
      </c>
    </row>
    <row r="318" spans="1:24" s="3" customFormat="1" x14ac:dyDescent="0.25">
      <c r="A318" s="16" t="s">
        <v>916</v>
      </c>
      <c r="B318" s="17" t="s">
        <v>7</v>
      </c>
      <c r="C318" s="17" t="s">
        <v>836</v>
      </c>
      <c r="D318" s="18" t="s">
        <v>30</v>
      </c>
      <c r="E318" s="18" t="s">
        <v>1606</v>
      </c>
      <c r="F318" s="18">
        <v>5.94</v>
      </c>
      <c r="G318" s="22">
        <v>1.9</v>
      </c>
      <c r="H318" s="17">
        <v>8.93</v>
      </c>
      <c r="I318" s="25">
        <v>4.5541249403910271</v>
      </c>
      <c r="J318" s="24">
        <f>G318/F318*((100-H318)/100)*((100-I318)/100)*100</f>
        <v>27.803511951497168</v>
      </c>
      <c r="K318" s="53">
        <v>4.703595724003887</v>
      </c>
      <c r="L318" s="54">
        <f>J318*10000/K318</f>
        <v>59111.185533245014</v>
      </c>
      <c r="M318" s="55">
        <v>50.7</v>
      </c>
      <c r="N318" s="55">
        <v>18.899999999999999</v>
      </c>
      <c r="O318" s="56">
        <v>0.97146999999999994</v>
      </c>
      <c r="P318" s="55">
        <v>12.9</v>
      </c>
      <c r="Q318" s="17">
        <v>60</v>
      </c>
      <c r="R318" s="17">
        <v>62</v>
      </c>
      <c r="S318" s="17">
        <v>63</v>
      </c>
      <c r="T318" s="17">
        <v>65</v>
      </c>
      <c r="U318" s="17">
        <v>65</v>
      </c>
      <c r="V318" s="17">
        <v>67</v>
      </c>
      <c r="W318" s="17">
        <v>67</v>
      </c>
      <c r="X318" s="3">
        <v>97</v>
      </c>
    </row>
    <row r="319" spans="1:24" s="3" customFormat="1" x14ac:dyDescent="0.25">
      <c r="A319" s="16" t="s">
        <v>925</v>
      </c>
      <c r="B319" s="17" t="s">
        <v>7</v>
      </c>
      <c r="C319" s="17" t="s">
        <v>836</v>
      </c>
      <c r="D319" s="18" t="s">
        <v>101</v>
      </c>
      <c r="E319" s="18" t="s">
        <v>1792</v>
      </c>
      <c r="F319" s="18">
        <v>5.94</v>
      </c>
      <c r="G319" s="22">
        <v>2.23</v>
      </c>
      <c r="H319" s="17">
        <v>8.93</v>
      </c>
      <c r="I319" s="25">
        <v>3.7962594508555592</v>
      </c>
      <c r="J319" s="24">
        <f>G319/F319*((100-H319)/100)*((100-I319)/100)*100</f>
        <v>32.89165399585454</v>
      </c>
      <c r="K319" s="53">
        <v>5.185995623632385</v>
      </c>
      <c r="L319" s="54">
        <f>J319*10000/K319</f>
        <v>63423.991038419939</v>
      </c>
      <c r="M319" s="55">
        <v>52.7</v>
      </c>
      <c r="N319" s="55">
        <v>16.600000000000001</v>
      </c>
      <c r="O319" s="56">
        <v>3.1634000000000002</v>
      </c>
      <c r="P319" s="55">
        <v>14.3</v>
      </c>
      <c r="Q319" s="17">
        <v>60</v>
      </c>
      <c r="R319" s="17">
        <v>62</v>
      </c>
      <c r="S319" s="17">
        <v>63</v>
      </c>
      <c r="T319" s="17">
        <v>65</v>
      </c>
      <c r="U319" s="17">
        <v>65</v>
      </c>
      <c r="V319" s="17">
        <v>67</v>
      </c>
      <c r="W319" s="17">
        <v>67</v>
      </c>
      <c r="X319" s="3">
        <v>97</v>
      </c>
    </row>
    <row r="320" spans="1:24" s="3" customFormat="1" x14ac:dyDescent="0.25">
      <c r="A320" s="16" t="s">
        <v>952</v>
      </c>
      <c r="B320" s="17" t="s">
        <v>7</v>
      </c>
      <c r="C320" s="17" t="s">
        <v>836</v>
      </c>
      <c r="D320" s="18" t="s">
        <v>73</v>
      </c>
      <c r="E320" s="18" t="s">
        <v>1640</v>
      </c>
      <c r="F320" s="18">
        <v>5.94</v>
      </c>
      <c r="G320" s="22">
        <v>2.2200000000000002</v>
      </c>
      <c r="H320" s="17">
        <v>8.93</v>
      </c>
      <c r="I320" s="25">
        <v>3.2159264931087206</v>
      </c>
      <c r="J320" s="24">
        <f>G320/F320*((100-H320)/100)*((100-I320)/100)*100</f>
        <v>32.941681439200579</v>
      </c>
      <c r="K320" s="53">
        <v>4.5845552297165204</v>
      </c>
      <c r="L320" s="54">
        <f>J320*10000/K320</f>
        <v>71853.603650964156</v>
      </c>
      <c r="M320" s="55">
        <v>56.2</v>
      </c>
      <c r="N320" s="55">
        <v>16.100000000000001</v>
      </c>
      <c r="O320" s="56">
        <v>-2.1661999999999999</v>
      </c>
      <c r="P320" s="55">
        <v>13</v>
      </c>
      <c r="Q320" s="17">
        <v>60</v>
      </c>
      <c r="R320" s="17">
        <v>62</v>
      </c>
      <c r="S320" s="17">
        <v>63</v>
      </c>
      <c r="T320" s="17">
        <v>65</v>
      </c>
      <c r="U320" s="17">
        <v>65</v>
      </c>
      <c r="V320" s="17">
        <v>67</v>
      </c>
      <c r="W320" s="17">
        <v>67</v>
      </c>
      <c r="X320" s="3">
        <v>97</v>
      </c>
    </row>
    <row r="321" spans="1:24" s="3" customFormat="1" x14ac:dyDescent="0.25">
      <c r="A321" s="16" t="s">
        <v>970</v>
      </c>
      <c r="B321" s="17" t="s">
        <v>7</v>
      </c>
      <c r="C321" s="17" t="s">
        <v>836</v>
      </c>
      <c r="D321" s="18" t="s">
        <v>247</v>
      </c>
      <c r="E321" s="18" t="s">
        <v>1704</v>
      </c>
      <c r="F321" s="18">
        <v>5.94</v>
      </c>
      <c r="G321" s="22">
        <v>2.2000000000000002</v>
      </c>
      <c r="H321" s="17">
        <v>8.93</v>
      </c>
      <c r="I321" s="25">
        <v>4.1797656473278035</v>
      </c>
      <c r="J321" s="24">
        <f>G321/F321*((100-H321)/100)*((100-I321)/100)*100</f>
        <v>32.319810157399473</v>
      </c>
      <c r="K321" s="53">
        <v>4.8194014447884417</v>
      </c>
      <c r="L321" s="54">
        <f>J321*10000/K321</f>
        <v>67061.875894047305</v>
      </c>
      <c r="M321" s="55">
        <v>53.8</v>
      </c>
      <c r="N321" s="55">
        <v>16.3</v>
      </c>
      <c r="O321" s="56">
        <v>1.1434</v>
      </c>
      <c r="P321" s="55">
        <v>12.1</v>
      </c>
      <c r="Q321" s="17">
        <v>60</v>
      </c>
      <c r="R321" s="17">
        <v>62</v>
      </c>
      <c r="S321" s="17">
        <v>63</v>
      </c>
      <c r="T321" s="17">
        <v>65</v>
      </c>
      <c r="U321" s="17">
        <v>65</v>
      </c>
      <c r="V321" s="17">
        <v>67</v>
      </c>
      <c r="W321" s="17">
        <v>69</v>
      </c>
      <c r="X321" s="3">
        <v>97</v>
      </c>
    </row>
    <row r="322" spans="1:24" s="3" customFormat="1" x14ac:dyDescent="0.25">
      <c r="A322" s="16" t="s">
        <v>1279</v>
      </c>
      <c r="B322" s="17" t="s">
        <v>10</v>
      </c>
      <c r="C322" s="17" t="s">
        <v>836</v>
      </c>
      <c r="D322" s="18" t="s">
        <v>174</v>
      </c>
      <c r="E322" s="18" t="s">
        <v>1696</v>
      </c>
      <c r="F322" s="18">
        <v>5.94</v>
      </c>
      <c r="G322" s="22">
        <v>0.98</v>
      </c>
      <c r="H322" s="17">
        <v>7.69</v>
      </c>
      <c r="I322" s="25">
        <v>12.791053921568629</v>
      </c>
      <c r="J322" s="24">
        <f>G322/F322*((100-H322)/100)*((100-I322)/100)*100</f>
        <v>13.281570128367004</v>
      </c>
      <c r="K322" s="53">
        <v>4.8300720906282182</v>
      </c>
      <c r="L322" s="54">
        <f>J322*10000/K322</f>
        <v>27497.664380904818</v>
      </c>
      <c r="M322" s="55">
        <v>47.8</v>
      </c>
      <c r="N322" s="55">
        <v>21.2</v>
      </c>
      <c r="O322" s="56">
        <v>50.109000000000002</v>
      </c>
      <c r="P322" s="55">
        <v>69.8</v>
      </c>
      <c r="Q322" s="17">
        <v>61</v>
      </c>
      <c r="R322" s="17">
        <v>62</v>
      </c>
      <c r="S322" s="17">
        <v>63</v>
      </c>
      <c r="T322" s="17">
        <v>65</v>
      </c>
      <c r="U322" s="17">
        <v>65</v>
      </c>
      <c r="V322" s="17">
        <v>67</v>
      </c>
      <c r="W322" s="17">
        <v>69</v>
      </c>
      <c r="X322" s="3">
        <v>97</v>
      </c>
    </row>
    <row r="323" spans="1:24" s="3" customFormat="1" x14ac:dyDescent="0.25">
      <c r="A323" s="16" t="s">
        <v>928</v>
      </c>
      <c r="B323" s="17" t="s">
        <v>7</v>
      </c>
      <c r="C323" s="17" t="s">
        <v>836</v>
      </c>
      <c r="D323" s="18" t="s">
        <v>173</v>
      </c>
      <c r="E323" s="18" t="s">
        <v>1720</v>
      </c>
      <c r="F323" s="18">
        <v>5.94</v>
      </c>
      <c r="G323" s="22">
        <v>2.0499999999999998</v>
      </c>
      <c r="H323" s="17">
        <v>8.93</v>
      </c>
      <c r="I323" s="25">
        <v>9.3823744812433887</v>
      </c>
      <c r="J323" s="24">
        <f>G323/F323*((100-H323)/100)*((100-I323)/100)*100</f>
        <v>28.481012912097615</v>
      </c>
      <c r="K323" s="53">
        <v>4.518950437317784</v>
      </c>
      <c r="L323" s="54">
        <f>J323*10000/K323</f>
        <v>63025.725347416017</v>
      </c>
      <c r="M323" s="55">
        <v>52.1</v>
      </c>
      <c r="N323" s="55">
        <v>17.8</v>
      </c>
      <c r="O323" s="56">
        <v>0.44933000000000001</v>
      </c>
      <c r="P323" s="55">
        <v>17.2</v>
      </c>
      <c r="Q323" s="17">
        <v>61</v>
      </c>
      <c r="R323" s="17">
        <v>62</v>
      </c>
      <c r="S323" s="17">
        <v>63</v>
      </c>
      <c r="T323" s="17">
        <v>65</v>
      </c>
      <c r="U323" s="17">
        <v>65</v>
      </c>
      <c r="V323" s="17">
        <v>67</v>
      </c>
      <c r="W323" s="17">
        <v>67</v>
      </c>
      <c r="X323" s="3">
        <v>97</v>
      </c>
    </row>
    <row r="324" spans="1:24" s="3" customFormat="1" x14ac:dyDescent="0.25">
      <c r="A324" s="16" t="s">
        <v>938</v>
      </c>
      <c r="B324" s="17" t="s">
        <v>7</v>
      </c>
      <c r="C324" s="17" t="s">
        <v>836</v>
      </c>
      <c r="D324" s="18" t="s">
        <v>255</v>
      </c>
      <c r="E324" s="18" t="s">
        <v>1558</v>
      </c>
      <c r="F324" s="18">
        <v>5.94</v>
      </c>
      <c r="G324" s="22">
        <v>1.97</v>
      </c>
      <c r="H324" s="17">
        <v>8.93</v>
      </c>
      <c r="I324" s="25">
        <v>8.9090909090909118</v>
      </c>
      <c r="J324" s="24">
        <f>G324/F324*((100-H324)/100)*((100-I324)/100)*100</f>
        <v>27.512506244260788</v>
      </c>
      <c r="K324" s="53">
        <v>5.021505376344086</v>
      </c>
      <c r="L324" s="54">
        <f>J324*10000/K324</f>
        <v>54789.359330112493</v>
      </c>
      <c r="M324" s="55">
        <v>52.4</v>
      </c>
      <c r="N324" s="55">
        <v>17.3</v>
      </c>
      <c r="O324" s="56">
        <v>4.4406999999999996</v>
      </c>
      <c r="P324" s="55">
        <v>16.7</v>
      </c>
      <c r="Q324" s="17">
        <v>61</v>
      </c>
      <c r="R324" s="17">
        <v>62</v>
      </c>
      <c r="S324" s="17">
        <v>63</v>
      </c>
      <c r="T324" s="17">
        <v>65</v>
      </c>
      <c r="U324" s="17">
        <v>65</v>
      </c>
      <c r="V324" s="17">
        <v>67</v>
      </c>
      <c r="W324" s="17">
        <v>67</v>
      </c>
      <c r="X324" s="3">
        <v>97</v>
      </c>
    </row>
    <row r="325" spans="1:24" s="3" customFormat="1" x14ac:dyDescent="0.25">
      <c r="A325" s="16" t="s">
        <v>972</v>
      </c>
      <c r="B325" s="17" t="s">
        <v>7</v>
      </c>
      <c r="C325" s="17" t="s">
        <v>836</v>
      </c>
      <c r="D325" s="18" t="s">
        <v>187</v>
      </c>
      <c r="E325" s="18" t="s">
        <v>1726</v>
      </c>
      <c r="F325" s="18">
        <v>5.94</v>
      </c>
      <c r="G325" s="22">
        <v>2.19</v>
      </c>
      <c r="H325" s="17">
        <v>8.93</v>
      </c>
      <c r="I325" s="25">
        <v>4.6191579234228106</v>
      </c>
      <c r="J325" s="24">
        <f>G325/F325*((100-H325)/100)*((100-I325)/100)*100</f>
        <v>32.025370202914829</v>
      </c>
      <c r="K325" s="53">
        <v>5.1889683350357512</v>
      </c>
      <c r="L325" s="54">
        <f>J325*10000/K325</f>
        <v>61718.183914672474</v>
      </c>
      <c r="M325" s="55">
        <v>51.5</v>
      </c>
      <c r="N325" s="55">
        <v>18</v>
      </c>
      <c r="O325" s="56">
        <v>0.27399000000000001</v>
      </c>
      <c r="P325" s="55">
        <v>11.7</v>
      </c>
      <c r="Q325" s="17">
        <v>59</v>
      </c>
      <c r="R325" s="17">
        <v>61</v>
      </c>
      <c r="S325" s="17">
        <v>64</v>
      </c>
      <c r="T325" s="17">
        <v>65</v>
      </c>
      <c r="U325" s="17">
        <v>65</v>
      </c>
      <c r="V325" s="17">
        <v>67</v>
      </c>
      <c r="W325" s="17">
        <v>67</v>
      </c>
      <c r="X325" s="3">
        <v>97</v>
      </c>
    </row>
    <row r="326" spans="1:24" s="3" customFormat="1" x14ac:dyDescent="0.25">
      <c r="A326" s="16" t="s">
        <v>1281</v>
      </c>
      <c r="B326" s="17" t="s">
        <v>10</v>
      </c>
      <c r="C326" s="17" t="s">
        <v>836</v>
      </c>
      <c r="D326" s="18" t="s">
        <v>74</v>
      </c>
      <c r="E326" s="18" t="s">
        <v>1678</v>
      </c>
      <c r="F326" s="18">
        <v>5.94</v>
      </c>
      <c r="G326" s="22">
        <v>1.52</v>
      </c>
      <c r="H326" s="17">
        <v>7.69</v>
      </c>
      <c r="I326" s="25">
        <v>7.8152481455991536</v>
      </c>
      <c r="J326" s="24">
        <f>G326/F326*((100-H326)/100)*((100-I326)/100)*100</f>
        <v>21.77534201076298</v>
      </c>
      <c r="K326" s="53">
        <v>5.7734470158343481</v>
      </c>
      <c r="L326" s="54">
        <f>J326*10000/K326</f>
        <v>37716.362427924905</v>
      </c>
      <c r="M326" s="55">
        <v>51</v>
      </c>
      <c r="N326" s="55">
        <v>17.5</v>
      </c>
      <c r="O326" s="56">
        <v>4.6101000000000001</v>
      </c>
      <c r="P326" s="55">
        <v>21.8</v>
      </c>
      <c r="Q326" s="17">
        <v>60</v>
      </c>
      <c r="R326" s="17">
        <v>62</v>
      </c>
      <c r="S326" s="17">
        <v>64</v>
      </c>
      <c r="T326" s="17">
        <v>65</v>
      </c>
      <c r="U326" s="17">
        <v>65</v>
      </c>
      <c r="V326" s="17">
        <v>67</v>
      </c>
      <c r="W326" s="17">
        <v>67</v>
      </c>
      <c r="X326" s="3">
        <v>97</v>
      </c>
    </row>
    <row r="327" spans="1:24" s="3" customFormat="1" x14ac:dyDescent="0.25">
      <c r="A327" s="16" t="s">
        <v>1313</v>
      </c>
      <c r="B327" s="17" t="s">
        <v>10</v>
      </c>
      <c r="C327" s="17" t="s">
        <v>836</v>
      </c>
      <c r="D327" s="18" t="s">
        <v>12</v>
      </c>
      <c r="E327" s="18" t="s">
        <v>1708</v>
      </c>
      <c r="F327" s="18">
        <v>5.94</v>
      </c>
      <c r="G327" s="22">
        <v>2.5099999999999998</v>
      </c>
      <c r="H327" s="17">
        <v>7.69</v>
      </c>
      <c r="I327" s="25">
        <v>10.557064099399323</v>
      </c>
      <c r="J327" s="24">
        <f>G327/F327*((100-H327)/100)*((100-I327)/100)*100</f>
        <v>34.888481997627885</v>
      </c>
      <c r="K327" s="53">
        <v>5.2263374485596712</v>
      </c>
      <c r="L327" s="54">
        <f>J327*10000/K327</f>
        <v>66755.126971839185</v>
      </c>
      <c r="M327" s="55">
        <v>49.9</v>
      </c>
      <c r="N327" s="55">
        <v>18.7</v>
      </c>
      <c r="O327" s="56">
        <v>5.4516</v>
      </c>
      <c r="P327" s="55">
        <v>19.7</v>
      </c>
      <c r="Q327" s="17">
        <v>60</v>
      </c>
      <c r="R327" s="17">
        <v>62</v>
      </c>
      <c r="S327" s="17">
        <v>64</v>
      </c>
      <c r="T327" s="17">
        <v>65</v>
      </c>
      <c r="U327" s="17">
        <v>65</v>
      </c>
      <c r="V327" s="17">
        <v>67</v>
      </c>
      <c r="W327" s="17">
        <v>67</v>
      </c>
      <c r="X327" s="3">
        <v>97</v>
      </c>
    </row>
    <row r="328" spans="1:24" s="3" customFormat="1" x14ac:dyDescent="0.25">
      <c r="A328" s="16" t="s">
        <v>863</v>
      </c>
      <c r="B328" s="17" t="s">
        <v>7</v>
      </c>
      <c r="C328" s="17" t="s">
        <v>836</v>
      </c>
      <c r="D328" s="18" t="s">
        <v>11</v>
      </c>
      <c r="E328" s="18" t="s">
        <v>1592</v>
      </c>
      <c r="F328" s="18">
        <v>5.94</v>
      </c>
      <c r="G328" s="22">
        <v>2.1800000000000002</v>
      </c>
      <c r="H328" s="17">
        <v>8.93</v>
      </c>
      <c r="I328" s="25">
        <v>5.584501357598894</v>
      </c>
      <c r="J328" s="24">
        <f>G328/F328*((100-H328)/100)*((100-I328)/100)*100</f>
        <v>31.556488932276704</v>
      </c>
      <c r="K328" s="53">
        <v>4.0690817186183654</v>
      </c>
      <c r="L328" s="54">
        <f>J328*10000/K328</f>
        <v>77551.868245574427</v>
      </c>
      <c r="M328" s="55">
        <v>51.1</v>
      </c>
      <c r="N328" s="55">
        <v>18.100000000000001</v>
      </c>
      <c r="O328" s="56">
        <v>2.6467999999999998</v>
      </c>
      <c r="P328" s="55">
        <v>17.2</v>
      </c>
      <c r="Q328" s="17">
        <v>60</v>
      </c>
      <c r="R328" s="17">
        <v>62</v>
      </c>
      <c r="S328" s="17">
        <v>64</v>
      </c>
      <c r="T328" s="17">
        <v>65</v>
      </c>
      <c r="U328" s="17">
        <v>65</v>
      </c>
      <c r="V328" s="17">
        <v>67</v>
      </c>
      <c r="W328" s="17">
        <v>67</v>
      </c>
      <c r="X328" s="3">
        <v>97</v>
      </c>
    </row>
    <row r="329" spans="1:24" s="3" customFormat="1" x14ac:dyDescent="0.25">
      <c r="A329" s="16" t="s">
        <v>994</v>
      </c>
      <c r="B329" s="17" t="s">
        <v>7</v>
      </c>
      <c r="C329" s="17" t="s">
        <v>836</v>
      </c>
      <c r="D329" s="18" t="s">
        <v>156</v>
      </c>
      <c r="E329" s="18" t="s">
        <v>1525</v>
      </c>
      <c r="F329" s="18">
        <v>5.94</v>
      </c>
      <c r="G329" s="22">
        <v>1.68</v>
      </c>
      <c r="H329" s="17">
        <v>8.93</v>
      </c>
      <c r="I329" s="25">
        <v>5.9702624791382126</v>
      </c>
      <c r="J329" s="24">
        <f>G329/F329*((100-H329)/100)*((100-I329)/100)*100</f>
        <v>24.219400958454216</v>
      </c>
      <c r="K329" s="53">
        <v>3.935810810810811</v>
      </c>
      <c r="L329" s="54">
        <f>J329*10000/K329</f>
        <v>61535.988701308561</v>
      </c>
      <c r="M329" s="55">
        <v>53.7</v>
      </c>
      <c r="N329" s="55">
        <v>18.3</v>
      </c>
      <c r="O329" s="56">
        <v>3.399</v>
      </c>
      <c r="P329" s="55">
        <v>47.5</v>
      </c>
      <c r="Q329" s="17">
        <v>60</v>
      </c>
      <c r="R329" s="17">
        <v>62</v>
      </c>
      <c r="S329" s="17">
        <v>64</v>
      </c>
      <c r="T329" s="17">
        <v>65</v>
      </c>
      <c r="U329" s="17">
        <v>65</v>
      </c>
      <c r="V329" s="17">
        <v>67</v>
      </c>
      <c r="W329" s="17">
        <v>67</v>
      </c>
      <c r="X329" s="3">
        <v>97</v>
      </c>
    </row>
    <row r="330" spans="1:24" s="3" customFormat="1" x14ac:dyDescent="0.25">
      <c r="A330" s="66" t="s">
        <v>1030</v>
      </c>
      <c r="B330" s="17" t="s">
        <v>7</v>
      </c>
      <c r="C330" s="17" t="s">
        <v>836</v>
      </c>
      <c r="D330" s="18" t="s">
        <v>119</v>
      </c>
      <c r="E330" s="18" t="s">
        <v>1826</v>
      </c>
      <c r="F330" s="18">
        <v>5.94</v>
      </c>
      <c r="G330" s="22">
        <v>0.69</v>
      </c>
      <c r="H330" s="17">
        <v>8.93</v>
      </c>
      <c r="I330" s="25">
        <v>11.377741001241208</v>
      </c>
      <c r="J330" s="24">
        <f>G330/F330*((100-H330)/100)*((100-I330)/100)*100</f>
        <v>9.3752055515853598</v>
      </c>
      <c r="K330" s="53">
        <v>4.6558317399617595</v>
      </c>
      <c r="L330" s="54">
        <f>J330*10000/K330</f>
        <v>20136.478453713113</v>
      </c>
      <c r="M330" s="55">
        <v>48.6</v>
      </c>
      <c r="N330" s="55">
        <v>20.5</v>
      </c>
      <c r="O330" s="56">
        <v>36.659999999999997</v>
      </c>
      <c r="P330" s="55">
        <v>54.2</v>
      </c>
      <c r="Q330" s="17">
        <v>60</v>
      </c>
      <c r="R330" s="17">
        <v>62</v>
      </c>
      <c r="S330" s="17">
        <v>64</v>
      </c>
      <c r="T330" s="17">
        <v>65</v>
      </c>
      <c r="U330" s="17">
        <v>65</v>
      </c>
      <c r="V330" s="17">
        <v>67</v>
      </c>
      <c r="W330" s="17">
        <v>67</v>
      </c>
      <c r="X330" s="3">
        <v>97</v>
      </c>
    </row>
    <row r="331" spans="1:24" s="3" customFormat="1" x14ac:dyDescent="0.25">
      <c r="A331" s="16" t="s">
        <v>1299</v>
      </c>
      <c r="B331" s="17" t="s">
        <v>10</v>
      </c>
      <c r="C331" s="17" t="s">
        <v>836</v>
      </c>
      <c r="D331" s="18" t="s">
        <v>50</v>
      </c>
      <c r="E331" s="18" t="s">
        <v>1758</v>
      </c>
      <c r="F331" s="18">
        <v>5.94</v>
      </c>
      <c r="G331" s="22">
        <v>1.9</v>
      </c>
      <c r="H331" s="17">
        <v>7.69</v>
      </c>
      <c r="I331" s="25">
        <v>12.418456642800319</v>
      </c>
      <c r="J331" s="24">
        <f>G331/F331*((100-H331)/100)*((100-I331)/100)*100</f>
        <v>25.859998834807907</v>
      </c>
      <c r="K331" s="53">
        <v>4.7910295616717633</v>
      </c>
      <c r="L331" s="54">
        <f>J331*10000/K331</f>
        <v>53975.869908396926</v>
      </c>
      <c r="M331" s="55">
        <v>52.4</v>
      </c>
      <c r="N331" s="55">
        <v>17.100000000000001</v>
      </c>
      <c r="O331" s="56">
        <v>2.0459999999999998</v>
      </c>
      <c r="P331" s="55">
        <v>14</v>
      </c>
      <c r="Q331" s="17">
        <v>61</v>
      </c>
      <c r="R331" s="17">
        <v>62</v>
      </c>
      <c r="S331" s="17">
        <v>64</v>
      </c>
      <c r="T331" s="17">
        <v>65</v>
      </c>
      <c r="U331" s="17">
        <v>65</v>
      </c>
      <c r="V331" s="17">
        <v>67</v>
      </c>
      <c r="W331" s="17">
        <v>69</v>
      </c>
      <c r="X331" s="3">
        <v>97</v>
      </c>
    </row>
    <row r="332" spans="1:24" s="3" customFormat="1" x14ac:dyDescent="0.25">
      <c r="A332" s="16" t="s">
        <v>1378</v>
      </c>
      <c r="B332" s="17" t="s">
        <v>10</v>
      </c>
      <c r="C332" s="17" t="s">
        <v>836</v>
      </c>
      <c r="D332" s="18" t="s">
        <v>26</v>
      </c>
      <c r="E332" s="18" t="s">
        <v>1568</v>
      </c>
      <c r="F332" s="18">
        <v>5.94</v>
      </c>
      <c r="G332" s="22">
        <v>1.37</v>
      </c>
      <c r="H332" s="17">
        <v>7.69</v>
      </c>
      <c r="I332" s="25">
        <v>9.55210237659964</v>
      </c>
      <c r="J332" s="24">
        <f>G332/F332*((100-H332)/100)*((100-I332)/100)*100</f>
        <v>19.256677169316568</v>
      </c>
      <c r="K332" s="53">
        <v>4.9851632047477743</v>
      </c>
      <c r="L332" s="54">
        <f>J332*10000/K332</f>
        <v>38627.977417021924</v>
      </c>
      <c r="M332" s="55">
        <v>48.6</v>
      </c>
      <c r="N332" s="55">
        <v>17.600000000000001</v>
      </c>
      <c r="O332" s="56">
        <v>-2.9380000000000002</v>
      </c>
      <c r="P332" s="55">
        <v>16.100000000000001</v>
      </c>
      <c r="Q332" s="17">
        <v>61</v>
      </c>
      <c r="R332" s="17">
        <v>62</v>
      </c>
      <c r="S332" s="17">
        <v>64</v>
      </c>
      <c r="T332" s="17">
        <v>65</v>
      </c>
      <c r="U332" s="17">
        <v>65</v>
      </c>
      <c r="V332" s="17">
        <v>67</v>
      </c>
      <c r="W332" s="17">
        <v>67</v>
      </c>
      <c r="X332" s="3">
        <v>97</v>
      </c>
    </row>
    <row r="333" spans="1:24" s="3" customFormat="1" x14ac:dyDescent="0.25">
      <c r="A333" s="16" t="s">
        <v>1392</v>
      </c>
      <c r="B333" s="17" t="s">
        <v>10</v>
      </c>
      <c r="C333" s="17" t="s">
        <v>836</v>
      </c>
      <c r="D333" s="18" t="s">
        <v>215</v>
      </c>
      <c r="E333" s="18" t="s">
        <v>1474</v>
      </c>
      <c r="F333" s="18">
        <v>5.94</v>
      </c>
      <c r="G333" s="22">
        <v>1.49</v>
      </c>
      <c r="H333" s="17">
        <v>7.69</v>
      </c>
      <c r="I333" s="25">
        <v>9.3764505647532044</v>
      </c>
      <c r="J333" s="24">
        <f>G333/F333*((100-H333)/100)*((100-I333)/100)*100</f>
        <v>20.98406594960904</v>
      </c>
      <c r="K333" s="53">
        <v>4.1349480968858128</v>
      </c>
      <c r="L333" s="54">
        <f>J333*10000/K333</f>
        <v>50748.075811188399</v>
      </c>
      <c r="M333" s="55">
        <v>52.5</v>
      </c>
      <c r="N333" s="55">
        <v>19.600000000000001</v>
      </c>
      <c r="O333" s="56">
        <v>46.768000000000001</v>
      </c>
      <c r="P333" s="55">
        <v>58.1</v>
      </c>
      <c r="Q333" s="17">
        <v>61</v>
      </c>
      <c r="R333" s="17">
        <v>62</v>
      </c>
      <c r="S333" s="17">
        <v>64</v>
      </c>
      <c r="T333" s="17">
        <v>65</v>
      </c>
      <c r="U333" s="17">
        <v>65</v>
      </c>
      <c r="V333" s="17">
        <v>67</v>
      </c>
      <c r="W333" s="17">
        <v>67</v>
      </c>
      <c r="X333" s="3">
        <v>97</v>
      </c>
    </row>
    <row r="334" spans="1:24" s="3" customFormat="1" x14ac:dyDescent="0.25">
      <c r="A334" s="16" t="s">
        <v>1357</v>
      </c>
      <c r="B334" s="17" t="s">
        <v>10</v>
      </c>
      <c r="C334" s="17" t="s">
        <v>836</v>
      </c>
      <c r="D334" s="18" t="s">
        <v>31</v>
      </c>
      <c r="E334" s="18" t="s">
        <v>1668</v>
      </c>
      <c r="F334" s="18">
        <v>5.94</v>
      </c>
      <c r="G334" s="22">
        <v>2.67</v>
      </c>
      <c r="H334" s="17">
        <v>7.69</v>
      </c>
      <c r="I334" s="25">
        <v>9.3750000000000071</v>
      </c>
      <c r="J334" s="24">
        <f>G334/F334*((100-H334)/100)*((100-I334)/100)*100</f>
        <v>37.602921401515147</v>
      </c>
      <c r="K334" s="53">
        <v>4.75</v>
      </c>
      <c r="L334" s="54">
        <f>J334*10000/K334</f>
        <v>79164.045055821363</v>
      </c>
      <c r="M334" s="55">
        <v>52.4</v>
      </c>
      <c r="N334" s="55">
        <v>16.5</v>
      </c>
      <c r="O334" s="56">
        <v>-0.63399000000000005</v>
      </c>
      <c r="P334" s="55">
        <v>16.8</v>
      </c>
      <c r="Q334" s="17">
        <v>60</v>
      </c>
      <c r="R334" s="17">
        <v>63</v>
      </c>
      <c r="S334" s="17">
        <v>64</v>
      </c>
      <c r="T334" s="17">
        <v>65</v>
      </c>
      <c r="U334" s="17">
        <v>65</v>
      </c>
      <c r="V334" s="17">
        <v>67</v>
      </c>
      <c r="W334" s="17">
        <v>67</v>
      </c>
      <c r="X334" s="3">
        <v>97</v>
      </c>
    </row>
    <row r="335" spans="1:24" s="3" customFormat="1" x14ac:dyDescent="0.25">
      <c r="A335" s="16" t="s">
        <v>1435</v>
      </c>
      <c r="B335" s="17" t="s">
        <v>10</v>
      </c>
      <c r="C335" s="17" t="s">
        <v>836</v>
      </c>
      <c r="D335" s="18" t="s">
        <v>82</v>
      </c>
      <c r="E335" s="18" t="s">
        <v>1760</v>
      </c>
      <c r="F335" s="18">
        <v>5.94</v>
      </c>
      <c r="G335" s="22">
        <v>2.8</v>
      </c>
      <c r="H335" s="17">
        <v>7.69</v>
      </c>
      <c r="I335" s="25">
        <v>7.8212732305258994</v>
      </c>
      <c r="J335" s="24">
        <f>G335/F335*((100-H335)/100)*((100-I335)/100)*100</f>
        <v>40.109850421973789</v>
      </c>
      <c r="K335" s="53">
        <v>5.4094579008073822</v>
      </c>
      <c r="L335" s="54">
        <f>J335*10000/K335</f>
        <v>74147.633935716993</v>
      </c>
      <c r="M335" s="55">
        <v>53.4</v>
      </c>
      <c r="N335" s="55">
        <v>15.9</v>
      </c>
      <c r="O335" s="56">
        <v>0.48088999999999998</v>
      </c>
      <c r="P335" s="55">
        <v>12.7</v>
      </c>
      <c r="Q335" s="17">
        <v>60</v>
      </c>
      <c r="R335" s="17">
        <v>63</v>
      </c>
      <c r="S335" s="17">
        <v>64</v>
      </c>
      <c r="T335" s="17">
        <v>65</v>
      </c>
      <c r="U335" s="17">
        <v>65</v>
      </c>
      <c r="V335" s="17">
        <v>67</v>
      </c>
      <c r="W335" s="17">
        <v>67</v>
      </c>
      <c r="X335" s="3">
        <v>97</v>
      </c>
    </row>
    <row r="336" spans="1:24" s="3" customFormat="1" x14ac:dyDescent="0.25">
      <c r="A336" s="16" t="s">
        <v>910</v>
      </c>
      <c r="B336" s="17" t="s">
        <v>7</v>
      </c>
      <c r="C336" s="17" t="s">
        <v>836</v>
      </c>
      <c r="D336" s="18" t="s">
        <v>62</v>
      </c>
      <c r="E336" s="18" t="s">
        <v>1600</v>
      </c>
      <c r="F336" s="18">
        <v>5.94</v>
      </c>
      <c r="G336" s="22">
        <v>2.1</v>
      </c>
      <c r="H336" s="17">
        <v>8.93</v>
      </c>
      <c r="I336" s="25">
        <v>3.791575944139959</v>
      </c>
      <c r="J336" s="24">
        <f>G336/F336*((100-H336)/100)*((100-I336)/100)*100</f>
        <v>30.975711238065763</v>
      </c>
      <c r="K336" s="53">
        <v>3.745051464766429</v>
      </c>
      <c r="L336" s="54">
        <f>J336*10000/K336</f>
        <v>82711.042904179834</v>
      </c>
      <c r="M336" s="55">
        <v>53.2</v>
      </c>
      <c r="N336" s="55">
        <v>17.600000000000001</v>
      </c>
      <c r="O336" s="56">
        <v>-0.39207999999999998</v>
      </c>
      <c r="P336" s="55">
        <v>10.6</v>
      </c>
      <c r="Q336" s="17">
        <v>60</v>
      </c>
      <c r="R336" s="17">
        <v>63</v>
      </c>
      <c r="S336" s="17">
        <v>64</v>
      </c>
      <c r="T336" s="17">
        <v>65</v>
      </c>
      <c r="U336" s="17">
        <v>65</v>
      </c>
      <c r="V336" s="17">
        <v>67</v>
      </c>
      <c r="W336" s="17">
        <v>69</v>
      </c>
      <c r="X336" s="3">
        <v>97</v>
      </c>
    </row>
    <row r="337" spans="1:24" s="3" customFormat="1" x14ac:dyDescent="0.25">
      <c r="A337" s="16" t="s">
        <v>1374</v>
      </c>
      <c r="B337" s="17" t="s">
        <v>10</v>
      </c>
      <c r="C337" s="17" t="s">
        <v>836</v>
      </c>
      <c r="D337" s="18" t="s">
        <v>59</v>
      </c>
      <c r="E337" s="18" t="s">
        <v>1517</v>
      </c>
      <c r="F337" s="18">
        <v>5.94</v>
      </c>
      <c r="G337" s="22">
        <v>1.89</v>
      </c>
      <c r="H337" s="17">
        <v>7.69</v>
      </c>
      <c r="I337" s="25">
        <v>11.804979253112029</v>
      </c>
      <c r="J337" s="24">
        <f>G337/F337*((100-H337)/100)*((100-I337)/100)*100</f>
        <v>25.904080252734818</v>
      </c>
      <c r="K337" s="53">
        <v>5.2370203160270883</v>
      </c>
      <c r="L337" s="54">
        <f>J337*10000/K337</f>
        <v>49463.39462052381</v>
      </c>
      <c r="M337" s="55">
        <v>48.4</v>
      </c>
      <c r="N337" s="55">
        <v>19.2</v>
      </c>
      <c r="O337" s="56">
        <v>6.5811999999999999</v>
      </c>
      <c r="P337" s="55">
        <v>53.6</v>
      </c>
      <c r="Q337" s="17">
        <v>61</v>
      </c>
      <c r="R337" s="17">
        <v>63</v>
      </c>
      <c r="S337" s="17">
        <v>64</v>
      </c>
      <c r="T337" s="17">
        <v>65</v>
      </c>
      <c r="U337" s="17">
        <v>65</v>
      </c>
      <c r="V337" s="17">
        <v>67</v>
      </c>
      <c r="W337" s="17">
        <v>67</v>
      </c>
      <c r="X337" s="3">
        <v>97</v>
      </c>
    </row>
    <row r="338" spans="1:24" s="3" customFormat="1" x14ac:dyDescent="0.25">
      <c r="A338" s="16" t="s">
        <v>1429</v>
      </c>
      <c r="B338" s="17" t="s">
        <v>10</v>
      </c>
      <c r="C338" s="17" t="s">
        <v>836</v>
      </c>
      <c r="D338" s="18" t="s">
        <v>54</v>
      </c>
      <c r="E338" s="18" t="s">
        <v>1730</v>
      </c>
      <c r="F338" s="18">
        <v>5.94</v>
      </c>
      <c r="G338" s="22">
        <v>1.99</v>
      </c>
      <c r="H338" s="17">
        <v>7.69</v>
      </c>
      <c r="I338" s="25">
        <v>9.2517482517482446</v>
      </c>
      <c r="J338" s="24">
        <f>G338/F338*((100-H338)/100)*((100-I338)/100)*100</f>
        <v>28.064263512749875</v>
      </c>
      <c r="K338" s="53">
        <v>4.7676767676767673</v>
      </c>
      <c r="L338" s="54">
        <f>J338*10000/K338</f>
        <v>58863.603554284702</v>
      </c>
      <c r="M338" s="55">
        <v>53.6</v>
      </c>
      <c r="N338" s="55">
        <v>16.600000000000001</v>
      </c>
      <c r="O338" s="56">
        <v>3.1436999999999999</v>
      </c>
      <c r="P338" s="55">
        <v>12.7</v>
      </c>
      <c r="Q338" s="17">
        <v>61</v>
      </c>
      <c r="R338" s="17">
        <v>63</v>
      </c>
      <c r="S338" s="17">
        <v>64</v>
      </c>
      <c r="T338" s="17">
        <v>65</v>
      </c>
      <c r="U338" s="17">
        <v>65</v>
      </c>
      <c r="V338" s="17">
        <v>67</v>
      </c>
      <c r="W338" s="17">
        <v>67</v>
      </c>
      <c r="X338" s="3">
        <v>97</v>
      </c>
    </row>
    <row r="339" spans="1:24" s="3" customFormat="1" x14ac:dyDescent="0.25">
      <c r="A339" s="16" t="s">
        <v>886</v>
      </c>
      <c r="B339" s="17" t="s">
        <v>7</v>
      </c>
      <c r="C339" s="17" t="s">
        <v>836</v>
      </c>
      <c r="D339" s="18" t="s">
        <v>287</v>
      </c>
      <c r="E339" s="18" t="s">
        <v>1594</v>
      </c>
      <c r="F339" s="18">
        <v>5.94</v>
      </c>
      <c r="G339" s="22">
        <v>2.09</v>
      </c>
      <c r="H339" s="17">
        <v>8.93</v>
      </c>
      <c r="I339" s="25">
        <v>6.0060931379660527</v>
      </c>
      <c r="J339" s="24">
        <f>G339/F339*((100-H339)/100)*((100-I339)/100)*100</f>
        <v>30.118606826033922</v>
      </c>
      <c r="K339" s="53">
        <v>4.4691119691119692</v>
      </c>
      <c r="L339" s="54">
        <f>J339*10000/K339</f>
        <v>67392.822185250843</v>
      </c>
      <c r="M339" s="55">
        <v>52.7</v>
      </c>
      <c r="N339" s="55">
        <v>17.2</v>
      </c>
      <c r="O339" s="56">
        <v>1.4219999999999999</v>
      </c>
      <c r="P339" s="55">
        <v>14.6</v>
      </c>
      <c r="Q339" s="17">
        <v>61</v>
      </c>
      <c r="R339" s="17">
        <v>63</v>
      </c>
      <c r="S339" s="17">
        <v>64</v>
      </c>
      <c r="T339" s="17">
        <v>65</v>
      </c>
      <c r="U339" s="17">
        <v>65</v>
      </c>
      <c r="V339" s="17">
        <v>67</v>
      </c>
      <c r="W339" s="17">
        <v>68</v>
      </c>
      <c r="X339" s="3">
        <v>97</v>
      </c>
    </row>
    <row r="340" spans="1:24" s="3" customFormat="1" x14ac:dyDescent="0.25">
      <c r="A340" s="16" t="s">
        <v>1421</v>
      </c>
      <c r="B340" s="17" t="s">
        <v>10</v>
      </c>
      <c r="C340" s="17" t="s">
        <v>836</v>
      </c>
      <c r="D340" s="18" t="s">
        <v>287</v>
      </c>
      <c r="E340" s="18" t="s">
        <v>1594</v>
      </c>
      <c r="F340" s="18">
        <v>5.94</v>
      </c>
      <c r="G340" s="22">
        <v>2.27</v>
      </c>
      <c r="H340" s="17">
        <v>7.69</v>
      </c>
      <c r="I340" s="25">
        <v>9.5278532608695645</v>
      </c>
      <c r="J340" s="24">
        <f>G340/F340*((100-H340)/100)*((100-I340)/100)*100</f>
        <v>31.915603324343984</v>
      </c>
      <c r="K340" s="53">
        <v>4.348591549295775</v>
      </c>
      <c r="L340" s="54">
        <f>J340*10000/K340</f>
        <v>73392.966349098715</v>
      </c>
      <c r="M340" s="55">
        <v>53.2</v>
      </c>
      <c r="N340" s="55">
        <v>16.8</v>
      </c>
      <c r="O340" s="56">
        <v>-1.2358</v>
      </c>
      <c r="P340" s="55">
        <v>14.6</v>
      </c>
      <c r="Q340" s="17">
        <v>62</v>
      </c>
      <c r="R340" s="17">
        <v>63</v>
      </c>
      <c r="S340" s="17">
        <v>64</v>
      </c>
      <c r="T340" s="17">
        <v>65</v>
      </c>
      <c r="U340" s="17">
        <v>65</v>
      </c>
      <c r="V340" s="17">
        <v>67</v>
      </c>
      <c r="W340" s="17">
        <v>68</v>
      </c>
      <c r="X340" s="3">
        <v>97</v>
      </c>
    </row>
    <row r="341" spans="1:24" s="3" customFormat="1" x14ac:dyDescent="0.25">
      <c r="A341" s="16" t="s">
        <v>1294</v>
      </c>
      <c r="B341" s="17" t="s">
        <v>10</v>
      </c>
      <c r="C341" s="17" t="s">
        <v>836</v>
      </c>
      <c r="D341" s="18" t="s">
        <v>27</v>
      </c>
      <c r="E341" s="18" t="s">
        <v>1586</v>
      </c>
      <c r="F341" s="18">
        <v>5.94</v>
      </c>
      <c r="G341" s="22">
        <v>1.84</v>
      </c>
      <c r="H341" s="17">
        <v>7.69</v>
      </c>
      <c r="I341" s="25">
        <v>9.9387393196840215</v>
      </c>
      <c r="J341" s="24">
        <f>G341/F341*((100-H341)/100)*((100-I341)/100)*100</f>
        <v>25.752426180228856</v>
      </c>
      <c r="K341" s="53">
        <v>5.1360174102285097</v>
      </c>
      <c r="L341" s="54">
        <f>J341*10000/K341</f>
        <v>50140.846736504907</v>
      </c>
      <c r="M341" s="55">
        <v>52.2</v>
      </c>
      <c r="N341" s="55">
        <v>17.7</v>
      </c>
      <c r="O341" s="56">
        <v>3.2370000000000001</v>
      </c>
      <c r="P341" s="55">
        <v>20.399999999999999</v>
      </c>
      <c r="Q341" s="17">
        <v>60</v>
      </c>
      <c r="R341" s="17">
        <v>61</v>
      </c>
      <c r="S341" s="17">
        <v>65</v>
      </c>
      <c r="T341" s="17">
        <v>65</v>
      </c>
      <c r="U341" s="17">
        <v>65</v>
      </c>
      <c r="V341" s="17">
        <v>67</v>
      </c>
      <c r="W341" s="17">
        <v>67</v>
      </c>
      <c r="X341" s="3">
        <v>97</v>
      </c>
    </row>
    <row r="342" spans="1:24" s="3" customFormat="1" x14ac:dyDescent="0.25">
      <c r="A342" s="66" t="s">
        <v>1251</v>
      </c>
      <c r="B342" s="17" t="s">
        <v>10</v>
      </c>
      <c r="C342" s="17" t="s">
        <v>836</v>
      </c>
      <c r="D342" s="18" t="s">
        <v>110</v>
      </c>
      <c r="E342" s="18" t="s">
        <v>1822</v>
      </c>
      <c r="F342" s="18">
        <v>5.94</v>
      </c>
      <c r="G342" s="22">
        <v>1.28</v>
      </c>
      <c r="H342" s="17">
        <v>7.69</v>
      </c>
      <c r="I342" s="25">
        <v>15.053851174934728</v>
      </c>
      <c r="J342" s="24">
        <f>G342/F342*((100-H342)/100)*((100-I342)/100)*100</f>
        <v>16.897247672547934</v>
      </c>
      <c r="K342" s="53">
        <v>4.9743589743589745</v>
      </c>
      <c r="L342" s="54">
        <f>J342*10000/K342</f>
        <v>33968.693774709762</v>
      </c>
      <c r="M342" s="55">
        <v>49.1</v>
      </c>
      <c r="N342" s="55">
        <v>20.7</v>
      </c>
      <c r="O342" s="56">
        <v>38.564</v>
      </c>
      <c r="P342" s="55">
        <v>58.4</v>
      </c>
      <c r="Q342" s="17">
        <v>61</v>
      </c>
      <c r="R342" s="17">
        <v>62</v>
      </c>
      <c r="S342" s="17">
        <v>65</v>
      </c>
      <c r="T342" s="17">
        <v>65</v>
      </c>
      <c r="U342" s="17">
        <v>65</v>
      </c>
      <c r="V342" s="17">
        <v>67</v>
      </c>
      <c r="W342" s="17">
        <v>67</v>
      </c>
      <c r="X342" s="3">
        <v>97</v>
      </c>
    </row>
    <row r="343" spans="1:24" s="3" customFormat="1" x14ac:dyDescent="0.25">
      <c r="A343" s="16" t="s">
        <v>951</v>
      </c>
      <c r="B343" s="17" t="s">
        <v>7</v>
      </c>
      <c r="C343" s="17" t="s">
        <v>836</v>
      </c>
      <c r="D343" s="18" t="s">
        <v>189</v>
      </c>
      <c r="E343" s="18" t="s">
        <v>1508</v>
      </c>
      <c r="F343" s="18">
        <v>5.94</v>
      </c>
      <c r="G343" s="22">
        <v>2.4</v>
      </c>
      <c r="H343" s="17">
        <v>8.93</v>
      </c>
      <c r="I343" s="25">
        <v>4.5249560498356765</v>
      </c>
      <c r="J343" s="24">
        <f>G343/F343*((100-H343)/100)*((100-I343)/100)*100</f>
        <v>35.130958596127122</v>
      </c>
      <c r="K343" s="53">
        <v>4.2857142857142856</v>
      </c>
      <c r="L343" s="54">
        <f>J343*10000/K343</f>
        <v>81972.236724296628</v>
      </c>
      <c r="M343" s="55">
        <v>51.7</v>
      </c>
      <c r="N343" s="55">
        <v>17.899999999999999</v>
      </c>
      <c r="O343" s="56">
        <v>4.4988000000000001</v>
      </c>
      <c r="P343" s="55">
        <v>45.2</v>
      </c>
      <c r="Q343" s="17">
        <v>60</v>
      </c>
      <c r="R343" s="17">
        <v>63</v>
      </c>
      <c r="S343" s="17">
        <v>65</v>
      </c>
      <c r="T343" s="17">
        <v>65</v>
      </c>
      <c r="U343" s="17">
        <v>65</v>
      </c>
      <c r="V343" s="17">
        <v>67</v>
      </c>
      <c r="W343" s="17">
        <v>67</v>
      </c>
      <c r="X343" s="3">
        <v>97</v>
      </c>
    </row>
    <row r="344" spans="1:24" s="3" customFormat="1" x14ac:dyDescent="0.25">
      <c r="A344" s="16" t="s">
        <v>1369</v>
      </c>
      <c r="B344" s="17" t="s">
        <v>10</v>
      </c>
      <c r="C344" s="17" t="s">
        <v>836</v>
      </c>
      <c r="D344" s="18" t="s">
        <v>198</v>
      </c>
      <c r="E344" s="18" t="s">
        <v>1722</v>
      </c>
      <c r="F344" s="18">
        <v>5.94</v>
      </c>
      <c r="G344" s="22">
        <v>2.4300000000000002</v>
      </c>
      <c r="H344" s="17">
        <v>7.69</v>
      </c>
      <c r="I344" s="25">
        <v>11.388134616967008</v>
      </c>
      <c r="J344" s="24">
        <f>G344/F344*((100-H344)/100)*((100-I344)/100)*100</f>
        <v>33.462659837077268</v>
      </c>
      <c r="K344" s="53">
        <v>5.3804347826086953</v>
      </c>
      <c r="L344" s="54">
        <f>J344*10000/K344</f>
        <v>62193.226363860784</v>
      </c>
      <c r="M344" s="55">
        <v>50.6</v>
      </c>
      <c r="N344" s="55">
        <v>17.8</v>
      </c>
      <c r="O344" s="56">
        <v>2.1836000000000002</v>
      </c>
      <c r="P344" s="55">
        <v>13.1</v>
      </c>
      <c r="Q344" s="17">
        <v>61</v>
      </c>
      <c r="R344" s="17">
        <v>63</v>
      </c>
      <c r="S344" s="17">
        <v>65</v>
      </c>
      <c r="T344" s="17">
        <v>65</v>
      </c>
      <c r="U344" s="17">
        <v>65</v>
      </c>
      <c r="V344" s="17">
        <v>67</v>
      </c>
      <c r="W344" s="17">
        <v>67</v>
      </c>
      <c r="X344" s="3">
        <v>97</v>
      </c>
    </row>
    <row r="345" spans="1:24" s="3" customFormat="1" x14ac:dyDescent="0.25">
      <c r="A345" s="66" t="s">
        <v>1036</v>
      </c>
      <c r="B345" s="17" t="s">
        <v>7</v>
      </c>
      <c r="C345" s="17" t="s">
        <v>836</v>
      </c>
      <c r="D345" s="18" t="s">
        <v>118</v>
      </c>
      <c r="E345" s="18" t="s">
        <v>1862</v>
      </c>
      <c r="F345" s="18">
        <v>5.94</v>
      </c>
      <c r="G345" s="22">
        <v>1.47</v>
      </c>
      <c r="H345" s="17">
        <v>8.93</v>
      </c>
      <c r="I345" s="25">
        <v>10.408370422425236</v>
      </c>
      <c r="J345" s="24">
        <f>G345/F345*((100-H345)/100)*((100-I345)/100)*100</f>
        <v>20.191736140194795</v>
      </c>
      <c r="K345" s="53">
        <v>5.0916936353829554</v>
      </c>
      <c r="L345" s="54">
        <f>J345*10000/K345</f>
        <v>39656.227546526643</v>
      </c>
      <c r="M345" s="55">
        <v>48.3</v>
      </c>
      <c r="N345" s="55">
        <v>20.399999999999999</v>
      </c>
      <c r="O345" s="56">
        <v>12.327999999999999</v>
      </c>
      <c r="P345" s="55">
        <v>60.9</v>
      </c>
      <c r="Q345" s="17">
        <v>61</v>
      </c>
      <c r="R345" s="17">
        <v>63</v>
      </c>
      <c r="S345" s="17">
        <v>65</v>
      </c>
      <c r="T345" s="17">
        <v>65</v>
      </c>
      <c r="U345" s="17">
        <v>65</v>
      </c>
      <c r="V345" s="17">
        <v>67</v>
      </c>
      <c r="W345" s="17">
        <v>67</v>
      </c>
      <c r="X345" s="3">
        <v>97</v>
      </c>
    </row>
    <row r="346" spans="1:24" s="3" customFormat="1" x14ac:dyDescent="0.25">
      <c r="A346" s="16" t="s">
        <v>942</v>
      </c>
      <c r="B346" s="17" t="s">
        <v>7</v>
      </c>
      <c r="C346" s="17" t="s">
        <v>836</v>
      </c>
      <c r="D346" s="18" t="s">
        <v>198</v>
      </c>
      <c r="E346" s="18" t="s">
        <v>1722</v>
      </c>
      <c r="F346" s="18">
        <v>5.94</v>
      </c>
      <c r="G346" s="22">
        <v>2.31</v>
      </c>
      <c r="H346" s="17">
        <v>8.93</v>
      </c>
      <c r="I346" s="25">
        <v>5.7876550965918048</v>
      </c>
      <c r="J346" s="24">
        <f>G346/F346*((100-H346)/100)*((100-I346)/100)*100</f>
        <v>33.366348751374268</v>
      </c>
      <c r="K346" s="53">
        <v>5.3450164293537785</v>
      </c>
      <c r="L346" s="54">
        <f>J346*10000/K346</f>
        <v>62425.156577878501</v>
      </c>
      <c r="M346" s="55">
        <v>50.2</v>
      </c>
      <c r="N346" s="55">
        <v>17.3</v>
      </c>
      <c r="O346" s="56">
        <v>1.1930000000000001</v>
      </c>
      <c r="P346" s="55">
        <v>13.8</v>
      </c>
      <c r="Q346" s="17">
        <v>62</v>
      </c>
      <c r="R346" s="17">
        <v>63</v>
      </c>
      <c r="S346" s="17">
        <v>65</v>
      </c>
      <c r="T346" s="17">
        <v>65</v>
      </c>
      <c r="U346" s="17">
        <v>65</v>
      </c>
      <c r="V346" s="17">
        <v>67</v>
      </c>
      <c r="W346" s="17">
        <v>67</v>
      </c>
      <c r="X346" s="3">
        <v>97</v>
      </c>
    </row>
    <row r="347" spans="1:24" s="3" customFormat="1" x14ac:dyDescent="0.25">
      <c r="A347" s="16" t="s">
        <v>1348</v>
      </c>
      <c r="B347" s="17" t="s">
        <v>10</v>
      </c>
      <c r="C347" s="17" t="s">
        <v>836</v>
      </c>
      <c r="D347" s="18" t="s">
        <v>62</v>
      </c>
      <c r="E347" s="18" t="s">
        <v>1600</v>
      </c>
      <c r="F347" s="18">
        <v>5.94</v>
      </c>
      <c r="G347" s="22">
        <v>2.1800000000000002</v>
      </c>
      <c r="H347" s="17">
        <v>7.69</v>
      </c>
      <c r="I347" s="25">
        <v>10.2985420041657</v>
      </c>
      <c r="J347" s="24">
        <f>G347/F347*((100-H347)/100)*((100-I347)/100)*100</f>
        <v>30.389132425855408</v>
      </c>
      <c r="K347" s="53">
        <v>3.7390612569610182</v>
      </c>
      <c r="L347" s="54">
        <f>J347*10000/K347</f>
        <v>81274.764807021813</v>
      </c>
      <c r="M347" s="55">
        <v>53.8</v>
      </c>
      <c r="N347" s="55">
        <v>17.100000000000001</v>
      </c>
      <c r="O347" s="56">
        <v>-1.8555999999999999</v>
      </c>
      <c r="P347" s="55">
        <v>15.2</v>
      </c>
      <c r="Q347" s="17">
        <v>62</v>
      </c>
      <c r="R347" s="17">
        <v>64</v>
      </c>
      <c r="S347" s="17">
        <v>65</v>
      </c>
      <c r="T347" s="17">
        <v>65</v>
      </c>
      <c r="U347" s="17">
        <v>65</v>
      </c>
      <c r="V347" s="17">
        <v>67</v>
      </c>
      <c r="W347" s="17">
        <v>67</v>
      </c>
      <c r="X347" s="3">
        <v>97</v>
      </c>
    </row>
    <row r="348" spans="1:24" s="3" customFormat="1" x14ac:dyDescent="0.25">
      <c r="A348" s="16" t="s">
        <v>1308</v>
      </c>
      <c r="B348" s="17" t="s">
        <v>10</v>
      </c>
      <c r="C348" s="17" t="s">
        <v>836</v>
      </c>
      <c r="D348" s="18" t="s">
        <v>247</v>
      </c>
      <c r="E348" s="18" t="s">
        <v>1704</v>
      </c>
      <c r="F348" s="18">
        <v>5.94</v>
      </c>
      <c r="G348" s="22">
        <v>2.25</v>
      </c>
      <c r="H348" s="17">
        <v>7.69</v>
      </c>
      <c r="I348" s="25">
        <v>6.5586360494585714</v>
      </c>
      <c r="J348" s="24">
        <f>G348/F348*((100-H348)/100)*((100-I348)/100)*100</f>
        <v>32.672622372251823</v>
      </c>
      <c r="K348" s="53">
        <v>4.5463137996219283</v>
      </c>
      <c r="L348" s="54">
        <f>J348*10000/K348</f>
        <v>71866.183928986342</v>
      </c>
      <c r="M348" s="55">
        <v>54</v>
      </c>
      <c r="N348" s="55">
        <v>16.100000000000001</v>
      </c>
      <c r="O348" s="56">
        <v>1.6196999999999999</v>
      </c>
      <c r="P348" s="55">
        <v>13.2</v>
      </c>
      <c r="Q348" s="17">
        <v>62</v>
      </c>
      <c r="R348" s="17">
        <v>65</v>
      </c>
      <c r="S348" s="17">
        <v>65</v>
      </c>
      <c r="T348" s="17">
        <v>65</v>
      </c>
      <c r="U348" s="17">
        <v>65</v>
      </c>
      <c r="V348" s="17">
        <v>67</v>
      </c>
      <c r="W348" s="17">
        <v>67</v>
      </c>
      <c r="X348" s="3">
        <v>97</v>
      </c>
    </row>
    <row r="349" spans="1:24" s="3" customFormat="1" x14ac:dyDescent="0.25">
      <c r="A349" s="16" t="s">
        <v>935</v>
      </c>
      <c r="B349" s="17" t="s">
        <v>7</v>
      </c>
      <c r="C349" s="17" t="s">
        <v>836</v>
      </c>
      <c r="D349" s="18" t="s">
        <v>260</v>
      </c>
      <c r="E349" s="18" t="s">
        <v>1740</v>
      </c>
      <c r="F349" s="18">
        <v>5.94</v>
      </c>
      <c r="G349" s="22">
        <v>2.29</v>
      </c>
      <c r="H349" s="17">
        <v>8.93</v>
      </c>
      <c r="I349" s="25">
        <v>5.7836990595611253</v>
      </c>
      <c r="J349" s="24">
        <f>G349/F349*((100-H349)/100)*((100-I349)/100)*100</f>
        <v>33.07885155895422</v>
      </c>
      <c r="K349" s="53">
        <v>4.4029850746268657</v>
      </c>
      <c r="L349" s="54">
        <f>J349*10000/K349</f>
        <v>75128.23913389603</v>
      </c>
      <c r="M349" s="55">
        <v>55.1</v>
      </c>
      <c r="N349" s="55">
        <v>16.8</v>
      </c>
      <c r="O349" s="56">
        <v>-0.29918</v>
      </c>
      <c r="P349" s="55">
        <v>15.4</v>
      </c>
      <c r="Q349" s="17">
        <v>62</v>
      </c>
      <c r="R349" s="17">
        <v>65</v>
      </c>
      <c r="S349" s="17">
        <v>65</v>
      </c>
      <c r="T349" s="17">
        <v>65</v>
      </c>
      <c r="U349" s="17">
        <v>65</v>
      </c>
      <c r="V349" s="17">
        <v>67</v>
      </c>
      <c r="W349" s="17">
        <v>67</v>
      </c>
      <c r="X349" s="3">
        <v>97</v>
      </c>
    </row>
    <row r="350" spans="1:24" s="3" customFormat="1" x14ac:dyDescent="0.25">
      <c r="A350" s="66" t="s">
        <v>1017</v>
      </c>
      <c r="B350" s="17" t="s">
        <v>7</v>
      </c>
      <c r="C350" s="17" t="s">
        <v>836</v>
      </c>
      <c r="D350" s="18" t="s">
        <v>114</v>
      </c>
      <c r="E350" s="18" t="s">
        <v>1824</v>
      </c>
      <c r="F350" s="18">
        <v>5.94</v>
      </c>
      <c r="G350" s="22">
        <v>1.51</v>
      </c>
      <c r="H350" s="17">
        <v>8.93</v>
      </c>
      <c r="I350" s="25">
        <v>5.7714192814176508</v>
      </c>
      <c r="J350" s="24">
        <f>G350/F350*((100-H350)/100)*((100-I350)/100)*100</f>
        <v>21.814662016030901</v>
      </c>
      <c r="K350" s="53">
        <v>5.1160220994475134</v>
      </c>
      <c r="L350" s="54">
        <f>J350*10000/K350</f>
        <v>42639.890117727795</v>
      </c>
      <c r="M350" s="55">
        <v>50.9</v>
      </c>
      <c r="N350" s="55">
        <v>18.399999999999999</v>
      </c>
      <c r="O350" s="56">
        <v>40.543999999999997</v>
      </c>
      <c r="P350" s="55">
        <v>48.9</v>
      </c>
      <c r="Q350" s="17">
        <v>62</v>
      </c>
      <c r="R350" s="17">
        <v>65</v>
      </c>
      <c r="S350" s="17">
        <v>65</v>
      </c>
      <c r="T350" s="17">
        <v>65</v>
      </c>
      <c r="U350" s="17">
        <v>65</v>
      </c>
      <c r="V350" s="17">
        <v>67</v>
      </c>
      <c r="W350" s="17">
        <v>67</v>
      </c>
      <c r="X350" s="3">
        <v>97</v>
      </c>
    </row>
    <row r="351" spans="1:24" s="3" customFormat="1" x14ac:dyDescent="0.25">
      <c r="A351" s="16" t="s">
        <v>1278</v>
      </c>
      <c r="B351" s="17" t="s">
        <v>10</v>
      </c>
      <c r="C351" s="17" t="s">
        <v>836</v>
      </c>
      <c r="D351" s="18" t="s">
        <v>173</v>
      </c>
      <c r="E351" s="18" t="s">
        <v>1720</v>
      </c>
      <c r="F351" s="18">
        <v>5.94</v>
      </c>
      <c r="G351" s="22">
        <v>2.2000000000000002</v>
      </c>
      <c r="H351" s="17">
        <v>7.69</v>
      </c>
      <c r="I351" s="25">
        <v>5.7264050901378694</v>
      </c>
      <c r="J351" s="24">
        <f>G351/F351*((100-H351)/100)*((100-I351)/100)*100</f>
        <v>32.231094615293976</v>
      </c>
      <c r="K351" s="53">
        <v>4.3632958801498125</v>
      </c>
      <c r="L351" s="54">
        <f>J351*10000/K351</f>
        <v>73868.68894663942</v>
      </c>
      <c r="M351" s="55">
        <v>52.9</v>
      </c>
      <c r="N351" s="55">
        <v>17.5</v>
      </c>
      <c r="O351" s="56">
        <v>3.1404999999999998</v>
      </c>
      <c r="P351" s="55">
        <v>8.6</v>
      </c>
      <c r="Q351" s="17">
        <v>63</v>
      </c>
      <c r="R351" s="17">
        <v>65</v>
      </c>
      <c r="S351" s="17">
        <v>65</v>
      </c>
      <c r="T351" s="17">
        <v>65</v>
      </c>
      <c r="U351" s="17">
        <v>65</v>
      </c>
      <c r="V351" s="17">
        <v>67</v>
      </c>
      <c r="W351" s="17">
        <v>68</v>
      </c>
      <c r="X351" s="3">
        <v>93</v>
      </c>
    </row>
    <row r="352" spans="1:24" s="3" customFormat="1" x14ac:dyDescent="0.25">
      <c r="A352" s="16" t="s">
        <v>1431</v>
      </c>
      <c r="B352" s="17" t="s">
        <v>10</v>
      </c>
      <c r="C352" s="17" t="s">
        <v>836</v>
      </c>
      <c r="D352" s="18" t="s">
        <v>203</v>
      </c>
      <c r="E352" s="18" t="s">
        <v>1464</v>
      </c>
      <c r="F352" s="18">
        <v>5.94</v>
      </c>
      <c r="G352" s="22">
        <v>1.79</v>
      </c>
      <c r="H352" s="17">
        <v>7.69</v>
      </c>
      <c r="I352" s="25">
        <v>12.023076923076919</v>
      </c>
      <c r="J352" s="24">
        <f>G352/F352*((100-H352)/100)*((100-I352)/100)*100</f>
        <v>24.472825062160062</v>
      </c>
      <c r="K352" s="53">
        <v>5.0156087408949013</v>
      </c>
      <c r="L352" s="54">
        <f>J352*10000/K352</f>
        <v>48793.329636381372</v>
      </c>
      <c r="M352" s="55">
        <v>49.5</v>
      </c>
      <c r="N352" s="55">
        <v>19.3</v>
      </c>
      <c r="O352" s="56">
        <v>44.109000000000002</v>
      </c>
      <c r="P352" s="55">
        <v>60.5</v>
      </c>
      <c r="Q352" s="17">
        <v>63</v>
      </c>
      <c r="R352" s="17">
        <v>65</v>
      </c>
      <c r="S352" s="17">
        <v>65</v>
      </c>
      <c r="T352" s="17">
        <v>65</v>
      </c>
      <c r="U352" s="17">
        <v>65</v>
      </c>
      <c r="V352" s="17">
        <v>67</v>
      </c>
      <c r="W352" s="17">
        <v>67</v>
      </c>
      <c r="X352" s="3">
        <v>93</v>
      </c>
    </row>
    <row r="353" spans="1:24" s="3" customFormat="1" x14ac:dyDescent="0.25">
      <c r="A353" s="16" t="s">
        <v>840</v>
      </c>
      <c r="B353" s="17" t="s">
        <v>7</v>
      </c>
      <c r="C353" s="17" t="s">
        <v>836</v>
      </c>
      <c r="D353" s="18" t="s">
        <v>203</v>
      </c>
      <c r="E353" s="18" t="s">
        <v>1464</v>
      </c>
      <c r="F353" s="18">
        <v>5.94</v>
      </c>
      <c r="G353" s="22">
        <v>1.5</v>
      </c>
      <c r="H353" s="17">
        <v>8.93</v>
      </c>
      <c r="I353" s="25">
        <v>5.7690832374376644</v>
      </c>
      <c r="J353" s="24">
        <f>G353/F353*((100-H353)/100)*((100-I353)/100)*100</f>
        <v>21.670731286784218</v>
      </c>
      <c r="K353" s="53">
        <v>4.8704663212435237</v>
      </c>
      <c r="L353" s="54">
        <f>J353*10000/K353</f>
        <v>44494.161046269721</v>
      </c>
      <c r="M353" s="55">
        <v>48.7</v>
      </c>
      <c r="N353" s="55">
        <v>19.399999999999999</v>
      </c>
      <c r="O353" s="56">
        <v>44.710999999999999</v>
      </c>
      <c r="P353" s="55">
        <v>58.6</v>
      </c>
      <c r="Q353" s="17">
        <v>64</v>
      </c>
      <c r="R353" s="17">
        <v>65</v>
      </c>
      <c r="S353" s="17">
        <v>65</v>
      </c>
      <c r="T353" s="17">
        <v>65</v>
      </c>
      <c r="U353" s="17">
        <v>65</v>
      </c>
      <c r="V353" s="17">
        <v>67</v>
      </c>
      <c r="W353" s="17">
        <v>67</v>
      </c>
      <c r="X353" s="3">
        <v>93</v>
      </c>
    </row>
    <row r="354" spans="1:24" s="3" customFormat="1" x14ac:dyDescent="0.25">
      <c r="A354" s="16" t="s">
        <v>931</v>
      </c>
      <c r="B354" s="17" t="s">
        <v>7</v>
      </c>
      <c r="C354" s="17" t="s">
        <v>836</v>
      </c>
      <c r="D354" s="18" t="s">
        <v>206</v>
      </c>
      <c r="E354" s="18" t="s">
        <v>1533</v>
      </c>
      <c r="F354" s="18">
        <v>5.94</v>
      </c>
      <c r="G354" s="22">
        <v>2.37</v>
      </c>
      <c r="H354" s="17">
        <v>8.93</v>
      </c>
      <c r="I354" s="25">
        <v>4.2244076888690119</v>
      </c>
      <c r="J354" s="24">
        <f>G354/F354*((100-H354)/100)*((100-I354)/100)*100</f>
        <v>34.801028896474811</v>
      </c>
      <c r="K354" s="53">
        <v>5.3281423804226922</v>
      </c>
      <c r="L354" s="54">
        <f>J354*10000/K354</f>
        <v>65315.500997767958</v>
      </c>
      <c r="M354" s="55">
        <v>53.3</v>
      </c>
      <c r="N354" s="55">
        <v>16.600000000000001</v>
      </c>
      <c r="O354" s="56">
        <v>1.5671999999999999</v>
      </c>
      <c r="P354" s="55">
        <v>12.6</v>
      </c>
      <c r="Q354" s="17">
        <v>57</v>
      </c>
      <c r="R354" s="17">
        <v>60</v>
      </c>
      <c r="S354" s="17">
        <v>62</v>
      </c>
      <c r="T354" s="17">
        <v>65</v>
      </c>
      <c r="U354" s="17">
        <v>67</v>
      </c>
      <c r="V354" s="17">
        <v>67</v>
      </c>
      <c r="W354" s="17">
        <v>67</v>
      </c>
      <c r="X354" s="3">
        <v>93</v>
      </c>
    </row>
    <row r="355" spans="1:24" s="3" customFormat="1" x14ac:dyDescent="0.25">
      <c r="A355" s="16" t="s">
        <v>1286</v>
      </c>
      <c r="B355" s="17" t="s">
        <v>10</v>
      </c>
      <c r="C355" s="17" t="s">
        <v>836</v>
      </c>
      <c r="D355" s="18" t="s">
        <v>67</v>
      </c>
      <c r="E355" s="18" t="s">
        <v>1490</v>
      </c>
      <c r="F355" s="18">
        <v>5.94</v>
      </c>
      <c r="G355" s="22">
        <v>1.88</v>
      </c>
      <c r="H355" s="17">
        <v>7.69</v>
      </c>
      <c r="I355" s="25">
        <v>11.912803193122501</v>
      </c>
      <c r="J355" s="24">
        <f>G355/F355*((100-H355)/100)*((100-I355)/100)*100</f>
        <v>25.735519828310739</v>
      </c>
      <c r="K355" s="53">
        <v>5.3563218390804597</v>
      </c>
      <c r="L355" s="54">
        <f>J355*10000/K355</f>
        <v>48047.000537833359</v>
      </c>
      <c r="M355" s="55">
        <v>49.6</v>
      </c>
      <c r="N355" s="55">
        <v>20.6</v>
      </c>
      <c r="O355" s="56">
        <v>12.333</v>
      </c>
      <c r="P355" s="55">
        <v>53.8</v>
      </c>
      <c r="Q355" s="17">
        <v>59</v>
      </c>
      <c r="R355" s="17">
        <v>61</v>
      </c>
      <c r="S355" s="17">
        <v>62</v>
      </c>
      <c r="T355" s="17">
        <v>65</v>
      </c>
      <c r="U355" s="17">
        <v>67</v>
      </c>
      <c r="V355" s="17">
        <v>67</v>
      </c>
      <c r="W355" s="17">
        <v>67</v>
      </c>
      <c r="X355" s="3">
        <v>93</v>
      </c>
    </row>
    <row r="356" spans="1:24" s="3" customFormat="1" x14ac:dyDescent="0.25">
      <c r="A356" s="16" t="s">
        <v>1346</v>
      </c>
      <c r="B356" s="17" t="s">
        <v>10</v>
      </c>
      <c r="C356" s="17" t="s">
        <v>836</v>
      </c>
      <c r="D356" s="18" t="s">
        <v>57</v>
      </c>
      <c r="E356" s="18" t="s">
        <v>1632</v>
      </c>
      <c r="F356" s="18">
        <v>5.94</v>
      </c>
      <c r="G356" s="22">
        <v>2.31</v>
      </c>
      <c r="H356" s="17">
        <v>7.69</v>
      </c>
      <c r="I356" s="25">
        <v>12.510585880360296</v>
      </c>
      <c r="J356" s="24">
        <f>G356/F356*((100-H356)/100)*((100-I356)/100)*100</f>
        <v>31.407241512048667</v>
      </c>
      <c r="K356" s="53">
        <v>5.2439024390243905</v>
      </c>
      <c r="L356" s="54">
        <f>J356*10000/K356</f>
        <v>59892.87916251141</v>
      </c>
      <c r="M356" s="55">
        <v>51</v>
      </c>
      <c r="N356" s="55">
        <v>17.7</v>
      </c>
      <c r="O356" s="56">
        <v>3.4483999999999999</v>
      </c>
      <c r="P356" s="55">
        <v>17.100000000000001</v>
      </c>
      <c r="Q356" s="17">
        <v>59</v>
      </c>
      <c r="R356" s="17">
        <v>61</v>
      </c>
      <c r="S356" s="17">
        <v>62</v>
      </c>
      <c r="T356" s="17">
        <v>65</v>
      </c>
      <c r="U356" s="17">
        <v>67</v>
      </c>
      <c r="V356" s="17">
        <v>67</v>
      </c>
      <c r="W356" s="17">
        <v>67</v>
      </c>
      <c r="X356" s="3">
        <v>93</v>
      </c>
    </row>
    <row r="357" spans="1:24" s="3" customFormat="1" x14ac:dyDescent="0.25">
      <c r="A357" s="66" t="s">
        <v>1256</v>
      </c>
      <c r="B357" s="17" t="s">
        <v>10</v>
      </c>
      <c r="C357" s="17" t="s">
        <v>836</v>
      </c>
      <c r="D357" s="18" t="s">
        <v>130</v>
      </c>
      <c r="E357" s="18" t="s">
        <v>1848</v>
      </c>
      <c r="F357" s="18">
        <v>5.94</v>
      </c>
      <c r="G357" s="22">
        <v>0.96</v>
      </c>
      <c r="H357" s="17">
        <v>7.69</v>
      </c>
      <c r="I357" s="25">
        <v>20.437834224598937</v>
      </c>
      <c r="J357" s="24">
        <f>G357/F357*((100-H357)/100)*((100-I357)/100)*100</f>
        <v>11.869710743801654</v>
      </c>
      <c r="K357" s="53">
        <v>6.2818791946308723</v>
      </c>
      <c r="L357" s="54">
        <f>J357*10000/K357</f>
        <v>18895.159196863748</v>
      </c>
      <c r="M357" s="55">
        <v>47.3</v>
      </c>
      <c r="N357" s="55">
        <v>22.5</v>
      </c>
      <c r="O357" s="56">
        <v>48.543999999999997</v>
      </c>
      <c r="P357" s="55">
        <v>81.599999999999994</v>
      </c>
      <c r="Q357" s="17">
        <v>60</v>
      </c>
      <c r="R357" s="17">
        <v>61</v>
      </c>
      <c r="S357" s="17">
        <v>62</v>
      </c>
      <c r="T357" s="17">
        <v>65</v>
      </c>
      <c r="U357" s="17">
        <v>67</v>
      </c>
      <c r="V357" s="17">
        <v>67</v>
      </c>
      <c r="W357" s="17">
        <v>67</v>
      </c>
      <c r="X357" s="3">
        <v>93</v>
      </c>
    </row>
    <row r="358" spans="1:24" s="3" customFormat="1" x14ac:dyDescent="0.25">
      <c r="A358" s="16" t="s">
        <v>1280</v>
      </c>
      <c r="B358" s="17" t="s">
        <v>10</v>
      </c>
      <c r="C358" s="17" t="s">
        <v>836</v>
      </c>
      <c r="D358" s="18" t="s">
        <v>98</v>
      </c>
      <c r="E358" s="18" t="s">
        <v>1626</v>
      </c>
      <c r="F358" s="18">
        <v>5.94</v>
      </c>
      <c r="G358" s="22">
        <v>1.89</v>
      </c>
      <c r="H358" s="17">
        <v>7.69</v>
      </c>
      <c r="I358" s="25">
        <v>5.6316474099012934</v>
      </c>
      <c r="J358" s="24">
        <f>G358/F358*((100-H358)/100)*((100-I358)/100)*100</f>
        <v>27.717271996883674</v>
      </c>
      <c r="K358" s="53">
        <v>5.7855361596009978</v>
      </c>
      <c r="L358" s="54">
        <f>J358*10000/K358</f>
        <v>47907.870994613593</v>
      </c>
      <c r="M358" s="55">
        <v>51</v>
      </c>
      <c r="N358" s="55">
        <v>19.3</v>
      </c>
      <c r="O358" s="56">
        <v>3.1495000000000002</v>
      </c>
      <c r="P358" s="55">
        <v>14.5</v>
      </c>
      <c r="Q358" s="17">
        <v>60</v>
      </c>
      <c r="R358" s="17">
        <v>61</v>
      </c>
      <c r="S358" s="17">
        <v>62</v>
      </c>
      <c r="T358" s="17">
        <v>65</v>
      </c>
      <c r="U358" s="17">
        <v>67</v>
      </c>
      <c r="V358" s="17">
        <v>67</v>
      </c>
      <c r="W358" s="17">
        <v>67</v>
      </c>
      <c r="X358" s="3">
        <v>93</v>
      </c>
    </row>
    <row r="359" spans="1:24" s="3" customFormat="1" x14ac:dyDescent="0.25">
      <c r="A359" s="16" t="s">
        <v>1376</v>
      </c>
      <c r="B359" s="17" t="s">
        <v>10</v>
      </c>
      <c r="C359" s="17" t="s">
        <v>836</v>
      </c>
      <c r="D359" s="18" t="s">
        <v>55</v>
      </c>
      <c r="E359" s="18" t="s">
        <v>1654</v>
      </c>
      <c r="F359" s="18">
        <v>5.94</v>
      </c>
      <c r="G359" s="22">
        <v>1.96</v>
      </c>
      <c r="H359" s="17">
        <v>7.69</v>
      </c>
      <c r="I359" s="25">
        <v>8.7548787020739152</v>
      </c>
      <c r="J359" s="24">
        <f>G359/F359*((100-H359)/100)*((100-I359)/100)*100</f>
        <v>27.792526613034767</v>
      </c>
      <c r="K359" s="53">
        <v>5.4204545454545459</v>
      </c>
      <c r="L359" s="54">
        <f>J359*10000/K359</f>
        <v>51273.424359477132</v>
      </c>
      <c r="M359" s="55">
        <v>50</v>
      </c>
      <c r="N359" s="55">
        <v>17.899999999999999</v>
      </c>
      <c r="O359" s="56">
        <v>2.8609</v>
      </c>
      <c r="P359" s="55">
        <v>19.7</v>
      </c>
      <c r="Q359" s="17">
        <v>60</v>
      </c>
      <c r="R359" s="17">
        <v>61</v>
      </c>
      <c r="S359" s="17">
        <v>62</v>
      </c>
      <c r="T359" s="17">
        <v>65</v>
      </c>
      <c r="U359" s="17">
        <v>67</v>
      </c>
      <c r="V359" s="17">
        <v>67</v>
      </c>
      <c r="W359" s="17">
        <v>67</v>
      </c>
      <c r="X359" s="3">
        <v>93</v>
      </c>
    </row>
    <row r="360" spans="1:24" s="3" customFormat="1" x14ac:dyDescent="0.25">
      <c r="A360" s="16" t="s">
        <v>1436</v>
      </c>
      <c r="B360" s="17" t="s">
        <v>10</v>
      </c>
      <c r="C360" s="17" t="s">
        <v>836</v>
      </c>
      <c r="D360" s="18" t="s">
        <v>91</v>
      </c>
      <c r="E360" s="18" t="s">
        <v>1498</v>
      </c>
      <c r="F360" s="18">
        <v>5.94</v>
      </c>
      <c r="G360" s="22">
        <v>2.23</v>
      </c>
      <c r="H360" s="17">
        <v>7.69</v>
      </c>
      <c r="I360" s="25">
        <v>8.9611784563449497</v>
      </c>
      <c r="J360" s="24">
        <f>G360/F360*((100-H360)/100)*((100-I360)/100)*100</f>
        <v>31.549595564359258</v>
      </c>
      <c r="K360" s="53">
        <v>5.1193058568329715</v>
      </c>
      <c r="L360" s="54">
        <f>J360*10000/K360</f>
        <v>61628.659132074659</v>
      </c>
      <c r="M360" s="55">
        <v>56.1</v>
      </c>
      <c r="N360" s="55">
        <v>17.5</v>
      </c>
      <c r="O360" s="56">
        <v>44.567999999999998</v>
      </c>
      <c r="P360" s="55">
        <v>16.2</v>
      </c>
      <c r="Q360" s="17">
        <v>60</v>
      </c>
      <c r="R360" s="17">
        <v>61</v>
      </c>
      <c r="S360" s="17">
        <v>62</v>
      </c>
      <c r="T360" s="17">
        <v>65</v>
      </c>
      <c r="U360" s="17">
        <v>67</v>
      </c>
      <c r="V360" s="17">
        <v>67</v>
      </c>
      <c r="W360" s="17">
        <v>67</v>
      </c>
      <c r="X360" s="3">
        <v>93</v>
      </c>
    </row>
    <row r="361" spans="1:24" s="3" customFormat="1" x14ac:dyDescent="0.25">
      <c r="A361" s="16" t="s">
        <v>919</v>
      </c>
      <c r="B361" s="17" t="s">
        <v>7</v>
      </c>
      <c r="C361" s="17" t="s">
        <v>836</v>
      </c>
      <c r="D361" s="18" t="s">
        <v>91</v>
      </c>
      <c r="E361" s="18" t="s">
        <v>1498</v>
      </c>
      <c r="F361" s="18">
        <v>5.94</v>
      </c>
      <c r="G361" s="22">
        <v>2.06</v>
      </c>
      <c r="H361" s="17">
        <v>8.93</v>
      </c>
      <c r="I361" s="25">
        <v>5.4536869442039766</v>
      </c>
      <c r="J361" s="24">
        <f>G361/F361*((100-H361)/100)*((100-I361)/100)*100</f>
        <v>29.860749871687148</v>
      </c>
      <c r="K361" s="53">
        <v>5.1193058568329715</v>
      </c>
      <c r="L361" s="54">
        <f>J361*10000/K361</f>
        <v>58329.685130710917</v>
      </c>
      <c r="M361" s="55">
        <v>55.7</v>
      </c>
      <c r="N361" s="55">
        <v>18.600000000000001</v>
      </c>
      <c r="O361" s="56">
        <v>43.832000000000001</v>
      </c>
      <c r="P361" s="55">
        <v>14.8</v>
      </c>
      <c r="Q361" s="17">
        <v>60</v>
      </c>
      <c r="R361" s="17">
        <v>61</v>
      </c>
      <c r="S361" s="17">
        <v>62</v>
      </c>
      <c r="T361" s="17">
        <v>65</v>
      </c>
      <c r="U361" s="17">
        <v>67</v>
      </c>
      <c r="V361" s="17">
        <v>67</v>
      </c>
      <c r="W361" s="17">
        <v>67</v>
      </c>
      <c r="X361" s="3">
        <v>93</v>
      </c>
    </row>
    <row r="362" spans="1:24" s="3" customFormat="1" x14ac:dyDescent="0.25">
      <c r="A362" s="16" t="s">
        <v>971</v>
      </c>
      <c r="B362" s="17" t="s">
        <v>7</v>
      </c>
      <c r="C362" s="17" t="s">
        <v>836</v>
      </c>
      <c r="D362" s="18" t="s">
        <v>31</v>
      </c>
      <c r="E362" s="18" t="s">
        <v>1668</v>
      </c>
      <c r="F362" s="18">
        <v>5.94</v>
      </c>
      <c r="G362" s="22">
        <v>2.13</v>
      </c>
      <c r="H362" s="17">
        <v>8.93</v>
      </c>
      <c r="I362" s="25">
        <v>6.18782913984787</v>
      </c>
      <c r="J362" s="24">
        <f>G362/F362*((100-H362)/100)*((100-I362)/100)*100</f>
        <v>30.635691031142315</v>
      </c>
      <c r="K362" s="53">
        <v>4.5641527913809989</v>
      </c>
      <c r="L362" s="54">
        <f>J362*10000/K362</f>
        <v>67122.40459827533</v>
      </c>
      <c r="M362" s="55">
        <v>51.7</v>
      </c>
      <c r="N362" s="55">
        <v>17.5</v>
      </c>
      <c r="O362" s="56">
        <v>1.9386000000000001</v>
      </c>
      <c r="P362" s="55">
        <v>16.899999999999999</v>
      </c>
      <c r="Q362" s="17">
        <v>60</v>
      </c>
      <c r="R362" s="17">
        <v>61</v>
      </c>
      <c r="S362" s="17">
        <v>62</v>
      </c>
      <c r="T362" s="17">
        <v>65</v>
      </c>
      <c r="U362" s="17">
        <v>67</v>
      </c>
      <c r="V362" s="17">
        <v>67</v>
      </c>
      <c r="W362" s="17">
        <v>67</v>
      </c>
      <c r="X362" s="3">
        <v>93</v>
      </c>
    </row>
    <row r="363" spans="1:24" s="3" customFormat="1" x14ac:dyDescent="0.25">
      <c r="A363" s="16" t="s">
        <v>1002</v>
      </c>
      <c r="B363" s="17" t="s">
        <v>7</v>
      </c>
      <c r="C363" s="17" t="s">
        <v>836</v>
      </c>
      <c r="D363" s="18" t="s">
        <v>69</v>
      </c>
      <c r="E363" s="18" t="s">
        <v>1724</v>
      </c>
      <c r="F363" s="18">
        <v>5.94</v>
      </c>
      <c r="G363" s="22">
        <v>2.19</v>
      </c>
      <c r="H363" s="17">
        <v>8.93</v>
      </c>
      <c r="I363" s="25">
        <v>3.9536266349583777</v>
      </c>
      <c r="J363" s="24">
        <f>G363/F363*((100-H363)/100)*((100-I363)/100)*100</f>
        <v>32.248831072316506</v>
      </c>
      <c r="K363" s="53">
        <v>5.1548672566371678</v>
      </c>
      <c r="L363" s="54">
        <f>J363*10000/K363</f>
        <v>62559.964140287819</v>
      </c>
      <c r="M363" s="55">
        <v>52.9</v>
      </c>
      <c r="N363" s="55">
        <v>16.899999999999999</v>
      </c>
      <c r="O363" s="56">
        <v>4.1917999999999997</v>
      </c>
      <c r="P363" s="55">
        <v>16</v>
      </c>
      <c r="Q363" s="17">
        <v>59</v>
      </c>
      <c r="R363" s="17">
        <v>61</v>
      </c>
      <c r="S363" s="17">
        <v>63</v>
      </c>
      <c r="T363" s="17">
        <v>65</v>
      </c>
      <c r="U363" s="17">
        <v>67</v>
      </c>
      <c r="V363" s="17">
        <v>67</v>
      </c>
      <c r="W363" s="17">
        <v>67</v>
      </c>
      <c r="X363" s="3">
        <v>93</v>
      </c>
    </row>
    <row r="364" spans="1:24" s="3" customFormat="1" x14ac:dyDescent="0.25">
      <c r="A364" s="16" t="s">
        <v>1334</v>
      </c>
      <c r="B364" s="17" t="s">
        <v>10</v>
      </c>
      <c r="C364" s="17" t="s">
        <v>836</v>
      </c>
      <c r="D364" s="18" t="s">
        <v>51</v>
      </c>
      <c r="E364" s="18" t="s">
        <v>1519</v>
      </c>
      <c r="F364" s="18">
        <v>5.94</v>
      </c>
      <c r="G364" s="22">
        <v>1.47</v>
      </c>
      <c r="H364" s="17">
        <v>7.69</v>
      </c>
      <c r="I364" s="25">
        <v>19.606936416184972</v>
      </c>
      <c r="J364" s="24">
        <f>G364/F364*((100-H364)/100)*((100-I364)/100)*100</f>
        <v>18.36530814503416</v>
      </c>
      <c r="K364" s="53">
        <v>5.9309494451294702</v>
      </c>
      <c r="L364" s="54">
        <f>J364*10000/K364</f>
        <v>30965.207703997301</v>
      </c>
      <c r="M364" s="55">
        <v>45.5</v>
      </c>
      <c r="N364" s="55">
        <v>20.9</v>
      </c>
      <c r="O364" s="56">
        <v>-1.917</v>
      </c>
      <c r="P364" s="55">
        <v>21.1</v>
      </c>
      <c r="Q364" s="17">
        <v>60</v>
      </c>
      <c r="R364" s="17">
        <v>61</v>
      </c>
      <c r="S364" s="17">
        <v>63</v>
      </c>
      <c r="T364" s="17">
        <v>65</v>
      </c>
      <c r="U364" s="17">
        <v>67</v>
      </c>
      <c r="V364" s="17">
        <v>67</v>
      </c>
      <c r="W364" s="17">
        <v>67</v>
      </c>
      <c r="X364" s="3">
        <v>93</v>
      </c>
    </row>
    <row r="365" spans="1:24" s="3" customFormat="1" x14ac:dyDescent="0.25">
      <c r="A365" s="16" t="s">
        <v>1341</v>
      </c>
      <c r="B365" s="17" t="s">
        <v>10</v>
      </c>
      <c r="C365" s="17" t="s">
        <v>836</v>
      </c>
      <c r="D365" s="18" t="s">
        <v>87</v>
      </c>
      <c r="E365" s="18" t="s">
        <v>1545</v>
      </c>
      <c r="F365" s="18">
        <v>5.94</v>
      </c>
      <c r="G365" s="22">
        <v>1.64</v>
      </c>
      <c r="H365" s="17">
        <v>7.69</v>
      </c>
      <c r="I365" s="25">
        <v>10.8457560085184</v>
      </c>
      <c r="J365" s="24">
        <f>G365/F365*((100-H365)/100)*((100-I365)/100)*100</f>
        <v>22.722084766127963</v>
      </c>
      <c r="K365" s="53">
        <v>4.7443181818181817</v>
      </c>
      <c r="L365" s="54">
        <f>J365*10000/K365</f>
        <v>47893.256513036191</v>
      </c>
      <c r="M365" s="55">
        <v>51.6</v>
      </c>
      <c r="N365" s="55">
        <v>17.399999999999999</v>
      </c>
      <c r="O365" s="56">
        <v>3.7143000000000002</v>
      </c>
      <c r="P365" s="55">
        <v>16.899999999999999</v>
      </c>
      <c r="Q365" s="17">
        <v>60</v>
      </c>
      <c r="R365" s="17">
        <v>61</v>
      </c>
      <c r="S365" s="17">
        <v>63</v>
      </c>
      <c r="T365" s="17">
        <v>65</v>
      </c>
      <c r="U365" s="17">
        <v>67</v>
      </c>
      <c r="V365" s="17">
        <v>67</v>
      </c>
      <c r="W365" s="17">
        <v>67</v>
      </c>
      <c r="X365" s="3">
        <v>93</v>
      </c>
    </row>
    <row r="366" spans="1:24" s="3" customFormat="1" x14ac:dyDescent="0.25">
      <c r="A366" s="16" t="s">
        <v>1413</v>
      </c>
      <c r="B366" s="17" t="s">
        <v>10</v>
      </c>
      <c r="C366" s="17" t="s">
        <v>836</v>
      </c>
      <c r="D366" s="18" t="s">
        <v>34</v>
      </c>
      <c r="E366" s="18" t="s">
        <v>1684</v>
      </c>
      <c r="F366" s="18">
        <v>5.94</v>
      </c>
      <c r="G366" s="22">
        <v>1.8</v>
      </c>
      <c r="H366" s="17">
        <v>7.69</v>
      </c>
      <c r="I366" s="25">
        <v>9.485288286144824</v>
      </c>
      <c r="J366" s="24">
        <f>G366/F366*((100-H366)/100)*((100-I366)/100)*100</f>
        <v>25.319433449412038</v>
      </c>
      <c r="K366" s="53">
        <v>5.3303471444568871</v>
      </c>
      <c r="L366" s="54">
        <f>J366*10000/K366</f>
        <v>47500.533761186867</v>
      </c>
      <c r="M366" s="55">
        <v>49.9</v>
      </c>
      <c r="N366" s="55">
        <v>16.7</v>
      </c>
      <c r="O366" s="56">
        <v>1.7694000000000001</v>
      </c>
      <c r="P366" s="55">
        <v>16.399999999999999</v>
      </c>
      <c r="Q366" s="17">
        <v>60</v>
      </c>
      <c r="R366" s="17">
        <v>61</v>
      </c>
      <c r="S366" s="17">
        <v>63</v>
      </c>
      <c r="T366" s="17">
        <v>65</v>
      </c>
      <c r="U366" s="17">
        <v>67</v>
      </c>
      <c r="V366" s="17">
        <v>67</v>
      </c>
      <c r="W366" s="17">
        <v>67</v>
      </c>
      <c r="X366" s="3">
        <v>93</v>
      </c>
    </row>
    <row r="367" spans="1:24" s="3" customFormat="1" x14ac:dyDescent="0.25">
      <c r="A367" s="16" t="s">
        <v>1420</v>
      </c>
      <c r="B367" s="17" t="s">
        <v>10</v>
      </c>
      <c r="C367" s="17" t="s">
        <v>836</v>
      </c>
      <c r="D367" s="18" t="s">
        <v>60</v>
      </c>
      <c r="E367" s="18" t="s">
        <v>1776</v>
      </c>
      <c r="F367" s="18">
        <v>5.94</v>
      </c>
      <c r="G367" s="22">
        <v>2.2999999999999998</v>
      </c>
      <c r="H367" s="17">
        <v>7.69</v>
      </c>
      <c r="I367" s="25">
        <v>10.175222871195826</v>
      </c>
      <c r="J367" s="24">
        <f>G367/F367*((100-H367)/100)*((100-I367)/100)*100</f>
        <v>32.106006576679796</v>
      </c>
      <c r="K367" s="53">
        <v>5.4805491990846678</v>
      </c>
      <c r="L367" s="54">
        <f>J367*10000/K367</f>
        <v>58581.732250559806</v>
      </c>
      <c r="M367" s="55">
        <v>54.1</v>
      </c>
      <c r="N367" s="55">
        <v>16.100000000000001</v>
      </c>
      <c r="O367" s="56">
        <v>1.7423</v>
      </c>
      <c r="P367" s="55">
        <v>14.6</v>
      </c>
      <c r="Q367" s="17">
        <v>60</v>
      </c>
      <c r="R367" s="17">
        <v>61</v>
      </c>
      <c r="S367" s="17">
        <v>63</v>
      </c>
      <c r="T367" s="17">
        <v>65</v>
      </c>
      <c r="U367" s="17">
        <v>67</v>
      </c>
      <c r="V367" s="17">
        <v>67</v>
      </c>
      <c r="W367" s="17">
        <v>69</v>
      </c>
      <c r="X367" s="3">
        <v>93</v>
      </c>
    </row>
    <row r="368" spans="1:24" s="3" customFormat="1" x14ac:dyDescent="0.25">
      <c r="A368" s="16" t="s">
        <v>1433</v>
      </c>
      <c r="B368" s="17" t="s">
        <v>10</v>
      </c>
      <c r="C368" s="17" t="s">
        <v>836</v>
      </c>
      <c r="D368" s="18" t="s">
        <v>25</v>
      </c>
      <c r="E368" s="18" t="s">
        <v>1756</v>
      </c>
      <c r="F368" s="18">
        <v>5.94</v>
      </c>
      <c r="G368" s="22">
        <v>2.0099999999999998</v>
      </c>
      <c r="H368" s="17">
        <v>7.69</v>
      </c>
      <c r="I368" s="25">
        <v>6.623885918003559</v>
      </c>
      <c r="J368" s="24">
        <f>G368/F368*((100-H368)/100)*((100-I368)/100)*100</f>
        <v>29.167161065197426</v>
      </c>
      <c r="K368" s="53">
        <v>4.6875</v>
      </c>
      <c r="L368" s="54">
        <f>J368*10000/K368</f>
        <v>62223.276939087846</v>
      </c>
      <c r="M368" s="55">
        <v>53.4</v>
      </c>
      <c r="N368" s="55">
        <v>16</v>
      </c>
      <c r="O368" s="56">
        <v>1.2414000000000001</v>
      </c>
      <c r="P368" s="55">
        <v>9.3000000000000007</v>
      </c>
      <c r="Q368" s="17">
        <v>60</v>
      </c>
      <c r="R368" s="17">
        <v>61</v>
      </c>
      <c r="S368" s="17">
        <v>63</v>
      </c>
      <c r="T368" s="17">
        <v>65</v>
      </c>
      <c r="U368" s="17">
        <v>67</v>
      </c>
      <c r="V368" s="17">
        <v>67</v>
      </c>
      <c r="W368" s="17">
        <v>67</v>
      </c>
      <c r="X368" s="3">
        <v>93</v>
      </c>
    </row>
    <row r="369" spans="1:24" s="3" customFormat="1" x14ac:dyDescent="0.25">
      <c r="A369" s="16" t="s">
        <v>901</v>
      </c>
      <c r="B369" s="17" t="s">
        <v>7</v>
      </c>
      <c r="C369" s="17" t="s">
        <v>836</v>
      </c>
      <c r="D369" s="18" t="s">
        <v>266</v>
      </c>
      <c r="E369" s="18" t="s">
        <v>1486</v>
      </c>
      <c r="F369" s="18">
        <v>5.94</v>
      </c>
      <c r="G369" s="22">
        <v>1.74</v>
      </c>
      <c r="H369" s="17">
        <v>8.93</v>
      </c>
      <c r="I369" s="25">
        <v>6.3157146916737616</v>
      </c>
      <c r="J369" s="24">
        <f>G369/F369*((100-H369)/100)*((100-I369)/100)*100</f>
        <v>24.992223033116044</v>
      </c>
      <c r="K369" s="53">
        <v>5.5803048065650644</v>
      </c>
      <c r="L369" s="54">
        <f>J369*10000/K369</f>
        <v>44786.483712705856</v>
      </c>
      <c r="M369" s="55">
        <v>50.2</v>
      </c>
      <c r="N369" s="55">
        <v>19.600000000000001</v>
      </c>
      <c r="O369" s="56">
        <v>32.612000000000002</v>
      </c>
      <c r="P369" s="55">
        <v>54.8</v>
      </c>
      <c r="Q369" s="17">
        <v>60</v>
      </c>
      <c r="R369" s="17">
        <v>61</v>
      </c>
      <c r="S369" s="17">
        <v>63</v>
      </c>
      <c r="T369" s="17">
        <v>65</v>
      </c>
      <c r="U369" s="17">
        <v>67</v>
      </c>
      <c r="V369" s="17">
        <v>67</v>
      </c>
      <c r="W369" s="17">
        <v>67</v>
      </c>
      <c r="X369" s="3">
        <v>93</v>
      </c>
    </row>
    <row r="370" spans="1:24" s="3" customFormat="1" x14ac:dyDescent="0.25">
      <c r="A370" s="66" t="s">
        <v>1248</v>
      </c>
      <c r="B370" s="17" t="s">
        <v>10</v>
      </c>
      <c r="C370" s="17" t="s">
        <v>836</v>
      </c>
      <c r="D370" s="18" t="s">
        <v>117</v>
      </c>
      <c r="E370" s="18" t="s">
        <v>1854</v>
      </c>
      <c r="F370" s="18">
        <v>5.94</v>
      </c>
      <c r="G370" s="22">
        <v>1.0900000000000001</v>
      </c>
      <c r="H370" s="17">
        <v>7.69</v>
      </c>
      <c r="I370" s="25">
        <v>19.927302100161551</v>
      </c>
      <c r="J370" s="24">
        <f>G370/F370*((100-H370)/100)*((100-I370)/100)*100</f>
        <v>13.563546649858846</v>
      </c>
      <c r="K370" s="53">
        <v>4.8613861386138613</v>
      </c>
      <c r="L370" s="54">
        <f>J370*10000/K370</f>
        <v>27900.574575066061</v>
      </c>
      <c r="M370" s="55">
        <v>45.8</v>
      </c>
      <c r="N370" s="55">
        <v>20.5</v>
      </c>
      <c r="O370" s="56">
        <v>43.47</v>
      </c>
      <c r="P370" s="55">
        <v>62.3</v>
      </c>
      <c r="Q370" s="17">
        <v>60</v>
      </c>
      <c r="R370" s="17">
        <v>62</v>
      </c>
      <c r="S370" s="17">
        <v>63</v>
      </c>
      <c r="T370" s="17">
        <v>65</v>
      </c>
      <c r="U370" s="17">
        <v>67</v>
      </c>
      <c r="V370" s="17">
        <v>67</v>
      </c>
      <c r="W370" s="17">
        <v>67</v>
      </c>
      <c r="X370" s="3">
        <v>93</v>
      </c>
    </row>
    <row r="371" spans="1:24" s="3" customFormat="1" x14ac:dyDescent="0.25">
      <c r="A371" s="16" t="s">
        <v>1276</v>
      </c>
      <c r="B371" s="17" t="s">
        <v>10</v>
      </c>
      <c r="C371" s="17" t="s">
        <v>836</v>
      </c>
      <c r="D371" s="18" t="s">
        <v>172</v>
      </c>
      <c r="E371" s="18" t="s">
        <v>1476</v>
      </c>
      <c r="F371" s="18">
        <v>5.94</v>
      </c>
      <c r="G371" s="22">
        <v>1.21</v>
      </c>
      <c r="H371" s="17">
        <v>7.69</v>
      </c>
      <c r="I371" s="25">
        <v>19.98020254321176</v>
      </c>
      <c r="J371" s="24">
        <f>G371/F371*((100-H371)/100)*((100-I371)/100)*100</f>
        <v>15.046833802888399</v>
      </c>
      <c r="K371" s="53">
        <v>4.0782608695652174</v>
      </c>
      <c r="L371" s="54">
        <f>J371*10000/K371</f>
        <v>36895.221478297783</v>
      </c>
      <c r="M371" s="55">
        <v>49.8</v>
      </c>
      <c r="N371" s="55">
        <v>22</v>
      </c>
      <c r="O371" s="56">
        <v>43.494</v>
      </c>
      <c r="P371" s="55">
        <v>62.9</v>
      </c>
      <c r="Q371" s="17">
        <v>60</v>
      </c>
      <c r="R371" s="17">
        <v>62</v>
      </c>
      <c r="S371" s="17">
        <v>63</v>
      </c>
      <c r="T371" s="17">
        <v>65</v>
      </c>
      <c r="U371" s="17">
        <v>67</v>
      </c>
      <c r="V371" s="17">
        <v>67</v>
      </c>
      <c r="W371" s="17">
        <v>68</v>
      </c>
      <c r="X371" s="3">
        <v>93</v>
      </c>
    </row>
    <row r="372" spans="1:24" s="3" customFormat="1" x14ac:dyDescent="0.25">
      <c r="A372" s="16" t="s">
        <v>1442</v>
      </c>
      <c r="B372" s="17" t="s">
        <v>10</v>
      </c>
      <c r="C372" s="17" t="s">
        <v>836</v>
      </c>
      <c r="D372" s="18" t="s">
        <v>20</v>
      </c>
      <c r="E372" s="18" t="s">
        <v>1618</v>
      </c>
      <c r="F372" s="18">
        <v>5.94</v>
      </c>
      <c r="G372" s="20">
        <v>2.2599999999999998</v>
      </c>
      <c r="H372" s="17">
        <v>7.69</v>
      </c>
      <c r="I372" s="25">
        <v>10.013023825940403</v>
      </c>
      <c r="J372" s="24">
        <f>G372/F372*((100-H372)/100)*((100-I372)/100)*100</f>
        <v>31.604607679491608</v>
      </c>
      <c r="K372" s="53">
        <v>4.3053016453382087</v>
      </c>
      <c r="L372" s="54">
        <f>J372*10000/K372</f>
        <v>73408.57919610152</v>
      </c>
      <c r="M372" s="55">
        <v>54.4</v>
      </c>
      <c r="N372" s="55">
        <v>17.2</v>
      </c>
      <c r="O372" s="56">
        <v>1.6687000000000001</v>
      </c>
      <c r="P372" s="55">
        <v>11.7</v>
      </c>
      <c r="Q372" s="17">
        <v>60</v>
      </c>
      <c r="R372" s="17">
        <v>62</v>
      </c>
      <c r="S372" s="17">
        <v>63</v>
      </c>
      <c r="T372" s="17">
        <v>65</v>
      </c>
      <c r="U372" s="17">
        <v>67</v>
      </c>
      <c r="V372" s="17">
        <v>67</v>
      </c>
      <c r="W372" s="17">
        <v>67</v>
      </c>
      <c r="X372" s="3">
        <v>93</v>
      </c>
    </row>
    <row r="373" spans="1:24" s="3" customFormat="1" x14ac:dyDescent="0.25">
      <c r="A373" s="16" t="s">
        <v>995</v>
      </c>
      <c r="B373" s="17" t="s">
        <v>7</v>
      </c>
      <c r="C373" s="17" t="s">
        <v>836</v>
      </c>
      <c r="D373" s="18" t="s">
        <v>215</v>
      </c>
      <c r="E373" s="18" t="s">
        <v>1474</v>
      </c>
      <c r="F373" s="18">
        <v>5.94</v>
      </c>
      <c r="G373" s="22">
        <v>1.57</v>
      </c>
      <c r="H373" s="17">
        <v>8.93</v>
      </c>
      <c r="I373" s="25">
        <v>9.1396558623449398</v>
      </c>
      <c r="J373" s="24">
        <f>G373/F373*((100-H373)/100)*((100-I373)/100)*100</f>
        <v>21.870711984457085</v>
      </c>
      <c r="K373" s="53">
        <v>4.2449355432780846</v>
      </c>
      <c r="L373" s="54">
        <f>J373*10000/K373</f>
        <v>51521.894175966147</v>
      </c>
      <c r="M373" s="55">
        <v>51.3</v>
      </c>
      <c r="N373" s="55">
        <v>20.6</v>
      </c>
      <c r="O373" s="56">
        <v>49.478000000000002</v>
      </c>
      <c r="P373" s="55">
        <v>63.8</v>
      </c>
      <c r="Q373" s="17">
        <v>60</v>
      </c>
      <c r="R373" s="17">
        <v>62</v>
      </c>
      <c r="S373" s="17">
        <v>63</v>
      </c>
      <c r="T373" s="17">
        <v>65</v>
      </c>
      <c r="U373" s="17">
        <v>67</v>
      </c>
      <c r="V373" s="17">
        <v>67</v>
      </c>
      <c r="W373" s="17">
        <v>67</v>
      </c>
      <c r="X373" s="3">
        <v>93</v>
      </c>
    </row>
    <row r="374" spans="1:24" s="3" customFormat="1" x14ac:dyDescent="0.25">
      <c r="A374" s="16" t="s">
        <v>1292</v>
      </c>
      <c r="B374" s="17" t="s">
        <v>10</v>
      </c>
      <c r="C374" s="17" t="s">
        <v>836</v>
      </c>
      <c r="D374" s="18" t="s">
        <v>35</v>
      </c>
      <c r="E374" s="18" t="s">
        <v>1662</v>
      </c>
      <c r="F374" s="18">
        <v>5.94</v>
      </c>
      <c r="G374" s="22">
        <v>2.52</v>
      </c>
      <c r="H374" s="17">
        <v>7.69</v>
      </c>
      <c r="I374" s="25">
        <v>6.5537607628264487</v>
      </c>
      <c r="J374" s="24">
        <f>G374/F374*((100-H374)/100)*((100-I374)/100)*100</f>
        <v>36.59524630780875</v>
      </c>
      <c r="K374" s="53">
        <v>5.5830388692579502</v>
      </c>
      <c r="L374" s="54">
        <f>J374*10000/K374</f>
        <v>65547.181677910616</v>
      </c>
      <c r="M374" s="55">
        <v>49.6</v>
      </c>
      <c r="N374" s="55">
        <v>17.5</v>
      </c>
      <c r="O374" s="56">
        <v>4.9504999999999999</v>
      </c>
      <c r="P374" s="55">
        <v>8.8000000000000007</v>
      </c>
      <c r="Q374" s="17">
        <v>61</v>
      </c>
      <c r="R374" s="17">
        <v>62</v>
      </c>
      <c r="S374" s="17">
        <v>63</v>
      </c>
      <c r="T374" s="17">
        <v>65</v>
      </c>
      <c r="U374" s="17">
        <v>67</v>
      </c>
      <c r="V374" s="17">
        <v>67</v>
      </c>
      <c r="W374" s="17">
        <v>67</v>
      </c>
      <c r="X374" s="3">
        <v>93</v>
      </c>
    </row>
    <row r="375" spans="1:24" s="3" customFormat="1" x14ac:dyDescent="0.25">
      <c r="A375" s="16" t="s">
        <v>1360</v>
      </c>
      <c r="B375" s="17" t="s">
        <v>10</v>
      </c>
      <c r="C375" s="17" t="s">
        <v>836</v>
      </c>
      <c r="D375" s="18" t="s">
        <v>18</v>
      </c>
      <c r="E375" s="18" t="s">
        <v>1806</v>
      </c>
      <c r="F375" s="18">
        <v>5.94</v>
      </c>
      <c r="G375" s="22">
        <v>2.4700000000000002</v>
      </c>
      <c r="H375" s="17">
        <v>7.69</v>
      </c>
      <c r="I375" s="25">
        <v>7.8661349597310206</v>
      </c>
      <c r="J375" s="24">
        <f>G375/F375*((100-H375)/100)*((100-I375)/100)*100</f>
        <v>35.365397966686963</v>
      </c>
      <c r="K375" s="53">
        <v>4.5758122743682312</v>
      </c>
      <c r="L375" s="54">
        <f>J375*10000/K375</f>
        <v>77287.69417571825</v>
      </c>
      <c r="M375" s="55">
        <v>54.7</v>
      </c>
      <c r="N375" s="55">
        <v>15.2</v>
      </c>
      <c r="O375" s="56">
        <v>0.16103999999999999</v>
      </c>
      <c r="P375" s="55">
        <v>16.3</v>
      </c>
      <c r="Q375" s="17">
        <v>60</v>
      </c>
      <c r="R375" s="17">
        <v>61</v>
      </c>
      <c r="S375" s="17">
        <v>64</v>
      </c>
      <c r="T375" s="17">
        <v>65</v>
      </c>
      <c r="U375" s="17">
        <v>67</v>
      </c>
      <c r="V375" s="17">
        <v>67</v>
      </c>
      <c r="W375" s="17">
        <v>67</v>
      </c>
      <c r="X375" s="3">
        <v>93</v>
      </c>
    </row>
    <row r="376" spans="1:24" s="3" customFormat="1" x14ac:dyDescent="0.25">
      <c r="A376" s="16" t="s">
        <v>1419</v>
      </c>
      <c r="B376" s="17" t="s">
        <v>10</v>
      </c>
      <c r="C376" s="17" t="s">
        <v>836</v>
      </c>
      <c r="D376" s="18" t="s">
        <v>22</v>
      </c>
      <c r="E376" s="18" t="s">
        <v>1812</v>
      </c>
      <c r="F376" s="18">
        <v>5.94</v>
      </c>
      <c r="G376" s="22">
        <v>2.85</v>
      </c>
      <c r="H376" s="17">
        <v>7.69</v>
      </c>
      <c r="I376" s="25">
        <v>12.659018184656208</v>
      </c>
      <c r="J376" s="24">
        <f>G376/F376*((100-H376)/100)*((100-I376)/100)*100</f>
        <v>38.6834531808367</v>
      </c>
      <c r="K376" s="53">
        <v>5.6004756242568368</v>
      </c>
      <c r="L376" s="54">
        <f>J376*10000/K376</f>
        <v>69071.728503362348</v>
      </c>
      <c r="M376" s="55">
        <v>53.7</v>
      </c>
      <c r="N376" s="55">
        <v>16</v>
      </c>
      <c r="O376" s="56">
        <v>2.0918999999999999</v>
      </c>
      <c r="P376" s="55">
        <v>19.2</v>
      </c>
      <c r="Q376" s="17">
        <v>60</v>
      </c>
      <c r="R376" s="17">
        <v>61</v>
      </c>
      <c r="S376" s="17">
        <v>64</v>
      </c>
      <c r="T376" s="17">
        <v>65</v>
      </c>
      <c r="U376" s="17">
        <v>67</v>
      </c>
      <c r="V376" s="17">
        <v>67</v>
      </c>
      <c r="W376" s="17">
        <v>67</v>
      </c>
      <c r="X376" s="3">
        <v>93</v>
      </c>
    </row>
    <row r="377" spans="1:24" s="3" customFormat="1" x14ac:dyDescent="0.25">
      <c r="A377" s="16" t="s">
        <v>1317</v>
      </c>
      <c r="B377" s="17" t="s">
        <v>10</v>
      </c>
      <c r="C377" s="17" t="s">
        <v>836</v>
      </c>
      <c r="D377" s="18" t="s">
        <v>275</v>
      </c>
      <c r="E377" s="18" t="s">
        <v>1762</v>
      </c>
      <c r="F377" s="18">
        <v>5.94</v>
      </c>
      <c r="G377" s="22">
        <v>2.54</v>
      </c>
      <c r="H377" s="17">
        <v>7.69</v>
      </c>
      <c r="I377" s="25">
        <v>6.5811489124372544</v>
      </c>
      <c r="J377" s="24">
        <f>G377/F377*((100-H377)/100)*((100-I377)/100)*100</f>
        <v>36.874873948633017</v>
      </c>
      <c r="K377" s="53">
        <v>4.4787644787644787</v>
      </c>
      <c r="L377" s="54">
        <f>J377*10000/K377</f>
        <v>82332.692695654754</v>
      </c>
      <c r="M377" s="55">
        <v>54</v>
      </c>
      <c r="N377" s="55">
        <v>15.9</v>
      </c>
      <c r="O377" s="56">
        <v>0.45900000000000002</v>
      </c>
      <c r="P377" s="55">
        <v>21</v>
      </c>
      <c r="Q377" s="17">
        <v>60</v>
      </c>
      <c r="R377" s="17">
        <v>62</v>
      </c>
      <c r="S377" s="17">
        <v>64</v>
      </c>
      <c r="T377" s="17">
        <v>65</v>
      </c>
      <c r="U377" s="17">
        <v>67</v>
      </c>
      <c r="V377" s="17">
        <v>67</v>
      </c>
      <c r="W377" s="17">
        <v>69</v>
      </c>
      <c r="X377" s="3">
        <v>93</v>
      </c>
    </row>
    <row r="378" spans="1:24" s="3" customFormat="1" x14ac:dyDescent="0.25">
      <c r="A378" s="16" t="s">
        <v>882</v>
      </c>
      <c r="B378" s="17" t="s">
        <v>7</v>
      </c>
      <c r="C378" s="17" t="s">
        <v>836</v>
      </c>
      <c r="D378" s="18" t="s">
        <v>81</v>
      </c>
      <c r="E378" s="18" t="s">
        <v>1780</v>
      </c>
      <c r="F378" s="18">
        <v>5.94</v>
      </c>
      <c r="G378" s="22">
        <v>2.82</v>
      </c>
      <c r="H378" s="17">
        <v>8.93</v>
      </c>
      <c r="I378" s="25">
        <v>6.3379180994060649</v>
      </c>
      <c r="J378" s="24">
        <f>G378/F378*((100-H378)/100)*((100-I378)/100)*100</f>
        <v>40.495037630130618</v>
      </c>
      <c r="K378" s="53">
        <v>4.3370165745856353</v>
      </c>
      <c r="L378" s="54">
        <f>J378*10000/K378</f>
        <v>93370.723707689715</v>
      </c>
      <c r="M378" s="55">
        <v>55.2</v>
      </c>
      <c r="N378" s="55">
        <v>15.4</v>
      </c>
      <c r="O378" s="56">
        <v>1.0763</v>
      </c>
      <c r="P378" s="55">
        <v>11</v>
      </c>
      <c r="Q378" s="17">
        <v>60</v>
      </c>
      <c r="R378" s="17">
        <v>62</v>
      </c>
      <c r="S378" s="17">
        <v>64</v>
      </c>
      <c r="T378" s="17">
        <v>65</v>
      </c>
      <c r="U378" s="17">
        <v>67</v>
      </c>
      <c r="V378" s="17">
        <v>67</v>
      </c>
      <c r="W378" s="17">
        <v>67</v>
      </c>
      <c r="X378" s="3">
        <v>93</v>
      </c>
    </row>
    <row r="379" spans="1:24" s="3" customFormat="1" x14ac:dyDescent="0.25">
      <c r="A379" s="16" t="s">
        <v>1009</v>
      </c>
      <c r="B379" s="17" t="s">
        <v>7</v>
      </c>
      <c r="C379" s="17" t="s">
        <v>836</v>
      </c>
      <c r="D379" s="18" t="s">
        <v>235</v>
      </c>
      <c r="E379" s="18" t="s">
        <v>1768</v>
      </c>
      <c r="F379" s="18">
        <v>5.94</v>
      </c>
      <c r="G379" s="22">
        <v>2.08</v>
      </c>
      <c r="H379" s="17">
        <v>8.93</v>
      </c>
      <c r="I379" s="25">
        <v>3.265462927391471</v>
      </c>
      <c r="J379" s="24">
        <f>G379/F379*((100-H379)/100)*((100-I379)/100)*100</f>
        <v>30.848481019698848</v>
      </c>
      <c r="K379" s="53">
        <v>4.812182741116751</v>
      </c>
      <c r="L379" s="54">
        <f>J379*10000/K379</f>
        <v>64104.965832074609</v>
      </c>
      <c r="M379" s="55">
        <v>51.9</v>
      </c>
      <c r="N379" s="55">
        <v>17.600000000000001</v>
      </c>
      <c r="O379" s="56">
        <v>2.2532999999999999</v>
      </c>
      <c r="P379" s="55">
        <v>13.6</v>
      </c>
      <c r="Q379" s="17">
        <v>60</v>
      </c>
      <c r="R379" s="17">
        <v>62</v>
      </c>
      <c r="S379" s="17">
        <v>64</v>
      </c>
      <c r="T379" s="17">
        <v>65</v>
      </c>
      <c r="U379" s="17">
        <v>67</v>
      </c>
      <c r="V379" s="17">
        <v>67</v>
      </c>
      <c r="W379" s="17">
        <v>69</v>
      </c>
      <c r="X379" s="3">
        <v>93</v>
      </c>
    </row>
    <row r="380" spans="1:24" s="3" customFormat="1" x14ac:dyDescent="0.25">
      <c r="A380" s="66" t="s">
        <v>1263</v>
      </c>
      <c r="B380" s="17" t="s">
        <v>10</v>
      </c>
      <c r="C380" s="17" t="s">
        <v>836</v>
      </c>
      <c r="D380" s="18" t="s">
        <v>127</v>
      </c>
      <c r="E380" s="18" t="s">
        <v>1856</v>
      </c>
      <c r="F380" s="18">
        <v>5.94</v>
      </c>
      <c r="G380" s="22">
        <v>0.86</v>
      </c>
      <c r="H380" s="17">
        <v>7.69</v>
      </c>
      <c r="I380" s="25">
        <v>18.494232896192127</v>
      </c>
      <c r="J380" s="24">
        <f>G380/F380*((100-H380)/100)*((100-I380)/100)*100</f>
        <v>10.89303995077972</v>
      </c>
      <c r="K380" s="53">
        <v>5.5437352245862881</v>
      </c>
      <c r="L380" s="54">
        <f>J380*10000/K380</f>
        <v>19649.278887760433</v>
      </c>
      <c r="M380" s="55">
        <v>50.9</v>
      </c>
      <c r="N380" s="55">
        <v>20.6</v>
      </c>
      <c r="O380" s="56">
        <v>49.99</v>
      </c>
      <c r="P380" s="55">
        <v>74.099999999999994</v>
      </c>
      <c r="Q380" s="17">
        <v>61</v>
      </c>
      <c r="R380" s="17">
        <v>62</v>
      </c>
      <c r="S380" s="17">
        <v>64</v>
      </c>
      <c r="T380" s="17">
        <v>65</v>
      </c>
      <c r="U380" s="17">
        <v>67</v>
      </c>
      <c r="V380" s="17">
        <v>67</v>
      </c>
      <c r="W380" s="17">
        <v>69</v>
      </c>
      <c r="X380" s="3">
        <v>93</v>
      </c>
    </row>
    <row r="381" spans="1:24" s="3" customFormat="1" x14ac:dyDescent="0.25">
      <c r="A381" s="16" t="s">
        <v>1328</v>
      </c>
      <c r="B381" s="17" t="s">
        <v>10</v>
      </c>
      <c r="C381" s="17" t="s">
        <v>836</v>
      </c>
      <c r="D381" s="18" t="s">
        <v>68</v>
      </c>
      <c r="E381" s="74" t="s">
        <v>1788</v>
      </c>
      <c r="F381" s="18">
        <v>5.94</v>
      </c>
      <c r="G381" s="22">
        <v>2.62</v>
      </c>
      <c r="H381" s="17">
        <v>7.69</v>
      </c>
      <c r="I381" s="25">
        <v>8.9928334746089345</v>
      </c>
      <c r="J381" s="24">
        <f>G381/F381*((100-H381)/100)*((100-I381)/100)*100</f>
        <v>37.054349225475065</v>
      </c>
      <c r="K381" s="53">
        <v>4.8589341692789967</v>
      </c>
      <c r="L381" s="54">
        <f>J381*10000/K381</f>
        <v>76260.241309203513</v>
      </c>
      <c r="M381" s="55">
        <v>50.8</v>
      </c>
      <c r="N381" s="55">
        <v>17.5</v>
      </c>
      <c r="O381" s="56">
        <v>0.93069999999999997</v>
      </c>
      <c r="P381" s="55">
        <v>11.8</v>
      </c>
      <c r="Q381" s="17">
        <v>61</v>
      </c>
      <c r="R381" s="17">
        <v>62</v>
      </c>
      <c r="S381" s="17">
        <v>64</v>
      </c>
      <c r="T381" s="17">
        <v>65</v>
      </c>
      <c r="U381" s="17">
        <v>67</v>
      </c>
      <c r="V381" s="17">
        <v>67</v>
      </c>
      <c r="W381" s="17">
        <v>67</v>
      </c>
      <c r="X381" s="3">
        <v>93</v>
      </c>
    </row>
    <row r="382" spans="1:24" s="3" customFormat="1" x14ac:dyDescent="0.25">
      <c r="A382" s="16" t="s">
        <v>1371</v>
      </c>
      <c r="B382" s="17" t="s">
        <v>10</v>
      </c>
      <c r="C382" s="17" t="s">
        <v>836</v>
      </c>
      <c r="D382" s="18" t="s">
        <v>281</v>
      </c>
      <c r="E382" s="18" t="s">
        <v>1612</v>
      </c>
      <c r="F382" s="18">
        <v>5.94</v>
      </c>
      <c r="G382" s="22">
        <v>2.59</v>
      </c>
      <c r="H382" s="17">
        <v>7.69</v>
      </c>
      <c r="I382" s="25">
        <v>9.3848884772709695</v>
      </c>
      <c r="J382" s="24">
        <f>G382/F382*((100-H382)/100)*((100-I382)/100)*100</f>
        <v>36.472262031443549</v>
      </c>
      <c r="K382" s="53">
        <v>4.6303501945525296</v>
      </c>
      <c r="L382" s="54">
        <f>J382*10000/K382</f>
        <v>78767.826404041945</v>
      </c>
      <c r="M382" s="55">
        <v>48.5</v>
      </c>
      <c r="N382" s="55">
        <v>15.7</v>
      </c>
      <c r="O382" s="56">
        <v>1.7031000000000001</v>
      </c>
      <c r="P382" s="55">
        <v>14.3</v>
      </c>
      <c r="Q382" s="17">
        <v>60</v>
      </c>
      <c r="R382" s="17">
        <v>63</v>
      </c>
      <c r="S382" s="17">
        <v>64</v>
      </c>
      <c r="T382" s="17">
        <v>65</v>
      </c>
      <c r="U382" s="17">
        <v>67</v>
      </c>
      <c r="V382" s="17">
        <v>67</v>
      </c>
      <c r="W382" s="17">
        <v>67</v>
      </c>
      <c r="X382" s="3">
        <v>93</v>
      </c>
    </row>
    <row r="383" spans="1:24" s="3" customFormat="1" x14ac:dyDescent="0.25">
      <c r="A383" s="16" t="s">
        <v>1347</v>
      </c>
      <c r="B383" s="17" t="s">
        <v>10</v>
      </c>
      <c r="C383" s="17" t="s">
        <v>836</v>
      </c>
      <c r="D383" s="18" t="s">
        <v>156</v>
      </c>
      <c r="E383" s="18" t="s">
        <v>1525</v>
      </c>
      <c r="F383" s="18">
        <v>5.94</v>
      </c>
      <c r="G383" s="22">
        <v>1.75</v>
      </c>
      <c r="H383" s="17">
        <v>7.69</v>
      </c>
      <c r="I383" s="25">
        <v>8.8659793814432888</v>
      </c>
      <c r="J383" s="24">
        <f>G383/F383*((100-H383)/100)*((100-I383)/100)*100</f>
        <v>24.784541289180471</v>
      </c>
      <c r="K383" s="53">
        <v>4.0312771503040832</v>
      </c>
      <c r="L383" s="54">
        <f>J383*10000/K383</f>
        <v>61480.61858587656</v>
      </c>
      <c r="M383" s="55">
        <v>53.2</v>
      </c>
      <c r="N383" s="55">
        <v>18.100000000000001</v>
      </c>
      <c r="O383" s="56">
        <v>3.7915999999999999</v>
      </c>
      <c r="P383" s="55">
        <v>52.2</v>
      </c>
      <c r="Q383" s="17">
        <v>61</v>
      </c>
      <c r="R383" s="17">
        <v>62</v>
      </c>
      <c r="S383" s="17">
        <v>65</v>
      </c>
      <c r="T383" s="17">
        <v>65</v>
      </c>
      <c r="U383" s="17">
        <v>67</v>
      </c>
      <c r="V383" s="17">
        <v>67</v>
      </c>
      <c r="W383" s="17">
        <v>67</v>
      </c>
      <c r="X383" s="3">
        <v>93</v>
      </c>
    </row>
    <row r="384" spans="1:24" s="3" customFormat="1" x14ac:dyDescent="0.25">
      <c r="A384" s="16" t="s">
        <v>1365</v>
      </c>
      <c r="B384" s="17" t="s">
        <v>10</v>
      </c>
      <c r="C384" s="17" t="s">
        <v>836</v>
      </c>
      <c r="D384" s="18" t="s">
        <v>187</v>
      </c>
      <c r="E384" s="18" t="s">
        <v>1726</v>
      </c>
      <c r="F384" s="18">
        <v>5.94</v>
      </c>
      <c r="G384" s="22">
        <v>1.91</v>
      </c>
      <c r="H384" s="17">
        <v>7.69</v>
      </c>
      <c r="I384" s="25">
        <v>7.1364780384834026</v>
      </c>
      <c r="J384" s="24">
        <f>G384/F384*((100-H384)/100)*((100-I384)/100)*100</f>
        <v>27.563910051230827</v>
      </c>
      <c r="K384" s="53">
        <v>4.9469214437367306</v>
      </c>
      <c r="L384" s="54">
        <f>J384*10000/K384</f>
        <v>55719.32031815331</v>
      </c>
      <c r="M384" s="55">
        <v>52.4</v>
      </c>
      <c r="N384" s="55">
        <v>17</v>
      </c>
      <c r="O384" s="56">
        <v>-0.76271999999999995</v>
      </c>
      <c r="P384" s="55">
        <v>9.3000000000000007</v>
      </c>
      <c r="Q384" s="17">
        <v>61</v>
      </c>
      <c r="R384" s="17">
        <v>62</v>
      </c>
      <c r="S384" s="17">
        <v>65</v>
      </c>
      <c r="T384" s="17">
        <v>65</v>
      </c>
      <c r="U384" s="17">
        <v>67</v>
      </c>
      <c r="V384" s="17">
        <v>67</v>
      </c>
      <c r="W384" s="17">
        <v>67</v>
      </c>
      <c r="X384" s="3">
        <v>93</v>
      </c>
    </row>
    <row r="385" spans="1:24" s="3" customFormat="1" x14ac:dyDescent="0.25">
      <c r="A385" s="16" t="s">
        <v>883</v>
      </c>
      <c r="B385" s="17" t="s">
        <v>7</v>
      </c>
      <c r="C385" s="17" t="s">
        <v>836</v>
      </c>
      <c r="D385" s="18" t="s">
        <v>238</v>
      </c>
      <c r="E385" s="18" t="s">
        <v>1796</v>
      </c>
      <c r="F385" s="18">
        <v>5.94</v>
      </c>
      <c r="G385" s="22">
        <v>2.0299999999999998</v>
      </c>
      <c r="H385" s="17">
        <v>8.93</v>
      </c>
      <c r="I385" s="25">
        <v>6.5390232029855602</v>
      </c>
      <c r="J385" s="24">
        <f>G385/F385*((100-H385)/100)*((100-I385)/100)*100</f>
        <v>29.088092674268228</v>
      </c>
      <c r="K385" s="53">
        <v>5.5990510083036771</v>
      </c>
      <c r="L385" s="54">
        <f>J385*10000/K385</f>
        <v>51951.826534762964</v>
      </c>
      <c r="M385" s="55">
        <v>52.4</v>
      </c>
      <c r="N385" s="55">
        <v>16.600000000000001</v>
      </c>
      <c r="O385" s="56">
        <v>3.1246</v>
      </c>
      <c r="P385" s="55">
        <v>12.1</v>
      </c>
      <c r="Q385" s="17">
        <v>61</v>
      </c>
      <c r="R385" s="17">
        <v>62</v>
      </c>
      <c r="S385" s="17">
        <v>65</v>
      </c>
      <c r="T385" s="17">
        <v>65</v>
      </c>
      <c r="U385" s="17">
        <v>67</v>
      </c>
      <c r="V385" s="17">
        <v>67</v>
      </c>
      <c r="W385" s="17">
        <v>67</v>
      </c>
      <c r="X385" s="3">
        <v>93</v>
      </c>
    </row>
    <row r="386" spans="1:24" s="3" customFormat="1" x14ac:dyDescent="0.25">
      <c r="A386" s="16" t="s">
        <v>907</v>
      </c>
      <c r="B386" s="17" t="s">
        <v>7</v>
      </c>
      <c r="C386" s="17" t="s">
        <v>836</v>
      </c>
      <c r="D386" s="18" t="s">
        <v>8</v>
      </c>
      <c r="E386" s="18" t="s">
        <v>1634</v>
      </c>
      <c r="F386" s="18">
        <v>5.94</v>
      </c>
      <c r="G386" s="22">
        <v>2.08</v>
      </c>
      <c r="H386" s="17">
        <v>8.93</v>
      </c>
      <c r="I386" s="25">
        <v>4.8253583686654657</v>
      </c>
      <c r="J386" s="24">
        <f>G386/F386*((100-H386)/100)*((100-I386)/100)*100</f>
        <v>30.351032989563169</v>
      </c>
      <c r="K386" s="53">
        <v>4.3853211009174311</v>
      </c>
      <c r="L386" s="54">
        <f>J386*10000/K386</f>
        <v>69210.514557790491</v>
      </c>
      <c r="M386" s="55">
        <v>52</v>
      </c>
      <c r="N386" s="55">
        <v>17.8</v>
      </c>
      <c r="O386" s="56">
        <v>1.2932999999999999</v>
      </c>
      <c r="P386" s="55">
        <v>9.4</v>
      </c>
      <c r="Q386" s="17">
        <v>61</v>
      </c>
      <c r="R386" s="17">
        <v>62</v>
      </c>
      <c r="S386" s="17">
        <v>65</v>
      </c>
      <c r="T386" s="17">
        <v>65</v>
      </c>
      <c r="U386" s="17">
        <v>67</v>
      </c>
      <c r="V386" s="17">
        <v>67</v>
      </c>
      <c r="W386" s="17">
        <v>67</v>
      </c>
      <c r="X386" s="3">
        <v>93</v>
      </c>
    </row>
    <row r="387" spans="1:24" s="3" customFormat="1" x14ac:dyDescent="0.25">
      <c r="A387" s="16" t="s">
        <v>1310</v>
      </c>
      <c r="B387" s="17" t="s">
        <v>10</v>
      </c>
      <c r="C387" s="17" t="s">
        <v>836</v>
      </c>
      <c r="D387" s="18" t="s">
        <v>259</v>
      </c>
      <c r="E387" s="18" t="s">
        <v>1572</v>
      </c>
      <c r="F387" s="18">
        <v>5.94</v>
      </c>
      <c r="G387" s="22">
        <v>2.19</v>
      </c>
      <c r="H387" s="17">
        <v>7.69</v>
      </c>
      <c r="I387" s="25">
        <v>14.499999999999998</v>
      </c>
      <c r="J387" s="24">
        <f>G387/F387*((100-H387)/100)*((100-I387)/100)*100</f>
        <v>29.098629545454539</v>
      </c>
      <c r="K387" s="53">
        <v>4.7672064777327936</v>
      </c>
      <c r="L387" s="54">
        <f>J387*10000/K387</f>
        <v>61039.163462651988</v>
      </c>
      <c r="M387" s="55">
        <v>50.4</v>
      </c>
      <c r="N387" s="55">
        <v>18.2</v>
      </c>
      <c r="O387" s="56">
        <v>4.4977</v>
      </c>
      <c r="P387" s="55">
        <v>18.3</v>
      </c>
      <c r="Q387" s="17">
        <v>61</v>
      </c>
      <c r="R387" s="17">
        <v>63</v>
      </c>
      <c r="S387" s="17">
        <v>65</v>
      </c>
      <c r="T387" s="17">
        <v>65</v>
      </c>
      <c r="U387" s="17">
        <v>67</v>
      </c>
      <c r="V387" s="17">
        <v>67</v>
      </c>
      <c r="W387" s="17">
        <v>67</v>
      </c>
      <c r="X387" s="3">
        <v>93</v>
      </c>
    </row>
    <row r="388" spans="1:24" s="3" customFormat="1" x14ac:dyDescent="0.25">
      <c r="A388" s="16" t="s">
        <v>1355</v>
      </c>
      <c r="B388" s="17" t="s">
        <v>10</v>
      </c>
      <c r="C388" s="17" t="s">
        <v>836</v>
      </c>
      <c r="D388" s="18" t="s">
        <v>30</v>
      </c>
      <c r="E388" s="18" t="s">
        <v>1606</v>
      </c>
      <c r="F388" s="18">
        <v>5.94</v>
      </c>
      <c r="G388" s="22">
        <v>1.63</v>
      </c>
      <c r="H388" s="17">
        <v>7.69</v>
      </c>
      <c r="I388" s="25">
        <v>7.7684049079754667</v>
      </c>
      <c r="J388" s="24">
        <f>G388/F388*((100-H388)/100)*((100-I388)/100)*100</f>
        <v>23.363054924242419</v>
      </c>
      <c r="K388" s="53">
        <v>4.6571136131013304</v>
      </c>
      <c r="L388" s="54">
        <f>J388*10000/K388</f>
        <v>50166.383870296362</v>
      </c>
      <c r="M388" s="55">
        <v>50.7</v>
      </c>
      <c r="N388" s="55">
        <v>18.2</v>
      </c>
      <c r="O388" s="56">
        <v>-0.53505000000000003</v>
      </c>
      <c r="P388" s="55">
        <v>14.8</v>
      </c>
      <c r="Q388" s="17">
        <v>61</v>
      </c>
      <c r="R388" s="17">
        <v>63</v>
      </c>
      <c r="S388" s="17">
        <v>65</v>
      </c>
      <c r="T388" s="17">
        <v>65</v>
      </c>
      <c r="U388" s="17">
        <v>67</v>
      </c>
      <c r="V388" s="17">
        <v>67</v>
      </c>
      <c r="W388" s="17">
        <v>67</v>
      </c>
      <c r="X388" s="3">
        <v>93</v>
      </c>
    </row>
    <row r="389" spans="1:24" s="3" customFormat="1" x14ac:dyDescent="0.25">
      <c r="A389" s="16" t="s">
        <v>1011</v>
      </c>
      <c r="B389" s="17" t="s">
        <v>7</v>
      </c>
      <c r="C389" s="17" t="s">
        <v>836</v>
      </c>
      <c r="D389" s="18" t="s">
        <v>252</v>
      </c>
      <c r="E389" s="18" t="s">
        <v>1652</v>
      </c>
      <c r="F389" s="18">
        <v>5.94</v>
      </c>
      <c r="G389" s="22">
        <v>2.02</v>
      </c>
      <c r="H389" s="17">
        <v>8.93</v>
      </c>
      <c r="I389" s="25">
        <v>6.9542523794903301</v>
      </c>
      <c r="J389" s="24">
        <f>G389/F389*((100-H389)/100)*((100-I389)/100)*100</f>
        <v>28.816205381002742</v>
      </c>
      <c r="K389" s="53">
        <v>4.4040036396724291</v>
      </c>
      <c r="L389" s="54">
        <f>J389*10000/K389</f>
        <v>65431.838251491768</v>
      </c>
      <c r="M389" s="55">
        <v>51.9</v>
      </c>
      <c r="N389" s="55">
        <v>16.7</v>
      </c>
      <c r="O389" s="56">
        <v>4.4935999999999998</v>
      </c>
      <c r="P389" s="55">
        <v>9.6</v>
      </c>
      <c r="Q389" s="17">
        <v>61</v>
      </c>
      <c r="R389" s="17">
        <v>63</v>
      </c>
      <c r="S389" s="17">
        <v>65</v>
      </c>
      <c r="T389" s="17">
        <v>65</v>
      </c>
      <c r="U389" s="17">
        <v>67</v>
      </c>
      <c r="V389" s="17">
        <v>67</v>
      </c>
      <c r="W389" s="17">
        <v>67</v>
      </c>
      <c r="X389" s="3">
        <v>93</v>
      </c>
    </row>
    <row r="390" spans="1:24" s="3" customFormat="1" x14ac:dyDescent="0.25">
      <c r="A390" s="66" t="s">
        <v>1033</v>
      </c>
      <c r="B390" s="17" t="s">
        <v>7</v>
      </c>
      <c r="C390" s="17" t="s">
        <v>836</v>
      </c>
      <c r="D390" s="18" t="s">
        <v>127</v>
      </c>
      <c r="E390" s="18" t="s">
        <v>1856</v>
      </c>
      <c r="F390" s="18">
        <v>5.94</v>
      </c>
      <c r="G390" s="22">
        <v>1.24</v>
      </c>
      <c r="H390" s="17">
        <v>8.93</v>
      </c>
      <c r="I390" s="25">
        <v>11.865230420345027</v>
      </c>
      <c r="J390" s="24">
        <f>G390/F390*((100-H390)/100)*((100-I390)/100)*100</f>
        <v>16.755517672336332</v>
      </c>
      <c r="K390" s="53">
        <v>5.3530751708428248</v>
      </c>
      <c r="L390" s="54">
        <f>J390*10000/K390</f>
        <v>31300.733013428293</v>
      </c>
      <c r="M390" s="55">
        <v>50.6</v>
      </c>
      <c r="N390" s="55">
        <v>20.399999999999999</v>
      </c>
      <c r="O390" s="56">
        <v>54.12</v>
      </c>
      <c r="P390" s="55">
        <v>69.2</v>
      </c>
      <c r="Q390" s="17">
        <v>61</v>
      </c>
      <c r="R390" s="17">
        <v>63</v>
      </c>
      <c r="S390" s="17">
        <v>65</v>
      </c>
      <c r="T390" s="17">
        <v>65</v>
      </c>
      <c r="U390" s="17">
        <v>67</v>
      </c>
      <c r="V390" s="17">
        <v>67</v>
      </c>
      <c r="W390" s="17">
        <v>69</v>
      </c>
      <c r="X390" s="3">
        <v>93</v>
      </c>
    </row>
    <row r="391" spans="1:24" s="3" customFormat="1" x14ac:dyDescent="0.25">
      <c r="A391" s="16" t="s">
        <v>890</v>
      </c>
      <c r="B391" s="17" t="s">
        <v>7</v>
      </c>
      <c r="C391" s="17" t="s">
        <v>836</v>
      </c>
      <c r="D391" s="18" t="s">
        <v>188</v>
      </c>
      <c r="E391" s="18" t="s">
        <v>1644</v>
      </c>
      <c r="F391" s="18">
        <v>5.94</v>
      </c>
      <c r="G391" s="22">
        <v>2.2000000000000002</v>
      </c>
      <c r="H391" s="17">
        <v>8.93</v>
      </c>
      <c r="I391" s="25">
        <v>4.0572634912257586</v>
      </c>
      <c r="J391" s="24">
        <f>G391/F391*((100-H391)/100)*((100-I391)/100)*100</f>
        <v>32.361129680941005</v>
      </c>
      <c r="K391" s="53">
        <v>5.0421940928270041</v>
      </c>
      <c r="L391" s="54">
        <f>J391*10000/K391</f>
        <v>64180.650496929018</v>
      </c>
      <c r="M391" s="55">
        <v>53.4</v>
      </c>
      <c r="N391" s="55">
        <v>17.100000000000001</v>
      </c>
      <c r="O391" s="56">
        <v>3.3957000000000002</v>
      </c>
      <c r="P391" s="55">
        <v>13.1</v>
      </c>
      <c r="Q391" s="17">
        <v>62</v>
      </c>
      <c r="R391" s="17">
        <v>63</v>
      </c>
      <c r="S391" s="17">
        <v>65</v>
      </c>
      <c r="T391" s="17">
        <v>65</v>
      </c>
      <c r="U391" s="17">
        <v>67</v>
      </c>
      <c r="V391" s="17">
        <v>67</v>
      </c>
      <c r="W391" s="17">
        <v>67</v>
      </c>
      <c r="X391" s="3">
        <v>93</v>
      </c>
    </row>
    <row r="392" spans="1:24" s="3" customFormat="1" x14ac:dyDescent="0.25">
      <c r="A392" s="16" t="s">
        <v>1403</v>
      </c>
      <c r="B392" s="17" t="s">
        <v>10</v>
      </c>
      <c r="C392" s="17" t="s">
        <v>836</v>
      </c>
      <c r="D392" s="18" t="s">
        <v>252</v>
      </c>
      <c r="E392" s="18" t="s">
        <v>1652</v>
      </c>
      <c r="F392" s="18">
        <v>5.94</v>
      </c>
      <c r="G392" s="22">
        <v>1.67</v>
      </c>
      <c r="H392" s="17">
        <v>7.69</v>
      </c>
      <c r="I392" s="25">
        <v>7.2460391425908552</v>
      </c>
      <c r="J392" s="24">
        <f>G392/F392*((100-H392)/100)*((100-I392)/100)*100</f>
        <v>24.071948268801719</v>
      </c>
      <c r="K392" s="53">
        <v>4.5277777777777777</v>
      </c>
      <c r="L392" s="54">
        <f>J392*10000/K392</f>
        <v>53165.039121279871</v>
      </c>
      <c r="M392" s="55">
        <v>53.2</v>
      </c>
      <c r="N392" s="55">
        <v>16.399999999999999</v>
      </c>
      <c r="O392" s="56">
        <v>-3.1437E-2</v>
      </c>
      <c r="P392" s="55">
        <v>14.1</v>
      </c>
      <c r="Q392" s="17">
        <v>62</v>
      </c>
      <c r="R392" s="17">
        <v>64</v>
      </c>
      <c r="S392" s="17">
        <v>65</v>
      </c>
      <c r="T392" s="17">
        <v>65</v>
      </c>
      <c r="U392" s="17">
        <v>67</v>
      </c>
      <c r="V392" s="17">
        <v>67</v>
      </c>
      <c r="W392" s="17">
        <v>67</v>
      </c>
      <c r="X392" s="3">
        <v>93</v>
      </c>
    </row>
    <row r="393" spans="1:24" s="3" customFormat="1" x14ac:dyDescent="0.25">
      <c r="A393" s="16" t="s">
        <v>941</v>
      </c>
      <c r="B393" s="17" t="s">
        <v>7</v>
      </c>
      <c r="C393" s="17" t="s">
        <v>836</v>
      </c>
      <c r="D393" s="18" t="s">
        <v>244</v>
      </c>
      <c r="E393" s="18" t="s">
        <v>1584</v>
      </c>
      <c r="F393" s="18">
        <v>5.94</v>
      </c>
      <c r="G393" s="22">
        <v>2.74</v>
      </c>
      <c r="H393" s="17">
        <v>8.93</v>
      </c>
      <c r="I393" s="25">
        <v>5.2670404249041125</v>
      </c>
      <c r="J393" s="24">
        <f>G393/F393*((100-H393)/100)*((100-I393)/100)*100</f>
        <v>39.796104245961132</v>
      </c>
      <c r="K393" s="53">
        <v>4.7790339157245629</v>
      </c>
      <c r="L393" s="54">
        <f>J393*10000/K393</f>
        <v>83272.27834692513</v>
      </c>
      <c r="M393" s="55">
        <v>54.2</v>
      </c>
      <c r="N393" s="55">
        <v>16.600000000000001</v>
      </c>
      <c r="O393" s="56">
        <v>-1.2881</v>
      </c>
      <c r="P393" s="55">
        <v>14.3</v>
      </c>
      <c r="Q393" s="17">
        <v>62</v>
      </c>
      <c r="R393" s="17">
        <v>64</v>
      </c>
      <c r="S393" s="17">
        <v>65</v>
      </c>
      <c r="T393" s="17">
        <v>65</v>
      </c>
      <c r="U393" s="17">
        <v>67</v>
      </c>
      <c r="V393" s="17">
        <v>67</v>
      </c>
      <c r="W393" s="17">
        <v>67</v>
      </c>
      <c r="X393" s="3">
        <v>93</v>
      </c>
    </row>
    <row r="394" spans="1:24" s="3" customFormat="1" x14ac:dyDescent="0.25">
      <c r="A394" s="16" t="s">
        <v>1272</v>
      </c>
      <c r="B394" s="17" t="s">
        <v>10</v>
      </c>
      <c r="C394" s="17" t="s">
        <v>836</v>
      </c>
      <c r="D394" s="18" t="s">
        <v>81</v>
      </c>
      <c r="E394" s="18" t="s">
        <v>1780</v>
      </c>
      <c r="F394" s="18">
        <v>5.94</v>
      </c>
      <c r="G394" s="22">
        <v>2.17</v>
      </c>
      <c r="H394" s="17">
        <v>7.69</v>
      </c>
      <c r="I394" s="25">
        <v>4.6962581427056636</v>
      </c>
      <c r="J394" s="24">
        <f>G394/F394*((100-H394)/100)*((100-I394)/100)*100</f>
        <v>32.138972814036428</v>
      </c>
      <c r="K394" s="53">
        <v>4.3486410496719774</v>
      </c>
      <c r="L394" s="54">
        <f>J394*10000/K394</f>
        <v>73905.784466760495</v>
      </c>
      <c r="M394" s="55">
        <v>54.2</v>
      </c>
      <c r="N394" s="55">
        <v>16.100000000000001</v>
      </c>
      <c r="O394" s="56">
        <v>0.34333000000000002</v>
      </c>
      <c r="P394" s="55">
        <v>14.9</v>
      </c>
      <c r="Q394" s="17">
        <v>61</v>
      </c>
      <c r="R394" s="17">
        <v>65</v>
      </c>
      <c r="S394" s="17">
        <v>65</v>
      </c>
      <c r="T394" s="17">
        <v>65</v>
      </c>
      <c r="U394" s="17">
        <v>67</v>
      </c>
      <c r="V394" s="17">
        <v>67</v>
      </c>
      <c r="W394" s="17">
        <v>69</v>
      </c>
      <c r="X394" s="3">
        <v>93</v>
      </c>
    </row>
    <row r="395" spans="1:24" s="3" customFormat="1" x14ac:dyDescent="0.25">
      <c r="A395" s="66" t="s">
        <v>1249</v>
      </c>
      <c r="B395" s="17" t="s">
        <v>10</v>
      </c>
      <c r="C395" s="17" t="s">
        <v>836</v>
      </c>
      <c r="D395" s="18" t="s">
        <v>118</v>
      </c>
      <c r="E395" s="18" t="s">
        <v>1862</v>
      </c>
      <c r="F395" s="18">
        <v>5.94</v>
      </c>
      <c r="G395" s="22">
        <v>1.31</v>
      </c>
      <c r="H395" s="17">
        <v>7.69</v>
      </c>
      <c r="I395" s="25">
        <v>14.4201098818394</v>
      </c>
      <c r="J395" s="24">
        <f>G395/F395*((100-H395)/100)*((100-I395)/100)*100</f>
        <v>17.422293519221721</v>
      </c>
      <c r="K395" s="53">
        <v>5.1893095768374167</v>
      </c>
      <c r="L395" s="54">
        <f>J395*10000/K395</f>
        <v>33573.432575667604</v>
      </c>
      <c r="M395" s="55">
        <v>48.3</v>
      </c>
      <c r="N395" s="55">
        <v>20.8</v>
      </c>
      <c r="O395" s="56">
        <v>9.5345999999999993</v>
      </c>
      <c r="P395" s="55">
        <v>71.5</v>
      </c>
      <c r="Q395" s="17">
        <v>62</v>
      </c>
      <c r="R395" s="17">
        <v>65</v>
      </c>
      <c r="S395" s="17">
        <v>65</v>
      </c>
      <c r="T395" s="17">
        <v>65</v>
      </c>
      <c r="U395" s="17">
        <v>67</v>
      </c>
      <c r="V395" s="17">
        <v>67</v>
      </c>
      <c r="W395" s="17">
        <v>67</v>
      </c>
      <c r="X395" s="3">
        <v>93</v>
      </c>
    </row>
    <row r="396" spans="1:24" s="3" customFormat="1" x14ac:dyDescent="0.25">
      <c r="A396" s="66" t="s">
        <v>1254</v>
      </c>
      <c r="B396" s="17" t="s">
        <v>10</v>
      </c>
      <c r="C396" s="17" t="s">
        <v>836</v>
      </c>
      <c r="D396" s="18" t="s">
        <v>114</v>
      </c>
      <c r="E396" s="18" t="s">
        <v>1824</v>
      </c>
      <c r="F396" s="18">
        <v>5.94</v>
      </c>
      <c r="G396" s="22">
        <v>1.52</v>
      </c>
      <c r="H396" s="17">
        <v>7.69</v>
      </c>
      <c r="I396" s="25">
        <v>11.381264916467792</v>
      </c>
      <c r="J396" s="24">
        <f>G396/F396*((100-H396)/100)*((100-I396)/100)*100</f>
        <v>20.932998420963816</v>
      </c>
      <c r="K396" s="53">
        <v>5.0627615062761508</v>
      </c>
      <c r="L396" s="54">
        <f>J396*10000/K396</f>
        <v>41346.996881077292</v>
      </c>
      <c r="M396" s="55">
        <v>52</v>
      </c>
      <c r="N396" s="55">
        <v>18.899999999999999</v>
      </c>
      <c r="O396" s="56">
        <v>47.186999999999998</v>
      </c>
      <c r="P396" s="55">
        <v>52.7</v>
      </c>
      <c r="Q396" s="17">
        <v>62</v>
      </c>
      <c r="R396" s="17">
        <v>65</v>
      </c>
      <c r="S396" s="17">
        <v>65</v>
      </c>
      <c r="T396" s="17">
        <v>65</v>
      </c>
      <c r="U396" s="17">
        <v>67</v>
      </c>
      <c r="V396" s="17">
        <v>67</v>
      </c>
      <c r="W396" s="17">
        <v>67</v>
      </c>
      <c r="X396" s="3">
        <v>93</v>
      </c>
    </row>
    <row r="397" spans="1:24" s="3" customFormat="1" x14ac:dyDescent="0.25">
      <c r="A397" s="16" t="s">
        <v>1361</v>
      </c>
      <c r="B397" s="17" t="s">
        <v>10</v>
      </c>
      <c r="C397" s="17" t="s">
        <v>836</v>
      </c>
      <c r="D397" s="18" t="s">
        <v>238</v>
      </c>
      <c r="E397" s="18" t="s">
        <v>1796</v>
      </c>
      <c r="F397" s="18">
        <v>5.94</v>
      </c>
      <c r="G397" s="22">
        <v>2.0099999999999998</v>
      </c>
      <c r="H397" s="17">
        <v>7.69</v>
      </c>
      <c r="I397" s="25">
        <v>9.0551705756929657</v>
      </c>
      <c r="J397" s="24">
        <f>G397/F397*((100-H397)/100)*((100-I397)/100)*100</f>
        <v>28.407719832251075</v>
      </c>
      <c r="K397" s="53">
        <v>5.2741228070175437</v>
      </c>
      <c r="L397" s="54">
        <f>J397*10000/K397</f>
        <v>53862.454234954224</v>
      </c>
      <c r="M397" s="55">
        <v>52.8</v>
      </c>
      <c r="N397" s="55">
        <v>15.7</v>
      </c>
      <c r="O397" s="56">
        <v>2.0558999999999998</v>
      </c>
      <c r="P397" s="55">
        <v>11.9</v>
      </c>
      <c r="Q397" s="17">
        <v>62</v>
      </c>
      <c r="R397" s="17">
        <v>65</v>
      </c>
      <c r="S397" s="17">
        <v>65</v>
      </c>
      <c r="T397" s="17">
        <v>65</v>
      </c>
      <c r="U397" s="17">
        <v>67</v>
      </c>
      <c r="V397" s="17">
        <v>67</v>
      </c>
      <c r="W397" s="17">
        <v>69</v>
      </c>
      <c r="X397" s="3">
        <v>93</v>
      </c>
    </row>
    <row r="398" spans="1:24" s="3" customFormat="1" x14ac:dyDescent="0.25">
      <c r="A398" s="16" t="s">
        <v>1364</v>
      </c>
      <c r="B398" s="17" t="s">
        <v>10</v>
      </c>
      <c r="C398" s="17" t="s">
        <v>836</v>
      </c>
      <c r="D398" s="18" t="s">
        <v>11</v>
      </c>
      <c r="E398" s="18" t="s">
        <v>1592</v>
      </c>
      <c r="F398" s="18">
        <v>5.94</v>
      </c>
      <c r="G398" s="22">
        <v>1.89</v>
      </c>
      <c r="H398" s="17">
        <v>7.69</v>
      </c>
      <c r="I398" s="25">
        <v>9.8469176665287481</v>
      </c>
      <c r="J398" s="24">
        <f>G398/F398*((100-H398)/100)*((100-I398)/100)*100</f>
        <v>26.479189641554139</v>
      </c>
      <c r="K398" s="53">
        <v>4.0972222222222223</v>
      </c>
      <c r="L398" s="54">
        <f>J398*10000/K398</f>
        <v>64627.174718369432</v>
      </c>
      <c r="M398" s="55">
        <v>51.7</v>
      </c>
      <c r="N398" s="55">
        <v>17.600000000000001</v>
      </c>
      <c r="O398" s="56">
        <v>0.96148999999999996</v>
      </c>
      <c r="P398" s="55">
        <v>16.2</v>
      </c>
      <c r="Q398" s="17">
        <v>62</v>
      </c>
      <c r="R398" s="17">
        <v>65</v>
      </c>
      <c r="S398" s="17">
        <v>65</v>
      </c>
      <c r="T398" s="17">
        <v>65</v>
      </c>
      <c r="U398" s="17">
        <v>67</v>
      </c>
      <c r="V398" s="17">
        <v>67</v>
      </c>
      <c r="W398" s="17">
        <v>67</v>
      </c>
      <c r="X398" s="3">
        <v>93</v>
      </c>
    </row>
    <row r="399" spans="1:24" s="3" customFormat="1" x14ac:dyDescent="0.25">
      <c r="A399" s="16" t="s">
        <v>1389</v>
      </c>
      <c r="B399" s="17" t="s">
        <v>10</v>
      </c>
      <c r="C399" s="17" t="s">
        <v>836</v>
      </c>
      <c r="D399" s="18" t="s">
        <v>188</v>
      </c>
      <c r="E399" s="18" t="s">
        <v>1644</v>
      </c>
      <c r="F399" s="18">
        <v>5.94</v>
      </c>
      <c r="G399" s="22">
        <v>1.84</v>
      </c>
      <c r="H399" s="17">
        <v>7.69</v>
      </c>
      <c r="I399" s="25">
        <v>5.7975483771490319</v>
      </c>
      <c r="J399" s="24">
        <f>G399/F399*((100-H399)/100)*((100-I399)/100)*100</f>
        <v>26.936572540609234</v>
      </c>
      <c r="K399" s="53">
        <v>4.6168958742632613</v>
      </c>
      <c r="L399" s="54">
        <f>J399*10000/K399</f>
        <v>58343.469885830214</v>
      </c>
      <c r="M399" s="55">
        <v>54.8</v>
      </c>
      <c r="N399" s="55">
        <v>16</v>
      </c>
      <c r="O399" s="56">
        <v>2.8521000000000001</v>
      </c>
      <c r="P399" s="55">
        <v>8.1</v>
      </c>
      <c r="Q399" s="17">
        <v>62</v>
      </c>
      <c r="R399" s="17">
        <v>65</v>
      </c>
      <c r="S399" s="17">
        <v>65</v>
      </c>
      <c r="T399" s="17">
        <v>65</v>
      </c>
      <c r="U399" s="17">
        <v>67</v>
      </c>
      <c r="V399" s="17">
        <v>67</v>
      </c>
      <c r="W399" s="17">
        <v>67</v>
      </c>
      <c r="X399" s="3">
        <v>93</v>
      </c>
    </row>
    <row r="400" spans="1:24" s="3" customFormat="1" x14ac:dyDescent="0.25">
      <c r="A400" s="16" t="s">
        <v>1396</v>
      </c>
      <c r="B400" s="17" t="s">
        <v>10</v>
      </c>
      <c r="C400" s="17" t="s">
        <v>836</v>
      </c>
      <c r="D400" s="18" t="s">
        <v>69</v>
      </c>
      <c r="E400" s="18" t="s">
        <v>1724</v>
      </c>
      <c r="F400" s="18">
        <v>5.94</v>
      </c>
      <c r="G400" s="22">
        <v>2.2000000000000002</v>
      </c>
      <c r="H400" s="17">
        <v>7.69</v>
      </c>
      <c r="I400" s="25">
        <v>7.23038221212368</v>
      </c>
      <c r="J400" s="24">
        <f>G400/F400*((100-H400)/100)*((100-I400)/100)*100</f>
        <v>31.716901548143937</v>
      </c>
      <c r="K400" s="53">
        <v>4.8953140578265204</v>
      </c>
      <c r="L400" s="54">
        <f>J400*10000/K400</f>
        <v>64790.330453744129</v>
      </c>
      <c r="M400" s="55">
        <v>54.2</v>
      </c>
      <c r="N400" s="55">
        <v>15.7</v>
      </c>
      <c r="O400" s="56">
        <v>1.7571000000000001</v>
      </c>
      <c r="P400" s="55">
        <v>14.8</v>
      </c>
      <c r="Q400" s="17">
        <v>62</v>
      </c>
      <c r="R400" s="17">
        <v>65</v>
      </c>
      <c r="S400" s="17">
        <v>65</v>
      </c>
      <c r="T400" s="17">
        <v>65</v>
      </c>
      <c r="U400" s="17">
        <v>67</v>
      </c>
      <c r="V400" s="17">
        <v>67</v>
      </c>
      <c r="W400" s="17">
        <v>69</v>
      </c>
      <c r="X400" s="3">
        <v>93</v>
      </c>
    </row>
    <row r="401" spans="1:24" s="3" customFormat="1" x14ac:dyDescent="0.25">
      <c r="A401" s="16" t="s">
        <v>1401</v>
      </c>
      <c r="B401" s="17" t="s">
        <v>10</v>
      </c>
      <c r="C401" s="17" t="s">
        <v>836</v>
      </c>
      <c r="D401" s="18" t="s">
        <v>235</v>
      </c>
      <c r="E401" s="18" t="s">
        <v>1768</v>
      </c>
      <c r="F401" s="18">
        <v>5.94</v>
      </c>
      <c r="G401" s="22">
        <v>1.99</v>
      </c>
      <c r="H401" s="17">
        <v>7.69</v>
      </c>
      <c r="I401" s="25">
        <v>6.1278016213638482</v>
      </c>
      <c r="J401" s="24">
        <f>G401/F401*((100-H401)/100)*((100-I401)/100)*100</f>
        <v>29.030356630202835</v>
      </c>
      <c r="K401" s="53">
        <v>4.8090815273477814</v>
      </c>
      <c r="L401" s="54">
        <f>J401*10000/K401</f>
        <v>60365.698658082722</v>
      </c>
      <c r="M401" s="55">
        <v>52.6</v>
      </c>
      <c r="N401" s="55">
        <v>16.399999999999999</v>
      </c>
      <c r="O401" s="56">
        <v>3.2467000000000001</v>
      </c>
      <c r="P401" s="55">
        <v>13.7</v>
      </c>
      <c r="Q401" s="17">
        <v>62</v>
      </c>
      <c r="R401" s="17">
        <v>65</v>
      </c>
      <c r="S401" s="17">
        <v>65</v>
      </c>
      <c r="T401" s="17">
        <v>65</v>
      </c>
      <c r="U401" s="17">
        <v>67</v>
      </c>
      <c r="V401" s="17">
        <v>67</v>
      </c>
      <c r="W401" s="17">
        <v>69</v>
      </c>
      <c r="X401" s="3">
        <v>93</v>
      </c>
    </row>
    <row r="402" spans="1:24" s="3" customFormat="1" x14ac:dyDescent="0.25">
      <c r="A402" s="66" t="s">
        <v>1247</v>
      </c>
      <c r="B402" s="17" t="s">
        <v>10</v>
      </c>
      <c r="C402" s="17" t="s">
        <v>836</v>
      </c>
      <c r="D402" s="18" t="s">
        <v>113</v>
      </c>
      <c r="E402" s="18" t="s">
        <v>1846</v>
      </c>
      <c r="F402" s="18">
        <v>5.94</v>
      </c>
      <c r="G402" s="22">
        <v>1.49</v>
      </c>
      <c r="H402" s="17">
        <v>7.69</v>
      </c>
      <c r="I402" s="25">
        <v>12.606946983546615</v>
      </c>
      <c r="J402" s="24">
        <f>G402/F402*((100-H402)/100)*((100-I402)/100)*100</f>
        <v>20.236037977582033</v>
      </c>
      <c r="K402" s="53">
        <v>5.1712707182320443</v>
      </c>
      <c r="L402" s="54">
        <f>J402*10000/K402</f>
        <v>39131.654636136198</v>
      </c>
      <c r="M402" s="55">
        <v>46.6</v>
      </c>
      <c r="N402" s="55">
        <v>22.3</v>
      </c>
      <c r="O402" s="56">
        <v>48.008000000000003</v>
      </c>
      <c r="P402" s="55">
        <v>60.9</v>
      </c>
      <c r="Q402" s="17">
        <v>63</v>
      </c>
      <c r="R402" s="17">
        <v>65</v>
      </c>
      <c r="S402" s="17">
        <v>65</v>
      </c>
      <c r="T402" s="17">
        <v>65</v>
      </c>
      <c r="U402" s="17">
        <v>67</v>
      </c>
      <c r="V402" s="17">
        <v>67</v>
      </c>
      <c r="W402" s="17">
        <v>69</v>
      </c>
      <c r="X402" s="3">
        <v>93</v>
      </c>
    </row>
    <row r="403" spans="1:24" s="3" customFormat="1" x14ac:dyDescent="0.25">
      <c r="A403" s="66" t="s">
        <v>1261</v>
      </c>
      <c r="B403" s="17" t="s">
        <v>10</v>
      </c>
      <c r="C403" s="17" t="s">
        <v>836</v>
      </c>
      <c r="D403" s="18" t="s">
        <v>109</v>
      </c>
      <c r="E403" s="18" t="s">
        <v>1832</v>
      </c>
      <c r="F403" s="18">
        <v>5.94</v>
      </c>
      <c r="G403" s="22">
        <v>0.84</v>
      </c>
      <c r="H403" s="17">
        <v>7.69</v>
      </c>
      <c r="I403" s="25">
        <v>13.626904187130602</v>
      </c>
      <c r="J403" s="24">
        <f>G403/F403*((100-H403)/100)*((100-I403)/100)*100</f>
        <v>11.275091580081174</v>
      </c>
      <c r="K403" s="53">
        <v>3.9376053962900506</v>
      </c>
      <c r="L403" s="54">
        <f>J403*10000/K403</f>
        <v>28634.386753696515</v>
      </c>
      <c r="M403" s="55">
        <v>50.3</v>
      </c>
      <c r="N403" s="55">
        <v>19.899999999999999</v>
      </c>
      <c r="O403" s="56">
        <v>51.313000000000002</v>
      </c>
      <c r="P403" s="55">
        <v>64.099999999999994</v>
      </c>
      <c r="Q403" s="17">
        <v>63</v>
      </c>
      <c r="R403" s="17">
        <v>65</v>
      </c>
      <c r="S403" s="17">
        <v>65</v>
      </c>
      <c r="T403" s="17">
        <v>65</v>
      </c>
      <c r="U403" s="17">
        <v>67</v>
      </c>
      <c r="V403" s="17">
        <v>67</v>
      </c>
      <c r="W403" s="17">
        <v>69</v>
      </c>
      <c r="X403" s="3">
        <v>93</v>
      </c>
    </row>
    <row r="404" spans="1:24" s="3" customFormat="1" x14ac:dyDescent="0.25">
      <c r="A404" s="16" t="s">
        <v>1284</v>
      </c>
      <c r="B404" s="17" t="s">
        <v>10</v>
      </c>
      <c r="C404" s="17" t="s">
        <v>836</v>
      </c>
      <c r="D404" s="18" t="s">
        <v>8</v>
      </c>
      <c r="E404" s="18" t="s">
        <v>1634</v>
      </c>
      <c r="F404" s="18">
        <v>5.94</v>
      </c>
      <c r="G404" s="22">
        <v>2.09</v>
      </c>
      <c r="H404" s="17">
        <v>7.69</v>
      </c>
      <c r="I404" s="25">
        <v>5.4564852918762359</v>
      </c>
      <c r="J404" s="24">
        <f>G404/F404*((100-H404)/100)*((100-I404)/100)*100</f>
        <v>30.707208335450215</v>
      </c>
      <c r="K404" s="53">
        <v>4.6221786064769379</v>
      </c>
      <c r="L404" s="54">
        <f>J404*10000/K404</f>
        <v>66434.491069689539</v>
      </c>
      <c r="M404" s="55">
        <v>52.8</v>
      </c>
      <c r="N404" s="55">
        <v>16.8</v>
      </c>
      <c r="O404" s="56">
        <v>0.17247000000000001</v>
      </c>
      <c r="P404" s="55">
        <v>10.8</v>
      </c>
      <c r="Q404" s="17">
        <v>63</v>
      </c>
      <c r="R404" s="17">
        <v>65</v>
      </c>
      <c r="S404" s="17">
        <v>65</v>
      </c>
      <c r="T404" s="17">
        <v>65</v>
      </c>
      <c r="U404" s="17">
        <v>67</v>
      </c>
      <c r="V404" s="17">
        <v>67</v>
      </c>
      <c r="W404" s="17">
        <v>69</v>
      </c>
      <c r="X404" s="3">
        <v>93</v>
      </c>
    </row>
    <row r="405" spans="1:24" s="3" customFormat="1" x14ac:dyDescent="0.25">
      <c r="A405" s="16" t="s">
        <v>1312</v>
      </c>
      <c r="B405" s="17" t="s">
        <v>10</v>
      </c>
      <c r="C405" s="17" t="s">
        <v>836</v>
      </c>
      <c r="D405" s="18" t="s">
        <v>260</v>
      </c>
      <c r="E405" s="18" t="s">
        <v>1740</v>
      </c>
      <c r="F405" s="18">
        <v>5.94</v>
      </c>
      <c r="G405" s="22">
        <v>2.39</v>
      </c>
      <c r="H405" s="17">
        <v>7.69</v>
      </c>
      <c r="I405" s="25">
        <v>8.2266048558183389</v>
      </c>
      <c r="J405" s="24">
        <f>G405/F405*((100-H405)/100)*((100-I405)/100)*100</f>
        <v>34.086075812735665</v>
      </c>
      <c r="K405" s="53">
        <v>4.403755868544601</v>
      </c>
      <c r="L405" s="54">
        <f>J405*10000/K405</f>
        <v>77402.283028920006</v>
      </c>
      <c r="M405" s="55">
        <v>53.9</v>
      </c>
      <c r="N405" s="55">
        <v>16.5</v>
      </c>
      <c r="O405" s="56">
        <v>1.3809</v>
      </c>
      <c r="P405" s="55">
        <v>16.600000000000001</v>
      </c>
      <c r="Q405" s="17">
        <v>63</v>
      </c>
      <c r="R405" s="17">
        <v>65</v>
      </c>
      <c r="S405" s="17">
        <v>65</v>
      </c>
      <c r="T405" s="17">
        <v>65</v>
      </c>
      <c r="U405" s="17">
        <v>67</v>
      </c>
      <c r="V405" s="17">
        <v>67</v>
      </c>
      <c r="W405" s="17">
        <v>67</v>
      </c>
      <c r="X405" s="3">
        <v>93</v>
      </c>
    </row>
    <row r="406" spans="1:24" s="3" customFormat="1" x14ac:dyDescent="0.25">
      <c r="A406" s="16" t="s">
        <v>1363</v>
      </c>
      <c r="B406" s="17" t="s">
        <v>10</v>
      </c>
      <c r="C406" s="17" t="s">
        <v>836</v>
      </c>
      <c r="D406" s="18" t="s">
        <v>244</v>
      </c>
      <c r="E406" s="18" t="s">
        <v>1584</v>
      </c>
      <c r="F406" s="18">
        <v>5.94</v>
      </c>
      <c r="G406" s="22">
        <v>2.35</v>
      </c>
      <c r="H406" s="17">
        <v>7.69</v>
      </c>
      <c r="I406" s="25">
        <v>8.5911490052781261</v>
      </c>
      <c r="J406" s="24">
        <f>G406/F406*((100-H406)/100)*((100-I406)/100)*100</f>
        <v>33.382466217186064</v>
      </c>
      <c r="K406" s="53">
        <v>4.3482397716460515</v>
      </c>
      <c r="L406" s="54">
        <f>J406*10000/K406</f>
        <v>76772.367602325059</v>
      </c>
      <c r="M406" s="55">
        <v>55.4</v>
      </c>
      <c r="N406" s="55">
        <v>15.6</v>
      </c>
      <c r="O406" s="56">
        <v>1.0544</v>
      </c>
      <c r="P406" s="55">
        <v>15.6</v>
      </c>
      <c r="Q406" s="17">
        <v>63</v>
      </c>
      <c r="R406" s="17">
        <v>65</v>
      </c>
      <c r="S406" s="17">
        <v>65</v>
      </c>
      <c r="T406" s="17">
        <v>65</v>
      </c>
      <c r="U406" s="17">
        <v>67</v>
      </c>
      <c r="V406" s="17">
        <v>67</v>
      </c>
      <c r="W406" s="17">
        <v>69</v>
      </c>
      <c r="X406" s="3">
        <v>93</v>
      </c>
    </row>
    <row r="407" spans="1:24" s="3" customFormat="1" x14ac:dyDescent="0.25">
      <c r="A407" s="66" t="s">
        <v>1031</v>
      </c>
      <c r="B407" s="17" t="s">
        <v>7</v>
      </c>
      <c r="C407" s="17" t="s">
        <v>836</v>
      </c>
      <c r="D407" s="18" t="s">
        <v>109</v>
      </c>
      <c r="E407" s="18" t="s">
        <v>1832</v>
      </c>
      <c r="F407" s="18">
        <v>5.94</v>
      </c>
      <c r="G407" s="22">
        <v>0.53</v>
      </c>
      <c r="H407" s="17">
        <v>8.93</v>
      </c>
      <c r="I407" s="25">
        <v>10.12679071299193</v>
      </c>
      <c r="J407" s="24">
        <f>G407/F407*((100-H407)/100)*((100-I407)/100)*100</f>
        <v>7.3028942423854328</v>
      </c>
      <c r="K407" s="53">
        <v>4.0677966101694913</v>
      </c>
      <c r="L407" s="54">
        <f>J407*10000/K407</f>
        <v>17952.948345864192</v>
      </c>
      <c r="M407" s="55">
        <v>50</v>
      </c>
      <c r="N407" s="55">
        <v>21</v>
      </c>
      <c r="O407" s="56">
        <v>50.966999999999999</v>
      </c>
      <c r="P407" s="55">
        <v>66</v>
      </c>
      <c r="Q407" s="17">
        <v>63</v>
      </c>
      <c r="R407" s="17">
        <v>65</v>
      </c>
      <c r="S407" s="17">
        <v>65</v>
      </c>
      <c r="T407" s="17">
        <v>65</v>
      </c>
      <c r="U407" s="17">
        <v>67</v>
      </c>
      <c r="V407" s="17">
        <v>67</v>
      </c>
      <c r="W407" s="17">
        <v>69</v>
      </c>
      <c r="X407" s="3">
        <v>93</v>
      </c>
    </row>
    <row r="408" spans="1:24" s="3" customFormat="1" x14ac:dyDescent="0.25">
      <c r="A408" s="16" t="s">
        <v>1428</v>
      </c>
      <c r="B408" s="17" t="s">
        <v>10</v>
      </c>
      <c r="C408" s="17" t="s">
        <v>836</v>
      </c>
      <c r="D408" s="18" t="s">
        <v>38</v>
      </c>
      <c r="E408" s="18" t="s">
        <v>1549</v>
      </c>
      <c r="F408" s="18">
        <v>5.94</v>
      </c>
      <c r="G408" s="22">
        <v>2.02</v>
      </c>
      <c r="H408" s="17">
        <v>7.69</v>
      </c>
      <c r="I408" s="25">
        <v>8.7476308499781297</v>
      </c>
      <c r="J408" s="24">
        <f>G408/F408*((100-H408)/100)*((100-I408)/100)*100</f>
        <v>28.645593461955908</v>
      </c>
      <c r="K408" s="53">
        <v>4.7147147147147148</v>
      </c>
      <c r="L408" s="54">
        <f>J408*10000/K408</f>
        <v>60757.851100836415</v>
      </c>
      <c r="M408" s="55">
        <v>53.2</v>
      </c>
      <c r="N408" s="55">
        <v>15.7</v>
      </c>
      <c r="O408" s="56">
        <v>2.4051999999999998</v>
      </c>
      <c r="P408" s="55">
        <v>16.3</v>
      </c>
      <c r="Q408" s="17">
        <v>60</v>
      </c>
      <c r="R408" s="17">
        <v>62</v>
      </c>
      <c r="S408" s="17">
        <v>63</v>
      </c>
      <c r="T408" s="17">
        <v>66</v>
      </c>
      <c r="U408" s="17">
        <v>67</v>
      </c>
      <c r="V408" s="17">
        <v>67</v>
      </c>
      <c r="W408" s="17">
        <v>67</v>
      </c>
      <c r="X408" s="3">
        <v>93</v>
      </c>
    </row>
    <row r="409" spans="1:24" s="3" customFormat="1" x14ac:dyDescent="0.25">
      <c r="A409" s="16" t="s">
        <v>1304</v>
      </c>
      <c r="B409" s="17" t="s">
        <v>10</v>
      </c>
      <c r="C409" s="17" t="s">
        <v>836</v>
      </c>
      <c r="D409" s="18" t="s">
        <v>245</v>
      </c>
      <c r="E409" s="18" t="s">
        <v>1511</v>
      </c>
      <c r="F409" s="18">
        <v>5.94</v>
      </c>
      <c r="G409" s="22">
        <v>1.48</v>
      </c>
      <c r="H409" s="17">
        <v>7.69</v>
      </c>
      <c r="I409" s="25">
        <v>8.2979071288423736</v>
      </c>
      <c r="J409" s="24">
        <f>G409/F409*((100-H409)/100)*((100-I409)/100)*100</f>
        <v>21.091296103612979</v>
      </c>
      <c r="K409" s="53">
        <v>5.3081081081081081</v>
      </c>
      <c r="L409" s="54">
        <f>J409*10000/K409</f>
        <v>39734.111804158871</v>
      </c>
      <c r="M409" s="55">
        <v>46</v>
      </c>
      <c r="N409" s="55">
        <v>20.3</v>
      </c>
      <c r="O409" s="56">
        <v>4.6028000000000002</v>
      </c>
      <c r="P409" s="55">
        <v>67.2</v>
      </c>
      <c r="Q409" s="17">
        <v>61</v>
      </c>
      <c r="R409" s="17">
        <v>62</v>
      </c>
      <c r="S409" s="17">
        <v>64</v>
      </c>
      <c r="T409" s="17">
        <v>66</v>
      </c>
      <c r="U409" s="17">
        <v>67</v>
      </c>
      <c r="V409" s="17">
        <v>67</v>
      </c>
      <c r="W409" s="17">
        <v>67</v>
      </c>
      <c r="X409" s="3">
        <v>93</v>
      </c>
    </row>
    <row r="410" spans="1:24" s="3" customFormat="1" x14ac:dyDescent="0.25">
      <c r="A410" s="16" t="s">
        <v>1422</v>
      </c>
      <c r="B410" s="17" t="s">
        <v>10</v>
      </c>
      <c r="C410" s="17" t="s">
        <v>836</v>
      </c>
      <c r="D410" s="18" t="s">
        <v>189</v>
      </c>
      <c r="E410" s="18" t="s">
        <v>1508</v>
      </c>
      <c r="F410" s="18">
        <v>5.94</v>
      </c>
      <c r="G410" s="22">
        <v>2.2999999999999998</v>
      </c>
      <c r="H410" s="17">
        <v>7.69</v>
      </c>
      <c r="I410" s="25">
        <v>11.110229346877231</v>
      </c>
      <c r="J410" s="24">
        <f>G410/F410*((100-H410)/100)*((100-I410)/100)*100</f>
        <v>31.771807873192685</v>
      </c>
      <c r="K410" s="53">
        <v>4.2016057091882244</v>
      </c>
      <c r="L410" s="54">
        <f>J410*10000/K410</f>
        <v>75618.251859552023</v>
      </c>
      <c r="M410" s="55">
        <v>53.3</v>
      </c>
      <c r="N410" s="55">
        <v>15.7</v>
      </c>
      <c r="O410" s="56">
        <v>1.7721</v>
      </c>
      <c r="P410" s="55">
        <v>43.4</v>
      </c>
      <c r="Q410" s="17">
        <v>62</v>
      </c>
      <c r="R410" s="17">
        <v>65</v>
      </c>
      <c r="S410" s="17">
        <v>65</v>
      </c>
      <c r="T410" s="17">
        <v>66</v>
      </c>
      <c r="U410" s="17">
        <v>67</v>
      </c>
      <c r="V410" s="17">
        <v>67</v>
      </c>
      <c r="W410" s="17">
        <v>67</v>
      </c>
      <c r="X410" s="3">
        <v>93</v>
      </c>
    </row>
    <row r="411" spans="1:24" s="3" customFormat="1" x14ac:dyDescent="0.25">
      <c r="A411" s="16" t="s">
        <v>878</v>
      </c>
      <c r="B411" s="17" t="s">
        <v>7</v>
      </c>
      <c r="C411" s="17" t="s">
        <v>836</v>
      </c>
      <c r="D411" s="18" t="s">
        <v>245</v>
      </c>
      <c r="E411" s="18" t="s">
        <v>1511</v>
      </c>
      <c r="F411" s="18">
        <v>5.94</v>
      </c>
      <c r="G411" s="22">
        <v>1.37</v>
      </c>
      <c r="H411" s="17">
        <v>8.93</v>
      </c>
      <c r="I411" s="25">
        <v>7.3352936501629218</v>
      </c>
      <c r="J411" s="24">
        <f>G411/F411*((100-H411)/100)*((100-I411)/100)*100</f>
        <v>19.463628764264541</v>
      </c>
      <c r="K411" s="53">
        <v>5.0483351235230938</v>
      </c>
      <c r="L411" s="54">
        <f>J411*10000/K411</f>
        <v>38554.549743681462</v>
      </c>
      <c r="M411" s="55">
        <v>46.7</v>
      </c>
      <c r="N411" s="55">
        <v>19.2</v>
      </c>
      <c r="O411" s="56">
        <v>4.5856000000000003</v>
      </c>
      <c r="P411" s="55">
        <v>60.3</v>
      </c>
      <c r="Q411" s="17">
        <v>61</v>
      </c>
      <c r="R411" s="17">
        <v>65</v>
      </c>
      <c r="S411" s="17">
        <v>65</v>
      </c>
      <c r="T411" s="17">
        <v>67</v>
      </c>
      <c r="U411" s="17">
        <v>67</v>
      </c>
      <c r="V411" s="17">
        <v>67</v>
      </c>
      <c r="W411" s="17">
        <v>67</v>
      </c>
      <c r="X411" s="3">
        <v>93</v>
      </c>
    </row>
    <row r="412" spans="1:24" s="3" customFormat="1" x14ac:dyDescent="0.25">
      <c r="A412" s="66" t="s">
        <v>432</v>
      </c>
      <c r="B412" s="20" t="s">
        <v>7</v>
      </c>
      <c r="C412" s="20" t="s">
        <v>427</v>
      </c>
      <c r="D412" s="18" t="s">
        <v>109</v>
      </c>
      <c r="E412" s="18" t="s">
        <v>1832</v>
      </c>
      <c r="F412" s="18">
        <v>5.94</v>
      </c>
      <c r="G412" s="23">
        <v>1.05</v>
      </c>
      <c r="H412" s="20">
        <v>8.59</v>
      </c>
      <c r="I412" s="25">
        <v>12.431888674658406</v>
      </c>
      <c r="J412" s="24">
        <f>G412/F412*((100-H412)/100)*((100-I412)/100)*100</f>
        <v>14.149547321653111</v>
      </c>
      <c r="K412" s="53">
        <v>4.2611060743427016</v>
      </c>
      <c r="L412" s="54">
        <f>J412*10000/K412</f>
        <v>33206.278076134855</v>
      </c>
      <c r="M412" s="55">
        <v>48.6</v>
      </c>
      <c r="N412" s="55">
        <v>21.6</v>
      </c>
      <c r="O412" s="56">
        <v>52.078000000000003</v>
      </c>
      <c r="P412" s="55">
        <v>69.099999999999994</v>
      </c>
      <c r="Q412" s="17" t="s">
        <v>424</v>
      </c>
      <c r="R412" s="17" t="s">
        <v>424</v>
      </c>
      <c r="S412" s="17" t="s">
        <v>424</v>
      </c>
      <c r="T412" s="17" t="s">
        <v>424</v>
      </c>
      <c r="U412" s="17" t="s">
        <v>424</v>
      </c>
      <c r="V412" s="17" t="s">
        <v>424</v>
      </c>
      <c r="W412" s="17" t="s">
        <v>424</v>
      </c>
    </row>
    <row r="413" spans="1:24" s="3" customFormat="1" x14ac:dyDescent="0.25">
      <c r="A413" s="66" t="s">
        <v>431</v>
      </c>
      <c r="B413" s="20" t="s">
        <v>7</v>
      </c>
      <c r="C413" s="20" t="s">
        <v>427</v>
      </c>
      <c r="D413" s="18" t="s">
        <v>110</v>
      </c>
      <c r="E413" s="18" t="s">
        <v>1822</v>
      </c>
      <c r="F413" s="18">
        <v>5.94</v>
      </c>
      <c r="G413" s="23">
        <v>1.1100000000000001</v>
      </c>
      <c r="H413" s="20">
        <v>8.59</v>
      </c>
      <c r="I413" s="25">
        <v>11.627179607475178</v>
      </c>
      <c r="J413" s="24">
        <f>G413/F413*((100-H413)/100)*((100-I413)/100)*100</f>
        <v>15.095550603383117</v>
      </c>
      <c r="K413" s="53">
        <v>5.0101626016260159</v>
      </c>
      <c r="L413" s="54">
        <f>J413*10000/K413</f>
        <v>30129.861650565897</v>
      </c>
      <c r="M413" s="55">
        <v>47.9</v>
      </c>
      <c r="N413" s="55">
        <v>21.3</v>
      </c>
      <c r="O413" s="56">
        <v>38.149000000000001</v>
      </c>
      <c r="P413" s="55">
        <v>53.4</v>
      </c>
      <c r="Q413" s="17" t="s">
        <v>424</v>
      </c>
      <c r="R413" s="17" t="s">
        <v>424</v>
      </c>
      <c r="S413" s="17" t="s">
        <v>424</v>
      </c>
      <c r="T413" s="17" t="s">
        <v>424</v>
      </c>
      <c r="U413" s="17" t="s">
        <v>424</v>
      </c>
      <c r="V413" s="17" t="s">
        <v>424</v>
      </c>
      <c r="W413" s="17" t="s">
        <v>424</v>
      </c>
    </row>
    <row r="414" spans="1:24" x14ac:dyDescent="0.25">
      <c r="A414" s="66" t="s">
        <v>430</v>
      </c>
      <c r="B414" s="20" t="s">
        <v>7</v>
      </c>
      <c r="C414" s="20" t="s">
        <v>427</v>
      </c>
      <c r="D414" s="18" t="s">
        <v>111</v>
      </c>
      <c r="E414" s="18" t="s">
        <v>1830</v>
      </c>
      <c r="F414" s="18">
        <v>5.94</v>
      </c>
      <c r="G414" s="23">
        <v>1.21</v>
      </c>
      <c r="H414" s="20">
        <v>8.59</v>
      </c>
      <c r="I414" s="25">
        <v>12.972600642889946</v>
      </c>
      <c r="J414" s="24">
        <f>G414/F414*((100-H414)/100)*((100-I414)/100)*100</f>
        <v>16.204985245845876</v>
      </c>
      <c r="K414" s="53">
        <v>5.3379953379953378</v>
      </c>
      <c r="L414" s="54">
        <f>J414*10000/K414</f>
        <v>30357.810788069353</v>
      </c>
      <c r="M414" s="55">
        <v>47.6</v>
      </c>
      <c r="N414" s="55">
        <v>22.2</v>
      </c>
      <c r="O414" s="56">
        <v>51.448</v>
      </c>
      <c r="P414" s="55">
        <v>75</v>
      </c>
      <c r="Q414" s="17" t="s">
        <v>424</v>
      </c>
      <c r="R414" s="17" t="s">
        <v>424</v>
      </c>
      <c r="S414" s="17" t="s">
        <v>424</v>
      </c>
      <c r="T414" s="17" t="s">
        <v>424</v>
      </c>
      <c r="U414" s="17" t="s">
        <v>424</v>
      </c>
      <c r="V414" s="17" t="s">
        <v>424</v>
      </c>
      <c r="W414" s="17" t="s">
        <v>424</v>
      </c>
    </row>
    <row r="415" spans="1:24" x14ac:dyDescent="0.25">
      <c r="A415" s="66" t="s">
        <v>429</v>
      </c>
      <c r="B415" s="20" t="s">
        <v>7</v>
      </c>
      <c r="C415" s="20" t="s">
        <v>427</v>
      </c>
      <c r="D415" s="18" t="s">
        <v>112</v>
      </c>
      <c r="E415" s="18" t="s">
        <v>1844</v>
      </c>
      <c r="F415" s="18">
        <v>5.94</v>
      </c>
      <c r="G415" s="23">
        <v>2.12</v>
      </c>
      <c r="H415" s="20">
        <v>8.59</v>
      </c>
      <c r="I415" s="25">
        <v>12.075769534333068</v>
      </c>
      <c r="J415" s="24">
        <f>G415/F415*((100-H415)/100)*((100-I415)/100)*100</f>
        <v>28.684791721476806</v>
      </c>
      <c r="K415" s="53">
        <v>5.8292079207920793</v>
      </c>
      <c r="L415" s="54">
        <f>J415*10000/K415</f>
        <v>49208.729747246834</v>
      </c>
      <c r="M415" s="55">
        <v>47.5</v>
      </c>
      <c r="N415" s="55">
        <v>19.899999999999999</v>
      </c>
      <c r="O415" s="56">
        <v>7.9409000000000001</v>
      </c>
      <c r="P415" s="55">
        <v>29.1</v>
      </c>
      <c r="Q415" s="17" t="s">
        <v>424</v>
      </c>
      <c r="R415" s="17" t="s">
        <v>424</v>
      </c>
      <c r="S415" s="17" t="s">
        <v>424</v>
      </c>
      <c r="T415" s="17" t="s">
        <v>424</v>
      </c>
      <c r="U415" s="17" t="s">
        <v>424</v>
      </c>
      <c r="V415" s="17" t="s">
        <v>424</v>
      </c>
      <c r="W415" s="17" t="s">
        <v>424</v>
      </c>
    </row>
    <row r="416" spans="1:24" x14ac:dyDescent="0.25">
      <c r="A416" s="66" t="s">
        <v>428</v>
      </c>
      <c r="B416" s="20" t="s">
        <v>7</v>
      </c>
      <c r="C416" s="20" t="s">
        <v>427</v>
      </c>
      <c r="D416" s="18" t="s">
        <v>113</v>
      </c>
      <c r="E416" s="18" t="s">
        <v>1846</v>
      </c>
      <c r="F416" s="18">
        <v>5.94</v>
      </c>
      <c r="G416" s="23">
        <v>1.34</v>
      </c>
      <c r="H416" s="20">
        <v>8.59</v>
      </c>
      <c r="I416" s="25">
        <v>13.764510779436147</v>
      </c>
      <c r="J416" s="24">
        <f>G416/F416*((100-H416)/100)*((100-I416)/100)*100</f>
        <v>17.782716049382717</v>
      </c>
      <c r="K416" s="53">
        <v>5.0909090909090908</v>
      </c>
      <c r="L416" s="54">
        <f>J416*10000/K416</f>
        <v>34930.335097001764</v>
      </c>
      <c r="M416" s="55">
        <v>47.6</v>
      </c>
      <c r="N416" s="55">
        <v>21.8</v>
      </c>
      <c r="O416" s="56">
        <v>46.673000000000002</v>
      </c>
      <c r="P416" s="55">
        <v>58.5</v>
      </c>
      <c r="Q416" s="17" t="s">
        <v>424</v>
      </c>
      <c r="R416" s="17" t="s">
        <v>424</v>
      </c>
      <c r="S416" s="17" t="s">
        <v>424</v>
      </c>
      <c r="T416" s="17" t="s">
        <v>424</v>
      </c>
      <c r="U416" s="17" t="s">
        <v>424</v>
      </c>
      <c r="V416" s="17" t="s">
        <v>424</v>
      </c>
      <c r="W416" s="17" t="s">
        <v>424</v>
      </c>
    </row>
    <row r="417" spans="1:23" x14ac:dyDescent="0.25">
      <c r="A417" s="66" t="s">
        <v>426</v>
      </c>
      <c r="B417" s="20" t="s">
        <v>7</v>
      </c>
      <c r="C417" s="20" t="s">
        <v>427</v>
      </c>
      <c r="D417" s="18" t="s">
        <v>114</v>
      </c>
      <c r="E417" s="18" t="s">
        <v>1824</v>
      </c>
      <c r="F417" s="18">
        <v>5.94</v>
      </c>
      <c r="G417" s="23">
        <v>1.75</v>
      </c>
      <c r="H417" s="20">
        <v>8.59</v>
      </c>
      <c r="I417" s="25">
        <v>9.2547795552087386</v>
      </c>
      <c r="J417" s="24">
        <f>G417/F417*((100-H417)/100)*((100-I417)/100)*100</f>
        <v>24.438192005895864</v>
      </c>
      <c r="K417" s="53">
        <v>5.0444444444444443</v>
      </c>
      <c r="L417" s="54">
        <f>J417*10000/K417</f>
        <v>48445.755077767135</v>
      </c>
      <c r="M417" s="55">
        <v>51.3</v>
      </c>
      <c r="N417" s="55">
        <v>19.5</v>
      </c>
      <c r="O417" s="56">
        <v>46.103999999999999</v>
      </c>
      <c r="P417" s="55">
        <v>54.3</v>
      </c>
      <c r="Q417" s="17" t="s">
        <v>424</v>
      </c>
      <c r="R417" s="17" t="s">
        <v>424</v>
      </c>
      <c r="S417" s="17" t="s">
        <v>424</v>
      </c>
      <c r="T417" s="17" t="s">
        <v>424</v>
      </c>
      <c r="U417" s="17" t="s">
        <v>424</v>
      </c>
      <c r="V417" s="17" t="s">
        <v>424</v>
      </c>
      <c r="W417" s="17" t="s">
        <v>424</v>
      </c>
    </row>
    <row r="418" spans="1:23" x14ac:dyDescent="0.25">
      <c r="A418" s="66" t="s">
        <v>120</v>
      </c>
      <c r="B418" s="20" t="s">
        <v>7</v>
      </c>
      <c r="C418" s="20" t="s">
        <v>13</v>
      </c>
      <c r="D418" s="18" t="s">
        <v>119</v>
      </c>
      <c r="E418" s="18" t="s">
        <v>1826</v>
      </c>
      <c r="F418" s="18">
        <v>5.94</v>
      </c>
      <c r="G418" s="23">
        <v>1.44</v>
      </c>
      <c r="H418" s="17">
        <v>6.92</v>
      </c>
      <c r="I418" s="25">
        <v>14.777760806476245</v>
      </c>
      <c r="J418" s="24">
        <f>G418/F418*((100-H418)/100)*((100-I418)/100)*100</f>
        <v>19.230269149413797</v>
      </c>
      <c r="K418" s="53">
        <v>4.963273871983211</v>
      </c>
      <c r="L418" s="54">
        <f>J418*10000/K418</f>
        <v>38745.130019854863</v>
      </c>
      <c r="M418" s="55">
        <v>46.8</v>
      </c>
      <c r="N418" s="55">
        <v>22.1</v>
      </c>
      <c r="O418" s="56">
        <v>38.356999999999999</v>
      </c>
      <c r="P418" s="55">
        <v>64.7</v>
      </c>
      <c r="Q418" s="17" t="s">
        <v>424</v>
      </c>
      <c r="R418" s="17" t="s">
        <v>424</v>
      </c>
      <c r="S418" s="17" t="s">
        <v>424</v>
      </c>
      <c r="T418" s="17" t="s">
        <v>424</v>
      </c>
      <c r="U418" s="17" t="s">
        <v>424</v>
      </c>
      <c r="V418" s="17" t="s">
        <v>424</v>
      </c>
      <c r="W418" s="17" t="s">
        <v>424</v>
      </c>
    </row>
    <row r="419" spans="1:23" x14ac:dyDescent="0.25">
      <c r="A419" s="66" t="s">
        <v>122</v>
      </c>
      <c r="B419" s="20" t="s">
        <v>7</v>
      </c>
      <c r="C419" s="20" t="s">
        <v>13</v>
      </c>
      <c r="D419" s="18" t="s">
        <v>121</v>
      </c>
      <c r="E419" s="18" t="s">
        <v>1820</v>
      </c>
      <c r="F419" s="18">
        <v>5.94</v>
      </c>
      <c r="G419" s="23">
        <v>1.31</v>
      </c>
      <c r="H419" s="17">
        <v>6.92</v>
      </c>
      <c r="I419" s="25">
        <v>22.634593356242831</v>
      </c>
      <c r="J419" s="24">
        <f>G419/F419*((100-H419)/100)*((100-I419)/100)*100</f>
        <v>15.881372703746131</v>
      </c>
      <c r="K419" s="53">
        <v>4.9736008447729674</v>
      </c>
      <c r="L419" s="54">
        <f>J419*10000/K419</f>
        <v>31931.337474411008</v>
      </c>
      <c r="M419" s="55">
        <v>49.8</v>
      </c>
      <c r="N419" s="55">
        <v>21.1</v>
      </c>
      <c r="O419" s="56">
        <v>48.558999999999997</v>
      </c>
      <c r="P419" s="55">
        <v>70</v>
      </c>
      <c r="Q419" s="17" t="s">
        <v>424</v>
      </c>
      <c r="R419" s="17" t="s">
        <v>424</v>
      </c>
      <c r="S419" s="17" t="s">
        <v>424</v>
      </c>
      <c r="T419" s="17" t="s">
        <v>424</v>
      </c>
      <c r="U419" s="17" t="s">
        <v>424</v>
      </c>
      <c r="V419" s="17" t="s">
        <v>424</v>
      </c>
      <c r="W419" s="17" t="s">
        <v>424</v>
      </c>
    </row>
    <row r="420" spans="1:23" x14ac:dyDescent="0.25">
      <c r="A420" s="66" t="s">
        <v>124</v>
      </c>
      <c r="B420" s="20" t="s">
        <v>7</v>
      </c>
      <c r="C420" s="20" t="s">
        <v>13</v>
      </c>
      <c r="D420" s="18" t="s">
        <v>123</v>
      </c>
      <c r="E420" s="18" t="s">
        <v>1850</v>
      </c>
      <c r="F420" s="18">
        <v>5.94</v>
      </c>
      <c r="G420" s="23">
        <v>1.5</v>
      </c>
      <c r="H420" s="17">
        <v>6.92</v>
      </c>
      <c r="I420" s="25">
        <v>13.287303413885688</v>
      </c>
      <c r="J420" s="24">
        <f>G420/F420*((100-H420)/100)*((100-I420)/100)*100</f>
        <v>20.381863126857368</v>
      </c>
      <c r="K420" s="53">
        <v>4.838709677419355</v>
      </c>
      <c r="L420" s="54">
        <f>J420*10000/K420</f>
        <v>42122.517128838561</v>
      </c>
      <c r="M420" s="55">
        <v>49.4</v>
      </c>
      <c r="N420" s="55">
        <v>19.8</v>
      </c>
      <c r="O420" s="56">
        <v>40.902999999999999</v>
      </c>
      <c r="P420" s="55">
        <v>65.900000000000006</v>
      </c>
      <c r="Q420" s="17" t="s">
        <v>424</v>
      </c>
      <c r="R420" s="17" t="s">
        <v>424</v>
      </c>
      <c r="S420" s="17" t="s">
        <v>424</v>
      </c>
      <c r="T420" s="17" t="s">
        <v>424</v>
      </c>
      <c r="U420" s="17" t="s">
        <v>424</v>
      </c>
      <c r="V420" s="17" t="s">
        <v>424</v>
      </c>
      <c r="W420" s="17" t="s">
        <v>424</v>
      </c>
    </row>
    <row r="421" spans="1:23" x14ac:dyDescent="0.25">
      <c r="A421" s="66" t="s">
        <v>125</v>
      </c>
      <c r="B421" s="17" t="s">
        <v>7</v>
      </c>
      <c r="C421" s="17" t="s">
        <v>13</v>
      </c>
      <c r="D421" s="18" t="s">
        <v>112</v>
      </c>
      <c r="E421" s="18" t="s">
        <v>1844</v>
      </c>
      <c r="F421" s="18">
        <v>5.94</v>
      </c>
      <c r="G421" s="22">
        <v>1.93</v>
      </c>
      <c r="H421" s="17">
        <v>6.92</v>
      </c>
      <c r="I421" s="25">
        <v>10.491276400367315</v>
      </c>
      <c r="J421" s="24">
        <f>G421/F421*((100-H421)/100)*((100-I421)/100)*100</f>
        <v>27.070270952562041</v>
      </c>
      <c r="K421" s="53">
        <v>5.540865384615385</v>
      </c>
      <c r="L421" s="54">
        <f>J421*10000/K421</f>
        <v>48855.673389439515</v>
      </c>
      <c r="M421" s="55">
        <v>46.3</v>
      </c>
      <c r="N421" s="55">
        <v>20.3</v>
      </c>
      <c r="O421" s="56">
        <v>4.8490000000000002</v>
      </c>
      <c r="P421" s="55">
        <v>30.1</v>
      </c>
      <c r="Q421" s="17" t="s">
        <v>424</v>
      </c>
      <c r="R421" s="17" t="s">
        <v>424</v>
      </c>
      <c r="S421" s="17" t="s">
        <v>424</v>
      </c>
      <c r="T421" s="17" t="s">
        <v>424</v>
      </c>
      <c r="U421" s="17" t="s">
        <v>424</v>
      </c>
      <c r="V421" s="17" t="s">
        <v>424</v>
      </c>
      <c r="W421" s="17" t="s">
        <v>424</v>
      </c>
    </row>
    <row r="422" spans="1:23" x14ac:dyDescent="0.25">
      <c r="A422" s="66" t="s">
        <v>126</v>
      </c>
      <c r="B422" s="17" t="s">
        <v>7</v>
      </c>
      <c r="C422" s="17" t="s">
        <v>13</v>
      </c>
      <c r="D422" s="18" t="s">
        <v>117</v>
      </c>
      <c r="E422" s="18" t="s">
        <v>1854</v>
      </c>
      <c r="F422" s="18">
        <v>5.94</v>
      </c>
      <c r="G422" s="22">
        <v>1.0900000000000001</v>
      </c>
      <c r="H422" s="17">
        <v>6.92</v>
      </c>
      <c r="I422" s="25">
        <v>13.010590015128585</v>
      </c>
      <c r="J422" s="24">
        <f>G422/F422*((100-H422)/100)*((100-I422)/100)*100</f>
        <v>14.858084119052348</v>
      </c>
      <c r="K422" s="53">
        <v>4.7024390243902436</v>
      </c>
      <c r="L422" s="54">
        <f>J422*10000/K422</f>
        <v>31596.548178482695</v>
      </c>
      <c r="M422" s="55">
        <v>44.1</v>
      </c>
      <c r="N422" s="55">
        <v>21.5</v>
      </c>
      <c r="O422" s="56">
        <v>44.29</v>
      </c>
      <c r="P422" s="55">
        <v>69.3</v>
      </c>
      <c r="Q422" s="17" t="s">
        <v>424</v>
      </c>
      <c r="R422" s="17" t="s">
        <v>424</v>
      </c>
      <c r="S422" s="17" t="s">
        <v>424</v>
      </c>
      <c r="T422" s="17" t="s">
        <v>424</v>
      </c>
      <c r="U422" s="17" t="s">
        <v>424</v>
      </c>
      <c r="V422" s="17" t="s">
        <v>424</v>
      </c>
      <c r="W422" s="17" t="s">
        <v>424</v>
      </c>
    </row>
    <row r="423" spans="1:23" x14ac:dyDescent="0.25">
      <c r="A423" s="66" t="s">
        <v>128</v>
      </c>
      <c r="B423" s="17" t="s">
        <v>7</v>
      </c>
      <c r="C423" s="17" t="s">
        <v>13</v>
      </c>
      <c r="D423" s="18" t="s">
        <v>127</v>
      </c>
      <c r="E423" s="18" t="s">
        <v>1856</v>
      </c>
      <c r="F423" s="18">
        <v>5.94</v>
      </c>
      <c r="G423" s="22">
        <v>1.5</v>
      </c>
      <c r="H423" s="17">
        <v>6.92</v>
      </c>
      <c r="I423" s="25">
        <v>11.166692319532086</v>
      </c>
      <c r="J423" s="24">
        <f>G423/F423*((100-H423)/100)*((100-I423)/100)*100</f>
        <v>20.880313835600887</v>
      </c>
      <c r="K423" s="53">
        <v>5.0814332247556999</v>
      </c>
      <c r="L423" s="54">
        <f>J423*10000/K423</f>
        <v>41091.386843137647</v>
      </c>
      <c r="M423" s="55">
        <v>50.1</v>
      </c>
      <c r="N423" s="55">
        <v>19.399999999999999</v>
      </c>
      <c r="O423" s="56">
        <v>42.832000000000001</v>
      </c>
      <c r="P423" s="55">
        <v>62.2</v>
      </c>
      <c r="Q423" s="17" t="s">
        <v>424</v>
      </c>
      <c r="R423" s="17" t="s">
        <v>424</v>
      </c>
      <c r="S423" s="17" t="s">
        <v>424</v>
      </c>
      <c r="T423" s="17" t="s">
        <v>424</v>
      </c>
      <c r="U423" s="17" t="s">
        <v>424</v>
      </c>
      <c r="V423" s="17" t="s">
        <v>424</v>
      </c>
      <c r="W423" s="17" t="s">
        <v>424</v>
      </c>
    </row>
    <row r="424" spans="1:23" x14ac:dyDescent="0.25">
      <c r="A424" s="66" t="s">
        <v>438</v>
      </c>
      <c r="B424" s="20" t="s">
        <v>7</v>
      </c>
      <c r="C424" s="20" t="s">
        <v>427</v>
      </c>
      <c r="D424" s="18" t="s">
        <v>129</v>
      </c>
      <c r="E424" s="18" t="s">
        <v>1836</v>
      </c>
      <c r="F424" s="18">
        <v>5.94</v>
      </c>
      <c r="G424" s="23">
        <v>1.0900000000000001</v>
      </c>
      <c r="H424" s="20">
        <v>8.59</v>
      </c>
      <c r="I424" s="25">
        <v>10.932046045302636</v>
      </c>
      <c r="J424" s="24">
        <f>G424/F424*((100-H424)/100)*((100-I424)/100)*100</f>
        <v>14.940159631967651</v>
      </c>
      <c r="K424" s="53">
        <v>5.3519553072625694</v>
      </c>
      <c r="L424" s="54">
        <f>J424*10000/K424</f>
        <v>27915.329583739145</v>
      </c>
      <c r="M424" s="55">
        <v>45.2</v>
      </c>
      <c r="N424" s="55">
        <v>21.1</v>
      </c>
      <c r="O424" s="56">
        <v>5.1104000000000003</v>
      </c>
      <c r="P424" s="55">
        <v>60.4</v>
      </c>
      <c r="Q424" s="17" t="s">
        <v>424</v>
      </c>
      <c r="R424" s="17" t="s">
        <v>424</v>
      </c>
      <c r="S424" s="17" t="s">
        <v>424</v>
      </c>
      <c r="T424" s="17" t="s">
        <v>424</v>
      </c>
      <c r="U424" s="17" t="s">
        <v>424</v>
      </c>
      <c r="V424" s="17" t="s">
        <v>424</v>
      </c>
      <c r="W424" s="17" t="s">
        <v>424</v>
      </c>
    </row>
    <row r="425" spans="1:23" x14ac:dyDescent="0.25">
      <c r="A425" s="66" t="s">
        <v>437</v>
      </c>
      <c r="B425" s="20" t="s">
        <v>7</v>
      </c>
      <c r="C425" s="20" t="s">
        <v>427</v>
      </c>
      <c r="D425" s="18" t="s">
        <v>130</v>
      </c>
      <c r="E425" s="18" t="s">
        <v>1848</v>
      </c>
      <c r="F425" s="18">
        <v>5.94</v>
      </c>
      <c r="G425" s="23">
        <v>1.1399999999999999</v>
      </c>
      <c r="H425" s="20">
        <v>8.59</v>
      </c>
      <c r="I425" s="25">
        <v>17.098087410707421</v>
      </c>
      <c r="J425" s="24">
        <f>G425/F425*((100-H425)/100)*((100-I425)/100)*100</f>
        <v>14.543758865248224</v>
      </c>
      <c r="K425" s="53">
        <v>6.5459610027855151</v>
      </c>
      <c r="L425" s="54">
        <f>J425*10000/K425</f>
        <v>22217.912479251539</v>
      </c>
      <c r="M425" s="55">
        <v>47.7</v>
      </c>
      <c r="N425" s="55">
        <v>21.6</v>
      </c>
      <c r="O425" s="56">
        <v>44.517000000000003</v>
      </c>
      <c r="P425" s="55">
        <v>73.8</v>
      </c>
      <c r="Q425" s="17" t="s">
        <v>424</v>
      </c>
      <c r="R425" s="17" t="s">
        <v>424</v>
      </c>
      <c r="S425" s="17" t="s">
        <v>424</v>
      </c>
      <c r="T425" s="17" t="s">
        <v>424</v>
      </c>
      <c r="U425" s="17" t="s">
        <v>424</v>
      </c>
      <c r="V425" s="17" t="s">
        <v>424</v>
      </c>
      <c r="W425" s="17" t="s">
        <v>424</v>
      </c>
    </row>
    <row r="426" spans="1:23" x14ac:dyDescent="0.25">
      <c r="A426" s="66" t="s">
        <v>436</v>
      </c>
      <c r="B426" s="20" t="s">
        <v>7</v>
      </c>
      <c r="C426" s="20" t="s">
        <v>427</v>
      </c>
      <c r="D426" s="18" t="s">
        <v>131</v>
      </c>
      <c r="E426" s="18" t="s">
        <v>1842</v>
      </c>
      <c r="F426" s="18">
        <v>5.94</v>
      </c>
      <c r="G426" s="23">
        <v>1.72</v>
      </c>
      <c r="H426" s="20">
        <v>8.59</v>
      </c>
      <c r="I426" s="25">
        <v>7.7610846463906116</v>
      </c>
      <c r="J426" s="24">
        <f>G426/F426*((100-H426)/100)*((100-I426)/100)*100</f>
        <v>24.414616017263135</v>
      </c>
      <c r="K426" s="53">
        <v>5.9897828863346101</v>
      </c>
      <c r="L426" s="54">
        <f>J426*10000/K426</f>
        <v>40760.435696198372</v>
      </c>
      <c r="M426" s="55">
        <v>49.3</v>
      </c>
      <c r="N426" s="55">
        <v>20.5</v>
      </c>
      <c r="O426" s="56">
        <v>9.2888999999999999</v>
      </c>
      <c r="P426" s="55">
        <v>65.5</v>
      </c>
      <c r="Q426" s="17" t="s">
        <v>424</v>
      </c>
      <c r="R426" s="17" t="s">
        <v>424</v>
      </c>
      <c r="S426" s="17" t="s">
        <v>424</v>
      </c>
      <c r="T426" s="17" t="s">
        <v>424</v>
      </c>
      <c r="U426" s="17" t="s">
        <v>424</v>
      </c>
      <c r="V426" s="17" t="s">
        <v>424</v>
      </c>
      <c r="W426" s="17" t="s">
        <v>424</v>
      </c>
    </row>
    <row r="427" spans="1:23" x14ac:dyDescent="0.25">
      <c r="A427" s="66" t="s">
        <v>435</v>
      </c>
      <c r="B427" s="20" t="s">
        <v>7</v>
      </c>
      <c r="C427" s="20" t="s">
        <v>427</v>
      </c>
      <c r="D427" s="18" t="s">
        <v>116</v>
      </c>
      <c r="E427" s="18" t="s">
        <v>1860</v>
      </c>
      <c r="F427" s="18">
        <v>5.94</v>
      </c>
      <c r="G427" s="23">
        <v>1.46</v>
      </c>
      <c r="H427" s="20">
        <v>8.59</v>
      </c>
      <c r="I427" s="25">
        <v>10.023529411764706</v>
      </c>
      <c r="J427" s="24">
        <f>G427/F427*((100-H427)/100)*((100-I427)/100)*100</f>
        <v>20.215713464052286</v>
      </c>
      <c r="K427" s="53">
        <v>5.1864035087719298</v>
      </c>
      <c r="L427" s="54">
        <f>J427*10000/K427</f>
        <v>38978.288962401028</v>
      </c>
      <c r="M427" s="55">
        <v>48.7</v>
      </c>
      <c r="N427" s="55">
        <v>21.9</v>
      </c>
      <c r="O427" s="56">
        <v>45.042000000000002</v>
      </c>
      <c r="P427" s="55">
        <v>67.3</v>
      </c>
      <c r="Q427" s="17" t="s">
        <v>424</v>
      </c>
      <c r="R427" s="17" t="s">
        <v>424</v>
      </c>
      <c r="S427" s="17" t="s">
        <v>424</v>
      </c>
      <c r="T427" s="17" t="s">
        <v>424</v>
      </c>
      <c r="U427" s="17" t="s">
        <v>424</v>
      </c>
      <c r="V427" s="17" t="s">
        <v>424</v>
      </c>
      <c r="W427" s="17" t="s">
        <v>424</v>
      </c>
    </row>
    <row r="428" spans="1:23" x14ac:dyDescent="0.25">
      <c r="A428" s="66" t="s">
        <v>434</v>
      </c>
      <c r="B428" s="20" t="s">
        <v>7</v>
      </c>
      <c r="C428" s="20" t="s">
        <v>427</v>
      </c>
      <c r="D428" s="18" t="s">
        <v>121</v>
      </c>
      <c r="E428" s="18" t="s">
        <v>1820</v>
      </c>
      <c r="F428" s="18">
        <v>5.94</v>
      </c>
      <c r="G428" s="23">
        <v>1.1100000000000001</v>
      </c>
      <c r="H428" s="20">
        <v>8.59</v>
      </c>
      <c r="I428" s="25">
        <v>20.451372731503028</v>
      </c>
      <c r="J428" s="24">
        <f>G428/F428*((100-H428)/100)*((100-I428)/100)*100</f>
        <v>13.588231347913759</v>
      </c>
      <c r="K428" s="53">
        <v>5.1864035087719298</v>
      </c>
      <c r="L428" s="54">
        <f>J428*10000/K428</f>
        <v>26199.718793440479</v>
      </c>
      <c r="M428" s="55">
        <v>48.9</v>
      </c>
      <c r="N428" s="55">
        <v>23</v>
      </c>
      <c r="O428" s="56">
        <v>49.631999999999998</v>
      </c>
      <c r="P428" s="55">
        <v>79.7</v>
      </c>
      <c r="Q428" s="17" t="s">
        <v>424</v>
      </c>
      <c r="R428" s="17" t="s">
        <v>424</v>
      </c>
      <c r="S428" s="17" t="s">
        <v>424</v>
      </c>
      <c r="T428" s="17" t="s">
        <v>424</v>
      </c>
      <c r="U428" s="17" t="s">
        <v>424</v>
      </c>
      <c r="V428" s="17" t="s">
        <v>424</v>
      </c>
      <c r="W428" s="17" t="s">
        <v>424</v>
      </c>
    </row>
    <row r="429" spans="1:23" x14ac:dyDescent="0.25">
      <c r="A429" s="66" t="s">
        <v>433</v>
      </c>
      <c r="B429" s="20" t="s">
        <v>7</v>
      </c>
      <c r="C429" s="20" t="s">
        <v>427</v>
      </c>
      <c r="D429" s="18" t="s">
        <v>132</v>
      </c>
      <c r="E429" s="18" t="s">
        <v>1828</v>
      </c>
      <c r="F429" s="18">
        <v>5.94</v>
      </c>
      <c r="G429" s="23">
        <v>1</v>
      </c>
      <c r="H429" s="20">
        <v>8.59</v>
      </c>
      <c r="I429" s="25">
        <v>11.974303428699484</v>
      </c>
      <c r="J429" s="24">
        <f>G429/F429*((100-H429)/100)*((100-I429)/100)*100</f>
        <v>13.546176639027911</v>
      </c>
      <c r="K429" s="53">
        <v>4.8822927328556807</v>
      </c>
      <c r="L429" s="54">
        <f>J429*10000/K429</f>
        <v>27745.523220818173</v>
      </c>
      <c r="M429" s="55">
        <v>45.6</v>
      </c>
      <c r="N429" s="55">
        <v>23.9</v>
      </c>
      <c r="O429" s="56">
        <v>12.176</v>
      </c>
      <c r="P429" s="55">
        <v>67.099999999999994</v>
      </c>
      <c r="Q429" s="17" t="s">
        <v>424</v>
      </c>
      <c r="R429" s="17" t="s">
        <v>424</v>
      </c>
      <c r="S429" s="17" t="s">
        <v>424</v>
      </c>
      <c r="T429" s="17" t="s">
        <v>424</v>
      </c>
      <c r="U429" s="17" t="s">
        <v>424</v>
      </c>
      <c r="V429" s="17" t="s">
        <v>424</v>
      </c>
      <c r="W429" s="17" t="s">
        <v>424</v>
      </c>
    </row>
    <row r="430" spans="1:23" x14ac:dyDescent="0.25">
      <c r="A430" s="66" t="s">
        <v>135</v>
      </c>
      <c r="B430" s="20" t="s">
        <v>7</v>
      </c>
      <c r="C430" s="20" t="s">
        <v>13</v>
      </c>
      <c r="D430" s="18" t="s">
        <v>116</v>
      </c>
      <c r="E430" s="18" t="s">
        <v>1860</v>
      </c>
      <c r="F430" s="18">
        <v>5.94</v>
      </c>
      <c r="G430" s="23">
        <v>1.08</v>
      </c>
      <c r="H430" s="17">
        <v>6.92</v>
      </c>
      <c r="I430" s="25">
        <v>13.084615384615388</v>
      </c>
      <c r="J430" s="24">
        <f>G430/F430*((100-H430)/100)*((100-I430)/100)*100</f>
        <v>14.709243636363635</v>
      </c>
      <c r="K430" s="53">
        <v>5.0107296137339059</v>
      </c>
      <c r="L430" s="54">
        <f>J430*10000/K430</f>
        <v>29355.492653299585</v>
      </c>
      <c r="M430" s="55">
        <v>47.4</v>
      </c>
      <c r="N430" s="55">
        <v>21.7</v>
      </c>
      <c r="O430" s="56">
        <v>41.067</v>
      </c>
      <c r="P430" s="55">
        <v>67.3</v>
      </c>
      <c r="Q430" s="17" t="s">
        <v>424</v>
      </c>
      <c r="R430" s="17" t="s">
        <v>424</v>
      </c>
      <c r="S430" s="17" t="s">
        <v>424</v>
      </c>
      <c r="T430" s="17" t="s">
        <v>424</v>
      </c>
      <c r="U430" s="17" t="s">
        <v>424</v>
      </c>
      <c r="V430" s="17" t="s">
        <v>424</v>
      </c>
      <c r="W430" s="17" t="s">
        <v>424</v>
      </c>
    </row>
    <row r="431" spans="1:23" x14ac:dyDescent="0.25">
      <c r="A431" s="66" t="s">
        <v>137</v>
      </c>
      <c r="B431" s="20" t="s">
        <v>7</v>
      </c>
      <c r="C431" s="20" t="s">
        <v>13</v>
      </c>
      <c r="D431" s="18" t="s">
        <v>136</v>
      </c>
      <c r="E431" s="18" t="s">
        <v>1840</v>
      </c>
      <c r="F431" s="18">
        <v>5.94</v>
      </c>
      <c r="G431" s="23">
        <v>1.8</v>
      </c>
      <c r="H431" s="17">
        <v>6.92</v>
      </c>
      <c r="I431" s="25">
        <v>12.297389848565555</v>
      </c>
      <c r="J431" s="24">
        <f>G431/F431*((100-H431)/100)*((100-I431)/100)*100</f>
        <v>24.737451372410664</v>
      </c>
      <c r="K431" s="53">
        <v>4.7305389221556888</v>
      </c>
      <c r="L431" s="54">
        <f>J431*10000/K431</f>
        <v>52293.093407501023</v>
      </c>
      <c r="M431" s="55">
        <v>46.7</v>
      </c>
      <c r="N431" s="55">
        <v>19.2</v>
      </c>
      <c r="O431" s="56">
        <v>7.2229000000000001</v>
      </c>
      <c r="P431" s="55">
        <v>56.4</v>
      </c>
      <c r="Q431" s="17" t="s">
        <v>424</v>
      </c>
      <c r="R431" s="17" t="s">
        <v>424</v>
      </c>
      <c r="S431" s="17" t="s">
        <v>424</v>
      </c>
      <c r="T431" s="17" t="s">
        <v>424</v>
      </c>
      <c r="U431" s="17" t="s">
        <v>424</v>
      </c>
      <c r="V431" s="17" t="s">
        <v>424</v>
      </c>
      <c r="W431" s="17" t="s">
        <v>424</v>
      </c>
    </row>
    <row r="432" spans="1:23" x14ac:dyDescent="0.25">
      <c r="A432" s="66" t="s">
        <v>138</v>
      </c>
      <c r="B432" s="20" t="s">
        <v>7</v>
      </c>
      <c r="C432" s="20" t="s">
        <v>13</v>
      </c>
      <c r="D432" s="18" t="s">
        <v>133</v>
      </c>
      <c r="E432" s="18" t="s">
        <v>1838</v>
      </c>
      <c r="F432" s="18">
        <v>5.94</v>
      </c>
      <c r="G432" s="23">
        <v>1.23</v>
      </c>
      <c r="H432" s="17">
        <v>6.92</v>
      </c>
      <c r="I432" s="25">
        <v>11.035059700357444</v>
      </c>
      <c r="J432" s="24">
        <f>G432/F432*((100-H432)/100)*((100-I432)/100)*100</f>
        <v>17.147228402359588</v>
      </c>
      <c r="K432" s="53">
        <v>4.7770069375619428</v>
      </c>
      <c r="L432" s="54">
        <f>J432*10000/K432</f>
        <v>35895.33912444154</v>
      </c>
      <c r="M432" s="55">
        <v>43.6</v>
      </c>
      <c r="N432" s="55">
        <v>21.9</v>
      </c>
      <c r="O432" s="56">
        <v>4.1798999999999999</v>
      </c>
      <c r="P432" s="55">
        <v>66</v>
      </c>
      <c r="Q432" s="17" t="s">
        <v>424</v>
      </c>
      <c r="R432" s="17" t="s">
        <v>424</v>
      </c>
      <c r="S432" s="17" t="s">
        <v>424</v>
      </c>
      <c r="T432" s="17" t="s">
        <v>424</v>
      </c>
      <c r="U432" s="17" t="s">
        <v>424</v>
      </c>
      <c r="V432" s="17" t="s">
        <v>424</v>
      </c>
      <c r="W432" s="17" t="s">
        <v>424</v>
      </c>
    </row>
    <row r="433" spans="1:23" x14ac:dyDescent="0.25">
      <c r="A433" s="66" t="s">
        <v>140</v>
      </c>
      <c r="B433" s="20" t="s">
        <v>7</v>
      </c>
      <c r="C433" s="20" t="s">
        <v>13</v>
      </c>
      <c r="D433" s="18" t="s">
        <v>139</v>
      </c>
      <c r="E433" s="18" t="s">
        <v>1864</v>
      </c>
      <c r="F433" s="18">
        <v>5.94</v>
      </c>
      <c r="G433" s="23">
        <v>1.53</v>
      </c>
      <c r="H433" s="17">
        <v>6.92</v>
      </c>
      <c r="I433" s="25">
        <v>12.196057375163001</v>
      </c>
      <c r="J433" s="24">
        <f>G433/F433*((100-H433)/100)*((100-I433)/100)*100</f>
        <v>21.05112828058137</v>
      </c>
      <c r="K433" s="53">
        <v>4.7576656775469832</v>
      </c>
      <c r="L433" s="54">
        <f>J433*10000/K433</f>
        <v>44246.758194735477</v>
      </c>
      <c r="M433" s="55">
        <v>44.5</v>
      </c>
      <c r="N433" s="55">
        <v>21.5</v>
      </c>
      <c r="O433" s="56">
        <v>16.04</v>
      </c>
      <c r="P433" s="55">
        <v>69.8</v>
      </c>
      <c r="Q433" s="17" t="s">
        <v>424</v>
      </c>
      <c r="R433" s="17" t="s">
        <v>424</v>
      </c>
      <c r="S433" s="17" t="s">
        <v>424</v>
      </c>
      <c r="T433" s="17" t="s">
        <v>424</v>
      </c>
      <c r="U433" s="17" t="s">
        <v>424</v>
      </c>
      <c r="V433" s="17" t="s">
        <v>424</v>
      </c>
      <c r="W433" s="17" t="s">
        <v>424</v>
      </c>
    </row>
    <row r="434" spans="1:23" x14ac:dyDescent="0.25">
      <c r="A434" s="66" t="s">
        <v>141</v>
      </c>
      <c r="B434" s="20" t="s">
        <v>7</v>
      </c>
      <c r="C434" s="20" t="s">
        <v>13</v>
      </c>
      <c r="D434" s="18" t="s">
        <v>109</v>
      </c>
      <c r="E434" s="18" t="s">
        <v>1832</v>
      </c>
      <c r="F434" s="18">
        <v>5.94</v>
      </c>
      <c r="G434" s="23">
        <v>0.89</v>
      </c>
      <c r="H434" s="17">
        <v>6.92</v>
      </c>
      <c r="I434" s="25">
        <v>12.216431637032484</v>
      </c>
      <c r="J434" s="24">
        <f>G434/F434*((100-H434)/100)*((100-I434)/100)*100</f>
        <v>12.242586100118288</v>
      </c>
      <c r="K434" s="53">
        <v>4.1406945681211038</v>
      </c>
      <c r="L434" s="54">
        <f>J434*10000/K434</f>
        <v>29566.503635339439</v>
      </c>
      <c r="M434" s="55">
        <v>49.4</v>
      </c>
      <c r="N434" s="55">
        <v>19.8</v>
      </c>
      <c r="O434" s="56">
        <v>46.988999999999997</v>
      </c>
      <c r="P434" s="55">
        <v>64.5</v>
      </c>
      <c r="Q434" s="17" t="s">
        <v>424</v>
      </c>
      <c r="R434" s="17" t="s">
        <v>424</v>
      </c>
      <c r="S434" s="17" t="s">
        <v>424</v>
      </c>
      <c r="T434" s="17" t="s">
        <v>424</v>
      </c>
      <c r="U434" s="17" t="s">
        <v>424</v>
      </c>
      <c r="V434" s="17" t="s">
        <v>424</v>
      </c>
      <c r="W434" s="17" t="s">
        <v>424</v>
      </c>
    </row>
    <row r="435" spans="1:23" x14ac:dyDescent="0.25">
      <c r="A435" s="66" t="s">
        <v>142</v>
      </c>
      <c r="B435" s="20" t="s">
        <v>7</v>
      </c>
      <c r="C435" s="20" t="s">
        <v>13</v>
      </c>
      <c r="D435" s="18" t="s">
        <v>115</v>
      </c>
      <c r="E435" s="18" t="s">
        <v>1834</v>
      </c>
      <c r="F435" s="18">
        <v>5.94</v>
      </c>
      <c r="G435" s="23">
        <v>1.1100000000000001</v>
      </c>
      <c r="H435" s="17">
        <v>6.92</v>
      </c>
      <c r="I435" s="25">
        <v>18.25317429780684</v>
      </c>
      <c r="J435" s="24">
        <f>G435/F435*((100-H435)/100)*((100-I435)/100)*100</f>
        <v>14.218828174006322</v>
      </c>
      <c r="K435" s="53">
        <v>5.52414605418139</v>
      </c>
      <c r="L435" s="54">
        <f>J435*10000/K435</f>
        <v>25739.413901346197</v>
      </c>
      <c r="M435" s="55">
        <v>45.4</v>
      </c>
      <c r="N435" s="55">
        <v>21.3</v>
      </c>
      <c r="O435" s="56">
        <v>6.4004000000000003</v>
      </c>
      <c r="P435" s="55">
        <v>73.099999999999994</v>
      </c>
      <c r="Q435" s="17" t="s">
        <v>424</v>
      </c>
      <c r="R435" s="17" t="s">
        <v>424</v>
      </c>
      <c r="S435" s="17" t="s">
        <v>424</v>
      </c>
      <c r="T435" s="17" t="s">
        <v>424</v>
      </c>
      <c r="U435" s="17" t="s">
        <v>424</v>
      </c>
      <c r="V435" s="17" t="s">
        <v>424</v>
      </c>
      <c r="W435" s="17" t="s">
        <v>424</v>
      </c>
    </row>
    <row r="436" spans="1:23" x14ac:dyDescent="0.25">
      <c r="A436" s="66" t="s">
        <v>444</v>
      </c>
      <c r="B436" s="20" t="s">
        <v>7</v>
      </c>
      <c r="C436" s="20" t="s">
        <v>427</v>
      </c>
      <c r="D436" s="18" t="s">
        <v>115</v>
      </c>
      <c r="E436" s="18" t="s">
        <v>1834</v>
      </c>
      <c r="F436" s="18">
        <v>5.94</v>
      </c>
      <c r="G436" s="23">
        <v>0.69</v>
      </c>
      <c r="H436" s="20">
        <v>8.59</v>
      </c>
      <c r="I436" s="25">
        <v>12.454748517291854</v>
      </c>
      <c r="J436" s="24">
        <f>G436/F436*((100-H436)/100)*((100-I436)/100)*100</f>
        <v>9.2958466199388923</v>
      </c>
      <c r="K436" s="53">
        <v>5.072916666666667</v>
      </c>
      <c r="L436" s="54">
        <f>J436*10000/K436</f>
        <v>18324.461509530462</v>
      </c>
      <c r="M436" s="55">
        <v>42.9</v>
      </c>
      <c r="N436" s="55">
        <v>23.6</v>
      </c>
      <c r="O436" s="56">
        <v>5.0948000000000002</v>
      </c>
      <c r="P436" s="55">
        <v>63.7</v>
      </c>
      <c r="Q436" s="17" t="s">
        <v>424</v>
      </c>
      <c r="R436" s="17" t="s">
        <v>424</v>
      </c>
      <c r="S436" s="17" t="s">
        <v>424</v>
      </c>
      <c r="T436" s="17" t="s">
        <v>424</v>
      </c>
      <c r="U436" s="17" t="s">
        <v>424</v>
      </c>
      <c r="V436" s="17" t="s">
        <v>424</v>
      </c>
      <c r="W436" s="17" t="s">
        <v>424</v>
      </c>
    </row>
    <row r="437" spans="1:23" x14ac:dyDescent="0.25">
      <c r="A437" s="66" t="s">
        <v>443</v>
      </c>
      <c r="B437" s="20" t="s">
        <v>7</v>
      </c>
      <c r="C437" s="20" t="s">
        <v>427</v>
      </c>
      <c r="D437" s="18" t="s">
        <v>117</v>
      </c>
      <c r="E437" s="18" t="s">
        <v>1854</v>
      </c>
      <c r="F437" s="18">
        <v>5.94</v>
      </c>
      <c r="G437" s="23">
        <v>0.97</v>
      </c>
      <c r="H437" s="20">
        <v>8.59</v>
      </c>
      <c r="I437" s="25">
        <v>13.091241989624665</v>
      </c>
      <c r="J437" s="24">
        <f>G437/F437*((100-H437)/100)*((100-I437)/100)*100</f>
        <v>12.973063438782081</v>
      </c>
      <c r="K437" s="53">
        <v>4.1478809738503157</v>
      </c>
      <c r="L437" s="54">
        <f>J437*10000/K437</f>
        <v>31276.363812194191</v>
      </c>
      <c r="M437" s="55">
        <v>46.1</v>
      </c>
      <c r="N437" s="55">
        <v>22.5</v>
      </c>
      <c r="O437" s="56">
        <v>48.463000000000001</v>
      </c>
      <c r="P437" s="55">
        <v>68.3</v>
      </c>
      <c r="Q437" s="17" t="s">
        <v>424</v>
      </c>
      <c r="R437" s="17" t="s">
        <v>424</v>
      </c>
      <c r="S437" s="17" t="s">
        <v>424</v>
      </c>
      <c r="T437" s="17" t="s">
        <v>424</v>
      </c>
      <c r="U437" s="17" t="s">
        <v>424</v>
      </c>
      <c r="V437" s="17" t="s">
        <v>424</v>
      </c>
      <c r="W437" s="17" t="s">
        <v>424</v>
      </c>
    </row>
    <row r="438" spans="1:23" x14ac:dyDescent="0.25">
      <c r="A438" s="66" t="s">
        <v>442</v>
      </c>
      <c r="B438" s="20" t="s">
        <v>7</v>
      </c>
      <c r="C438" s="20" t="s">
        <v>427</v>
      </c>
      <c r="D438" s="18" t="s">
        <v>12</v>
      </c>
      <c r="E438" s="18" t="s">
        <v>1708</v>
      </c>
      <c r="F438" s="18">
        <v>5.94</v>
      </c>
      <c r="G438" s="23">
        <v>2.02</v>
      </c>
      <c r="H438" s="20">
        <v>8.59</v>
      </c>
      <c r="I438" s="25">
        <v>7.5815300213349603</v>
      </c>
      <c r="J438" s="24">
        <f>G438/F438*((100-H438)/100)*((100-I438)/100)*100</f>
        <v>28.728794828812354</v>
      </c>
      <c r="K438" s="53">
        <v>5.131995776135164</v>
      </c>
      <c r="L438" s="54">
        <f>J438*10000/K438</f>
        <v>55979.770993591148</v>
      </c>
      <c r="M438" s="55">
        <v>47.7</v>
      </c>
      <c r="N438" s="55">
        <v>19.2</v>
      </c>
      <c r="O438" s="56">
        <v>3.9434</v>
      </c>
      <c r="P438" s="55">
        <v>13.5</v>
      </c>
      <c r="Q438" s="17" t="s">
        <v>424</v>
      </c>
      <c r="R438" s="17" t="s">
        <v>424</v>
      </c>
      <c r="S438" s="17" t="s">
        <v>424</v>
      </c>
      <c r="T438" s="17" t="s">
        <v>424</v>
      </c>
      <c r="U438" s="17" t="s">
        <v>424</v>
      </c>
      <c r="V438" s="17" t="s">
        <v>424</v>
      </c>
      <c r="W438" s="17" t="s">
        <v>424</v>
      </c>
    </row>
    <row r="439" spans="1:23" x14ac:dyDescent="0.25">
      <c r="A439" s="66" t="s">
        <v>441</v>
      </c>
      <c r="B439" s="20" t="s">
        <v>7</v>
      </c>
      <c r="C439" s="20" t="s">
        <v>427</v>
      </c>
      <c r="D439" s="18" t="s">
        <v>134</v>
      </c>
      <c r="E439" s="18" t="s">
        <v>1852</v>
      </c>
      <c r="F439" s="18">
        <v>5.94</v>
      </c>
      <c r="G439" s="23">
        <v>1.05</v>
      </c>
      <c r="H439" s="20">
        <v>8.59</v>
      </c>
      <c r="I439" s="25">
        <v>16.536447153773508</v>
      </c>
      <c r="J439" s="24">
        <f>G439/F439*((100-H439)/100)*((100-I439)/100)*100</f>
        <v>13.486319080736099</v>
      </c>
      <c r="K439" s="53">
        <v>4.9797570850202426</v>
      </c>
      <c r="L439" s="54">
        <f>J439*10000/K439</f>
        <v>27082.283032047289</v>
      </c>
      <c r="M439" s="55">
        <v>44.8</v>
      </c>
      <c r="N439" s="55">
        <v>22.2</v>
      </c>
      <c r="O439" s="56">
        <v>42.648000000000003</v>
      </c>
      <c r="P439" s="55">
        <v>68.2</v>
      </c>
      <c r="Q439" s="17" t="s">
        <v>424</v>
      </c>
      <c r="R439" s="17" t="s">
        <v>424</v>
      </c>
      <c r="S439" s="17" t="s">
        <v>424</v>
      </c>
      <c r="T439" s="17" t="s">
        <v>424</v>
      </c>
      <c r="U439" s="17" t="s">
        <v>424</v>
      </c>
      <c r="V439" s="17" t="s">
        <v>424</v>
      </c>
      <c r="W439" s="17" t="s">
        <v>424</v>
      </c>
    </row>
    <row r="440" spans="1:23" x14ac:dyDescent="0.25">
      <c r="A440" s="66" t="s">
        <v>440</v>
      </c>
      <c r="B440" s="20" t="s">
        <v>7</v>
      </c>
      <c r="C440" s="20" t="s">
        <v>427</v>
      </c>
      <c r="D440" s="18" t="s">
        <v>139</v>
      </c>
      <c r="E440" s="18" t="s">
        <v>1864</v>
      </c>
      <c r="F440" s="18">
        <v>5.94</v>
      </c>
      <c r="G440" s="23">
        <v>1</v>
      </c>
      <c r="H440" s="20">
        <v>8.59</v>
      </c>
      <c r="I440" s="25">
        <v>13.144230024025427</v>
      </c>
      <c r="J440" s="24">
        <f>G440/F440*((100-H440)/100)*((100-I440)/100)*100</f>
        <v>13.366137935191638</v>
      </c>
      <c r="K440" s="53">
        <v>5.0575916230366493</v>
      </c>
      <c r="L440" s="54">
        <f>J440*10000/K440</f>
        <v>26427.871072687398</v>
      </c>
      <c r="M440" s="55">
        <v>44</v>
      </c>
      <c r="N440" s="55">
        <v>23.1</v>
      </c>
      <c r="O440" s="56">
        <v>14.348000000000001</v>
      </c>
      <c r="P440" s="55">
        <v>77.2</v>
      </c>
      <c r="Q440" s="17" t="s">
        <v>424</v>
      </c>
      <c r="R440" s="17" t="s">
        <v>424</v>
      </c>
      <c r="S440" s="17" t="s">
        <v>424</v>
      </c>
      <c r="T440" s="17" t="s">
        <v>424</v>
      </c>
      <c r="U440" s="17" t="s">
        <v>424</v>
      </c>
      <c r="V440" s="17" t="s">
        <v>424</v>
      </c>
      <c r="W440" s="17" t="s">
        <v>424</v>
      </c>
    </row>
    <row r="441" spans="1:23" x14ac:dyDescent="0.25">
      <c r="A441" s="66" t="s">
        <v>439</v>
      </c>
      <c r="B441" s="20" t="s">
        <v>7</v>
      </c>
      <c r="C441" s="20" t="s">
        <v>427</v>
      </c>
      <c r="D441" s="18" t="s">
        <v>123</v>
      </c>
      <c r="E441" s="18" t="s">
        <v>1850</v>
      </c>
      <c r="F441" s="18">
        <v>5.94</v>
      </c>
      <c r="G441" s="23">
        <v>1.06</v>
      </c>
      <c r="H441" s="20">
        <v>8.59</v>
      </c>
      <c r="I441" s="25">
        <v>10.36490364903649</v>
      </c>
      <c r="J441" s="24">
        <f>G441/F441*((100-H441)/100)*((100-I441)/100)*100</f>
        <v>14.621476105872166</v>
      </c>
      <c r="K441" s="53">
        <v>4.5445920303605316</v>
      </c>
      <c r="L441" s="54">
        <f>J441*10000/K441</f>
        <v>32173.352433380507</v>
      </c>
      <c r="M441" s="55">
        <v>49.1</v>
      </c>
      <c r="N441" s="55">
        <v>20.9</v>
      </c>
      <c r="O441" s="56">
        <v>46.26</v>
      </c>
      <c r="P441" s="55">
        <v>74.599999999999994</v>
      </c>
      <c r="Q441" s="17" t="s">
        <v>424</v>
      </c>
      <c r="R441" s="17" t="s">
        <v>424</v>
      </c>
      <c r="S441" s="17" t="s">
        <v>424</v>
      </c>
      <c r="T441" s="17" t="s">
        <v>424</v>
      </c>
      <c r="U441" s="17" t="s">
        <v>424</v>
      </c>
      <c r="V441" s="17" t="s">
        <v>424</v>
      </c>
      <c r="W441" s="17" t="s">
        <v>424</v>
      </c>
    </row>
    <row r="442" spans="1:23" x14ac:dyDescent="0.25">
      <c r="A442" s="66" t="s">
        <v>144</v>
      </c>
      <c r="B442" s="20" t="s">
        <v>7</v>
      </c>
      <c r="C442" s="20" t="s">
        <v>13</v>
      </c>
      <c r="D442" s="18" t="s">
        <v>12</v>
      </c>
      <c r="E442" s="18" t="s">
        <v>1708</v>
      </c>
      <c r="F442" s="18">
        <v>5.94</v>
      </c>
      <c r="G442" s="23">
        <v>2.41</v>
      </c>
      <c r="H442" s="17">
        <v>6.92</v>
      </c>
      <c r="I442" s="25">
        <v>8.3930321996832884</v>
      </c>
      <c r="J442" s="24">
        <f>G442/F442*((100-H442)/100)*((100-I442)/100)*100</f>
        <v>34.595170903159733</v>
      </c>
      <c r="K442" s="53">
        <v>4.9011446409989592</v>
      </c>
      <c r="L442" s="54">
        <f>J442*10000/K442</f>
        <v>70585.900717487268</v>
      </c>
      <c r="M442" s="55">
        <v>48.9</v>
      </c>
      <c r="N442" s="55">
        <v>18.5</v>
      </c>
      <c r="O442" s="56">
        <v>9.8384999999999998</v>
      </c>
      <c r="P442" s="55">
        <v>18.899999999999999</v>
      </c>
      <c r="Q442" s="17" t="s">
        <v>424</v>
      </c>
      <c r="R442" s="17" t="s">
        <v>424</v>
      </c>
      <c r="S442" s="17" t="s">
        <v>424</v>
      </c>
      <c r="T442" s="17" t="s">
        <v>424</v>
      </c>
      <c r="U442" s="17" t="s">
        <v>424</v>
      </c>
      <c r="V442" s="17" t="s">
        <v>424</v>
      </c>
      <c r="W442" s="17" t="s">
        <v>424</v>
      </c>
    </row>
    <row r="443" spans="1:23" x14ac:dyDescent="0.25">
      <c r="A443" s="66" t="s">
        <v>145</v>
      </c>
      <c r="B443" s="20" t="s">
        <v>7</v>
      </c>
      <c r="C443" s="20" t="s">
        <v>13</v>
      </c>
      <c r="D443" s="18" t="s">
        <v>143</v>
      </c>
      <c r="E443" s="18" t="s">
        <v>1858</v>
      </c>
      <c r="F443" s="18">
        <v>5.94</v>
      </c>
      <c r="G443" s="23">
        <v>1.34</v>
      </c>
      <c r="H443" s="17">
        <v>6.92</v>
      </c>
      <c r="I443" s="25">
        <v>11.279293123319253</v>
      </c>
      <c r="J443" s="24">
        <f>G443/F443*((100-H443)/100)*((100-I443)/100)*100</f>
        <v>18.629436617422787</v>
      </c>
      <c r="K443" s="53">
        <v>4.9473684210526319</v>
      </c>
      <c r="L443" s="54">
        <f>J443*10000/K443</f>
        <v>37655.244226705632</v>
      </c>
      <c r="M443" s="55">
        <v>46.7</v>
      </c>
      <c r="N443" s="55">
        <v>20.8</v>
      </c>
      <c r="O443" s="56">
        <v>49.329000000000001</v>
      </c>
      <c r="P443" s="55">
        <v>64</v>
      </c>
      <c r="Q443" s="17" t="s">
        <v>424</v>
      </c>
      <c r="R443" s="17" t="s">
        <v>424</v>
      </c>
      <c r="S443" s="17" t="s">
        <v>424</v>
      </c>
      <c r="T443" s="17" t="s">
        <v>424</v>
      </c>
      <c r="U443" s="17" t="s">
        <v>424</v>
      </c>
      <c r="V443" s="17" t="s">
        <v>424</v>
      </c>
      <c r="W443" s="17" t="s">
        <v>424</v>
      </c>
    </row>
    <row r="444" spans="1:23" x14ac:dyDescent="0.25">
      <c r="A444" s="66" t="s">
        <v>146</v>
      </c>
      <c r="B444" s="20" t="s">
        <v>7</v>
      </c>
      <c r="C444" s="20" t="s">
        <v>13</v>
      </c>
      <c r="D444" s="18" t="s">
        <v>113</v>
      </c>
      <c r="E444" s="18" t="s">
        <v>1846</v>
      </c>
      <c r="F444" s="18">
        <v>5.94</v>
      </c>
      <c r="G444" s="23">
        <v>1.37</v>
      </c>
      <c r="H444" s="17">
        <v>6.92</v>
      </c>
      <c r="I444" s="25">
        <v>10.291752814151158</v>
      </c>
      <c r="J444" s="24">
        <f>G444/F444*((100-H444)/100)*((100-I444)/100)*100</f>
        <v>19.258518178182779</v>
      </c>
      <c r="K444" s="53">
        <v>5.0867678958785252</v>
      </c>
      <c r="L444" s="54">
        <f>J444*10000/K444</f>
        <v>37860.029339625842</v>
      </c>
      <c r="M444" s="55">
        <v>46.5</v>
      </c>
      <c r="N444" s="55">
        <v>21.5</v>
      </c>
      <c r="O444" s="56">
        <v>46.228000000000002</v>
      </c>
      <c r="P444" s="55">
        <v>59.9</v>
      </c>
      <c r="Q444" s="17" t="s">
        <v>424</v>
      </c>
      <c r="R444" s="17" t="s">
        <v>424</v>
      </c>
      <c r="S444" s="17" t="s">
        <v>424</v>
      </c>
      <c r="T444" s="17" t="s">
        <v>424</v>
      </c>
      <c r="U444" s="17" t="s">
        <v>424</v>
      </c>
      <c r="V444" s="17" t="s">
        <v>424</v>
      </c>
      <c r="W444" s="17" t="s">
        <v>424</v>
      </c>
    </row>
    <row r="445" spans="1:23" x14ac:dyDescent="0.25">
      <c r="A445" s="66" t="s">
        <v>147</v>
      </c>
      <c r="B445" s="20" t="s">
        <v>7</v>
      </c>
      <c r="C445" s="20" t="s">
        <v>13</v>
      </c>
      <c r="D445" s="18" t="s">
        <v>110</v>
      </c>
      <c r="E445" s="18" t="s">
        <v>1822</v>
      </c>
      <c r="F445" s="18">
        <v>5.94</v>
      </c>
      <c r="G445" s="23">
        <v>1.01</v>
      </c>
      <c r="H445" s="17">
        <v>6.92</v>
      </c>
      <c r="I445" s="25">
        <v>16.633312807881765</v>
      </c>
      <c r="J445" s="24">
        <f>G445/F445*((100-H445)/100)*((100-I445)/100)*100</f>
        <v>13.194223832122539</v>
      </c>
      <c r="K445" s="53">
        <v>5.0103950103950101</v>
      </c>
      <c r="L445" s="54">
        <f>J445*10000/K445</f>
        <v>26333.699847514279</v>
      </c>
      <c r="M445" s="55">
        <v>47</v>
      </c>
      <c r="N445" s="55">
        <v>21.4</v>
      </c>
      <c r="O445" s="56">
        <v>35.746000000000002</v>
      </c>
      <c r="P445" s="55">
        <v>63.1</v>
      </c>
      <c r="Q445" s="17" t="s">
        <v>424</v>
      </c>
      <c r="R445" s="17" t="s">
        <v>424</v>
      </c>
      <c r="S445" s="17" t="s">
        <v>424</v>
      </c>
      <c r="T445" s="17" t="s">
        <v>424</v>
      </c>
      <c r="U445" s="17" t="s">
        <v>424</v>
      </c>
      <c r="V445" s="17" t="s">
        <v>424</v>
      </c>
      <c r="W445" s="17" t="s">
        <v>424</v>
      </c>
    </row>
    <row r="446" spans="1:23" x14ac:dyDescent="0.25">
      <c r="A446" s="66" t="s">
        <v>148</v>
      </c>
      <c r="B446" s="20" t="s">
        <v>7</v>
      </c>
      <c r="C446" s="20" t="s">
        <v>13</v>
      </c>
      <c r="D446" s="18" t="s">
        <v>132</v>
      </c>
      <c r="E446" s="18" t="s">
        <v>1828</v>
      </c>
      <c r="F446" s="18">
        <v>5.94</v>
      </c>
      <c r="G446" s="23">
        <v>0.76</v>
      </c>
      <c r="H446" s="17">
        <v>6.92</v>
      </c>
      <c r="I446" s="25">
        <v>8.5150491400491433</v>
      </c>
      <c r="J446" s="24">
        <f>G446/F446*((100-H446)/100)*((100-I446)/100)*100</f>
        <v>10.895149178103722</v>
      </c>
      <c r="K446" s="53">
        <v>5.1693989071038251</v>
      </c>
      <c r="L446" s="54">
        <f>J446*10000/K446</f>
        <v>21076.239953414177</v>
      </c>
      <c r="M446" s="55">
        <v>45.2</v>
      </c>
      <c r="N446" s="55">
        <v>23</v>
      </c>
      <c r="O446" s="56">
        <v>10.942</v>
      </c>
      <c r="P446" s="55">
        <v>65.900000000000006</v>
      </c>
      <c r="Q446" s="17" t="s">
        <v>424</v>
      </c>
      <c r="R446" s="17" t="s">
        <v>424</v>
      </c>
      <c r="S446" s="17" t="s">
        <v>424</v>
      </c>
      <c r="T446" s="17" t="s">
        <v>424</v>
      </c>
      <c r="U446" s="17" t="s">
        <v>424</v>
      </c>
      <c r="V446" s="17" t="s">
        <v>424</v>
      </c>
      <c r="W446" s="17" t="s">
        <v>424</v>
      </c>
    </row>
    <row r="447" spans="1:23" x14ac:dyDescent="0.25">
      <c r="A447" s="66" t="s">
        <v>149</v>
      </c>
      <c r="B447" s="20" t="s">
        <v>7</v>
      </c>
      <c r="C447" s="20" t="s">
        <v>13</v>
      </c>
      <c r="D447" s="18" t="s">
        <v>131</v>
      </c>
      <c r="E447" s="18" t="s">
        <v>1842</v>
      </c>
      <c r="F447" s="18">
        <v>5.94</v>
      </c>
      <c r="G447" s="23">
        <v>1.27</v>
      </c>
      <c r="H447" s="17">
        <v>6.92</v>
      </c>
      <c r="I447" s="25">
        <v>15.679574791192097</v>
      </c>
      <c r="J447" s="24">
        <f>G447/F447*((100-H447)/100)*((100-I447)/100)*100</f>
        <v>16.780559556588411</v>
      </c>
      <c r="K447" s="53">
        <v>5.3400222965440358</v>
      </c>
      <c r="L447" s="54">
        <f>J447*10000/K447</f>
        <v>31424.137624759507</v>
      </c>
      <c r="M447" s="55">
        <v>48</v>
      </c>
      <c r="N447" s="55">
        <v>20.8</v>
      </c>
      <c r="O447" s="56">
        <v>7.5393999999999997</v>
      </c>
      <c r="P447" s="55">
        <v>73.2</v>
      </c>
      <c r="Q447" s="17" t="s">
        <v>424</v>
      </c>
      <c r="R447" s="17" t="s">
        <v>424</v>
      </c>
      <c r="S447" s="17" t="s">
        <v>424</v>
      </c>
      <c r="T447" s="17" t="s">
        <v>424</v>
      </c>
      <c r="U447" s="17" t="s">
        <v>424</v>
      </c>
      <c r="V447" s="17" t="s">
        <v>424</v>
      </c>
      <c r="W447" s="17" t="s">
        <v>424</v>
      </c>
    </row>
    <row r="448" spans="1:23" x14ac:dyDescent="0.25">
      <c r="A448" s="66" t="s">
        <v>450</v>
      </c>
      <c r="B448" s="20" t="s">
        <v>7</v>
      </c>
      <c r="C448" s="20" t="s">
        <v>427</v>
      </c>
      <c r="D448" s="18" t="s">
        <v>119</v>
      </c>
      <c r="E448" s="18" t="s">
        <v>1826</v>
      </c>
      <c r="F448" s="18">
        <v>5.94</v>
      </c>
      <c r="G448" s="23">
        <v>1.1200000000000001</v>
      </c>
      <c r="H448" s="20">
        <v>8.59</v>
      </c>
      <c r="I448" s="25">
        <v>10.656305301223355</v>
      </c>
      <c r="J448" s="24">
        <f>G448/F448*((100-H448)/100)*((100-I448)/100)*100</f>
        <v>15.39888213519359</v>
      </c>
      <c r="K448" s="53">
        <v>5.0762527233115469</v>
      </c>
      <c r="L448" s="54">
        <f>J448*10000/K448</f>
        <v>30335.136910102396</v>
      </c>
      <c r="M448" s="55">
        <v>47</v>
      </c>
      <c r="N448" s="55">
        <v>22.3</v>
      </c>
      <c r="O448" s="56">
        <v>34.42</v>
      </c>
      <c r="P448" s="55">
        <v>58.2</v>
      </c>
      <c r="Q448" s="17" t="s">
        <v>424</v>
      </c>
      <c r="R448" s="17" t="s">
        <v>424</v>
      </c>
      <c r="S448" s="17" t="s">
        <v>424</v>
      </c>
      <c r="T448" s="17" t="s">
        <v>424</v>
      </c>
      <c r="U448" s="17" t="s">
        <v>424</v>
      </c>
      <c r="V448" s="17" t="s">
        <v>424</v>
      </c>
      <c r="W448" s="17" t="s">
        <v>424</v>
      </c>
    </row>
    <row r="449" spans="1:23" x14ac:dyDescent="0.25">
      <c r="A449" s="66" t="s">
        <v>449</v>
      </c>
      <c r="B449" s="20" t="s">
        <v>7</v>
      </c>
      <c r="C449" s="20" t="s">
        <v>427</v>
      </c>
      <c r="D449" s="18" t="s">
        <v>136</v>
      </c>
      <c r="E449" s="18" t="s">
        <v>1840</v>
      </c>
      <c r="F449" s="18">
        <v>5.94</v>
      </c>
      <c r="G449" s="23">
        <v>1.52</v>
      </c>
      <c r="H449" s="20">
        <v>8.59</v>
      </c>
      <c r="I449" s="25">
        <v>7.6206604572396204</v>
      </c>
      <c r="J449" s="24">
        <f>G449/F449*((100-H449)/100)*((100-I449)/100)*100</f>
        <v>21.608553956157682</v>
      </c>
      <c r="K449" s="53">
        <v>4.803719008264463</v>
      </c>
      <c r="L449" s="54">
        <f>J449*10000/K449</f>
        <v>44982.968235614273</v>
      </c>
      <c r="M449" s="55">
        <v>46.8</v>
      </c>
      <c r="N449" s="55">
        <v>20.100000000000001</v>
      </c>
      <c r="O449" s="56">
        <v>7.2286999999999999</v>
      </c>
      <c r="P449" s="55">
        <v>57.4</v>
      </c>
      <c r="Q449" s="17" t="s">
        <v>424</v>
      </c>
      <c r="R449" s="17" t="s">
        <v>424</v>
      </c>
      <c r="S449" s="17" t="s">
        <v>424</v>
      </c>
      <c r="T449" s="17" t="s">
        <v>424</v>
      </c>
      <c r="U449" s="17" t="s">
        <v>424</v>
      </c>
      <c r="V449" s="17" t="s">
        <v>424</v>
      </c>
      <c r="W449" s="17" t="s">
        <v>424</v>
      </c>
    </row>
    <row r="450" spans="1:23" x14ac:dyDescent="0.25">
      <c r="A450" s="66" t="s">
        <v>448</v>
      </c>
      <c r="B450" s="20" t="s">
        <v>7</v>
      </c>
      <c r="C450" s="20" t="s">
        <v>427</v>
      </c>
      <c r="D450" s="18" t="s">
        <v>133</v>
      </c>
      <c r="E450" s="18" t="s">
        <v>1838</v>
      </c>
      <c r="F450" s="18">
        <v>5.94</v>
      </c>
      <c r="G450" s="23">
        <v>1.29</v>
      </c>
      <c r="H450" s="20">
        <v>8.59</v>
      </c>
      <c r="I450" s="25">
        <v>12.319397479249922</v>
      </c>
      <c r="J450" s="24">
        <f>G450/F450*((100-H450)/100)*((100-I450)/100)*100</f>
        <v>17.406060943744233</v>
      </c>
      <c r="K450" s="53">
        <v>4.9224405377456053</v>
      </c>
      <c r="L450" s="54">
        <f>J450*10000/K450</f>
        <v>35360.632211345946</v>
      </c>
      <c r="M450" s="55">
        <v>45.4</v>
      </c>
      <c r="N450" s="55">
        <v>21.6</v>
      </c>
      <c r="O450" s="56">
        <v>4.2615999999999996</v>
      </c>
      <c r="P450" s="55">
        <v>63.1</v>
      </c>
      <c r="Q450" s="17" t="s">
        <v>424</v>
      </c>
      <c r="R450" s="17" t="s">
        <v>424</v>
      </c>
      <c r="S450" s="17" t="s">
        <v>424</v>
      </c>
      <c r="T450" s="17" t="s">
        <v>424</v>
      </c>
      <c r="U450" s="17" t="s">
        <v>424</v>
      </c>
      <c r="V450" s="17" t="s">
        <v>424</v>
      </c>
      <c r="W450" s="17" t="s">
        <v>424</v>
      </c>
    </row>
    <row r="451" spans="1:23" x14ac:dyDescent="0.25">
      <c r="A451" s="66" t="s">
        <v>447</v>
      </c>
      <c r="B451" s="20" t="s">
        <v>7</v>
      </c>
      <c r="C451" s="20" t="s">
        <v>427</v>
      </c>
      <c r="D451" s="18" t="s">
        <v>143</v>
      </c>
      <c r="E451" s="18" t="s">
        <v>1858</v>
      </c>
      <c r="F451" s="18">
        <v>5.94</v>
      </c>
      <c r="G451" s="23">
        <v>1.25</v>
      </c>
      <c r="H451" s="20">
        <v>8.59</v>
      </c>
      <c r="I451" s="25">
        <v>13.391277594031227</v>
      </c>
      <c r="J451" s="24">
        <f>G451/F451*((100-H451)/100)*((100-I451)/100)*100</f>
        <v>16.660150073925934</v>
      </c>
      <c r="K451" s="53">
        <v>5.0215982721382293</v>
      </c>
      <c r="L451" s="54">
        <f>J451*10000/K451</f>
        <v>33176.987028936368</v>
      </c>
      <c r="M451" s="55">
        <v>47.8</v>
      </c>
      <c r="N451" s="55">
        <v>22.1</v>
      </c>
      <c r="O451" s="56">
        <v>46.259</v>
      </c>
      <c r="P451" s="55">
        <v>65</v>
      </c>
      <c r="Q451" s="17" t="s">
        <v>424</v>
      </c>
      <c r="R451" s="17" t="s">
        <v>424</v>
      </c>
      <c r="S451" s="17" t="s">
        <v>424</v>
      </c>
      <c r="T451" s="17" t="s">
        <v>424</v>
      </c>
      <c r="U451" s="17" t="s">
        <v>424</v>
      </c>
      <c r="V451" s="17" t="s">
        <v>424</v>
      </c>
      <c r="W451" s="17" t="s">
        <v>424</v>
      </c>
    </row>
    <row r="452" spans="1:23" x14ac:dyDescent="0.25">
      <c r="A452" s="66" t="s">
        <v>446</v>
      </c>
      <c r="B452" s="20" t="s">
        <v>7</v>
      </c>
      <c r="C452" s="20" t="s">
        <v>427</v>
      </c>
      <c r="D452" s="18" t="s">
        <v>127</v>
      </c>
      <c r="E452" s="18" t="s">
        <v>1856</v>
      </c>
      <c r="F452" s="18">
        <v>5.94</v>
      </c>
      <c r="G452" s="23">
        <v>1.37</v>
      </c>
      <c r="H452" s="20">
        <v>8.59</v>
      </c>
      <c r="I452" s="25">
        <v>12.789449470940037</v>
      </c>
      <c r="J452" s="24">
        <f>G452/F452*((100-H452)/100)*((100-I452)/100)*100</f>
        <v>18.386406566818312</v>
      </c>
      <c r="K452" s="53">
        <v>5.2272727272727275</v>
      </c>
      <c r="L452" s="54">
        <f>J452*10000/K452</f>
        <v>35173.995171304596</v>
      </c>
      <c r="M452" s="55">
        <v>49</v>
      </c>
      <c r="N452" s="55">
        <v>21.5</v>
      </c>
      <c r="O452" s="56">
        <v>51.487000000000002</v>
      </c>
      <c r="P452" s="55">
        <v>69.599999999999994</v>
      </c>
      <c r="Q452" s="17" t="s">
        <v>424</v>
      </c>
      <c r="R452" s="17" t="s">
        <v>424</v>
      </c>
      <c r="S452" s="17" t="s">
        <v>424</v>
      </c>
      <c r="T452" s="17" t="s">
        <v>424</v>
      </c>
      <c r="U452" s="17" t="s">
        <v>424</v>
      </c>
      <c r="V452" s="17" t="s">
        <v>424</v>
      </c>
      <c r="W452" s="17" t="s">
        <v>424</v>
      </c>
    </row>
    <row r="453" spans="1:23" x14ac:dyDescent="0.25">
      <c r="A453" s="66" t="s">
        <v>445</v>
      </c>
      <c r="B453" s="20" t="s">
        <v>7</v>
      </c>
      <c r="C453" s="20" t="s">
        <v>427</v>
      </c>
      <c r="D453" s="18" t="s">
        <v>118</v>
      </c>
      <c r="E453" s="18" t="s">
        <v>1862</v>
      </c>
      <c r="F453" s="18">
        <v>5.94</v>
      </c>
      <c r="G453" s="23">
        <v>1.08</v>
      </c>
      <c r="H453" s="20">
        <v>8.59</v>
      </c>
      <c r="I453" s="25">
        <v>10.226230510547239</v>
      </c>
      <c r="J453" s="24">
        <f>G453/F453*((100-H453)/100)*((100-I453)/100)*100</f>
        <v>14.920400489147049</v>
      </c>
      <c r="K453" s="53">
        <v>5.3571428571428568</v>
      </c>
      <c r="L453" s="54">
        <f>J453*10000/K453</f>
        <v>27851.414246407825</v>
      </c>
      <c r="M453" s="55">
        <v>47.2</v>
      </c>
      <c r="N453" s="55">
        <v>21.9</v>
      </c>
      <c r="O453" s="56">
        <v>11.009</v>
      </c>
      <c r="P453" s="55">
        <v>71.099999999999994</v>
      </c>
      <c r="Q453" s="17" t="s">
        <v>424</v>
      </c>
      <c r="R453" s="17" t="s">
        <v>424</v>
      </c>
      <c r="S453" s="17" t="s">
        <v>424</v>
      </c>
      <c r="T453" s="17" t="s">
        <v>424</v>
      </c>
      <c r="U453" s="17" t="s">
        <v>424</v>
      </c>
      <c r="V453" s="17" t="s">
        <v>424</v>
      </c>
      <c r="W453" s="17" t="s">
        <v>424</v>
      </c>
    </row>
    <row r="454" spans="1:23" x14ac:dyDescent="0.25">
      <c r="A454" s="66" t="s">
        <v>1267</v>
      </c>
      <c r="B454" s="17" t="s">
        <v>10</v>
      </c>
      <c r="C454" s="17" t="s">
        <v>836</v>
      </c>
      <c r="D454" s="18" t="s">
        <v>12</v>
      </c>
      <c r="E454" s="18" t="s">
        <v>1708</v>
      </c>
      <c r="F454" s="18">
        <v>5.94</v>
      </c>
      <c r="G454" s="22">
        <v>1.79</v>
      </c>
      <c r="H454" s="17">
        <v>7.69</v>
      </c>
      <c r="I454" s="25">
        <v>10.102091223448046</v>
      </c>
      <c r="J454" s="24">
        <f>G454/F454*((100-H454)/100)*((100-I454)/100)*100</f>
        <v>25.007191863472535</v>
      </c>
      <c r="K454" s="53">
        <v>4.9736564805057952</v>
      </c>
      <c r="L454" s="54">
        <f>J454*10000/K454</f>
        <v>50279.290420414065</v>
      </c>
      <c r="M454" s="55">
        <v>51.5</v>
      </c>
      <c r="N454" s="55">
        <v>17</v>
      </c>
      <c r="O454" s="56">
        <v>5.5746000000000002</v>
      </c>
      <c r="P454" s="55">
        <v>16.600000000000001</v>
      </c>
      <c r="Q454" s="17" t="s">
        <v>424</v>
      </c>
      <c r="R454" s="17" t="s">
        <v>424</v>
      </c>
      <c r="S454" s="17" t="s">
        <v>424</v>
      </c>
      <c r="T454" s="17" t="s">
        <v>424</v>
      </c>
      <c r="U454" s="17" t="s">
        <v>424</v>
      </c>
      <c r="V454" s="17" t="s">
        <v>424</v>
      </c>
      <c r="W454" s="17" t="s">
        <v>424</v>
      </c>
    </row>
    <row r="455" spans="1:23" x14ac:dyDescent="0.25">
      <c r="A455" s="66" t="s">
        <v>150</v>
      </c>
      <c r="B455" s="20" t="s">
        <v>7</v>
      </c>
      <c r="C455" s="20" t="s">
        <v>13</v>
      </c>
      <c r="D455" s="18" t="s">
        <v>130</v>
      </c>
      <c r="E455" s="18" t="s">
        <v>1848</v>
      </c>
      <c r="F455" s="18">
        <v>5.94</v>
      </c>
      <c r="G455" s="23">
        <v>1.1499999999999999</v>
      </c>
      <c r="H455" s="17">
        <v>6.92</v>
      </c>
      <c r="I455" s="25">
        <v>16.25645700395016</v>
      </c>
      <c r="J455" s="24">
        <f>G455/F455*((100-H455)/100)*((100-I455)/100)*100</f>
        <v>15.09103759155415</v>
      </c>
      <c r="K455" s="53">
        <v>6.044776119402985</v>
      </c>
      <c r="L455" s="54">
        <f>J455*10000/K455</f>
        <v>24965.420213188347</v>
      </c>
      <c r="M455" s="55">
        <v>49.1</v>
      </c>
      <c r="N455" s="55">
        <v>21.6</v>
      </c>
      <c r="O455" s="56">
        <v>47.34</v>
      </c>
      <c r="P455" s="55">
        <v>75</v>
      </c>
      <c r="Q455" s="17" t="s">
        <v>424</v>
      </c>
      <c r="R455" s="17" t="s">
        <v>424</v>
      </c>
      <c r="S455" s="17" t="s">
        <v>424</v>
      </c>
      <c r="T455" s="17" t="s">
        <v>424</v>
      </c>
      <c r="U455" s="17" t="s">
        <v>424</v>
      </c>
      <c r="V455" s="17" t="s">
        <v>424</v>
      </c>
      <c r="W455" s="17" t="s">
        <v>424</v>
      </c>
    </row>
    <row r="456" spans="1:23" x14ac:dyDescent="0.25">
      <c r="A456" s="66" t="s">
        <v>151</v>
      </c>
      <c r="B456" s="20" t="s">
        <v>7</v>
      </c>
      <c r="C456" s="20" t="s">
        <v>13</v>
      </c>
      <c r="D456" s="18" t="s">
        <v>111</v>
      </c>
      <c r="E456" s="18" t="s">
        <v>1830</v>
      </c>
      <c r="F456" s="18">
        <v>5.94</v>
      </c>
      <c r="G456" s="23">
        <v>1.1100000000000001</v>
      </c>
      <c r="H456" s="17">
        <v>6.92</v>
      </c>
      <c r="I456" s="25">
        <v>12.440448747502678</v>
      </c>
      <c r="J456" s="24">
        <f>G456/F456*((100-H456)/100)*((100-I456)/100)*100</f>
        <v>15.22987839048236</v>
      </c>
      <c r="K456" s="53">
        <v>5.1657754010695189</v>
      </c>
      <c r="L456" s="54">
        <f>J456*10000/K456</f>
        <v>29482.269762113883</v>
      </c>
      <c r="M456" s="55">
        <v>48.3</v>
      </c>
      <c r="N456" s="55">
        <v>21.4</v>
      </c>
      <c r="O456" s="56">
        <v>50.576999999999998</v>
      </c>
      <c r="P456" s="55">
        <v>73.8</v>
      </c>
      <c r="Q456" s="17" t="s">
        <v>424</v>
      </c>
      <c r="R456" s="17" t="s">
        <v>424</v>
      </c>
      <c r="S456" s="17" t="s">
        <v>424</v>
      </c>
      <c r="T456" s="17" t="s">
        <v>424</v>
      </c>
      <c r="U456" s="17" t="s">
        <v>424</v>
      </c>
      <c r="V456" s="17" t="s">
        <v>424</v>
      </c>
      <c r="W456" s="17" t="s">
        <v>424</v>
      </c>
    </row>
    <row r="457" spans="1:23" x14ac:dyDescent="0.25">
      <c r="A457" s="66" t="s">
        <v>152</v>
      </c>
      <c r="B457" s="20" t="s">
        <v>7</v>
      </c>
      <c r="C457" s="20" t="s">
        <v>13</v>
      </c>
      <c r="D457" s="18" t="s">
        <v>129</v>
      </c>
      <c r="E457" s="18" t="s">
        <v>1836</v>
      </c>
      <c r="F457" s="18">
        <v>5.94</v>
      </c>
      <c r="G457" s="23">
        <v>1.25</v>
      </c>
      <c r="H457" s="17">
        <v>6.92</v>
      </c>
      <c r="I457" s="25">
        <v>8.3550913838120078</v>
      </c>
      <c r="J457" s="24">
        <f>G457/F457*((100-H457)/100)*((100-I457)/100)*100</f>
        <v>17.950985046285307</v>
      </c>
      <c r="K457" s="53">
        <v>5.2643419572553434</v>
      </c>
      <c r="L457" s="54">
        <f>J457*10000/K457</f>
        <v>34099.20022681119</v>
      </c>
      <c r="M457" s="55">
        <v>48.7</v>
      </c>
      <c r="N457" s="55">
        <v>18.8</v>
      </c>
      <c r="O457" s="56">
        <v>5.9446000000000003</v>
      </c>
      <c r="P457" s="55">
        <v>60.4</v>
      </c>
      <c r="Q457" s="17" t="s">
        <v>424</v>
      </c>
      <c r="R457" s="17" t="s">
        <v>424</v>
      </c>
      <c r="S457" s="17" t="s">
        <v>424</v>
      </c>
      <c r="T457" s="17" t="s">
        <v>424</v>
      </c>
      <c r="U457" s="17" t="s">
        <v>424</v>
      </c>
      <c r="V457" s="17" t="s">
        <v>424</v>
      </c>
      <c r="W457" s="17" t="s">
        <v>424</v>
      </c>
    </row>
    <row r="458" spans="1:23" x14ac:dyDescent="0.25">
      <c r="A458" s="66" t="s">
        <v>153</v>
      </c>
      <c r="B458" s="20" t="s">
        <v>7</v>
      </c>
      <c r="C458" s="20" t="s">
        <v>13</v>
      </c>
      <c r="D458" s="18" t="s">
        <v>118</v>
      </c>
      <c r="E458" s="18" t="s">
        <v>1862</v>
      </c>
      <c r="F458" s="18">
        <v>5.94</v>
      </c>
      <c r="G458" s="23">
        <v>1.21</v>
      </c>
      <c r="H458" s="17">
        <v>6.92</v>
      </c>
      <c r="I458" s="25">
        <v>12.024214907302307</v>
      </c>
      <c r="J458" s="24">
        <f>G458/F458*((100-H458)/100)*((100-I458)/100)*100</f>
        <v>16.680860526057646</v>
      </c>
      <c r="K458" s="53">
        <v>5.2815315315315319</v>
      </c>
      <c r="L458" s="54">
        <f>J458*10000/K458</f>
        <v>31583.377712450299</v>
      </c>
      <c r="M458" s="55">
        <v>47</v>
      </c>
      <c r="N458" s="55">
        <v>22.1</v>
      </c>
      <c r="O458" s="56">
        <v>12.476000000000001</v>
      </c>
      <c r="P458" s="55">
        <v>70.900000000000006</v>
      </c>
      <c r="Q458" s="17" t="s">
        <v>424</v>
      </c>
      <c r="R458" s="17" t="s">
        <v>424</v>
      </c>
      <c r="S458" s="17" t="s">
        <v>424</v>
      </c>
      <c r="T458" s="17" t="s">
        <v>424</v>
      </c>
      <c r="U458" s="17" t="s">
        <v>424</v>
      </c>
      <c r="V458" s="17" t="s">
        <v>424</v>
      </c>
      <c r="W458" s="17" t="s">
        <v>424</v>
      </c>
    </row>
    <row r="459" spans="1:23" x14ac:dyDescent="0.25">
      <c r="A459" s="66" t="s">
        <v>154</v>
      </c>
      <c r="B459" s="20" t="s">
        <v>7</v>
      </c>
      <c r="C459" s="20" t="s">
        <v>13</v>
      </c>
      <c r="D459" s="18" t="s">
        <v>134</v>
      </c>
      <c r="E459" s="18" t="s">
        <v>1852</v>
      </c>
      <c r="F459" s="18">
        <v>5.94</v>
      </c>
      <c r="G459" s="23">
        <v>1.01</v>
      </c>
      <c r="H459" s="17">
        <v>6.92</v>
      </c>
      <c r="I459" s="25">
        <v>15.36095948335511</v>
      </c>
      <c r="J459" s="24">
        <f>G459/F459*((100-H459)/100)*((100-I459)/100)*100</f>
        <v>13.395595808421209</v>
      </c>
      <c r="K459" s="53">
        <v>4.1308243727598564</v>
      </c>
      <c r="L459" s="54">
        <f>J459*10000/K459</f>
        <v>32428.38377917152</v>
      </c>
      <c r="M459" s="55">
        <v>47</v>
      </c>
      <c r="N459" s="55">
        <v>21.7</v>
      </c>
      <c r="O459" s="56">
        <v>46.871000000000002</v>
      </c>
      <c r="P459" s="55">
        <v>65.400000000000006</v>
      </c>
      <c r="Q459" s="17" t="s">
        <v>424</v>
      </c>
      <c r="R459" s="17" t="s">
        <v>424</v>
      </c>
      <c r="S459" s="17" t="s">
        <v>424</v>
      </c>
      <c r="T459" s="17" t="s">
        <v>424</v>
      </c>
      <c r="U459" s="17" t="s">
        <v>424</v>
      </c>
      <c r="V459" s="17" t="s">
        <v>424</v>
      </c>
      <c r="W459" s="17" t="s">
        <v>424</v>
      </c>
    </row>
    <row r="460" spans="1:23" x14ac:dyDescent="0.25">
      <c r="A460" s="66" t="s">
        <v>155</v>
      </c>
      <c r="B460" s="20" t="s">
        <v>7</v>
      </c>
      <c r="C460" s="20" t="s">
        <v>13</v>
      </c>
      <c r="D460" s="18" t="s">
        <v>114</v>
      </c>
      <c r="E460" s="18" t="s">
        <v>1824</v>
      </c>
      <c r="F460" s="18">
        <v>5.94</v>
      </c>
      <c r="G460" s="23">
        <v>1.45</v>
      </c>
      <c r="H460" s="17">
        <v>6.92</v>
      </c>
      <c r="I460" s="25">
        <v>9.2799383904505177</v>
      </c>
      <c r="J460" s="24">
        <f>G460/F460*((100-H460)/100)*((100-I460)/100)*100</f>
        <v>20.613003089552951</v>
      </c>
      <c r="K460" s="53">
        <v>5.026567481402763</v>
      </c>
      <c r="L460" s="54">
        <f>J460*10000/K460</f>
        <v>41008.109740527121</v>
      </c>
      <c r="M460" s="55">
        <v>52.6</v>
      </c>
      <c r="N460" s="55">
        <v>18.5</v>
      </c>
      <c r="O460" s="56">
        <v>47.551000000000002</v>
      </c>
      <c r="P460" s="55">
        <v>56.6</v>
      </c>
      <c r="Q460" s="17" t="s">
        <v>424</v>
      </c>
      <c r="R460" s="17" t="s">
        <v>424</v>
      </c>
      <c r="S460" s="17" t="s">
        <v>424</v>
      </c>
      <c r="T460" s="17" t="s">
        <v>424</v>
      </c>
      <c r="U460" s="17" t="s">
        <v>424</v>
      </c>
      <c r="V460" s="17" t="s">
        <v>424</v>
      </c>
      <c r="W460" s="17" t="s">
        <v>424</v>
      </c>
    </row>
    <row r="461" spans="1:23" x14ac:dyDescent="0.25">
      <c r="A461" s="19" t="s">
        <v>456</v>
      </c>
      <c r="B461" s="20" t="s">
        <v>7</v>
      </c>
      <c r="C461" s="20" t="s">
        <v>427</v>
      </c>
      <c r="D461" s="18" t="s">
        <v>156</v>
      </c>
      <c r="E461" s="18" t="s">
        <v>1525</v>
      </c>
      <c r="F461" s="18">
        <v>5.94</v>
      </c>
      <c r="G461" s="23">
        <v>1.9</v>
      </c>
      <c r="H461" s="20">
        <v>8.59</v>
      </c>
      <c r="I461" s="25">
        <v>6.2409177820267656</v>
      </c>
      <c r="J461" s="24">
        <f>G461/F461*((100-H461)/100)*((100-I461)/100)*100</f>
        <v>27.41411387295517</v>
      </c>
      <c r="K461" s="53">
        <v>4.120734908136483</v>
      </c>
      <c r="L461" s="54">
        <f>J461*10000/K461</f>
        <v>66527.244494241517</v>
      </c>
      <c r="M461" s="55">
        <v>51.8</v>
      </c>
      <c r="N461" s="55">
        <v>20.100000000000001</v>
      </c>
      <c r="O461" s="56">
        <v>6.4650999999999996</v>
      </c>
      <c r="P461" s="55">
        <v>53.5</v>
      </c>
      <c r="Q461" s="17" t="s">
        <v>424</v>
      </c>
      <c r="R461" s="17" t="s">
        <v>424</v>
      </c>
      <c r="S461" s="17" t="s">
        <v>424</v>
      </c>
      <c r="T461" s="17" t="s">
        <v>424</v>
      </c>
      <c r="U461" s="17" t="s">
        <v>424</v>
      </c>
      <c r="V461" s="17" t="s">
        <v>424</v>
      </c>
      <c r="W461" s="17" t="s">
        <v>424</v>
      </c>
    </row>
    <row r="462" spans="1:23" x14ac:dyDescent="0.25">
      <c r="A462" s="19" t="s">
        <v>455</v>
      </c>
      <c r="B462" s="20" t="s">
        <v>7</v>
      </c>
      <c r="C462" s="20" t="s">
        <v>427</v>
      </c>
      <c r="D462" s="18" t="s">
        <v>157</v>
      </c>
      <c r="E462" s="18" t="s">
        <v>1800</v>
      </c>
      <c r="F462" s="18">
        <v>5.94</v>
      </c>
      <c r="G462" s="23">
        <v>2.84</v>
      </c>
      <c r="H462" s="20">
        <v>8.59</v>
      </c>
      <c r="I462" s="25">
        <v>5.8332695399219103</v>
      </c>
      <c r="J462" s="24">
        <f>G462/F462*((100-H462)/100)*((100-I462)/100)*100</f>
        <v>41.155046399074564</v>
      </c>
      <c r="K462" s="53">
        <v>5.6461001164144351</v>
      </c>
      <c r="L462" s="54">
        <f>J462*10000/K462</f>
        <v>72891.102797536194</v>
      </c>
      <c r="M462" s="55">
        <v>52</v>
      </c>
      <c r="N462" s="55">
        <v>18</v>
      </c>
      <c r="O462" s="56">
        <v>1.1826000000000001</v>
      </c>
      <c r="P462" s="55">
        <v>17.100000000000001</v>
      </c>
      <c r="Q462" s="17" t="s">
        <v>424</v>
      </c>
      <c r="R462" s="17" t="s">
        <v>424</v>
      </c>
      <c r="S462" s="17" t="s">
        <v>424</v>
      </c>
      <c r="T462" s="17" t="s">
        <v>424</v>
      </c>
      <c r="U462" s="17" t="s">
        <v>424</v>
      </c>
      <c r="V462" s="17" t="s">
        <v>424</v>
      </c>
      <c r="W462" s="17" t="s">
        <v>424</v>
      </c>
    </row>
    <row r="463" spans="1:23" x14ac:dyDescent="0.25">
      <c r="A463" s="19" t="s">
        <v>454</v>
      </c>
      <c r="B463" s="20" t="s">
        <v>7</v>
      </c>
      <c r="C463" s="20" t="s">
        <v>427</v>
      </c>
      <c r="D463" s="18" t="s">
        <v>19</v>
      </c>
      <c r="E463" s="18" t="s">
        <v>1680</v>
      </c>
      <c r="F463" s="18">
        <v>5.94</v>
      </c>
      <c r="G463" s="23">
        <v>2.2000000000000002</v>
      </c>
      <c r="H463" s="20">
        <v>8.59</v>
      </c>
      <c r="I463" s="25">
        <v>4.2528735632183894</v>
      </c>
      <c r="J463" s="24">
        <f>G463/F463*((100-H463)/100)*((100-I463)/100)*100</f>
        <v>32.415721583652612</v>
      </c>
      <c r="K463" s="53">
        <v>4.5013979496738115</v>
      </c>
      <c r="L463" s="54">
        <f>J463*10000/K463</f>
        <v>72012.56575415995</v>
      </c>
      <c r="M463" s="55">
        <v>50.9</v>
      </c>
      <c r="N463" s="55">
        <v>17.399999999999999</v>
      </c>
      <c r="O463" s="56">
        <v>-1.8325999999999999E-2</v>
      </c>
      <c r="P463" s="55">
        <v>19.3</v>
      </c>
      <c r="Q463" s="17" t="s">
        <v>424</v>
      </c>
      <c r="R463" s="17" t="s">
        <v>424</v>
      </c>
      <c r="S463" s="17" t="s">
        <v>424</v>
      </c>
      <c r="T463" s="17" t="s">
        <v>424</v>
      </c>
      <c r="U463" s="17" t="s">
        <v>424</v>
      </c>
      <c r="V463" s="17" t="s">
        <v>424</v>
      </c>
      <c r="W463" s="17" t="s">
        <v>424</v>
      </c>
    </row>
    <row r="464" spans="1:23" x14ac:dyDescent="0.25">
      <c r="A464" s="19" t="s">
        <v>453</v>
      </c>
      <c r="B464" s="20" t="s">
        <v>7</v>
      </c>
      <c r="C464" s="20" t="s">
        <v>427</v>
      </c>
      <c r="D464" s="18" t="s">
        <v>158</v>
      </c>
      <c r="E464" s="18" t="s">
        <v>1670</v>
      </c>
      <c r="F464" s="18">
        <v>5.94</v>
      </c>
      <c r="G464" s="23">
        <v>2.2400000000000002</v>
      </c>
      <c r="H464" s="20">
        <v>8.59</v>
      </c>
      <c r="I464" s="25">
        <v>7.7562966956789694</v>
      </c>
      <c r="J464" s="24">
        <f>G464/F464*((100-H464)/100)*((100-I464)/100)*100</f>
        <v>31.79742945903617</v>
      </c>
      <c r="K464" s="53">
        <v>5.2717391304347823</v>
      </c>
      <c r="L464" s="54">
        <f>J464*10000/K464</f>
        <v>60316.773406831504</v>
      </c>
      <c r="M464" s="55">
        <v>49.9</v>
      </c>
      <c r="N464" s="55">
        <v>19.399999999999999</v>
      </c>
      <c r="O464" s="56">
        <v>7.1105</v>
      </c>
      <c r="P464" s="55">
        <v>19.3</v>
      </c>
      <c r="Q464" s="17" t="s">
        <v>424</v>
      </c>
      <c r="R464" s="17" t="s">
        <v>424</v>
      </c>
      <c r="S464" s="17" t="s">
        <v>424</v>
      </c>
      <c r="T464" s="17" t="s">
        <v>424</v>
      </c>
      <c r="U464" s="17" t="s">
        <v>424</v>
      </c>
      <c r="V464" s="17" t="s">
        <v>424</v>
      </c>
      <c r="W464" s="17" t="s">
        <v>424</v>
      </c>
    </row>
    <row r="465" spans="1:23" x14ac:dyDescent="0.25">
      <c r="A465" s="19" t="s">
        <v>452</v>
      </c>
      <c r="B465" s="20" t="s">
        <v>7</v>
      </c>
      <c r="C465" s="20" t="s">
        <v>427</v>
      </c>
      <c r="D465" s="18" t="s">
        <v>42</v>
      </c>
      <c r="E465" s="18" t="s">
        <v>1656</v>
      </c>
      <c r="F465" s="18">
        <v>5.94</v>
      </c>
      <c r="G465" s="23">
        <v>1.94</v>
      </c>
      <c r="H465" s="20">
        <v>8.59</v>
      </c>
      <c r="I465" s="25">
        <v>5.819413440073899</v>
      </c>
      <c r="J465" s="24">
        <f>G465/F465*((100-H465)/100)*((100-I465)/100)*100</f>
        <v>28.117090891985043</v>
      </c>
      <c r="K465" s="53">
        <v>5.3634361233480172</v>
      </c>
      <c r="L465" s="54">
        <f>J465*10000/K465</f>
        <v>52423.65201216103</v>
      </c>
      <c r="M465" s="55">
        <v>49</v>
      </c>
      <c r="N465" s="55">
        <v>17.899999999999999</v>
      </c>
      <c r="O465" s="56">
        <v>2.2605</v>
      </c>
      <c r="P465" s="55">
        <v>16.3</v>
      </c>
      <c r="Q465" s="17" t="s">
        <v>424</v>
      </c>
      <c r="R465" s="17" t="s">
        <v>424</v>
      </c>
      <c r="S465" s="17" t="s">
        <v>424</v>
      </c>
      <c r="T465" s="17" t="s">
        <v>424</v>
      </c>
      <c r="U465" s="17" t="s">
        <v>424</v>
      </c>
      <c r="V465" s="17" t="s">
        <v>424</v>
      </c>
      <c r="W465" s="17" t="s">
        <v>424</v>
      </c>
    </row>
    <row r="466" spans="1:23" x14ac:dyDescent="0.25">
      <c r="A466" s="19" t="s">
        <v>451</v>
      </c>
      <c r="B466" s="20" t="s">
        <v>7</v>
      </c>
      <c r="C466" s="20" t="s">
        <v>427</v>
      </c>
      <c r="D466" s="18" t="s">
        <v>25</v>
      </c>
      <c r="E466" s="18" t="s">
        <v>1756</v>
      </c>
      <c r="F466" s="18">
        <v>5.94</v>
      </c>
      <c r="G466" s="23">
        <v>2.31</v>
      </c>
      <c r="H466" s="20">
        <v>8.59</v>
      </c>
      <c r="I466" s="25">
        <v>4.9005299946232395</v>
      </c>
      <c r="J466" s="24">
        <f>G466/F466*((100-H466)/100)*((100-I466)/100)*100</f>
        <v>33.806276595744684</v>
      </c>
      <c r="K466" s="53">
        <v>4.9485596707818926</v>
      </c>
      <c r="L466" s="54">
        <f>J466*10000/K466</f>
        <v>68315.386384748097</v>
      </c>
      <c r="M466" s="55">
        <v>52</v>
      </c>
      <c r="N466" s="55">
        <v>17.100000000000001</v>
      </c>
      <c r="O466" s="56">
        <v>0.77730999999999995</v>
      </c>
      <c r="P466" s="55">
        <v>13</v>
      </c>
      <c r="Q466" s="17" t="s">
        <v>424</v>
      </c>
      <c r="R466" s="17" t="s">
        <v>424</v>
      </c>
      <c r="S466" s="17" t="s">
        <v>424</v>
      </c>
      <c r="T466" s="17" t="s">
        <v>424</v>
      </c>
      <c r="U466" s="17" t="s">
        <v>424</v>
      </c>
      <c r="V466" s="17" t="s">
        <v>424</v>
      </c>
      <c r="W466" s="17" t="s">
        <v>424</v>
      </c>
    </row>
    <row r="467" spans="1:23" x14ac:dyDescent="0.25">
      <c r="A467" s="19" t="s">
        <v>161</v>
      </c>
      <c r="B467" s="20" t="s">
        <v>7</v>
      </c>
      <c r="C467" s="20" t="s">
        <v>13</v>
      </c>
      <c r="D467" s="18" t="s">
        <v>160</v>
      </c>
      <c r="E467" s="18" t="s">
        <v>1610</v>
      </c>
      <c r="F467" s="18">
        <v>5.94</v>
      </c>
      <c r="G467" s="23">
        <v>2.2000000000000002</v>
      </c>
      <c r="H467" s="17">
        <v>6.92</v>
      </c>
      <c r="I467" s="25">
        <v>9.9513250405624731</v>
      </c>
      <c r="J467" s="24">
        <f>G467/F467*((100-H467)/100)*((100-I467)/100)*100</f>
        <v>31.043446908238682</v>
      </c>
      <c r="K467" s="53">
        <v>4.6069651741293534</v>
      </c>
      <c r="L467" s="54">
        <f>J467*10000/K467</f>
        <v>67383.723850496492</v>
      </c>
      <c r="M467" s="55">
        <v>53.4</v>
      </c>
      <c r="N467" s="55">
        <v>16.399999999999999</v>
      </c>
      <c r="O467" s="56">
        <v>1.2126999999999999</v>
      </c>
      <c r="P467" s="55">
        <v>13.2</v>
      </c>
      <c r="Q467" s="17" t="s">
        <v>424</v>
      </c>
      <c r="R467" s="17" t="s">
        <v>424</v>
      </c>
      <c r="S467" s="17" t="s">
        <v>424</v>
      </c>
      <c r="T467" s="17" t="s">
        <v>424</v>
      </c>
      <c r="U467" s="17" t="s">
        <v>424</v>
      </c>
      <c r="V467" s="17" t="s">
        <v>424</v>
      </c>
      <c r="W467" s="17" t="s">
        <v>424</v>
      </c>
    </row>
    <row r="468" spans="1:23" x14ac:dyDescent="0.25">
      <c r="A468" s="19" t="s">
        <v>163</v>
      </c>
      <c r="B468" s="20" t="s">
        <v>7</v>
      </c>
      <c r="C468" s="20" t="s">
        <v>13</v>
      </c>
      <c r="D468" s="18" t="s">
        <v>162</v>
      </c>
      <c r="E468" s="18" t="s">
        <v>1535</v>
      </c>
      <c r="F468" s="18">
        <v>5.94</v>
      </c>
      <c r="G468" s="23">
        <v>1.86</v>
      </c>
      <c r="H468" s="17">
        <v>6.92</v>
      </c>
      <c r="I468" s="25">
        <v>13.070175438596491</v>
      </c>
      <c r="J468" s="24">
        <f>G468/F468*((100-H468)/100)*((100-I468)/100)*100</f>
        <v>25.336794967216019</v>
      </c>
      <c r="K468" s="53">
        <v>4.5339805825242721</v>
      </c>
      <c r="L468" s="54">
        <f>J468*10000/K468</f>
        <v>55882.010313131686</v>
      </c>
      <c r="M468" s="55">
        <v>51.2</v>
      </c>
      <c r="N468" s="55">
        <v>17.7</v>
      </c>
      <c r="O468" s="56">
        <v>23.341000000000001</v>
      </c>
      <c r="P468" s="55">
        <v>38.299999999999997</v>
      </c>
      <c r="Q468" s="17" t="s">
        <v>424</v>
      </c>
      <c r="R468" s="17" t="s">
        <v>424</v>
      </c>
      <c r="S468" s="17" t="s">
        <v>424</v>
      </c>
      <c r="T468" s="17" t="s">
        <v>424</v>
      </c>
      <c r="U468" s="17" t="s">
        <v>424</v>
      </c>
      <c r="V468" s="17" t="s">
        <v>424</v>
      </c>
      <c r="W468" s="17" t="s">
        <v>424</v>
      </c>
    </row>
    <row r="469" spans="1:23" x14ac:dyDescent="0.25">
      <c r="A469" s="19" t="s">
        <v>165</v>
      </c>
      <c r="B469" s="20" t="s">
        <v>7</v>
      </c>
      <c r="C469" s="20" t="s">
        <v>13</v>
      </c>
      <c r="D469" s="18" t="s">
        <v>164</v>
      </c>
      <c r="E469" s="18" t="s">
        <v>1488</v>
      </c>
      <c r="F469" s="18">
        <v>5.94</v>
      </c>
      <c r="G469" s="23">
        <v>1.46</v>
      </c>
      <c r="H469" s="17">
        <v>6.92</v>
      </c>
      <c r="I469" s="25">
        <v>22.644438996486073</v>
      </c>
      <c r="J469" s="24">
        <f>G469/F469*((100-H469)/100)*((100-I469)/100)*100</f>
        <v>17.697597984145339</v>
      </c>
      <c r="K469" s="53">
        <v>4.568965517241379</v>
      </c>
      <c r="L469" s="54">
        <f>J469*10000/K469</f>
        <v>38734.3653992615</v>
      </c>
      <c r="M469" s="55">
        <v>49.4</v>
      </c>
      <c r="N469" s="55">
        <v>19.600000000000001</v>
      </c>
      <c r="O469" s="56">
        <v>41.561</v>
      </c>
      <c r="P469" s="55">
        <v>59.5</v>
      </c>
      <c r="Q469" s="17" t="s">
        <v>424</v>
      </c>
      <c r="R469" s="17" t="s">
        <v>424</v>
      </c>
      <c r="S469" s="17" t="s">
        <v>424</v>
      </c>
      <c r="T469" s="17" t="s">
        <v>424</v>
      </c>
      <c r="U469" s="17" t="s">
        <v>424</v>
      </c>
      <c r="V469" s="17" t="s">
        <v>424</v>
      </c>
      <c r="W469" s="17" t="s">
        <v>424</v>
      </c>
    </row>
    <row r="470" spans="1:23" x14ac:dyDescent="0.25">
      <c r="A470" s="19" t="s">
        <v>166</v>
      </c>
      <c r="B470" s="20" t="s">
        <v>7</v>
      </c>
      <c r="C470" s="20" t="s">
        <v>13</v>
      </c>
      <c r="D470" s="18" t="s">
        <v>24</v>
      </c>
      <c r="E470" s="18" t="s">
        <v>1784</v>
      </c>
      <c r="F470" s="18">
        <v>5.94</v>
      </c>
      <c r="G470" s="23">
        <v>2.37</v>
      </c>
      <c r="H470" s="17">
        <v>6.92</v>
      </c>
      <c r="I470" s="25">
        <v>8.9775942494455983</v>
      </c>
      <c r="J470" s="24">
        <f>G470/F470*((100-H470)/100)*((100-I470)/100)*100</f>
        <v>33.803882659276098</v>
      </c>
      <c r="K470" s="53">
        <v>5.109170305676856</v>
      </c>
      <c r="L470" s="54">
        <f>J470*10000/K470</f>
        <v>66163.154948497657</v>
      </c>
      <c r="M470" s="55">
        <v>50.7</v>
      </c>
      <c r="N470" s="55">
        <v>17.399999999999999</v>
      </c>
      <c r="O470" s="56">
        <v>2.2422</v>
      </c>
      <c r="P470" s="55">
        <v>15.1</v>
      </c>
      <c r="Q470" s="17" t="s">
        <v>424</v>
      </c>
      <c r="R470" s="17" t="s">
        <v>424</v>
      </c>
      <c r="S470" s="17" t="s">
        <v>424</v>
      </c>
      <c r="T470" s="17" t="s">
        <v>424</v>
      </c>
      <c r="U470" s="17" t="s">
        <v>424</v>
      </c>
      <c r="V470" s="17" t="s">
        <v>424</v>
      </c>
      <c r="W470" s="17" t="s">
        <v>424</v>
      </c>
    </row>
    <row r="471" spans="1:23" x14ac:dyDescent="0.25">
      <c r="A471" s="19" t="s">
        <v>167</v>
      </c>
      <c r="B471" s="20" t="s">
        <v>7</v>
      </c>
      <c r="C471" s="20" t="s">
        <v>13</v>
      </c>
      <c r="D471" s="18" t="s">
        <v>22</v>
      </c>
      <c r="E471" s="18" t="s">
        <v>1812</v>
      </c>
      <c r="F471" s="18">
        <v>5.94</v>
      </c>
      <c r="G471" s="23">
        <v>2.4700000000000002</v>
      </c>
      <c r="H471" s="17">
        <v>6.92</v>
      </c>
      <c r="I471" s="25">
        <v>8.3669585078035755</v>
      </c>
      <c r="J471" s="24">
        <f>G471/F471*((100-H471)/100)*((100-I471)/100)*100</f>
        <v>35.466553283116667</v>
      </c>
      <c r="K471" s="53">
        <v>5.5284552845528454</v>
      </c>
      <c r="L471" s="54">
        <f>J471*10000/K471</f>
        <v>64152.736085637509</v>
      </c>
      <c r="M471" s="55">
        <v>52.2</v>
      </c>
      <c r="N471" s="55">
        <v>16.399999999999999</v>
      </c>
      <c r="O471" s="56">
        <v>4.8211000000000004</v>
      </c>
      <c r="P471" s="55">
        <v>19.3</v>
      </c>
      <c r="Q471" s="17" t="s">
        <v>424</v>
      </c>
      <c r="R471" s="17" t="s">
        <v>424</v>
      </c>
      <c r="S471" s="17" t="s">
        <v>424</v>
      </c>
      <c r="T471" s="17" t="s">
        <v>424</v>
      </c>
      <c r="U471" s="17" t="s">
        <v>424</v>
      </c>
      <c r="V471" s="17" t="s">
        <v>424</v>
      </c>
      <c r="W471" s="17" t="s">
        <v>424</v>
      </c>
    </row>
    <row r="472" spans="1:23" x14ac:dyDescent="0.25">
      <c r="A472" s="19" t="s">
        <v>168</v>
      </c>
      <c r="B472" s="20" t="s">
        <v>7</v>
      </c>
      <c r="C472" s="20" t="s">
        <v>13</v>
      </c>
      <c r="D472" s="18" t="s">
        <v>86</v>
      </c>
      <c r="E472" s="18" t="s">
        <v>1478</v>
      </c>
      <c r="F472" s="18">
        <v>5.94</v>
      </c>
      <c r="G472" s="23">
        <v>1.24</v>
      </c>
      <c r="H472" s="17">
        <v>6.92</v>
      </c>
      <c r="I472" s="25">
        <v>9.4698130554704356</v>
      </c>
      <c r="J472" s="24">
        <f>G472/F472*((100-H472)/100)*((100-I472)/100)*100</f>
        <v>17.590777361932737</v>
      </c>
      <c r="K472" s="53">
        <v>4.967602591792657</v>
      </c>
      <c r="L472" s="54">
        <f>J472*10000/K472</f>
        <v>35410.999645977638</v>
      </c>
      <c r="M472" s="55">
        <v>47.3</v>
      </c>
      <c r="N472" s="55">
        <v>20.8</v>
      </c>
      <c r="O472" s="56">
        <v>46.204999999999998</v>
      </c>
      <c r="P472" s="55">
        <v>60.1</v>
      </c>
      <c r="Q472" s="17" t="s">
        <v>424</v>
      </c>
      <c r="R472" s="17" t="s">
        <v>424</v>
      </c>
      <c r="S472" s="17" t="s">
        <v>424</v>
      </c>
      <c r="T472" s="17" t="s">
        <v>424</v>
      </c>
      <c r="U472" s="17" t="s">
        <v>424</v>
      </c>
      <c r="V472" s="17" t="s">
        <v>424</v>
      </c>
      <c r="W472" s="17" t="s">
        <v>424</v>
      </c>
    </row>
    <row r="473" spans="1:23" x14ac:dyDescent="0.25">
      <c r="A473" s="19" t="s">
        <v>462</v>
      </c>
      <c r="B473" s="20" t="s">
        <v>7</v>
      </c>
      <c r="C473" s="20" t="s">
        <v>427</v>
      </c>
      <c r="D473" s="18" t="s">
        <v>17</v>
      </c>
      <c r="E473" s="18" t="s">
        <v>1716</v>
      </c>
      <c r="F473" s="18">
        <v>5.94</v>
      </c>
      <c r="G473" s="23">
        <v>2.12</v>
      </c>
      <c r="H473" s="20">
        <v>8.59</v>
      </c>
      <c r="I473" s="25">
        <v>7.6032644903397699</v>
      </c>
      <c r="J473" s="24">
        <f>G473/F473*((100-H473)/100)*((100-I473)/100)*100</f>
        <v>30.143921644829369</v>
      </c>
      <c r="K473" s="53">
        <v>5.8076448828606662</v>
      </c>
      <c r="L473" s="54">
        <f>J473*10000/K473</f>
        <v>51903.865082710443</v>
      </c>
      <c r="M473" s="55">
        <v>50.3</v>
      </c>
      <c r="N473" s="55">
        <v>18.399999999999999</v>
      </c>
      <c r="O473" s="56">
        <v>1.208</v>
      </c>
      <c r="P473" s="55">
        <v>21.7</v>
      </c>
      <c r="Q473" s="17" t="s">
        <v>424</v>
      </c>
      <c r="R473" s="17" t="s">
        <v>424</v>
      </c>
      <c r="S473" s="17" t="s">
        <v>424</v>
      </c>
      <c r="T473" s="17" t="s">
        <v>424</v>
      </c>
      <c r="U473" s="17" t="s">
        <v>424</v>
      </c>
      <c r="V473" s="17" t="s">
        <v>424</v>
      </c>
      <c r="W473" s="17" t="s">
        <v>424</v>
      </c>
    </row>
    <row r="474" spans="1:23" x14ac:dyDescent="0.25">
      <c r="A474" s="19" t="s">
        <v>461</v>
      </c>
      <c r="B474" s="20" t="s">
        <v>7</v>
      </c>
      <c r="C474" s="20" t="s">
        <v>427</v>
      </c>
      <c r="D474" s="18" t="s">
        <v>37</v>
      </c>
      <c r="E474" s="18" t="s">
        <v>1736</v>
      </c>
      <c r="F474" s="18">
        <v>5.94</v>
      </c>
      <c r="G474" s="23">
        <v>2.4700000000000002</v>
      </c>
      <c r="H474" s="20">
        <v>8.59</v>
      </c>
      <c r="I474" s="25">
        <v>7.2159961299685573</v>
      </c>
      <c r="J474" s="24">
        <f>G474/F474*((100-H474)/100)*((100-I474)/100)*100</f>
        <v>35.267715337687115</v>
      </c>
      <c r="K474" s="53">
        <v>5.4662004662004664</v>
      </c>
      <c r="L474" s="54">
        <f>J474*10000/K474</f>
        <v>64519.615692399879</v>
      </c>
      <c r="M474" s="55">
        <v>48.6</v>
      </c>
      <c r="N474" s="55">
        <v>19.100000000000001</v>
      </c>
      <c r="O474" s="56">
        <v>1.1294</v>
      </c>
      <c r="P474" s="55">
        <v>15.2</v>
      </c>
      <c r="Q474" s="17" t="s">
        <v>424</v>
      </c>
      <c r="R474" s="17" t="s">
        <v>424</v>
      </c>
      <c r="S474" s="17" t="s">
        <v>424</v>
      </c>
      <c r="T474" s="17" t="s">
        <v>424</v>
      </c>
      <c r="U474" s="17" t="s">
        <v>424</v>
      </c>
      <c r="V474" s="17" t="s">
        <v>424</v>
      </c>
      <c r="W474" s="17" t="s">
        <v>424</v>
      </c>
    </row>
    <row r="475" spans="1:23" x14ac:dyDescent="0.25">
      <c r="A475" s="19" t="s">
        <v>460</v>
      </c>
      <c r="B475" s="20" t="s">
        <v>7</v>
      </c>
      <c r="C475" s="20" t="s">
        <v>427</v>
      </c>
      <c r="D475" s="18" t="s">
        <v>169</v>
      </c>
      <c r="E475" s="18" t="s">
        <v>1728</v>
      </c>
      <c r="F475" s="18">
        <v>5.94</v>
      </c>
      <c r="G475" s="23">
        <v>2.58</v>
      </c>
      <c r="H475" s="20">
        <v>8.59</v>
      </c>
      <c r="I475" s="25">
        <v>6.2131255007648054</v>
      </c>
      <c r="J475" s="24">
        <f>G475/F475*((100-H475)/100)*((100-I475)/100)*100</f>
        <v>37.236515405346339</v>
      </c>
      <c r="K475" s="53">
        <v>5.0261780104712042</v>
      </c>
      <c r="L475" s="54">
        <f>J475*10000/K475</f>
        <v>74085.150441886988</v>
      </c>
      <c r="M475" s="55">
        <v>53.3</v>
      </c>
      <c r="N475" s="55">
        <v>15.3</v>
      </c>
      <c r="O475" s="56">
        <v>1.7408999999999999</v>
      </c>
      <c r="P475" s="55">
        <v>17.8</v>
      </c>
      <c r="Q475" s="17" t="s">
        <v>424</v>
      </c>
      <c r="R475" s="17" t="s">
        <v>424</v>
      </c>
      <c r="S475" s="17" t="s">
        <v>424</v>
      </c>
      <c r="T475" s="17" t="s">
        <v>424</v>
      </c>
      <c r="U475" s="17" t="s">
        <v>424</v>
      </c>
      <c r="V475" s="17" t="s">
        <v>424</v>
      </c>
      <c r="W475" s="17" t="s">
        <v>424</v>
      </c>
    </row>
    <row r="476" spans="1:23" x14ac:dyDescent="0.25">
      <c r="A476" s="19" t="s">
        <v>459</v>
      </c>
      <c r="B476" s="20" t="s">
        <v>7</v>
      </c>
      <c r="C476" s="20" t="s">
        <v>427</v>
      </c>
      <c r="D476" s="18" t="s">
        <v>84</v>
      </c>
      <c r="E476" s="18" t="s">
        <v>1672</v>
      </c>
      <c r="F476" s="18">
        <v>5.94</v>
      </c>
      <c r="G476" s="23">
        <v>2.13</v>
      </c>
      <c r="H476" s="20">
        <v>8.59</v>
      </c>
      <c r="I476" s="25">
        <v>10.997498896572019</v>
      </c>
      <c r="J476" s="24">
        <f>G476/F476*((100-H476)/100)*((100-I476)/100)*100</f>
        <v>29.173536486685297</v>
      </c>
      <c r="K476" s="53">
        <v>4.947916666666667</v>
      </c>
      <c r="L476" s="54">
        <f>J476*10000/K476</f>
        <v>58961.252688879758</v>
      </c>
      <c r="M476" s="55">
        <v>53</v>
      </c>
      <c r="N476" s="55">
        <v>18.100000000000001</v>
      </c>
      <c r="O476" s="56">
        <v>2.1206999999999998</v>
      </c>
      <c r="P476" s="55">
        <v>18.5</v>
      </c>
      <c r="Q476" s="17" t="s">
        <v>424</v>
      </c>
      <c r="R476" s="17" t="s">
        <v>424</v>
      </c>
      <c r="S476" s="17" t="s">
        <v>424</v>
      </c>
      <c r="T476" s="17" t="s">
        <v>424</v>
      </c>
      <c r="U476" s="17" t="s">
        <v>424</v>
      </c>
      <c r="V476" s="17" t="s">
        <v>424</v>
      </c>
      <c r="W476" s="17" t="s">
        <v>424</v>
      </c>
    </row>
    <row r="477" spans="1:23" x14ac:dyDescent="0.25">
      <c r="A477" s="19" t="s">
        <v>458</v>
      </c>
      <c r="B477" s="20" t="s">
        <v>7</v>
      </c>
      <c r="C477" s="20" t="s">
        <v>427</v>
      </c>
      <c r="D477" s="18" t="s">
        <v>170</v>
      </c>
      <c r="E477" s="73" t="s">
        <v>1803</v>
      </c>
      <c r="F477" s="18">
        <v>5.94</v>
      </c>
      <c r="G477" s="23">
        <v>2.6</v>
      </c>
      <c r="H477" s="20">
        <v>8.59</v>
      </c>
      <c r="I477" s="25">
        <v>6.1687562495192649</v>
      </c>
      <c r="J477" s="24">
        <f>G477/F477*((100-H477)/100)*((100-I477)/100)*100</f>
        <v>37.542923193942343</v>
      </c>
      <c r="K477" s="53">
        <v>5.2561247216035634</v>
      </c>
      <c r="L477" s="54">
        <f>J477*10000/K477</f>
        <v>71427.002178305556</v>
      </c>
      <c r="M477" s="55">
        <v>51.3</v>
      </c>
      <c r="N477" s="55">
        <v>17.100000000000001</v>
      </c>
      <c r="O477" s="56">
        <v>1.0593999999999999</v>
      </c>
      <c r="P477" s="55">
        <v>18.600000000000001</v>
      </c>
      <c r="Q477" s="17" t="s">
        <v>424</v>
      </c>
      <c r="R477" s="17" t="s">
        <v>424</v>
      </c>
      <c r="S477" s="17" t="s">
        <v>424</v>
      </c>
      <c r="T477" s="17" t="s">
        <v>424</v>
      </c>
      <c r="U477" s="17" t="s">
        <v>424</v>
      </c>
      <c r="V477" s="17" t="s">
        <v>424</v>
      </c>
      <c r="W477" s="17" t="s">
        <v>424</v>
      </c>
    </row>
    <row r="478" spans="1:23" x14ac:dyDescent="0.25">
      <c r="A478" s="19" t="s">
        <v>457</v>
      </c>
      <c r="B478" s="20" t="s">
        <v>7</v>
      </c>
      <c r="C478" s="20" t="s">
        <v>427</v>
      </c>
      <c r="D478" s="18" t="s">
        <v>99</v>
      </c>
      <c r="E478" s="18" t="s">
        <v>1646</v>
      </c>
      <c r="F478" s="18">
        <v>5.94</v>
      </c>
      <c r="G478" s="23">
        <v>1.71</v>
      </c>
      <c r="H478" s="20">
        <v>8.59</v>
      </c>
      <c r="I478" s="25">
        <v>8.9440898254248982</v>
      </c>
      <c r="J478" s="24">
        <f>G478/F478*((100-H478)/100)*((100-I478)/100)*100</f>
        <v>23.961362762439435</v>
      </c>
      <c r="K478" s="53">
        <v>5.1772287862513426</v>
      </c>
      <c r="L478" s="54">
        <f>J478*10000/K478</f>
        <v>46282.217285956664</v>
      </c>
      <c r="M478" s="55">
        <v>50.4</v>
      </c>
      <c r="N478" s="55">
        <v>18.5</v>
      </c>
      <c r="O478" s="56">
        <v>3.5404</v>
      </c>
      <c r="P478" s="55">
        <v>22.7</v>
      </c>
      <c r="Q478" s="17" t="s">
        <v>424</v>
      </c>
      <c r="R478" s="17" t="s">
        <v>424</v>
      </c>
      <c r="S478" s="17" t="s">
        <v>424</v>
      </c>
      <c r="T478" s="17" t="s">
        <v>424</v>
      </c>
      <c r="U478" s="17" t="s">
        <v>424</v>
      </c>
      <c r="V478" s="17" t="s">
        <v>424</v>
      </c>
      <c r="W478" s="17" t="s">
        <v>424</v>
      </c>
    </row>
    <row r="479" spans="1:23" x14ac:dyDescent="0.25">
      <c r="A479" s="19" t="s">
        <v>176</v>
      </c>
      <c r="B479" s="20" t="s">
        <v>7</v>
      </c>
      <c r="C479" s="20" t="s">
        <v>13</v>
      </c>
      <c r="D479" s="18" t="s">
        <v>175</v>
      </c>
      <c r="E479" s="18" t="s">
        <v>1543</v>
      </c>
      <c r="F479" s="18">
        <v>5.94</v>
      </c>
      <c r="G479" s="23">
        <v>1.95</v>
      </c>
      <c r="H479" s="17">
        <v>6.92</v>
      </c>
      <c r="I479" s="25">
        <v>18.32370844388949</v>
      </c>
      <c r="J479" s="24">
        <f>G479/F479*((100-H479)/100)*((100-I479)/100)*100</f>
        <v>24.957469655190895</v>
      </c>
      <c r="K479" s="53">
        <v>4.3257918552036196</v>
      </c>
      <c r="L479" s="54">
        <f>J479*10000/K479</f>
        <v>57694.56897277393</v>
      </c>
      <c r="M479" s="55">
        <v>50.6</v>
      </c>
      <c r="N479" s="55">
        <v>17.2</v>
      </c>
      <c r="O479" s="56">
        <v>4.4166999999999996</v>
      </c>
      <c r="P479" s="55">
        <v>16.399999999999999</v>
      </c>
      <c r="Q479" s="17" t="s">
        <v>424</v>
      </c>
      <c r="R479" s="17" t="s">
        <v>424</v>
      </c>
      <c r="S479" s="17" t="s">
        <v>424</v>
      </c>
      <c r="T479" s="17" t="s">
        <v>424</v>
      </c>
      <c r="U479" s="17" t="s">
        <v>424</v>
      </c>
      <c r="V479" s="17" t="s">
        <v>424</v>
      </c>
      <c r="W479" s="17" t="s">
        <v>424</v>
      </c>
    </row>
    <row r="480" spans="1:23" x14ac:dyDescent="0.25">
      <c r="A480" s="19" t="s">
        <v>178</v>
      </c>
      <c r="B480" s="20" t="s">
        <v>7</v>
      </c>
      <c r="C480" s="20" t="s">
        <v>13</v>
      </c>
      <c r="D480" s="18" t="s">
        <v>177</v>
      </c>
      <c r="E480" s="18" t="s">
        <v>1698</v>
      </c>
      <c r="F480" s="18">
        <v>5.94</v>
      </c>
      <c r="G480" s="23">
        <v>1.52</v>
      </c>
      <c r="H480" s="17">
        <v>6.92</v>
      </c>
      <c r="I480" s="25">
        <v>10.583385608029396</v>
      </c>
      <c r="J480" s="24">
        <f>G480/F480*((100-H480)/100)*((100-I480)/100)*100</f>
        <v>21.297652644375464</v>
      </c>
      <c r="K480" s="53">
        <v>4.9475890985324948</v>
      </c>
      <c r="L480" s="54">
        <f>J480*10000/K480</f>
        <v>43046.526743080918</v>
      </c>
      <c r="M480" s="55">
        <v>51.7</v>
      </c>
      <c r="N480" s="55">
        <v>19.600000000000001</v>
      </c>
      <c r="O480" s="56">
        <v>38.267000000000003</v>
      </c>
      <c r="P480" s="55">
        <v>56.6</v>
      </c>
      <c r="Q480" s="17" t="s">
        <v>424</v>
      </c>
      <c r="R480" s="17" t="s">
        <v>424</v>
      </c>
      <c r="S480" s="17" t="s">
        <v>424</v>
      </c>
      <c r="T480" s="17" t="s">
        <v>424</v>
      </c>
      <c r="U480" s="17" t="s">
        <v>424</v>
      </c>
      <c r="V480" s="17" t="s">
        <v>424</v>
      </c>
      <c r="W480" s="17" t="s">
        <v>424</v>
      </c>
    </row>
    <row r="481" spans="1:23" x14ac:dyDescent="0.25">
      <c r="A481" s="19" t="s">
        <v>180</v>
      </c>
      <c r="B481" s="20" t="s">
        <v>7</v>
      </c>
      <c r="C481" s="20" t="s">
        <v>13</v>
      </c>
      <c r="D481" s="18" t="s">
        <v>179</v>
      </c>
      <c r="E481" s="18" t="s">
        <v>1666</v>
      </c>
      <c r="F481" s="18">
        <v>5.94</v>
      </c>
      <c r="G481" s="23">
        <v>1.94</v>
      </c>
      <c r="H481" s="17">
        <v>6.92</v>
      </c>
      <c r="I481" s="25">
        <v>10.484465939831127</v>
      </c>
      <c r="J481" s="24">
        <f>G481/F481*((100-H481)/100)*((100-I481)/100)*100</f>
        <v>27.212601794649505</v>
      </c>
      <c r="K481" s="53">
        <v>5.7336621454993839</v>
      </c>
      <c r="L481" s="54">
        <f>J481*10000/K481</f>
        <v>47461.118398840314</v>
      </c>
      <c r="M481" s="55">
        <v>50.1</v>
      </c>
      <c r="N481" s="55">
        <v>18.600000000000001</v>
      </c>
      <c r="O481" s="56">
        <v>-0.49992999999999999</v>
      </c>
      <c r="P481" s="55">
        <v>15.7</v>
      </c>
      <c r="Q481" s="17" t="s">
        <v>424</v>
      </c>
      <c r="R481" s="17" t="s">
        <v>424</v>
      </c>
      <c r="S481" s="17" t="s">
        <v>424</v>
      </c>
      <c r="T481" s="17" t="s">
        <v>424</v>
      </c>
      <c r="U481" s="17" t="s">
        <v>424</v>
      </c>
      <c r="V481" s="17" t="s">
        <v>424</v>
      </c>
      <c r="W481" s="17" t="s">
        <v>424</v>
      </c>
    </row>
    <row r="482" spans="1:23" x14ac:dyDescent="0.25">
      <c r="A482" s="19" t="s">
        <v>182</v>
      </c>
      <c r="B482" s="20" t="s">
        <v>7</v>
      </c>
      <c r="C482" s="20" t="s">
        <v>13</v>
      </c>
      <c r="D482" s="18" t="s">
        <v>181</v>
      </c>
      <c r="E482" s="18" t="s">
        <v>1494</v>
      </c>
      <c r="F482" s="18">
        <v>5.94</v>
      </c>
      <c r="G482" s="23">
        <v>1.89</v>
      </c>
      <c r="H482" s="17">
        <v>6.92</v>
      </c>
      <c r="I482" s="25">
        <v>12.591315767873271</v>
      </c>
      <c r="J482" s="24">
        <f>G482/F482*((100-H482)/100)*((100-I482)/100)*100</f>
        <v>25.887273771947488</v>
      </c>
      <c r="K482" s="53">
        <v>4.9627263045793395</v>
      </c>
      <c r="L482" s="54">
        <f>J482*10000/K482</f>
        <v>52163.412171370583</v>
      </c>
      <c r="M482" s="55">
        <v>49</v>
      </c>
      <c r="N482" s="55">
        <v>19.100000000000001</v>
      </c>
      <c r="O482" s="56">
        <v>17.959</v>
      </c>
      <c r="P482" s="55">
        <v>52</v>
      </c>
      <c r="Q482" s="17" t="s">
        <v>424</v>
      </c>
      <c r="R482" s="17" t="s">
        <v>424</v>
      </c>
      <c r="S482" s="17" t="s">
        <v>424</v>
      </c>
      <c r="T482" s="17" t="s">
        <v>424</v>
      </c>
      <c r="U482" s="17" t="s">
        <v>424</v>
      </c>
      <c r="V482" s="17" t="s">
        <v>424</v>
      </c>
      <c r="W482" s="17" t="s">
        <v>424</v>
      </c>
    </row>
    <row r="483" spans="1:23" x14ac:dyDescent="0.25">
      <c r="A483" s="19" t="s">
        <v>184</v>
      </c>
      <c r="B483" s="20" t="s">
        <v>7</v>
      </c>
      <c r="C483" s="20" t="s">
        <v>13</v>
      </c>
      <c r="D483" s="18" t="s">
        <v>183</v>
      </c>
      <c r="E483" s="18" t="s">
        <v>1564</v>
      </c>
      <c r="F483" s="18">
        <v>5.94</v>
      </c>
      <c r="G483" s="23">
        <v>1.85</v>
      </c>
      <c r="H483" s="17">
        <v>6.92</v>
      </c>
      <c r="I483" s="25">
        <v>14.916311125697403</v>
      </c>
      <c r="J483" s="24">
        <f>G483/F483*((100-H483)/100)*((100-I483)/100)*100</f>
        <v>24.665388984473331</v>
      </c>
      <c r="K483" s="53">
        <v>5.8036809815950923</v>
      </c>
      <c r="L483" s="54">
        <f>J483*10000/K483</f>
        <v>42499.560300942423</v>
      </c>
      <c r="M483" s="55">
        <v>49.5</v>
      </c>
      <c r="N483" s="55">
        <v>18.2</v>
      </c>
      <c r="O483" s="56">
        <v>4.3712</v>
      </c>
      <c r="P483" s="55">
        <v>20.399999999999999</v>
      </c>
      <c r="Q483" s="17" t="s">
        <v>424</v>
      </c>
      <c r="R483" s="17" t="s">
        <v>424</v>
      </c>
      <c r="S483" s="17" t="s">
        <v>424</v>
      </c>
      <c r="T483" s="17" t="s">
        <v>424</v>
      </c>
      <c r="U483" s="17" t="s">
        <v>424</v>
      </c>
      <c r="V483" s="17" t="s">
        <v>424</v>
      </c>
      <c r="W483" s="17" t="s">
        <v>424</v>
      </c>
    </row>
    <row r="484" spans="1:23" x14ac:dyDescent="0.25">
      <c r="A484" s="19" t="s">
        <v>185</v>
      </c>
      <c r="B484" s="20" t="s">
        <v>7</v>
      </c>
      <c r="C484" s="20" t="s">
        <v>13</v>
      </c>
      <c r="D484" s="18" t="s">
        <v>15</v>
      </c>
      <c r="E484" s="18" t="s">
        <v>1648</v>
      </c>
      <c r="F484" s="18">
        <v>5.94</v>
      </c>
      <c r="G484" s="23">
        <v>2.0299999999999998</v>
      </c>
      <c r="H484" s="17">
        <v>6.92</v>
      </c>
      <c r="I484" s="25">
        <v>8.2301529497450741</v>
      </c>
      <c r="J484" s="24">
        <f>G484/F484*((100-H484)/100)*((100-I484)/100)*100</f>
        <v>29.192142841378089</v>
      </c>
      <c r="K484" s="53">
        <v>4.889821615949633</v>
      </c>
      <c r="L484" s="54">
        <f>J484*10000/K484</f>
        <v>59699.811433118703</v>
      </c>
      <c r="M484" s="55">
        <v>51.6</v>
      </c>
      <c r="N484" s="55">
        <v>16.7</v>
      </c>
      <c r="O484" s="56">
        <v>4.4965000000000002</v>
      </c>
      <c r="P484" s="55">
        <v>22</v>
      </c>
      <c r="Q484" s="17" t="s">
        <v>424</v>
      </c>
      <c r="R484" s="17" t="s">
        <v>424</v>
      </c>
      <c r="S484" s="17" t="s">
        <v>424</v>
      </c>
      <c r="T484" s="17" t="s">
        <v>424</v>
      </c>
      <c r="U484" s="17" t="s">
        <v>424</v>
      </c>
      <c r="V484" s="17" t="s">
        <v>424</v>
      </c>
      <c r="W484" s="17" t="s">
        <v>424</v>
      </c>
    </row>
    <row r="485" spans="1:23" x14ac:dyDescent="0.25">
      <c r="A485" s="19" t="s">
        <v>468</v>
      </c>
      <c r="B485" s="20" t="s">
        <v>7</v>
      </c>
      <c r="C485" s="20" t="s">
        <v>427</v>
      </c>
      <c r="D485" s="18" t="s">
        <v>78</v>
      </c>
      <c r="E485" s="18" t="s">
        <v>1588</v>
      </c>
      <c r="F485" s="18">
        <v>5.94</v>
      </c>
      <c r="G485" s="23">
        <v>2.2000000000000002</v>
      </c>
      <c r="H485" s="20">
        <v>8.59</v>
      </c>
      <c r="I485" s="25">
        <v>11.394960322984819</v>
      </c>
      <c r="J485" s="24">
        <f>G485/F485*((100-H485)/100)*((100-I485)/100)*100</f>
        <v>29.997728432873917</v>
      </c>
      <c r="K485" s="53">
        <v>6.1608300907911806</v>
      </c>
      <c r="L485" s="54">
        <f>J485*10000/K485</f>
        <v>48691.049729991129</v>
      </c>
      <c r="M485" s="55">
        <v>48.3</v>
      </c>
      <c r="N485" s="55">
        <v>19.8</v>
      </c>
      <c r="O485" s="56">
        <v>3.7894999999999999</v>
      </c>
      <c r="P485" s="55">
        <v>20.8</v>
      </c>
      <c r="Q485" s="17" t="s">
        <v>424</v>
      </c>
      <c r="R485" s="17" t="s">
        <v>424</v>
      </c>
      <c r="S485" s="17" t="s">
        <v>424</v>
      </c>
      <c r="T485" s="17" t="s">
        <v>424</v>
      </c>
      <c r="U485" s="17" t="s">
        <v>424</v>
      </c>
      <c r="V485" s="17" t="s">
        <v>424</v>
      </c>
      <c r="W485" s="17" t="s">
        <v>424</v>
      </c>
    </row>
    <row r="486" spans="1:23" x14ac:dyDescent="0.25">
      <c r="A486" s="19" t="s">
        <v>467</v>
      </c>
      <c r="B486" s="20" t="s">
        <v>7</v>
      </c>
      <c r="C486" s="20" t="s">
        <v>427</v>
      </c>
      <c r="D486" s="18" t="s">
        <v>186</v>
      </c>
      <c r="E486" s="18" t="s">
        <v>1480</v>
      </c>
      <c r="F486" s="18">
        <v>5.94</v>
      </c>
      <c r="G486" s="23">
        <v>2.2200000000000002</v>
      </c>
      <c r="H486" s="20">
        <v>8.59</v>
      </c>
      <c r="I486" s="25">
        <v>14.013042786702714</v>
      </c>
      <c r="J486" s="24">
        <f>G486/F486*((100-H486)/100)*((100-I486)/100)*100</f>
        <v>29.376010815969465</v>
      </c>
      <c r="K486" s="53">
        <v>5.0107296137339059</v>
      </c>
      <c r="L486" s="54">
        <f>J486*10000/K486</f>
        <v>58626.214305103938</v>
      </c>
      <c r="M486" s="55">
        <v>50.6</v>
      </c>
      <c r="N486" s="55">
        <v>18.3</v>
      </c>
      <c r="O486" s="56">
        <v>28.504999999999999</v>
      </c>
      <c r="P486" s="55">
        <v>51.8</v>
      </c>
      <c r="Q486" s="17" t="s">
        <v>424</v>
      </c>
      <c r="R486" s="17" t="s">
        <v>424</v>
      </c>
      <c r="S486" s="17" t="s">
        <v>424</v>
      </c>
      <c r="T486" s="17" t="s">
        <v>424</v>
      </c>
      <c r="U486" s="17" t="s">
        <v>424</v>
      </c>
      <c r="V486" s="17" t="s">
        <v>424</v>
      </c>
      <c r="W486" s="17" t="s">
        <v>424</v>
      </c>
    </row>
    <row r="487" spans="1:23" x14ac:dyDescent="0.25">
      <c r="A487" s="19" t="s">
        <v>466</v>
      </c>
      <c r="B487" s="20" t="s">
        <v>7</v>
      </c>
      <c r="C487" s="20" t="s">
        <v>427</v>
      </c>
      <c r="D487" s="18" t="s">
        <v>187</v>
      </c>
      <c r="E487" s="18" t="s">
        <v>1726</v>
      </c>
      <c r="F487" s="18">
        <v>5.94</v>
      </c>
      <c r="G487" s="23">
        <v>2.0299999999999998</v>
      </c>
      <c r="H487" s="20">
        <v>8.59</v>
      </c>
      <c r="I487" s="25">
        <v>8.317870108914887</v>
      </c>
      <c r="J487" s="24">
        <f>G487/F487*((100-H487)/100)*((100-I487)/100)*100</f>
        <v>28.640988032808917</v>
      </c>
      <c r="K487" s="53">
        <v>5.1022604951560817</v>
      </c>
      <c r="L487" s="54">
        <f>J487*10000/K487</f>
        <v>56133.919583290051</v>
      </c>
      <c r="M487" s="55">
        <v>50.3</v>
      </c>
      <c r="N487" s="55">
        <v>18.899999999999999</v>
      </c>
      <c r="O487" s="56">
        <v>3.6141000000000001</v>
      </c>
      <c r="P487" s="55">
        <v>14.2</v>
      </c>
      <c r="Q487" s="17" t="s">
        <v>424</v>
      </c>
      <c r="R487" s="17" t="s">
        <v>424</v>
      </c>
      <c r="S487" s="17" t="s">
        <v>424</v>
      </c>
      <c r="T487" s="17" t="s">
        <v>424</v>
      </c>
      <c r="U487" s="17" t="s">
        <v>424</v>
      </c>
      <c r="V487" s="17" t="s">
        <v>424</v>
      </c>
      <c r="W487" s="17" t="s">
        <v>424</v>
      </c>
    </row>
    <row r="488" spans="1:23" x14ac:dyDescent="0.25">
      <c r="A488" s="19" t="s">
        <v>465</v>
      </c>
      <c r="B488" s="20" t="s">
        <v>7</v>
      </c>
      <c r="C488" s="20" t="s">
        <v>427</v>
      </c>
      <c r="D488" s="18" t="s">
        <v>188</v>
      </c>
      <c r="E488" s="18" t="s">
        <v>1644</v>
      </c>
      <c r="F488" s="18">
        <v>5.94</v>
      </c>
      <c r="G488" s="23">
        <v>2.33</v>
      </c>
      <c r="H488" s="20">
        <v>8.59</v>
      </c>
      <c r="I488" s="25">
        <v>6.8886246531906545</v>
      </c>
      <c r="J488" s="24">
        <f>G488/F488*((100-H488)/100)*((100-I488)/100)*100</f>
        <v>33.386118201435671</v>
      </c>
      <c r="K488" s="53">
        <v>5.0311850311850312</v>
      </c>
      <c r="L488" s="54">
        <f>J488*10000/K488</f>
        <v>66358.358904506444</v>
      </c>
      <c r="M488" s="55">
        <v>52.2</v>
      </c>
      <c r="N488" s="55">
        <v>17.7</v>
      </c>
      <c r="O488" s="56">
        <v>3.0764999999999998</v>
      </c>
      <c r="P488" s="55">
        <v>11.9</v>
      </c>
      <c r="Q488" s="17" t="s">
        <v>424</v>
      </c>
      <c r="R488" s="17" t="s">
        <v>424</v>
      </c>
      <c r="S488" s="17" t="s">
        <v>424</v>
      </c>
      <c r="T488" s="17" t="s">
        <v>424</v>
      </c>
      <c r="U488" s="17" t="s">
        <v>424</v>
      </c>
      <c r="V488" s="17" t="s">
        <v>424</v>
      </c>
      <c r="W488" s="17" t="s">
        <v>424</v>
      </c>
    </row>
    <row r="489" spans="1:23" x14ac:dyDescent="0.25">
      <c r="A489" s="19" t="s">
        <v>464</v>
      </c>
      <c r="B489" s="20" t="s">
        <v>7</v>
      </c>
      <c r="C489" s="20" t="s">
        <v>427</v>
      </c>
      <c r="D489" s="18" t="s">
        <v>26</v>
      </c>
      <c r="E489" s="18" t="s">
        <v>1568</v>
      </c>
      <c r="F489" s="18">
        <v>5.94</v>
      </c>
      <c r="G489" s="23">
        <v>1.75</v>
      </c>
      <c r="H489" s="20">
        <v>8.59</v>
      </c>
      <c r="I489" s="25">
        <v>8.4730195177956418</v>
      </c>
      <c r="J489" s="24">
        <f>G489/F489*((100-H489)/100)*((100-I489)/100)*100</f>
        <v>24.64872432708253</v>
      </c>
      <c r="K489" s="53">
        <v>5.3377630121816164</v>
      </c>
      <c r="L489" s="54">
        <f>J489*10000/K489</f>
        <v>46178.004289119352</v>
      </c>
      <c r="M489" s="55">
        <v>48.5</v>
      </c>
      <c r="N489" s="55">
        <v>18.8</v>
      </c>
      <c r="O489" s="56">
        <v>-2.8327</v>
      </c>
      <c r="P489" s="55">
        <v>14.3</v>
      </c>
      <c r="Q489" s="17" t="s">
        <v>424</v>
      </c>
      <c r="R489" s="17" t="s">
        <v>424</v>
      </c>
      <c r="S489" s="17" t="s">
        <v>424</v>
      </c>
      <c r="T489" s="17" t="s">
        <v>424</v>
      </c>
      <c r="U489" s="17" t="s">
        <v>424</v>
      </c>
      <c r="V489" s="17" t="s">
        <v>424</v>
      </c>
      <c r="W489" s="17" t="s">
        <v>424</v>
      </c>
    </row>
    <row r="490" spans="1:23" x14ac:dyDescent="0.25">
      <c r="A490" s="19" t="s">
        <v>463</v>
      </c>
      <c r="B490" s="20" t="s">
        <v>7</v>
      </c>
      <c r="C490" s="20" t="s">
        <v>427</v>
      </c>
      <c r="D490" s="18" t="s">
        <v>189</v>
      </c>
      <c r="E490" s="18" t="s">
        <v>1508</v>
      </c>
      <c r="F490" s="18">
        <v>5.94</v>
      </c>
      <c r="G490" s="23">
        <v>2.08</v>
      </c>
      <c r="H490" s="20">
        <v>8.59</v>
      </c>
      <c r="I490" s="25">
        <v>9.1767992113046351</v>
      </c>
      <c r="J490" s="24">
        <f>G490/F490*((100-H490)/100)*((100-I490)/100)*100</f>
        <v>29.071497425785953</v>
      </c>
      <c r="K490" s="53">
        <v>4.1652021089630935</v>
      </c>
      <c r="L490" s="54">
        <f>J490*10000/K490</f>
        <v>69796.126731106357</v>
      </c>
      <c r="M490" s="55">
        <v>52.4</v>
      </c>
      <c r="N490" s="55">
        <v>17</v>
      </c>
      <c r="O490" s="56">
        <v>6.8826999999999998</v>
      </c>
      <c r="P490" s="55">
        <v>40.700000000000003</v>
      </c>
      <c r="Q490" s="17" t="s">
        <v>424</v>
      </c>
      <c r="R490" s="17" t="s">
        <v>424</v>
      </c>
      <c r="S490" s="17" t="s">
        <v>424</v>
      </c>
      <c r="T490" s="17" t="s">
        <v>424</v>
      </c>
      <c r="U490" s="17" t="s">
        <v>424</v>
      </c>
      <c r="V490" s="17" t="s">
        <v>424</v>
      </c>
      <c r="W490" s="17" t="s">
        <v>424</v>
      </c>
    </row>
    <row r="491" spans="1:23" x14ac:dyDescent="0.25">
      <c r="A491" s="19" t="s">
        <v>193</v>
      </c>
      <c r="B491" s="20" t="s">
        <v>7</v>
      </c>
      <c r="C491" s="20" t="s">
        <v>13</v>
      </c>
      <c r="D491" s="18" t="s">
        <v>95</v>
      </c>
      <c r="E491" s="18" t="s">
        <v>1650</v>
      </c>
      <c r="F491" s="18">
        <v>5.94</v>
      </c>
      <c r="G491" s="23">
        <v>2.17</v>
      </c>
      <c r="H491" s="17">
        <v>6.92</v>
      </c>
      <c r="I491" s="25">
        <v>6.2087996320711394</v>
      </c>
      <c r="J491" s="24">
        <f>G491/F491*((100-H491)/100)*((100-I491)/100)*100</f>
        <v>31.892734509487532</v>
      </c>
      <c r="K491" s="53">
        <v>5.1836306400839458</v>
      </c>
      <c r="L491" s="54">
        <f>J491*10000/K491</f>
        <v>61525.862322958739</v>
      </c>
      <c r="M491" s="55">
        <v>51.6</v>
      </c>
      <c r="N491" s="55">
        <v>15.8</v>
      </c>
      <c r="O491" s="56">
        <v>-2.1656</v>
      </c>
      <c r="P491" s="55">
        <v>10.5</v>
      </c>
      <c r="Q491" s="17" t="s">
        <v>424</v>
      </c>
      <c r="R491" s="17" t="s">
        <v>424</v>
      </c>
      <c r="S491" s="17" t="s">
        <v>424</v>
      </c>
      <c r="T491" s="17" t="s">
        <v>424</v>
      </c>
      <c r="U491" s="17" t="s">
        <v>424</v>
      </c>
      <c r="V491" s="17" t="s">
        <v>424</v>
      </c>
      <c r="W491" s="17" t="s">
        <v>424</v>
      </c>
    </row>
    <row r="492" spans="1:23" x14ac:dyDescent="0.25">
      <c r="A492" s="19" t="s">
        <v>194</v>
      </c>
      <c r="B492" s="20" t="s">
        <v>7</v>
      </c>
      <c r="C492" s="20" t="s">
        <v>13</v>
      </c>
      <c r="D492" s="18" t="s">
        <v>18</v>
      </c>
      <c r="E492" s="18" t="s">
        <v>1806</v>
      </c>
      <c r="F492" s="18">
        <v>5.94</v>
      </c>
      <c r="G492" s="23">
        <v>2.39</v>
      </c>
      <c r="H492" s="17">
        <v>6.92</v>
      </c>
      <c r="I492" s="25">
        <v>9.7395055583208965</v>
      </c>
      <c r="J492" s="24">
        <f>G492/F492*((100-H492)/100)*((100-I492)/100)*100</f>
        <v>33.803801188702458</v>
      </c>
      <c r="K492" s="53">
        <v>4.4137273593898954</v>
      </c>
      <c r="L492" s="54">
        <f>J492*10000/K492</f>
        <v>76587.877855181156</v>
      </c>
      <c r="M492" s="55">
        <v>53.7</v>
      </c>
      <c r="N492" s="55">
        <v>15.5</v>
      </c>
      <c r="O492" s="56">
        <v>0.80855999999999995</v>
      </c>
      <c r="P492" s="55">
        <v>14.1</v>
      </c>
      <c r="Q492" s="17" t="s">
        <v>424</v>
      </c>
      <c r="R492" s="17" t="s">
        <v>424</v>
      </c>
      <c r="S492" s="17" t="s">
        <v>424</v>
      </c>
      <c r="T492" s="17" t="s">
        <v>424</v>
      </c>
      <c r="U492" s="17" t="s">
        <v>424</v>
      </c>
      <c r="V492" s="17" t="s">
        <v>424</v>
      </c>
      <c r="W492" s="17" t="s">
        <v>424</v>
      </c>
    </row>
    <row r="493" spans="1:23" x14ac:dyDescent="0.25">
      <c r="A493" s="19" t="s">
        <v>196</v>
      </c>
      <c r="B493" s="20" t="s">
        <v>7</v>
      </c>
      <c r="C493" s="20" t="s">
        <v>13</v>
      </c>
      <c r="D493" s="18" t="s">
        <v>195</v>
      </c>
      <c r="E493" s="18" t="s">
        <v>1750</v>
      </c>
      <c r="F493" s="18">
        <v>5.94</v>
      </c>
      <c r="G493" s="23">
        <v>1.75</v>
      </c>
      <c r="H493" s="17">
        <v>6.92</v>
      </c>
      <c r="I493" s="25">
        <v>8.60420650095603</v>
      </c>
      <c r="J493" s="24">
        <f>G493/F493*((100-H493)/100)*((100-I493)/100)*100</f>
        <v>25.063065325015611</v>
      </c>
      <c r="K493" s="53">
        <v>4.8998946259220233</v>
      </c>
      <c r="L493" s="54">
        <f>J493*10000/K493</f>
        <v>51150.21288911788</v>
      </c>
      <c r="M493" s="55">
        <v>50.6</v>
      </c>
      <c r="N493" s="55">
        <v>17.399999999999999</v>
      </c>
      <c r="O493" s="56">
        <v>1.4367000000000001</v>
      </c>
      <c r="P493" s="55">
        <v>17.399999999999999</v>
      </c>
      <c r="Q493" s="17" t="s">
        <v>424</v>
      </c>
      <c r="R493" s="17" t="s">
        <v>424</v>
      </c>
      <c r="S493" s="17" t="s">
        <v>424</v>
      </c>
      <c r="T493" s="17" t="s">
        <v>424</v>
      </c>
      <c r="U493" s="17" t="s">
        <v>424</v>
      </c>
      <c r="V493" s="17" t="s">
        <v>424</v>
      </c>
      <c r="W493" s="17" t="s">
        <v>424</v>
      </c>
    </row>
    <row r="494" spans="1:23" x14ac:dyDescent="0.25">
      <c r="A494" s="19" t="s">
        <v>197</v>
      </c>
      <c r="B494" s="20" t="s">
        <v>7</v>
      </c>
      <c r="C494" s="20" t="s">
        <v>13</v>
      </c>
      <c r="D494" s="18" t="s">
        <v>52</v>
      </c>
      <c r="E494" s="18" t="s">
        <v>1576</v>
      </c>
      <c r="F494" s="18">
        <v>5.94</v>
      </c>
      <c r="G494" s="23">
        <v>1.9</v>
      </c>
      <c r="H494" s="17">
        <v>6.92</v>
      </c>
      <c r="I494" s="25">
        <v>12.795394001890521</v>
      </c>
      <c r="J494" s="24">
        <f>G494/F494*((100-H494)/100)*((100-I494)/100)*100</f>
        <v>25.963483131275517</v>
      </c>
      <c r="K494" s="53">
        <v>5.3863636363636367</v>
      </c>
      <c r="L494" s="54">
        <f>J494*10000/K494</f>
        <v>48202.24716354948</v>
      </c>
      <c r="M494" s="55">
        <v>50.7</v>
      </c>
      <c r="N494" s="55">
        <v>19.7</v>
      </c>
      <c r="O494" s="56">
        <v>7.2553999999999998</v>
      </c>
      <c r="P494" s="55">
        <v>24</v>
      </c>
      <c r="Q494" s="17" t="s">
        <v>424</v>
      </c>
      <c r="R494" s="17" t="s">
        <v>424</v>
      </c>
      <c r="S494" s="17" t="s">
        <v>424</v>
      </c>
      <c r="T494" s="17" t="s">
        <v>424</v>
      </c>
      <c r="U494" s="17" t="s">
        <v>424</v>
      </c>
      <c r="V494" s="17" t="s">
        <v>424</v>
      </c>
      <c r="W494" s="17" t="s">
        <v>424</v>
      </c>
    </row>
    <row r="495" spans="1:23" x14ac:dyDescent="0.25">
      <c r="A495" s="19" t="s">
        <v>199</v>
      </c>
      <c r="B495" s="20" t="s">
        <v>7</v>
      </c>
      <c r="C495" s="20" t="s">
        <v>13</v>
      </c>
      <c r="D495" s="18" t="s">
        <v>198</v>
      </c>
      <c r="E495" s="18" t="s">
        <v>1722</v>
      </c>
      <c r="F495" s="18">
        <v>5.94</v>
      </c>
      <c r="G495" s="23">
        <v>2.2000000000000002</v>
      </c>
      <c r="H495" s="17">
        <v>6.92</v>
      </c>
      <c r="I495" s="25">
        <v>6.8303914044512704</v>
      </c>
      <c r="J495" s="24">
        <f>G495/F495*((100-H495)/100)*((100-I495)/100)*100</f>
        <v>32.119359881754349</v>
      </c>
      <c r="K495" s="53">
        <v>5.2483801295896324</v>
      </c>
      <c r="L495" s="54">
        <f>J495*10000/K495</f>
        <v>61198.615741778864</v>
      </c>
      <c r="M495" s="55">
        <v>49.6</v>
      </c>
      <c r="N495" s="55">
        <v>17.5</v>
      </c>
      <c r="O495" s="56">
        <v>2.5398000000000001</v>
      </c>
      <c r="P495" s="55">
        <v>11</v>
      </c>
      <c r="Q495" s="17" t="s">
        <v>424</v>
      </c>
      <c r="R495" s="17" t="s">
        <v>424</v>
      </c>
      <c r="S495" s="17" t="s">
        <v>424</v>
      </c>
      <c r="T495" s="17" t="s">
        <v>424</v>
      </c>
      <c r="U495" s="17" t="s">
        <v>424</v>
      </c>
      <c r="V495" s="17" t="s">
        <v>424</v>
      </c>
      <c r="W495" s="17" t="s">
        <v>424</v>
      </c>
    </row>
    <row r="496" spans="1:23" x14ac:dyDescent="0.25">
      <c r="A496" s="19" t="s">
        <v>201</v>
      </c>
      <c r="B496" s="20" t="s">
        <v>7</v>
      </c>
      <c r="C496" s="20" t="s">
        <v>13</v>
      </c>
      <c r="D496" s="18" t="s">
        <v>200</v>
      </c>
      <c r="E496" s="18" t="s">
        <v>1608</v>
      </c>
      <c r="F496" s="18">
        <v>5.94</v>
      </c>
      <c r="G496" s="23">
        <v>2</v>
      </c>
      <c r="H496" s="17">
        <v>6.92</v>
      </c>
      <c r="I496" s="25">
        <v>4.5561454203346559</v>
      </c>
      <c r="J496" s="24">
        <f>G496/F496*((100-H496)/100)*((100-I496)/100)*100</f>
        <v>29.912168297223058</v>
      </c>
      <c r="K496" s="53">
        <v>5.32258064516129</v>
      </c>
      <c r="L496" s="54">
        <f>J496*10000/K496</f>
        <v>56198.619225085749</v>
      </c>
      <c r="M496" s="55">
        <v>49.3</v>
      </c>
      <c r="N496" s="55">
        <v>18</v>
      </c>
      <c r="O496" s="56">
        <v>4.6326999999999998</v>
      </c>
      <c r="P496" s="55">
        <v>23.4</v>
      </c>
      <c r="Q496" s="17" t="s">
        <v>424</v>
      </c>
      <c r="R496" s="17" t="s">
        <v>424</v>
      </c>
      <c r="S496" s="17" t="s">
        <v>424</v>
      </c>
      <c r="T496" s="17" t="s">
        <v>424</v>
      </c>
      <c r="U496" s="17" t="s">
        <v>424</v>
      </c>
      <c r="V496" s="17" t="s">
        <v>424</v>
      </c>
      <c r="W496" s="17" t="s">
        <v>424</v>
      </c>
    </row>
    <row r="497" spans="1:23" x14ac:dyDescent="0.25">
      <c r="A497" s="19" t="s">
        <v>474</v>
      </c>
      <c r="B497" s="20" t="s">
        <v>7</v>
      </c>
      <c r="C497" s="20" t="s">
        <v>427</v>
      </c>
      <c r="D497" s="18" t="s">
        <v>202</v>
      </c>
      <c r="E497" s="18" t="s">
        <v>1504</v>
      </c>
      <c r="F497" s="18">
        <v>5.94</v>
      </c>
      <c r="G497" s="23">
        <v>1.82</v>
      </c>
      <c r="H497" s="20">
        <v>8.59</v>
      </c>
      <c r="I497" s="25">
        <v>8.0160034293062807</v>
      </c>
      <c r="J497" s="24">
        <f>G497/F497*((100-H497)/100)*((100-I497)/100)*100</f>
        <v>25.762673350638625</v>
      </c>
      <c r="K497" s="53">
        <v>5.1314405888538381</v>
      </c>
      <c r="L497" s="54">
        <f>J497*10000/K497</f>
        <v>50205.537615691253</v>
      </c>
      <c r="M497" s="55">
        <v>45.9</v>
      </c>
      <c r="N497" s="55">
        <v>21.3</v>
      </c>
      <c r="O497" s="56">
        <v>5.2516999999999996</v>
      </c>
      <c r="P497" s="55">
        <v>66.400000000000006</v>
      </c>
      <c r="Q497" s="17" t="s">
        <v>424</v>
      </c>
      <c r="R497" s="17" t="s">
        <v>424</v>
      </c>
      <c r="S497" s="17" t="s">
        <v>424</v>
      </c>
      <c r="T497" s="17" t="s">
        <v>424</v>
      </c>
      <c r="U497" s="17" t="s">
        <v>424</v>
      </c>
      <c r="V497" s="17" t="s">
        <v>424</v>
      </c>
      <c r="W497" s="17" t="s">
        <v>424</v>
      </c>
    </row>
    <row r="498" spans="1:23" x14ac:dyDescent="0.25">
      <c r="A498" s="19" t="s">
        <v>473</v>
      </c>
      <c r="B498" s="20" t="s">
        <v>7</v>
      </c>
      <c r="C498" s="20" t="s">
        <v>427</v>
      </c>
      <c r="D498" s="18" t="s">
        <v>90</v>
      </c>
      <c r="E498" s="18" t="s">
        <v>1614</v>
      </c>
      <c r="F498" s="18">
        <v>5.94</v>
      </c>
      <c r="G498" s="23">
        <v>2.06</v>
      </c>
      <c r="H498" s="20">
        <v>8.59</v>
      </c>
      <c r="I498" s="25">
        <v>15.029272596038171</v>
      </c>
      <c r="J498" s="24">
        <f>G498/F498*((100-H498)/100)*((100-I498)/100)*100</f>
        <v>26.936664706249275</v>
      </c>
      <c r="K498" s="53">
        <v>5.0421052631578949</v>
      </c>
      <c r="L498" s="54">
        <f>J498*10000/K498</f>
        <v>53423.447747258477</v>
      </c>
      <c r="M498" s="55">
        <v>48.6</v>
      </c>
      <c r="N498" s="55">
        <v>20</v>
      </c>
      <c r="O498" s="56">
        <v>7.2013999999999996</v>
      </c>
      <c r="P498" s="55">
        <v>25</v>
      </c>
      <c r="Q498" s="17" t="s">
        <v>424</v>
      </c>
      <c r="R498" s="17" t="s">
        <v>424</v>
      </c>
      <c r="S498" s="17" t="s">
        <v>424</v>
      </c>
      <c r="T498" s="17" t="s">
        <v>424</v>
      </c>
      <c r="U498" s="17" t="s">
        <v>424</v>
      </c>
      <c r="V498" s="17" t="s">
        <v>424</v>
      </c>
      <c r="W498" s="17" t="s">
        <v>424</v>
      </c>
    </row>
    <row r="499" spans="1:23" x14ac:dyDescent="0.25">
      <c r="A499" s="19" t="s">
        <v>472</v>
      </c>
      <c r="B499" s="20" t="s">
        <v>7</v>
      </c>
      <c r="C499" s="20" t="s">
        <v>427</v>
      </c>
      <c r="D499" s="18" t="s">
        <v>203</v>
      </c>
      <c r="E499" s="18" t="s">
        <v>1464</v>
      </c>
      <c r="F499" s="18">
        <v>5.94</v>
      </c>
      <c r="G499" s="23">
        <v>1.81</v>
      </c>
      <c r="H499" s="20">
        <v>8.59</v>
      </c>
      <c r="I499" s="25">
        <v>12.783260955388876</v>
      </c>
      <c r="J499" s="24">
        <f>G499/F499*((100-H499)/100)*((100-I499)/100)*100</f>
        <v>24.293253585998155</v>
      </c>
      <c r="K499" s="53">
        <v>4.7363184079601988</v>
      </c>
      <c r="L499" s="54">
        <f>J499*10000/K499</f>
        <v>51291.428264554932</v>
      </c>
      <c r="M499" s="55">
        <v>49.2</v>
      </c>
      <c r="N499" s="55">
        <v>20.2</v>
      </c>
      <c r="O499" s="56">
        <v>45.41</v>
      </c>
      <c r="P499" s="55">
        <v>58.3</v>
      </c>
      <c r="Q499" s="17" t="s">
        <v>424</v>
      </c>
      <c r="R499" s="17" t="s">
        <v>424</v>
      </c>
      <c r="S499" s="17" t="s">
        <v>424</v>
      </c>
      <c r="T499" s="17" t="s">
        <v>424</v>
      </c>
      <c r="U499" s="17" t="s">
        <v>424</v>
      </c>
      <c r="V499" s="17" t="s">
        <v>424</v>
      </c>
      <c r="W499" s="17" t="s">
        <v>424</v>
      </c>
    </row>
    <row r="500" spans="1:23" x14ac:dyDescent="0.25">
      <c r="A500" s="19" t="s">
        <v>471</v>
      </c>
      <c r="B500" s="20" t="s">
        <v>7</v>
      </c>
      <c r="C500" s="20" t="s">
        <v>427</v>
      </c>
      <c r="D500" s="18" t="s">
        <v>204</v>
      </c>
      <c r="E500" s="18" t="s">
        <v>1786</v>
      </c>
      <c r="F500" s="18">
        <v>5.94</v>
      </c>
      <c r="G500" s="23">
        <v>2.48</v>
      </c>
      <c r="H500" s="20">
        <v>8.59</v>
      </c>
      <c r="I500" s="25">
        <v>12.635078969243567</v>
      </c>
      <c r="J500" s="24">
        <f>G500/F500*((100-H500)/100)*((100-I500)/100)*100</f>
        <v>33.342336750715795</v>
      </c>
      <c r="K500" s="53">
        <v>4.5357833655705999</v>
      </c>
      <c r="L500" s="54">
        <f>J500*10000/K500</f>
        <v>73509.544136972559</v>
      </c>
      <c r="M500" s="55">
        <v>52.7</v>
      </c>
      <c r="N500" s="55">
        <v>18.5</v>
      </c>
      <c r="O500" s="56">
        <v>1.8806</v>
      </c>
      <c r="P500" s="55">
        <v>10.7</v>
      </c>
      <c r="Q500" s="17" t="s">
        <v>424</v>
      </c>
      <c r="R500" s="17" t="s">
        <v>424</v>
      </c>
      <c r="S500" s="17" t="s">
        <v>424</v>
      </c>
      <c r="T500" s="17" t="s">
        <v>424</v>
      </c>
      <c r="U500" s="17" t="s">
        <v>424</v>
      </c>
      <c r="V500" s="17" t="s">
        <v>424</v>
      </c>
      <c r="W500" s="17" t="s">
        <v>424</v>
      </c>
    </row>
    <row r="501" spans="1:23" x14ac:dyDescent="0.25">
      <c r="A501" s="19" t="s">
        <v>470</v>
      </c>
      <c r="B501" s="20" t="s">
        <v>7</v>
      </c>
      <c r="C501" s="20" t="s">
        <v>427</v>
      </c>
      <c r="D501" s="18" t="s">
        <v>33</v>
      </c>
      <c r="E501" s="18" t="s">
        <v>1732</v>
      </c>
      <c r="F501" s="18">
        <v>5.94</v>
      </c>
      <c r="G501" s="23">
        <v>2.2999999999999998</v>
      </c>
      <c r="H501" s="20">
        <v>8.59</v>
      </c>
      <c r="I501" s="25">
        <v>11.23289929124774</v>
      </c>
      <c r="J501" s="24">
        <f>G501/F501*((100-H501)/100)*((100-I501)/100)*100</f>
        <v>31.418622145303367</v>
      </c>
      <c r="K501" s="53">
        <v>4.6968139773895166</v>
      </c>
      <c r="L501" s="54">
        <f>J501*10000/K501</f>
        <v>66893.477784201707</v>
      </c>
      <c r="M501" s="55">
        <v>48.6</v>
      </c>
      <c r="N501" s="55">
        <v>19</v>
      </c>
      <c r="O501" s="56">
        <v>4.0698999999999996</v>
      </c>
      <c r="P501" s="55">
        <v>17</v>
      </c>
      <c r="Q501" s="17" t="s">
        <v>424</v>
      </c>
      <c r="R501" s="17" t="s">
        <v>424</v>
      </c>
      <c r="S501" s="17" t="s">
        <v>424</v>
      </c>
      <c r="T501" s="17" t="s">
        <v>424</v>
      </c>
      <c r="U501" s="17" t="s">
        <v>424</v>
      </c>
      <c r="V501" s="17" t="s">
        <v>424</v>
      </c>
      <c r="W501" s="17" t="s">
        <v>424</v>
      </c>
    </row>
    <row r="502" spans="1:23" x14ac:dyDescent="0.25">
      <c r="A502" s="19" t="s">
        <v>469</v>
      </c>
      <c r="B502" s="20" t="s">
        <v>7</v>
      </c>
      <c r="C502" s="20" t="s">
        <v>427</v>
      </c>
      <c r="D502" s="18" t="s">
        <v>205</v>
      </c>
      <c r="E502" s="18" t="s">
        <v>1492</v>
      </c>
      <c r="F502" s="18">
        <v>5.94</v>
      </c>
      <c r="G502" s="23">
        <v>1.97</v>
      </c>
      <c r="H502" s="20">
        <v>8.59</v>
      </c>
      <c r="I502" s="25">
        <v>11.066993326011666</v>
      </c>
      <c r="J502" s="24">
        <f>G502/F502*((100-H502)/100)*((100-I502)/100)*100</f>
        <v>26.961029117738157</v>
      </c>
      <c r="K502" s="53">
        <v>5.481220657276995</v>
      </c>
      <c r="L502" s="54">
        <f>J502*10000/K502</f>
        <v>49188.001730862765</v>
      </c>
      <c r="M502" s="55">
        <v>51.4</v>
      </c>
      <c r="N502" s="55">
        <v>18.7</v>
      </c>
      <c r="O502" s="56">
        <v>31.539000000000001</v>
      </c>
      <c r="P502" s="55">
        <v>48.3</v>
      </c>
      <c r="Q502" s="17" t="s">
        <v>424</v>
      </c>
      <c r="R502" s="17" t="s">
        <v>424</v>
      </c>
      <c r="S502" s="17" t="s">
        <v>424</v>
      </c>
      <c r="T502" s="17" t="s">
        <v>424</v>
      </c>
      <c r="U502" s="17" t="s">
        <v>424</v>
      </c>
      <c r="V502" s="17" t="s">
        <v>424</v>
      </c>
      <c r="W502" s="17" t="s">
        <v>424</v>
      </c>
    </row>
    <row r="503" spans="1:23" x14ac:dyDescent="0.25">
      <c r="A503" s="19" t="s">
        <v>208</v>
      </c>
      <c r="B503" s="20" t="s">
        <v>7</v>
      </c>
      <c r="C503" s="20" t="s">
        <v>13</v>
      </c>
      <c r="D503" s="18" t="s">
        <v>207</v>
      </c>
      <c r="E503" s="18" t="s">
        <v>1628</v>
      </c>
      <c r="F503" s="18">
        <v>5.94</v>
      </c>
      <c r="G503" s="23">
        <v>2.4</v>
      </c>
      <c r="H503" s="17">
        <v>6.92</v>
      </c>
      <c r="I503" s="25">
        <v>16.574000529520784</v>
      </c>
      <c r="J503" s="24">
        <f>G503/F503*((100-H503)/100)*((100-I503)/100)*100</f>
        <v>31.374917295806888</v>
      </c>
      <c r="K503" s="53">
        <v>4.1419586702605571</v>
      </c>
      <c r="L503" s="54">
        <f>J503*10000/K503</f>
        <v>75748.986876861323</v>
      </c>
      <c r="M503" s="55">
        <v>51</v>
      </c>
      <c r="N503" s="55">
        <v>17.600000000000001</v>
      </c>
      <c r="O503" s="56">
        <v>8.2897999999999999E-2</v>
      </c>
      <c r="P503" s="55">
        <v>21.2</v>
      </c>
      <c r="Q503" s="17" t="s">
        <v>424</v>
      </c>
      <c r="R503" s="17" t="s">
        <v>424</v>
      </c>
      <c r="S503" s="17" t="s">
        <v>424</v>
      </c>
      <c r="T503" s="17" t="s">
        <v>424</v>
      </c>
      <c r="U503" s="17" t="s">
        <v>424</v>
      </c>
      <c r="V503" s="17" t="s">
        <v>424</v>
      </c>
      <c r="W503" s="17" t="s">
        <v>424</v>
      </c>
    </row>
    <row r="504" spans="1:23" x14ac:dyDescent="0.25">
      <c r="A504" s="19" t="s">
        <v>209</v>
      </c>
      <c r="B504" s="20" t="s">
        <v>7</v>
      </c>
      <c r="C504" s="20" t="s">
        <v>13</v>
      </c>
      <c r="D504" s="18" t="s">
        <v>20</v>
      </c>
      <c r="E504" s="18" t="s">
        <v>1618</v>
      </c>
      <c r="F504" s="18">
        <v>5.94</v>
      </c>
      <c r="G504" s="23">
        <v>2.16</v>
      </c>
      <c r="H504" s="17">
        <v>6.92</v>
      </c>
      <c r="I504" s="25">
        <v>15.823995627220544</v>
      </c>
      <c r="J504" s="24">
        <f>G504/F504*((100-H504)/100)*((100-I504)/100)*100</f>
        <v>28.491281770975679</v>
      </c>
      <c r="K504" s="53">
        <v>4.3120960295475532</v>
      </c>
      <c r="L504" s="54">
        <f>J504*10000/K504</f>
        <v>66072.929674446801</v>
      </c>
      <c r="M504" s="55">
        <v>54.6</v>
      </c>
      <c r="N504" s="55">
        <v>16.600000000000001</v>
      </c>
      <c r="O504" s="56">
        <v>5.1910999999999999E-2</v>
      </c>
      <c r="P504" s="55">
        <v>9.6</v>
      </c>
      <c r="Q504" s="17" t="s">
        <v>424</v>
      </c>
      <c r="R504" s="17" t="s">
        <v>424</v>
      </c>
      <c r="S504" s="17" t="s">
        <v>424</v>
      </c>
      <c r="T504" s="17" t="s">
        <v>424</v>
      </c>
      <c r="U504" s="17" t="s">
        <v>424</v>
      </c>
      <c r="V504" s="17" t="s">
        <v>424</v>
      </c>
      <c r="W504" s="17" t="s">
        <v>424</v>
      </c>
    </row>
    <row r="505" spans="1:23" x14ac:dyDescent="0.25">
      <c r="A505" s="19" t="s">
        <v>210</v>
      </c>
      <c r="B505" s="20" t="s">
        <v>7</v>
      </c>
      <c r="C505" s="20" t="s">
        <v>13</v>
      </c>
      <c r="D505" s="18" t="s">
        <v>85</v>
      </c>
      <c r="E505" s="18" t="s">
        <v>1764</v>
      </c>
      <c r="F505" s="18">
        <v>5.94</v>
      </c>
      <c r="G505" s="23">
        <v>2.71</v>
      </c>
      <c r="H505" s="17">
        <v>6.92</v>
      </c>
      <c r="I505" s="25">
        <v>17.590966122961106</v>
      </c>
      <c r="J505" s="24">
        <f>G505/F505*((100-H505)/100)*((100-I505)/100)*100</f>
        <v>34.995648293896721</v>
      </c>
      <c r="K505" s="53">
        <v>5.4514672686230252</v>
      </c>
      <c r="L505" s="54">
        <f>J505*10000/K505</f>
        <v>64194.915917996885</v>
      </c>
      <c r="M505" s="55">
        <v>53.8</v>
      </c>
      <c r="N505" s="55">
        <v>15.4</v>
      </c>
      <c r="O505" s="56">
        <v>1.4572E-2</v>
      </c>
      <c r="P505" s="55">
        <v>14.7</v>
      </c>
      <c r="Q505" s="17" t="s">
        <v>424</v>
      </c>
      <c r="R505" s="17" t="s">
        <v>424</v>
      </c>
      <c r="S505" s="17" t="s">
        <v>424</v>
      </c>
      <c r="T505" s="17" t="s">
        <v>424</v>
      </c>
      <c r="U505" s="17" t="s">
        <v>424</v>
      </c>
      <c r="V505" s="17" t="s">
        <v>424</v>
      </c>
      <c r="W505" s="17" t="s">
        <v>424</v>
      </c>
    </row>
    <row r="506" spans="1:23" x14ac:dyDescent="0.25">
      <c r="A506" s="19" t="s">
        <v>211</v>
      </c>
      <c r="B506" s="20" t="s">
        <v>7</v>
      </c>
      <c r="C506" s="20" t="s">
        <v>13</v>
      </c>
      <c r="D506" s="18" t="s">
        <v>47</v>
      </c>
      <c r="E506" s="18" t="s">
        <v>1754</v>
      </c>
      <c r="F506" s="18">
        <v>5.94</v>
      </c>
      <c r="G506" s="23">
        <v>2.4300000000000002</v>
      </c>
      <c r="H506" s="17">
        <v>6.92</v>
      </c>
      <c r="I506" s="25">
        <v>17.625111525671183</v>
      </c>
      <c r="J506" s="24">
        <f>G506/F506*((100-H506)/100)*((100-I506)/100)*100</f>
        <v>31.366859805779423</v>
      </c>
      <c r="K506" s="53">
        <v>5.422535211267606</v>
      </c>
      <c r="L506" s="54">
        <f>J506*10000/K506</f>
        <v>57845.377823645162</v>
      </c>
      <c r="M506" s="55">
        <v>51.7</v>
      </c>
      <c r="N506" s="55">
        <v>17.100000000000001</v>
      </c>
      <c r="O506" s="56">
        <v>3.6156000000000001</v>
      </c>
      <c r="P506" s="55">
        <v>22.5</v>
      </c>
      <c r="Q506" s="17" t="s">
        <v>424</v>
      </c>
      <c r="R506" s="17" t="s">
        <v>424</v>
      </c>
      <c r="S506" s="17" t="s">
        <v>424</v>
      </c>
      <c r="T506" s="17" t="s">
        <v>424</v>
      </c>
      <c r="U506" s="17" t="s">
        <v>424</v>
      </c>
      <c r="V506" s="17" t="s">
        <v>424</v>
      </c>
      <c r="W506" s="17" t="s">
        <v>424</v>
      </c>
    </row>
    <row r="507" spans="1:23" x14ac:dyDescent="0.25">
      <c r="A507" s="19" t="s">
        <v>212</v>
      </c>
      <c r="B507" s="20" t="s">
        <v>7</v>
      </c>
      <c r="C507" s="20" t="s">
        <v>13</v>
      </c>
      <c r="D507" s="18" t="s">
        <v>96</v>
      </c>
      <c r="E507" s="18" t="s">
        <v>1527</v>
      </c>
      <c r="F507" s="18">
        <v>5.94</v>
      </c>
      <c r="G507" s="23">
        <v>1.54</v>
      </c>
      <c r="H507" s="17">
        <v>6.92</v>
      </c>
      <c r="I507" s="25">
        <v>12.316415690648819</v>
      </c>
      <c r="J507" s="24">
        <f>G507/F507*((100-H507)/100)*((100-I507)/100)*100</f>
        <v>21.159672663926237</v>
      </c>
      <c r="K507" s="53">
        <v>5.3986332574031888</v>
      </c>
      <c r="L507" s="54">
        <f>J507*10000/K507</f>
        <v>39194.499153854929</v>
      </c>
      <c r="M507" s="55">
        <v>46.3</v>
      </c>
      <c r="N507" s="55">
        <v>19.7</v>
      </c>
      <c r="O507" s="56">
        <v>5.1746999999999996</v>
      </c>
      <c r="P507" s="55">
        <v>56.8</v>
      </c>
      <c r="Q507" s="17" t="s">
        <v>424</v>
      </c>
      <c r="R507" s="17" t="s">
        <v>424</v>
      </c>
      <c r="S507" s="17" t="s">
        <v>424</v>
      </c>
      <c r="T507" s="17" t="s">
        <v>424</v>
      </c>
      <c r="U507" s="17" t="s">
        <v>424</v>
      </c>
      <c r="V507" s="17" t="s">
        <v>424</v>
      </c>
      <c r="W507" s="17" t="s">
        <v>424</v>
      </c>
    </row>
    <row r="508" spans="1:23" x14ac:dyDescent="0.25">
      <c r="A508" s="19" t="s">
        <v>214</v>
      </c>
      <c r="B508" s="20" t="s">
        <v>7</v>
      </c>
      <c r="C508" s="20" t="s">
        <v>13</v>
      </c>
      <c r="D508" s="18" t="s">
        <v>213</v>
      </c>
      <c r="E508" s="18" t="s">
        <v>1566</v>
      </c>
      <c r="F508" s="18">
        <v>5.94</v>
      </c>
      <c r="G508" s="23">
        <v>2.08</v>
      </c>
      <c r="H508" s="17">
        <v>6.92</v>
      </c>
      <c r="I508" s="25">
        <v>10.875171939477298</v>
      </c>
      <c r="J508" s="24">
        <f>G508/F508*((100-H508)/100)*((100-I508)/100)*100</f>
        <v>29.049052376122532</v>
      </c>
      <c r="K508" s="53">
        <v>5.090715048025614</v>
      </c>
      <c r="L508" s="54">
        <f>J508*10000/K508</f>
        <v>57062.813577414701</v>
      </c>
      <c r="M508" s="55">
        <v>52.3</v>
      </c>
      <c r="N508" s="55">
        <v>16.3</v>
      </c>
      <c r="O508" s="56">
        <v>1.3483000000000001</v>
      </c>
      <c r="P508" s="55">
        <v>21.3</v>
      </c>
      <c r="Q508" s="17" t="s">
        <v>424</v>
      </c>
      <c r="R508" s="17" t="s">
        <v>424</v>
      </c>
      <c r="S508" s="17" t="s">
        <v>424</v>
      </c>
      <c r="T508" s="17" t="s">
        <v>424</v>
      </c>
      <c r="U508" s="17" t="s">
        <v>424</v>
      </c>
      <c r="V508" s="17" t="s">
        <v>424</v>
      </c>
      <c r="W508" s="17" t="s">
        <v>424</v>
      </c>
    </row>
    <row r="509" spans="1:23" x14ac:dyDescent="0.25">
      <c r="A509" s="19" t="s">
        <v>480</v>
      </c>
      <c r="B509" s="20" t="s">
        <v>7</v>
      </c>
      <c r="C509" s="20" t="s">
        <v>427</v>
      </c>
      <c r="D509" s="18" t="s">
        <v>215</v>
      </c>
      <c r="E509" s="18" t="s">
        <v>1474</v>
      </c>
      <c r="F509" s="18">
        <v>5.94</v>
      </c>
      <c r="G509" s="23">
        <v>1.93</v>
      </c>
      <c r="H509" s="20">
        <v>8.59</v>
      </c>
      <c r="I509" s="25">
        <v>8.4740535122214471</v>
      </c>
      <c r="J509" s="24">
        <f>G509/F509*((100-H509)/100)*((100-I509)/100)*100</f>
        <v>27.18371458435071</v>
      </c>
      <c r="K509" s="53">
        <v>4.1845878136200714</v>
      </c>
      <c r="L509" s="54">
        <f>J509*10000/K509</f>
        <v>64961.510655536171</v>
      </c>
      <c r="M509" s="55">
        <v>50.5</v>
      </c>
      <c r="N509" s="55">
        <v>21.1</v>
      </c>
      <c r="O509" s="56">
        <v>48.564</v>
      </c>
      <c r="P509" s="55">
        <v>65.7</v>
      </c>
      <c r="Q509" s="17" t="s">
        <v>424</v>
      </c>
      <c r="R509" s="17" t="s">
        <v>424</v>
      </c>
      <c r="S509" s="17" t="s">
        <v>424</v>
      </c>
      <c r="T509" s="17" t="s">
        <v>424</v>
      </c>
      <c r="U509" s="17" t="s">
        <v>424</v>
      </c>
      <c r="V509" s="17" t="s">
        <v>424</v>
      </c>
      <c r="W509" s="17" t="s">
        <v>424</v>
      </c>
    </row>
    <row r="510" spans="1:23" x14ac:dyDescent="0.25">
      <c r="A510" s="19" t="s">
        <v>479</v>
      </c>
      <c r="B510" s="20" t="s">
        <v>7</v>
      </c>
      <c r="C510" s="20" t="s">
        <v>427</v>
      </c>
      <c r="D510" s="18" t="s">
        <v>216</v>
      </c>
      <c r="E510" s="18" t="s">
        <v>1624</v>
      </c>
      <c r="F510" s="18">
        <v>5.94</v>
      </c>
      <c r="G510" s="23">
        <v>2.4</v>
      </c>
      <c r="H510" s="20">
        <v>8.59</v>
      </c>
      <c r="I510" s="25">
        <v>7.1516173539782404</v>
      </c>
      <c r="J510" s="24">
        <f>G510/F510*((100-H510)/100)*((100-I510)/100)*100</f>
        <v>34.292002657264028</v>
      </c>
      <c r="K510" s="53">
        <v>4.3982300884955752</v>
      </c>
      <c r="L510" s="54">
        <f>J510*10000/K510</f>
        <v>77967.732399815606</v>
      </c>
      <c r="M510" s="55">
        <v>46.3</v>
      </c>
      <c r="N510" s="55">
        <v>18.100000000000001</v>
      </c>
      <c r="O510" s="56">
        <v>3.5876000000000001</v>
      </c>
      <c r="P510" s="55">
        <v>16.7</v>
      </c>
      <c r="Q510" s="17" t="s">
        <v>424</v>
      </c>
      <c r="R510" s="17" t="s">
        <v>424</v>
      </c>
      <c r="S510" s="17" t="s">
        <v>424</v>
      </c>
      <c r="T510" s="17" t="s">
        <v>424</v>
      </c>
      <c r="U510" s="17" t="s">
        <v>424</v>
      </c>
      <c r="V510" s="17" t="s">
        <v>424</v>
      </c>
      <c r="W510" s="17" t="s">
        <v>424</v>
      </c>
    </row>
    <row r="511" spans="1:23" x14ac:dyDescent="0.25">
      <c r="A511" s="19" t="s">
        <v>478</v>
      </c>
      <c r="B511" s="20" t="s">
        <v>7</v>
      </c>
      <c r="C511" s="20" t="s">
        <v>427</v>
      </c>
      <c r="D511" s="18" t="s">
        <v>217</v>
      </c>
      <c r="E511" s="18" t="s">
        <v>1547</v>
      </c>
      <c r="F511" s="18">
        <v>5.94</v>
      </c>
      <c r="G511" s="23">
        <v>2.11</v>
      </c>
      <c r="H511" s="20">
        <v>8.59</v>
      </c>
      <c r="I511" s="25">
        <v>5.606758832565272</v>
      </c>
      <c r="J511" s="24">
        <f>G511/F511*((100-H511)/100)*((100-I511)/100)*100</f>
        <v>30.650009813961422</v>
      </c>
      <c r="K511" s="53">
        <v>4.395501405810684</v>
      </c>
      <c r="L511" s="54">
        <f>J511*10000/K511</f>
        <v>69730.406122594533</v>
      </c>
      <c r="M511" s="55">
        <v>49.9</v>
      </c>
      <c r="N511" s="55">
        <v>18.7</v>
      </c>
      <c r="O511" s="56">
        <v>2.7709000000000001</v>
      </c>
      <c r="P511" s="55">
        <v>18.8</v>
      </c>
      <c r="Q511" s="17" t="s">
        <v>424</v>
      </c>
      <c r="R511" s="17" t="s">
        <v>424</v>
      </c>
      <c r="S511" s="17" t="s">
        <v>424</v>
      </c>
      <c r="T511" s="17" t="s">
        <v>424</v>
      </c>
      <c r="U511" s="17" t="s">
        <v>424</v>
      </c>
      <c r="V511" s="17" t="s">
        <v>424</v>
      </c>
      <c r="W511" s="17" t="s">
        <v>424</v>
      </c>
    </row>
    <row r="512" spans="1:23" x14ac:dyDescent="0.25">
      <c r="A512" s="19" t="s">
        <v>477</v>
      </c>
      <c r="B512" s="20" t="s">
        <v>7</v>
      </c>
      <c r="C512" s="20" t="s">
        <v>427</v>
      </c>
      <c r="D512" s="18" t="s">
        <v>68</v>
      </c>
      <c r="E512" s="18" t="s">
        <v>1788</v>
      </c>
      <c r="F512" s="18">
        <v>5.94</v>
      </c>
      <c r="G512" s="23">
        <v>2.27</v>
      </c>
      <c r="H512" s="20">
        <v>8.59</v>
      </c>
      <c r="I512" s="25">
        <v>5.0989755834553012</v>
      </c>
      <c r="J512" s="24">
        <f>G512/F512*((100-H512)/100)*((100-I512)/100)*100</f>
        <v>33.151563968266181</v>
      </c>
      <c r="K512" s="53">
        <v>4.8846960167714881</v>
      </c>
      <c r="L512" s="54">
        <f>J512*10000/K512</f>
        <v>67868.223231171534</v>
      </c>
      <c r="M512" s="55">
        <v>50.3</v>
      </c>
      <c r="N512" s="55">
        <v>18.5</v>
      </c>
      <c r="O512" s="56">
        <v>6.1317000000000003E-2</v>
      </c>
      <c r="P512" s="55">
        <v>12.2</v>
      </c>
      <c r="Q512" s="17" t="s">
        <v>424</v>
      </c>
      <c r="R512" s="17" t="s">
        <v>424</v>
      </c>
      <c r="S512" s="17" t="s">
        <v>424</v>
      </c>
      <c r="T512" s="17" t="s">
        <v>424</v>
      </c>
      <c r="U512" s="17" t="s">
        <v>424</v>
      </c>
      <c r="V512" s="17" t="s">
        <v>424</v>
      </c>
      <c r="W512" s="17" t="s">
        <v>424</v>
      </c>
    </row>
    <row r="513" spans="1:23" x14ac:dyDescent="0.25">
      <c r="A513" s="19" t="s">
        <v>476</v>
      </c>
      <c r="B513" s="20" t="s">
        <v>7</v>
      </c>
      <c r="C513" s="20" t="s">
        <v>427</v>
      </c>
      <c r="D513" s="18" t="s">
        <v>218</v>
      </c>
      <c r="E513" s="18" t="s">
        <v>1466</v>
      </c>
      <c r="F513" s="18">
        <v>5.94</v>
      </c>
      <c r="G513" s="23">
        <v>1.85</v>
      </c>
      <c r="H513" s="20">
        <v>8.59</v>
      </c>
      <c r="I513" s="25">
        <v>12.851681957186555</v>
      </c>
      <c r="J513" s="24">
        <f>G513/F513*((100-H513)/100)*((100-I513)/100)*100</f>
        <v>24.810641989466525</v>
      </c>
      <c r="K513" s="53">
        <v>4.6493756003842464</v>
      </c>
      <c r="L513" s="54">
        <f>J513*10000/K513</f>
        <v>53363.384940154232</v>
      </c>
      <c r="M513" s="55">
        <v>53.9</v>
      </c>
      <c r="N513" s="55">
        <v>19.600000000000001</v>
      </c>
      <c r="O513" s="56">
        <v>46.039000000000001</v>
      </c>
      <c r="P513" s="55">
        <v>60.1</v>
      </c>
      <c r="Q513" s="17" t="s">
        <v>424</v>
      </c>
      <c r="R513" s="17" t="s">
        <v>424</v>
      </c>
      <c r="S513" s="17" t="s">
        <v>424</v>
      </c>
      <c r="T513" s="17" t="s">
        <v>424</v>
      </c>
      <c r="U513" s="17" t="s">
        <v>424</v>
      </c>
      <c r="V513" s="17" t="s">
        <v>424</v>
      </c>
      <c r="W513" s="17" t="s">
        <v>424</v>
      </c>
    </row>
    <row r="514" spans="1:23" x14ac:dyDescent="0.25">
      <c r="A514" s="19" t="s">
        <v>475</v>
      </c>
      <c r="B514" s="20" t="s">
        <v>7</v>
      </c>
      <c r="C514" s="20" t="s">
        <v>427</v>
      </c>
      <c r="D514" s="18" t="s">
        <v>80</v>
      </c>
      <c r="E514" s="18" t="s">
        <v>1718</v>
      </c>
      <c r="F514" s="18">
        <v>5.94</v>
      </c>
      <c r="G514" s="23">
        <v>2.02</v>
      </c>
      <c r="H514" s="20">
        <v>8.59</v>
      </c>
      <c r="I514" s="25">
        <v>8.2586830111582614</v>
      </c>
      <c r="J514" s="24">
        <f>G514/F514*((100-H514)/100)*((100-I514)/100)*100</f>
        <v>28.518298059964724</v>
      </c>
      <c r="K514" s="53">
        <v>4.8800834202294059</v>
      </c>
      <c r="L514" s="54">
        <f>J514*10000/K514</f>
        <v>58438.136409201223</v>
      </c>
      <c r="M514" s="55">
        <v>50.9</v>
      </c>
      <c r="N514" s="55">
        <v>17.5</v>
      </c>
      <c r="O514" s="56">
        <v>4.5465</v>
      </c>
      <c r="P514" s="55">
        <v>18.7</v>
      </c>
      <c r="Q514" s="17" t="s">
        <v>424</v>
      </c>
      <c r="R514" s="17" t="s">
        <v>424</v>
      </c>
      <c r="S514" s="17" t="s">
        <v>424</v>
      </c>
      <c r="T514" s="17" t="s">
        <v>424</v>
      </c>
      <c r="U514" s="17" t="s">
        <v>424</v>
      </c>
      <c r="V514" s="17" t="s">
        <v>424</v>
      </c>
      <c r="W514" s="17" t="s">
        <v>424</v>
      </c>
    </row>
    <row r="515" spans="1:23" x14ac:dyDescent="0.25">
      <c r="A515" s="19" t="s">
        <v>221</v>
      </c>
      <c r="B515" s="20" t="s">
        <v>7</v>
      </c>
      <c r="C515" s="20" t="s">
        <v>13</v>
      </c>
      <c r="D515" s="18" t="s">
        <v>43</v>
      </c>
      <c r="E515" s="18" t="s">
        <v>1502</v>
      </c>
      <c r="F515" s="18">
        <v>5.94</v>
      </c>
      <c r="G515" s="23">
        <v>1.65</v>
      </c>
      <c r="H515" s="17">
        <v>6.92</v>
      </c>
      <c r="I515" s="25">
        <v>12.028323860989468</v>
      </c>
      <c r="J515" s="24">
        <f>G515/F515*((100-H515)/100)*((100-I515)/100)*100</f>
        <v>22.74556559727527</v>
      </c>
      <c r="K515" s="53">
        <v>5.1674107142857144</v>
      </c>
      <c r="L515" s="54">
        <f>J515*10000/K515</f>
        <v>44017.336447426867</v>
      </c>
      <c r="M515" s="55">
        <v>47.8</v>
      </c>
      <c r="N515" s="55">
        <v>21.3</v>
      </c>
      <c r="O515" s="56">
        <v>8.9093999999999998</v>
      </c>
      <c r="P515" s="55">
        <v>62.9</v>
      </c>
      <c r="Q515" s="17" t="s">
        <v>424</v>
      </c>
      <c r="R515" s="17" t="s">
        <v>424</v>
      </c>
      <c r="S515" s="17" t="s">
        <v>424</v>
      </c>
      <c r="T515" s="17" t="s">
        <v>424</v>
      </c>
      <c r="U515" s="17" t="s">
        <v>424</v>
      </c>
      <c r="V515" s="17" t="s">
        <v>424</v>
      </c>
      <c r="W515" s="17" t="s">
        <v>424</v>
      </c>
    </row>
    <row r="516" spans="1:23" x14ac:dyDescent="0.25">
      <c r="A516" s="19" t="s">
        <v>223</v>
      </c>
      <c r="B516" s="20" t="s">
        <v>7</v>
      </c>
      <c r="C516" s="20" t="s">
        <v>13</v>
      </c>
      <c r="D516" s="18" t="s">
        <v>222</v>
      </c>
      <c r="E516" s="18" t="s">
        <v>1700</v>
      </c>
      <c r="F516" s="18">
        <v>5.94</v>
      </c>
      <c r="G516" s="23">
        <v>1.51</v>
      </c>
      <c r="H516" s="17">
        <v>6.92</v>
      </c>
      <c r="I516" s="25">
        <v>14.422741541681205</v>
      </c>
      <c r="J516" s="24">
        <f>G516/F516*((100-H516)/100)*((100-I516)/100)*100</f>
        <v>20.249077673608539</v>
      </c>
      <c r="K516" s="53">
        <v>3.4970238095238093</v>
      </c>
      <c r="L516" s="54">
        <f>J516*10000/K516</f>
        <v>57903.745517723146</v>
      </c>
      <c r="M516" s="55">
        <v>50.5</v>
      </c>
      <c r="N516" s="55">
        <v>19.7</v>
      </c>
      <c r="O516" s="56">
        <v>45.527000000000001</v>
      </c>
      <c r="P516" s="55">
        <v>59</v>
      </c>
      <c r="Q516" s="17" t="s">
        <v>424</v>
      </c>
      <c r="R516" s="17" t="s">
        <v>424</v>
      </c>
      <c r="S516" s="17" t="s">
        <v>424</v>
      </c>
      <c r="T516" s="17" t="s">
        <v>424</v>
      </c>
      <c r="U516" s="17" t="s">
        <v>424</v>
      </c>
      <c r="V516" s="17" t="s">
        <v>424</v>
      </c>
      <c r="W516" s="17" t="s">
        <v>424</v>
      </c>
    </row>
    <row r="517" spans="1:23" x14ac:dyDescent="0.25">
      <c r="A517" s="19" t="s">
        <v>224</v>
      </c>
      <c r="B517" s="20" t="s">
        <v>7</v>
      </c>
      <c r="C517" s="20" t="s">
        <v>13</v>
      </c>
      <c r="D517" s="18" t="s">
        <v>71</v>
      </c>
      <c r="E517" s="18" t="s">
        <v>1604</v>
      </c>
      <c r="F517" s="18">
        <v>5.94</v>
      </c>
      <c r="G517" s="23">
        <v>1.87</v>
      </c>
      <c r="H517" s="17">
        <v>6.92</v>
      </c>
      <c r="I517" s="25">
        <v>13.956770407784292</v>
      </c>
      <c r="J517" s="24">
        <f>G517/F517*((100-H517)/100)*((100-I517)/100)*100</f>
        <v>25.213215699544158</v>
      </c>
      <c r="K517" s="53">
        <v>5.8530510585305109</v>
      </c>
      <c r="L517" s="54">
        <f>J517*10000/K517</f>
        <v>43077.047248370123</v>
      </c>
      <c r="M517" s="55">
        <v>50.5</v>
      </c>
      <c r="N517" s="55">
        <v>18.399999999999999</v>
      </c>
      <c r="O517" s="56">
        <v>1.3165</v>
      </c>
      <c r="P517" s="55">
        <v>17.3</v>
      </c>
      <c r="Q517" s="17" t="s">
        <v>424</v>
      </c>
      <c r="R517" s="17" t="s">
        <v>424</v>
      </c>
      <c r="S517" s="17" t="s">
        <v>424</v>
      </c>
      <c r="T517" s="17" t="s">
        <v>424</v>
      </c>
      <c r="U517" s="17" t="s">
        <v>424</v>
      </c>
      <c r="V517" s="17" t="s">
        <v>424</v>
      </c>
      <c r="W517" s="17" t="s">
        <v>424</v>
      </c>
    </row>
    <row r="518" spans="1:23" x14ac:dyDescent="0.25">
      <c r="A518" s="19" t="s">
        <v>225</v>
      </c>
      <c r="B518" s="20" t="s">
        <v>7</v>
      </c>
      <c r="C518" s="20" t="s">
        <v>13</v>
      </c>
      <c r="D518" s="18" t="s">
        <v>46</v>
      </c>
      <c r="E518" s="18" t="s">
        <v>1531</v>
      </c>
      <c r="F518" s="18">
        <v>5.94</v>
      </c>
      <c r="G518" s="23">
        <v>1.9</v>
      </c>
      <c r="H518" s="17">
        <v>6.92</v>
      </c>
      <c r="I518" s="25">
        <v>10.567101091933779</v>
      </c>
      <c r="J518" s="24">
        <f>G518/F518*((100-H518)/100)*((100-I518)/100)*100</f>
        <v>26.626914204864182</v>
      </c>
      <c r="K518" s="53">
        <v>5.806451612903226</v>
      </c>
      <c r="L518" s="54">
        <f>J518*10000/K518</f>
        <v>45857.463352821644</v>
      </c>
      <c r="M518" s="55">
        <v>49.7</v>
      </c>
      <c r="N518" s="55">
        <v>18.5</v>
      </c>
      <c r="O518" s="56">
        <v>5.1314000000000002</v>
      </c>
      <c r="P518" s="55">
        <v>56</v>
      </c>
      <c r="Q518" s="17" t="s">
        <v>424</v>
      </c>
      <c r="R518" s="17" t="s">
        <v>424</v>
      </c>
      <c r="S518" s="17" t="s">
        <v>424</v>
      </c>
      <c r="T518" s="17" t="s">
        <v>424</v>
      </c>
      <c r="U518" s="17" t="s">
        <v>424</v>
      </c>
      <c r="V518" s="17" t="s">
        <v>424</v>
      </c>
      <c r="W518" s="17" t="s">
        <v>424</v>
      </c>
    </row>
    <row r="519" spans="1:23" x14ac:dyDescent="0.25">
      <c r="A519" s="19" t="s">
        <v>226</v>
      </c>
      <c r="B519" s="20" t="s">
        <v>7</v>
      </c>
      <c r="C519" s="20" t="s">
        <v>13</v>
      </c>
      <c r="D519" s="18" t="s">
        <v>61</v>
      </c>
      <c r="E519" s="18" t="s">
        <v>1676</v>
      </c>
      <c r="F519" s="18">
        <v>5.94</v>
      </c>
      <c r="G519" s="23">
        <v>2.66</v>
      </c>
      <c r="H519" s="17">
        <v>6.92</v>
      </c>
      <c r="I519" s="25">
        <v>10.785311257052998</v>
      </c>
      <c r="J519" s="24">
        <f>G519/F519*((100-H519)/100)*((100-I519)/100)*100</f>
        <v>37.186724893930517</v>
      </c>
      <c r="K519" s="53">
        <v>4.6565656565656566</v>
      </c>
      <c r="L519" s="54">
        <f>J519*10000/K519</f>
        <v>79858.69337308289</v>
      </c>
      <c r="M519" s="55">
        <v>52</v>
      </c>
      <c r="N519" s="55">
        <v>17.100000000000001</v>
      </c>
      <c r="O519" s="56">
        <v>1.0065</v>
      </c>
      <c r="P519" s="55">
        <v>21.1</v>
      </c>
      <c r="Q519" s="17" t="s">
        <v>424</v>
      </c>
      <c r="R519" s="17" t="s">
        <v>424</v>
      </c>
      <c r="S519" s="17" t="s">
        <v>424</v>
      </c>
      <c r="T519" s="17" t="s">
        <v>424</v>
      </c>
      <c r="U519" s="17" t="s">
        <v>424</v>
      </c>
      <c r="V519" s="17" t="s">
        <v>424</v>
      </c>
      <c r="W519" s="17" t="s">
        <v>424</v>
      </c>
    </row>
    <row r="520" spans="1:23" x14ac:dyDescent="0.25">
      <c r="A520" s="19" t="s">
        <v>227</v>
      </c>
      <c r="B520" s="20" t="s">
        <v>7</v>
      </c>
      <c r="C520" s="20" t="s">
        <v>13</v>
      </c>
      <c r="D520" s="18" t="s">
        <v>66</v>
      </c>
      <c r="E520" s="18" t="s">
        <v>1766</v>
      </c>
      <c r="F520" s="18">
        <v>5.94</v>
      </c>
      <c r="G520" s="23">
        <v>2.68</v>
      </c>
      <c r="H520" s="17">
        <v>6.92</v>
      </c>
      <c r="I520" s="25">
        <v>9.4024762246545777</v>
      </c>
      <c r="J520" s="24">
        <f>G520/F520*((100-H520)/100)*((100-I520)/100)*100</f>
        <v>38.047055445899879</v>
      </c>
      <c r="K520" s="53">
        <v>4.9316508937960046</v>
      </c>
      <c r="L520" s="54">
        <f>J520*10000/K520</f>
        <v>77148.720104585882</v>
      </c>
      <c r="M520" s="55">
        <v>53.4</v>
      </c>
      <c r="N520" s="55">
        <v>15.9</v>
      </c>
      <c r="O520" s="56">
        <v>0.20995</v>
      </c>
      <c r="P520" s="55">
        <v>17.100000000000001</v>
      </c>
      <c r="Q520" s="17" t="s">
        <v>424</v>
      </c>
      <c r="R520" s="17" t="s">
        <v>424</v>
      </c>
      <c r="S520" s="17" t="s">
        <v>424</v>
      </c>
      <c r="T520" s="17" t="s">
        <v>424</v>
      </c>
      <c r="U520" s="17" t="s">
        <v>424</v>
      </c>
      <c r="V520" s="17" t="s">
        <v>424</v>
      </c>
      <c r="W520" s="17" t="s">
        <v>424</v>
      </c>
    </row>
    <row r="521" spans="1:23" x14ac:dyDescent="0.25">
      <c r="A521" s="19" t="s">
        <v>486</v>
      </c>
      <c r="B521" s="20" t="s">
        <v>7</v>
      </c>
      <c r="C521" s="20" t="s">
        <v>427</v>
      </c>
      <c r="D521" s="18" t="s">
        <v>54</v>
      </c>
      <c r="E521" s="18" t="s">
        <v>1730</v>
      </c>
      <c r="F521" s="18">
        <v>5.94</v>
      </c>
      <c r="G521" s="20">
        <v>2.65</v>
      </c>
      <c r="H521" s="20">
        <v>6.71</v>
      </c>
      <c r="I521" s="25">
        <v>9.5227115517639014</v>
      </c>
      <c r="J521" s="24">
        <f>G521/F521*((100-H521)/100)*((100-I521)/100)*100</f>
        <v>37.655992481885946</v>
      </c>
      <c r="K521" s="53">
        <v>5.251875669882101</v>
      </c>
      <c r="L521" s="54">
        <f>J521*10000/K521</f>
        <v>71700.083644080776</v>
      </c>
      <c r="M521" s="55">
        <v>53</v>
      </c>
      <c r="N521" s="55">
        <v>18</v>
      </c>
      <c r="O521" s="56">
        <v>1.8342000000000001</v>
      </c>
      <c r="P521" s="55">
        <v>15.2</v>
      </c>
      <c r="Q521" s="17" t="s">
        <v>424</v>
      </c>
      <c r="R521" s="17" t="s">
        <v>424</v>
      </c>
      <c r="S521" s="17" t="s">
        <v>424</v>
      </c>
      <c r="T521" s="17" t="s">
        <v>424</v>
      </c>
      <c r="U521" s="17" t="s">
        <v>424</v>
      </c>
      <c r="V521" s="17" t="s">
        <v>424</v>
      </c>
      <c r="W521" s="17" t="s">
        <v>424</v>
      </c>
    </row>
    <row r="522" spans="1:23" x14ac:dyDescent="0.25">
      <c r="A522" s="19" t="s">
        <v>485</v>
      </c>
      <c r="B522" s="20" t="s">
        <v>7</v>
      </c>
      <c r="C522" s="20" t="s">
        <v>427</v>
      </c>
      <c r="D522" s="18" t="s">
        <v>228</v>
      </c>
      <c r="E522" s="18" t="s">
        <v>1537</v>
      </c>
      <c r="F522" s="18">
        <v>5.94</v>
      </c>
      <c r="G522" s="23">
        <v>2.84</v>
      </c>
      <c r="H522" s="20">
        <v>8.59</v>
      </c>
      <c r="I522" s="25">
        <v>11.022290545734043</v>
      </c>
      <c r="J522" s="24">
        <f>G522/F522*((100-H522)/100)*((100-I522)/100)*100</f>
        <v>38.887213596378849</v>
      </c>
      <c r="K522" s="53">
        <v>4.4781783681214424</v>
      </c>
      <c r="L522" s="54">
        <f>J522*10000/K522</f>
        <v>86837.125276659543</v>
      </c>
      <c r="M522" s="55">
        <v>49.2</v>
      </c>
      <c r="N522" s="55">
        <v>18.100000000000001</v>
      </c>
      <c r="O522" s="56">
        <v>3.4251999999999998</v>
      </c>
      <c r="P522" s="55">
        <v>14.7</v>
      </c>
      <c r="Q522" s="17" t="s">
        <v>424</v>
      </c>
      <c r="R522" s="17" t="s">
        <v>424</v>
      </c>
      <c r="S522" s="17" t="s">
        <v>424</v>
      </c>
      <c r="T522" s="17" t="s">
        <v>424</v>
      </c>
      <c r="U522" s="17" t="s">
        <v>424</v>
      </c>
      <c r="V522" s="17" t="s">
        <v>424</v>
      </c>
      <c r="W522" s="17" t="s">
        <v>424</v>
      </c>
    </row>
    <row r="523" spans="1:23" x14ac:dyDescent="0.25">
      <c r="A523" s="19" t="s">
        <v>484</v>
      </c>
      <c r="B523" s="20" t="s">
        <v>7</v>
      </c>
      <c r="C523" s="20" t="s">
        <v>427</v>
      </c>
      <c r="D523" s="18" t="s">
        <v>229</v>
      </c>
      <c r="E523" s="18" t="s">
        <v>1770</v>
      </c>
      <c r="F523" s="18">
        <v>5.94</v>
      </c>
      <c r="G523" s="23">
        <v>2.79</v>
      </c>
      <c r="H523" s="20">
        <v>8.59</v>
      </c>
      <c r="I523" s="25">
        <v>7.7562326869806189</v>
      </c>
      <c r="J523" s="24">
        <f>G523/F523*((100-H523)/100)*((100-I523)/100)*100</f>
        <v>39.604861495844865</v>
      </c>
      <c r="K523" s="53">
        <v>4.895833333333333</v>
      </c>
      <c r="L523" s="54">
        <f>J523*10000/K523</f>
        <v>80895.036246832067</v>
      </c>
      <c r="M523" s="55">
        <v>53.7</v>
      </c>
      <c r="N523" s="55">
        <v>17.7</v>
      </c>
      <c r="O523" s="56">
        <v>1.5266</v>
      </c>
      <c r="P523" s="55">
        <v>12.3</v>
      </c>
      <c r="Q523" s="17" t="s">
        <v>424</v>
      </c>
      <c r="R523" s="17" t="s">
        <v>424</v>
      </c>
      <c r="S523" s="17" t="s">
        <v>424</v>
      </c>
      <c r="T523" s="17" t="s">
        <v>424</v>
      </c>
      <c r="U523" s="17" t="s">
        <v>424</v>
      </c>
      <c r="V523" s="17" t="s">
        <v>424</v>
      </c>
      <c r="W523" s="17" t="s">
        <v>424</v>
      </c>
    </row>
    <row r="524" spans="1:23" x14ac:dyDescent="0.25">
      <c r="A524" s="19" t="s">
        <v>483</v>
      </c>
      <c r="B524" s="20" t="s">
        <v>7</v>
      </c>
      <c r="C524" s="20" t="s">
        <v>427</v>
      </c>
      <c r="D524" s="18" t="s">
        <v>60</v>
      </c>
      <c r="E524" s="18" t="s">
        <v>1776</v>
      </c>
      <c r="F524" s="18">
        <v>5.94</v>
      </c>
      <c r="G524" s="23">
        <v>2.98</v>
      </c>
      <c r="H524" s="20">
        <v>8.59</v>
      </c>
      <c r="I524" s="25">
        <v>10.562783894064196</v>
      </c>
      <c r="J524" s="24">
        <f>G524/F524*((100-H524)/100)*((100-I524)/100)*100</f>
        <v>41.014913559336527</v>
      </c>
      <c r="K524" s="53">
        <v>6.0681520314547841</v>
      </c>
      <c r="L524" s="54">
        <f>J524*10000/K524</f>
        <v>67590.451502751122</v>
      </c>
      <c r="M524" s="55">
        <v>52.5</v>
      </c>
      <c r="N524" s="55">
        <v>17.5</v>
      </c>
      <c r="O524" s="56">
        <v>1.7014</v>
      </c>
      <c r="P524" s="55">
        <v>14.2</v>
      </c>
      <c r="Q524" s="17" t="s">
        <v>424</v>
      </c>
      <c r="R524" s="17" t="s">
        <v>424</v>
      </c>
      <c r="S524" s="17" t="s">
        <v>424</v>
      </c>
      <c r="T524" s="17" t="s">
        <v>424</v>
      </c>
      <c r="U524" s="17" t="s">
        <v>424</v>
      </c>
      <c r="V524" s="17" t="s">
        <v>424</v>
      </c>
      <c r="W524" s="17" t="s">
        <v>424</v>
      </c>
    </row>
    <row r="525" spans="1:23" x14ac:dyDescent="0.25">
      <c r="A525" s="19" t="s">
        <v>482</v>
      </c>
      <c r="B525" s="20" t="s">
        <v>7</v>
      </c>
      <c r="C525" s="20" t="s">
        <v>427</v>
      </c>
      <c r="D525" s="18" t="s">
        <v>230</v>
      </c>
      <c r="E525" s="18" t="s">
        <v>1622</v>
      </c>
      <c r="F525" s="18">
        <v>5.94</v>
      </c>
      <c r="G525" s="23">
        <v>1.92</v>
      </c>
      <c r="H525" s="20">
        <v>8.59</v>
      </c>
      <c r="I525" s="25">
        <v>8.7701767870868537</v>
      </c>
      <c r="J525" s="24">
        <f>G525/F525*((100-H525)/100)*((100-I525)/100)*100</f>
        <v>26.955371765308726</v>
      </c>
      <c r="K525" s="53">
        <v>5.1187904967602593</v>
      </c>
      <c r="L525" s="54">
        <f>J525*10000/K525</f>
        <v>52659.650326320429</v>
      </c>
      <c r="M525" s="55">
        <v>49.7</v>
      </c>
      <c r="N525" s="55">
        <v>19.100000000000001</v>
      </c>
      <c r="O525" s="56">
        <v>8.8742999999999999</v>
      </c>
      <c r="P525" s="55">
        <v>28</v>
      </c>
      <c r="Q525" s="17" t="s">
        <v>424</v>
      </c>
      <c r="R525" s="17" t="s">
        <v>424</v>
      </c>
      <c r="S525" s="17" t="s">
        <v>424</v>
      </c>
      <c r="T525" s="17" t="s">
        <v>424</v>
      </c>
      <c r="U525" s="17" t="s">
        <v>424</v>
      </c>
      <c r="V525" s="17" t="s">
        <v>424</v>
      </c>
      <c r="W525" s="17" t="s">
        <v>424</v>
      </c>
    </row>
    <row r="526" spans="1:23" x14ac:dyDescent="0.25">
      <c r="A526" s="19" t="s">
        <v>481</v>
      </c>
      <c r="B526" s="20" t="s">
        <v>7</v>
      </c>
      <c r="C526" s="20" t="s">
        <v>427</v>
      </c>
      <c r="D526" s="18" t="s">
        <v>231</v>
      </c>
      <c r="E526" s="18" t="s">
        <v>1500</v>
      </c>
      <c r="F526" s="18">
        <v>5.94</v>
      </c>
      <c r="G526" s="23">
        <v>2.42</v>
      </c>
      <c r="H526" s="20">
        <v>8.59</v>
      </c>
      <c r="I526" s="25">
        <v>8.4408602150537604</v>
      </c>
      <c r="J526" s="24">
        <f>G526/F526*((100-H526)/100)*((100-I526)/100)*100</f>
        <v>34.097640979689366</v>
      </c>
      <c r="K526" s="53">
        <v>5.2555555555555555</v>
      </c>
      <c r="L526" s="54">
        <f>J526*10000/K526</f>
        <v>64879.232308077015</v>
      </c>
      <c r="M526" s="55">
        <v>55.4</v>
      </c>
      <c r="N526" s="55">
        <v>17.7</v>
      </c>
      <c r="O526" s="56">
        <v>47.468000000000004</v>
      </c>
      <c r="P526" s="55">
        <v>51</v>
      </c>
      <c r="Q526" s="17" t="s">
        <v>424</v>
      </c>
      <c r="R526" s="17" t="s">
        <v>424</v>
      </c>
      <c r="S526" s="17" t="s">
        <v>424</v>
      </c>
      <c r="T526" s="17" t="s">
        <v>424</v>
      </c>
      <c r="U526" s="17" t="s">
        <v>424</v>
      </c>
      <c r="V526" s="17" t="s">
        <v>424</v>
      </c>
      <c r="W526" s="17" t="s">
        <v>424</v>
      </c>
    </row>
    <row r="527" spans="1:23" x14ac:dyDescent="0.25">
      <c r="A527" s="19" t="s">
        <v>234</v>
      </c>
      <c r="B527" s="20" t="s">
        <v>7</v>
      </c>
      <c r="C527" s="20" t="s">
        <v>13</v>
      </c>
      <c r="D527" s="18" t="s">
        <v>40</v>
      </c>
      <c r="E527" s="18" t="s">
        <v>1590</v>
      </c>
      <c r="F527" s="18">
        <v>5.94</v>
      </c>
      <c r="G527" s="23">
        <v>0.06</v>
      </c>
      <c r="H527" s="17">
        <v>6.92</v>
      </c>
      <c r="I527" s="25">
        <v>12.009237875288683</v>
      </c>
      <c r="J527" s="24">
        <f>G527/F527*((100-H527)/100)*((100-I527)/100)*100</f>
        <v>0.82729092308768981</v>
      </c>
      <c r="K527" s="53">
        <v>5</v>
      </c>
      <c r="L527" s="54">
        <f>J527*10000/K527</f>
        <v>1654.5818461753795</v>
      </c>
      <c r="M527" s="55">
        <v>50.7</v>
      </c>
      <c r="N527" s="55">
        <v>17.8</v>
      </c>
      <c r="O527" s="56">
        <v>2.8018000000000001</v>
      </c>
      <c r="P527" s="55">
        <v>15.8</v>
      </c>
      <c r="Q527" s="17" t="s">
        <v>424</v>
      </c>
      <c r="R527" s="17" t="s">
        <v>424</v>
      </c>
      <c r="S527" s="17" t="s">
        <v>424</v>
      </c>
      <c r="T527" s="17" t="s">
        <v>424</v>
      </c>
      <c r="U527" s="17" t="s">
        <v>424</v>
      </c>
      <c r="V527" s="17" t="s">
        <v>424</v>
      </c>
      <c r="W527" s="17" t="s">
        <v>424</v>
      </c>
    </row>
    <row r="528" spans="1:23" x14ac:dyDescent="0.25">
      <c r="A528" s="19" t="s">
        <v>236</v>
      </c>
      <c r="B528" s="20" t="s">
        <v>7</v>
      </c>
      <c r="C528" s="20" t="s">
        <v>13</v>
      </c>
      <c r="D528" s="18" t="s">
        <v>235</v>
      </c>
      <c r="E528" s="18" t="s">
        <v>1768</v>
      </c>
      <c r="F528" s="18">
        <v>5.94</v>
      </c>
      <c r="G528" s="23">
        <v>2.5099999999999998</v>
      </c>
      <c r="H528" s="17">
        <v>6.92</v>
      </c>
      <c r="I528" s="25">
        <v>9.6118621892717044</v>
      </c>
      <c r="J528" s="24">
        <f>G528/F528*((100-H528)/100)*((100-I528)/100)*100</f>
        <v>35.551267587930468</v>
      </c>
      <c r="K528" s="53">
        <v>4.7987927565392354</v>
      </c>
      <c r="L528" s="54">
        <f>J528*10000/K528</f>
        <v>74083.773548014433</v>
      </c>
      <c r="M528" s="55">
        <v>51.8</v>
      </c>
      <c r="N528" s="55">
        <v>17.100000000000001</v>
      </c>
      <c r="O528" s="56">
        <v>3.1644000000000001</v>
      </c>
      <c r="P528" s="55">
        <v>12.5</v>
      </c>
      <c r="Q528" s="17" t="s">
        <v>424</v>
      </c>
      <c r="R528" s="17" t="s">
        <v>424</v>
      </c>
      <c r="S528" s="17" t="s">
        <v>424</v>
      </c>
      <c r="T528" s="17" t="s">
        <v>424</v>
      </c>
      <c r="U528" s="17" t="s">
        <v>424</v>
      </c>
      <c r="V528" s="17" t="s">
        <v>424</v>
      </c>
      <c r="W528" s="17" t="s">
        <v>424</v>
      </c>
    </row>
    <row r="529" spans="1:23" x14ac:dyDescent="0.25">
      <c r="A529" s="19" t="s">
        <v>237</v>
      </c>
      <c r="B529" s="20" t="s">
        <v>7</v>
      </c>
      <c r="C529" s="20" t="s">
        <v>13</v>
      </c>
      <c r="D529" s="18" t="s">
        <v>82</v>
      </c>
      <c r="E529" s="18" t="s">
        <v>1760</v>
      </c>
      <c r="F529" s="18">
        <v>5.94</v>
      </c>
      <c r="G529" s="23">
        <v>2.81</v>
      </c>
      <c r="H529" s="17">
        <v>6.92</v>
      </c>
      <c r="I529" s="25">
        <v>9.9145299145299077</v>
      </c>
      <c r="J529" s="24">
        <f>G529/F529*((100-H529)/100)*((100-I529)/100)*100</f>
        <v>39.66715001870557</v>
      </c>
      <c r="K529" s="53">
        <v>5.419058553386912</v>
      </c>
      <c r="L529" s="54">
        <f>J529*10000/K529</f>
        <v>73199.338276043534</v>
      </c>
      <c r="M529" s="55">
        <v>53.3</v>
      </c>
      <c r="N529" s="55">
        <v>15.6</v>
      </c>
      <c r="O529" s="56">
        <v>1.7909999999999999</v>
      </c>
      <c r="P529" s="55">
        <v>11.6</v>
      </c>
      <c r="Q529" s="17" t="s">
        <v>424</v>
      </c>
      <c r="R529" s="17" t="s">
        <v>424</v>
      </c>
      <c r="S529" s="17" t="s">
        <v>424</v>
      </c>
      <c r="T529" s="17" t="s">
        <v>424</v>
      </c>
      <c r="U529" s="17" t="s">
        <v>424</v>
      </c>
      <c r="V529" s="17" t="s">
        <v>424</v>
      </c>
      <c r="W529" s="17" t="s">
        <v>424</v>
      </c>
    </row>
    <row r="530" spans="1:23" x14ac:dyDescent="0.25">
      <c r="A530" s="19" t="s">
        <v>239</v>
      </c>
      <c r="B530" s="20" t="s">
        <v>7</v>
      </c>
      <c r="C530" s="20" t="s">
        <v>13</v>
      </c>
      <c r="D530" s="18" t="s">
        <v>238</v>
      </c>
      <c r="E530" s="18" t="s">
        <v>1796</v>
      </c>
      <c r="F530" s="18">
        <v>5.94</v>
      </c>
      <c r="G530" s="23">
        <v>2.2400000000000002</v>
      </c>
      <c r="H530" s="17">
        <v>6.92</v>
      </c>
      <c r="I530" s="25">
        <v>7.4680511182108695</v>
      </c>
      <c r="J530" s="24">
        <f>G530/F530*((100-H530)/100)*((100-I530)/100)*100</f>
        <v>32.479524101504929</v>
      </c>
      <c r="K530" s="53">
        <v>5.5291319857312722</v>
      </c>
      <c r="L530" s="54">
        <f>J530*10000/K530</f>
        <v>58742.537138420739</v>
      </c>
      <c r="M530" s="55">
        <v>52</v>
      </c>
      <c r="N530" s="55">
        <v>16.8</v>
      </c>
      <c r="O530" s="56">
        <v>1.9725999999999999</v>
      </c>
      <c r="P530" s="55">
        <v>12.7</v>
      </c>
      <c r="Q530" s="17" t="s">
        <v>424</v>
      </c>
      <c r="R530" s="17" t="s">
        <v>424</v>
      </c>
      <c r="S530" s="17" t="s">
        <v>424</v>
      </c>
      <c r="T530" s="17" t="s">
        <v>424</v>
      </c>
      <c r="U530" s="17" t="s">
        <v>424</v>
      </c>
      <c r="V530" s="17" t="s">
        <v>424</v>
      </c>
      <c r="W530" s="17" t="s">
        <v>424</v>
      </c>
    </row>
    <row r="531" spans="1:23" x14ac:dyDescent="0.25">
      <c r="A531" s="19" t="s">
        <v>240</v>
      </c>
      <c r="B531" s="20" t="s">
        <v>7</v>
      </c>
      <c r="C531" s="20" t="s">
        <v>13</v>
      </c>
      <c r="D531" s="18" t="s">
        <v>30</v>
      </c>
      <c r="E531" s="18" t="s">
        <v>1606</v>
      </c>
      <c r="F531" s="18">
        <v>5.94</v>
      </c>
      <c r="G531" s="23">
        <v>2</v>
      </c>
      <c r="H531" s="17">
        <v>6.92</v>
      </c>
      <c r="I531" s="25">
        <v>7.509663169519599</v>
      </c>
      <c r="J531" s="24">
        <f>G531/F531*((100-H531)/100)*((100-I531)/100)*100</f>
        <v>28.986533845727656</v>
      </c>
      <c r="K531" s="53">
        <v>4.8351648351648349</v>
      </c>
      <c r="L531" s="54">
        <f>J531*10000/K531</f>
        <v>59949.42227184584</v>
      </c>
      <c r="M531" s="55">
        <v>50.1</v>
      </c>
      <c r="N531" s="55">
        <v>19.399999999999999</v>
      </c>
      <c r="O531" s="56">
        <v>2.5021</v>
      </c>
      <c r="P531" s="55">
        <v>18.7</v>
      </c>
      <c r="Q531" s="17" t="s">
        <v>424</v>
      </c>
      <c r="R531" s="17" t="s">
        <v>424</v>
      </c>
      <c r="S531" s="17" t="s">
        <v>424</v>
      </c>
      <c r="T531" s="17" t="s">
        <v>424</v>
      </c>
      <c r="U531" s="17" t="s">
        <v>424</v>
      </c>
      <c r="V531" s="17" t="s">
        <v>424</v>
      </c>
      <c r="W531" s="17" t="s">
        <v>424</v>
      </c>
    </row>
    <row r="532" spans="1:23" x14ac:dyDescent="0.25">
      <c r="A532" s="19" t="s">
        <v>241</v>
      </c>
      <c r="B532" s="20" t="s">
        <v>7</v>
      </c>
      <c r="C532" s="20" t="s">
        <v>13</v>
      </c>
      <c r="D532" s="18" t="s">
        <v>9</v>
      </c>
      <c r="E532" s="18" t="s">
        <v>1714</v>
      </c>
      <c r="F532" s="18">
        <v>5.94</v>
      </c>
      <c r="G532" s="23">
        <v>2.29</v>
      </c>
      <c r="H532" s="17">
        <v>6.92</v>
      </c>
      <c r="I532" s="25">
        <v>9.8513180698713843</v>
      </c>
      <c r="J532" s="24">
        <f>G532/F532*((100-H532)/100)*((100-I532)/100)*100</f>
        <v>32.349292978432807</v>
      </c>
      <c r="K532" s="53">
        <v>5.7457212713936432</v>
      </c>
      <c r="L532" s="54">
        <f>J532*10000/K532</f>
        <v>56301.535439059655</v>
      </c>
      <c r="M532" s="55">
        <v>48.4</v>
      </c>
      <c r="N532" s="55">
        <v>17.899999999999999</v>
      </c>
      <c r="O532" s="56">
        <v>1.7719</v>
      </c>
      <c r="P532" s="55">
        <v>22.4</v>
      </c>
      <c r="Q532" s="17" t="s">
        <v>424</v>
      </c>
      <c r="R532" s="17" t="s">
        <v>424</v>
      </c>
      <c r="S532" s="17" t="s">
        <v>424</v>
      </c>
      <c r="T532" s="17" t="s">
        <v>424</v>
      </c>
      <c r="U532" s="17" t="s">
        <v>424</v>
      </c>
      <c r="V532" s="17" t="s">
        <v>424</v>
      </c>
      <c r="W532" s="17" t="s">
        <v>424</v>
      </c>
    </row>
    <row r="533" spans="1:23" x14ac:dyDescent="0.25">
      <c r="A533" s="19" t="s">
        <v>492</v>
      </c>
      <c r="B533" s="20" t="s">
        <v>7</v>
      </c>
      <c r="C533" s="20" t="s">
        <v>427</v>
      </c>
      <c r="D533" s="18" t="s">
        <v>51</v>
      </c>
      <c r="E533" s="18" t="s">
        <v>1519</v>
      </c>
      <c r="F533" s="18">
        <v>5.94</v>
      </c>
      <c r="G533" s="23">
        <v>1.86</v>
      </c>
      <c r="H533" s="20">
        <v>6.71</v>
      </c>
      <c r="I533" s="25">
        <v>15.432382704691809</v>
      </c>
      <c r="J533" s="24">
        <f>G533/F533*((100-H533)/100)*((100-I533)/100)*100</f>
        <v>24.703909448672565</v>
      </c>
      <c r="K533" s="53">
        <v>5.5882352941176467</v>
      </c>
      <c r="L533" s="54">
        <f>J533*10000/K533</f>
        <v>44206.99585551933</v>
      </c>
      <c r="M533" s="55">
        <v>43.5</v>
      </c>
      <c r="N533" s="55">
        <v>22.6</v>
      </c>
      <c r="O533" s="56">
        <v>1.4520999999999999</v>
      </c>
      <c r="P533" s="55">
        <v>31</v>
      </c>
      <c r="Q533" s="17" t="s">
        <v>424</v>
      </c>
      <c r="R533" s="17" t="s">
        <v>424</v>
      </c>
      <c r="S533" s="17" t="s">
        <v>424</v>
      </c>
      <c r="T533" s="17" t="s">
        <v>424</v>
      </c>
      <c r="U533" s="17" t="s">
        <v>424</v>
      </c>
      <c r="V533" s="17" t="s">
        <v>424</v>
      </c>
      <c r="W533" s="17" t="s">
        <v>424</v>
      </c>
    </row>
    <row r="534" spans="1:23" x14ac:dyDescent="0.25">
      <c r="A534" s="19" t="s">
        <v>491</v>
      </c>
      <c r="B534" s="20" t="s">
        <v>7</v>
      </c>
      <c r="C534" s="20" t="s">
        <v>427</v>
      </c>
      <c r="D534" s="18" t="s">
        <v>242</v>
      </c>
      <c r="E534" s="18" t="s">
        <v>1458</v>
      </c>
      <c r="F534" s="18">
        <v>5.94</v>
      </c>
      <c r="G534" s="23">
        <v>1.89</v>
      </c>
      <c r="H534" s="20">
        <v>6.71</v>
      </c>
      <c r="I534" s="25">
        <v>11.833590138674895</v>
      </c>
      <c r="J534" s="24">
        <f>G534/F534*((100-H534)/100)*((100-I534)/100)*100</f>
        <v>26.170595741700513</v>
      </c>
      <c r="K534" s="53">
        <v>4.7768762677484791</v>
      </c>
      <c r="L534" s="54">
        <f>J534*10000/K534</f>
        <v>54786.0029751947</v>
      </c>
      <c r="M534" s="55">
        <v>47.6</v>
      </c>
      <c r="N534" s="55">
        <v>20.2</v>
      </c>
      <c r="O534" s="56">
        <v>45.817999999999998</v>
      </c>
      <c r="P534" s="55">
        <v>62.1</v>
      </c>
      <c r="Q534" s="17" t="s">
        <v>424</v>
      </c>
      <c r="R534" s="17" t="s">
        <v>424</v>
      </c>
      <c r="S534" s="17" t="s">
        <v>424</v>
      </c>
      <c r="T534" s="17" t="s">
        <v>424</v>
      </c>
      <c r="U534" s="17" t="s">
        <v>424</v>
      </c>
      <c r="V534" s="17" t="s">
        <v>424</v>
      </c>
      <c r="W534" s="17" t="s">
        <v>424</v>
      </c>
    </row>
    <row r="535" spans="1:23" x14ac:dyDescent="0.25">
      <c r="A535" s="19" t="s">
        <v>490</v>
      </c>
      <c r="B535" s="20" t="s">
        <v>7</v>
      </c>
      <c r="C535" s="20" t="s">
        <v>427</v>
      </c>
      <c r="D535" s="18" t="s">
        <v>243</v>
      </c>
      <c r="E535" s="18" t="s">
        <v>1746</v>
      </c>
      <c r="F535" s="18">
        <v>5.94</v>
      </c>
      <c r="G535" s="23">
        <v>1.89</v>
      </c>
      <c r="H535" s="20">
        <v>6.71</v>
      </c>
      <c r="I535" s="25">
        <v>9.3171030470065848</v>
      </c>
      <c r="J535" s="24">
        <f>G535/F535*((100-H535)/100)*((100-I535)/100)*100</f>
        <v>26.917569180551492</v>
      </c>
      <c r="K535" s="53">
        <v>5.8641975308641978</v>
      </c>
      <c r="L535" s="54">
        <f>J535*10000/K535</f>
        <v>45901.53902367728</v>
      </c>
      <c r="M535" s="55">
        <v>51.3</v>
      </c>
      <c r="N535" s="55">
        <v>16.8</v>
      </c>
      <c r="O535" s="56">
        <v>3.2658</v>
      </c>
      <c r="P535" s="55">
        <v>18.8</v>
      </c>
      <c r="Q535" s="17" t="s">
        <v>424</v>
      </c>
      <c r="R535" s="17" t="s">
        <v>424</v>
      </c>
      <c r="S535" s="17" t="s">
        <v>424</v>
      </c>
      <c r="T535" s="17" t="s">
        <v>424</v>
      </c>
      <c r="U535" s="17" t="s">
        <v>424</v>
      </c>
      <c r="V535" s="17" t="s">
        <v>424</v>
      </c>
      <c r="W535" s="17" t="s">
        <v>424</v>
      </c>
    </row>
    <row r="536" spans="1:23" x14ac:dyDescent="0.25">
      <c r="A536" s="19" t="s">
        <v>489</v>
      </c>
      <c r="B536" s="20" t="s">
        <v>7</v>
      </c>
      <c r="C536" s="20" t="s">
        <v>427</v>
      </c>
      <c r="D536" s="18" t="s">
        <v>244</v>
      </c>
      <c r="E536" s="18" t="s">
        <v>1584</v>
      </c>
      <c r="F536" s="18">
        <v>5.94</v>
      </c>
      <c r="G536" s="23">
        <v>2.5499999999999998</v>
      </c>
      <c r="H536" s="20">
        <v>6.71</v>
      </c>
      <c r="I536" s="25">
        <v>5.9692307692307729</v>
      </c>
      <c r="J536" s="24">
        <f>G536/F536*((100-H536)/100)*((100-I536)/100)*100</f>
        <v>37.658135819735818</v>
      </c>
      <c r="K536" s="53">
        <v>4.4834123222748818</v>
      </c>
      <c r="L536" s="54">
        <f>J536*10000/K536</f>
        <v>83994.362134928728</v>
      </c>
      <c r="M536" s="55">
        <v>54.4</v>
      </c>
      <c r="N536" s="55">
        <v>16.899999999999999</v>
      </c>
      <c r="O536" s="56">
        <v>0.79942999999999997</v>
      </c>
      <c r="P536" s="55">
        <v>18.2</v>
      </c>
      <c r="Q536" s="17" t="s">
        <v>424</v>
      </c>
      <c r="R536" s="17" t="s">
        <v>424</v>
      </c>
      <c r="S536" s="17" t="s">
        <v>424</v>
      </c>
      <c r="T536" s="17" t="s">
        <v>424</v>
      </c>
      <c r="U536" s="17" t="s">
        <v>424</v>
      </c>
      <c r="V536" s="17" t="s">
        <v>424</v>
      </c>
      <c r="W536" s="17" t="s">
        <v>424</v>
      </c>
    </row>
    <row r="537" spans="1:23" x14ac:dyDescent="0.25">
      <c r="A537" s="19" t="s">
        <v>488</v>
      </c>
      <c r="B537" s="20" t="s">
        <v>7</v>
      </c>
      <c r="C537" s="20" t="s">
        <v>427</v>
      </c>
      <c r="D537" s="18" t="s">
        <v>69</v>
      </c>
      <c r="E537" s="18" t="s">
        <v>1724</v>
      </c>
      <c r="F537" s="18">
        <v>5.94</v>
      </c>
      <c r="G537" s="23">
        <v>2.33</v>
      </c>
      <c r="H537" s="20">
        <v>6.71</v>
      </c>
      <c r="I537" s="25">
        <v>5.304896827841084</v>
      </c>
      <c r="J537" s="24">
        <f>G537/F537*((100-H537)/100)*((100-I537)/100)*100</f>
        <v>34.652301999307319</v>
      </c>
      <c r="K537" s="53">
        <v>5.187637969094923</v>
      </c>
      <c r="L537" s="54">
        <f>J537*10000/K537</f>
        <v>66797.841726324317</v>
      </c>
      <c r="M537" s="55">
        <v>53.1</v>
      </c>
      <c r="N537" s="55">
        <v>16.7</v>
      </c>
      <c r="O537" s="56">
        <v>4.2378</v>
      </c>
      <c r="P537" s="55">
        <v>18.899999999999999</v>
      </c>
      <c r="Q537" s="17" t="s">
        <v>424</v>
      </c>
      <c r="R537" s="17" t="s">
        <v>424</v>
      </c>
      <c r="S537" s="17" t="s">
        <v>424</v>
      </c>
      <c r="T537" s="17" t="s">
        <v>424</v>
      </c>
      <c r="U537" s="17" t="s">
        <v>424</v>
      </c>
      <c r="V537" s="17" t="s">
        <v>424</v>
      </c>
      <c r="W537" s="17" t="s">
        <v>424</v>
      </c>
    </row>
    <row r="538" spans="1:23" x14ac:dyDescent="0.25">
      <c r="A538" s="19" t="s">
        <v>487</v>
      </c>
      <c r="B538" s="20" t="s">
        <v>7</v>
      </c>
      <c r="C538" s="20" t="s">
        <v>427</v>
      </c>
      <c r="D538" s="18" t="s">
        <v>97</v>
      </c>
      <c r="E538" s="18" t="s">
        <v>1529</v>
      </c>
      <c r="F538" s="18">
        <v>5.94</v>
      </c>
      <c r="G538" s="23">
        <v>1.62</v>
      </c>
      <c r="H538" s="20">
        <v>6.71</v>
      </c>
      <c r="I538" s="25">
        <v>11.963119477525936</v>
      </c>
      <c r="J538" s="24">
        <f>G538/F538*((100-H538)/100)*((100-I538)/100)*100</f>
        <v>22.398983410749832</v>
      </c>
      <c r="K538" s="53">
        <v>6.3364993215739487</v>
      </c>
      <c r="L538" s="54">
        <f>J538*10000/K538</f>
        <v>35349.145125744377</v>
      </c>
      <c r="M538" s="55">
        <v>45.3</v>
      </c>
      <c r="N538" s="55">
        <v>21.4</v>
      </c>
      <c r="O538" s="56">
        <v>3.1896</v>
      </c>
      <c r="P538" s="55">
        <v>29.3</v>
      </c>
      <c r="Q538" s="17" t="s">
        <v>424</v>
      </c>
      <c r="R538" s="17" t="s">
        <v>424</v>
      </c>
      <c r="S538" s="17" t="s">
        <v>424</v>
      </c>
      <c r="T538" s="17" t="s">
        <v>424</v>
      </c>
      <c r="U538" s="17" t="s">
        <v>424</v>
      </c>
      <c r="V538" s="17" t="s">
        <v>424</v>
      </c>
      <c r="W538" s="17" t="s">
        <v>424</v>
      </c>
    </row>
    <row r="539" spans="1:23" x14ac:dyDescent="0.25">
      <c r="A539" s="58" t="s">
        <v>250</v>
      </c>
      <c r="B539" s="59" t="s">
        <v>7</v>
      </c>
      <c r="C539" s="59" t="s">
        <v>13</v>
      </c>
      <c r="D539" s="60" t="s">
        <v>249</v>
      </c>
      <c r="E539" s="18" t="s">
        <v>1688</v>
      </c>
      <c r="F539" s="60">
        <v>5.94</v>
      </c>
      <c r="G539" s="61" t="s">
        <v>424</v>
      </c>
      <c r="H539" s="61" t="s">
        <v>424</v>
      </c>
      <c r="I539" s="61" t="s">
        <v>424</v>
      </c>
      <c r="J539" s="61" t="s">
        <v>424</v>
      </c>
      <c r="K539" s="61" t="s">
        <v>424</v>
      </c>
      <c r="L539" s="61" t="s">
        <v>424</v>
      </c>
      <c r="M539" s="61" t="s">
        <v>424</v>
      </c>
      <c r="N539" s="61" t="s">
        <v>424</v>
      </c>
      <c r="O539" s="61" t="s">
        <v>424</v>
      </c>
      <c r="P539" s="61" t="s">
        <v>424</v>
      </c>
      <c r="Q539" s="17" t="s">
        <v>424</v>
      </c>
      <c r="R539" s="17" t="s">
        <v>424</v>
      </c>
      <c r="S539" s="17" t="s">
        <v>424</v>
      </c>
      <c r="T539" s="17" t="s">
        <v>424</v>
      </c>
      <c r="U539" s="17" t="s">
        <v>424</v>
      </c>
      <c r="V539" s="17" t="s">
        <v>424</v>
      </c>
      <c r="W539" s="17" t="s">
        <v>424</v>
      </c>
    </row>
    <row r="540" spans="1:23" x14ac:dyDescent="0.25">
      <c r="A540" s="58" t="s">
        <v>251</v>
      </c>
      <c r="B540" s="59" t="s">
        <v>7</v>
      </c>
      <c r="C540" s="59" t="s">
        <v>13</v>
      </c>
      <c r="D540" s="60" t="s">
        <v>62</v>
      </c>
      <c r="E540" s="18" t="s">
        <v>1600</v>
      </c>
      <c r="F540" s="60">
        <v>5.94</v>
      </c>
      <c r="G540" s="61" t="s">
        <v>424</v>
      </c>
      <c r="H540" s="61" t="s">
        <v>424</v>
      </c>
      <c r="I540" s="61" t="s">
        <v>424</v>
      </c>
      <c r="J540" s="61" t="s">
        <v>424</v>
      </c>
      <c r="K540" s="61" t="s">
        <v>424</v>
      </c>
      <c r="L540" s="61" t="s">
        <v>424</v>
      </c>
      <c r="M540" s="61" t="s">
        <v>424</v>
      </c>
      <c r="N540" s="61" t="s">
        <v>424</v>
      </c>
      <c r="O540" s="61" t="s">
        <v>424</v>
      </c>
      <c r="P540" s="61" t="s">
        <v>424</v>
      </c>
      <c r="Q540" s="17" t="s">
        <v>424</v>
      </c>
      <c r="R540" s="17" t="s">
        <v>424</v>
      </c>
      <c r="S540" s="17" t="s">
        <v>424</v>
      </c>
      <c r="T540" s="17" t="s">
        <v>424</v>
      </c>
      <c r="U540" s="17" t="s">
        <v>424</v>
      </c>
      <c r="V540" s="17" t="s">
        <v>424</v>
      </c>
      <c r="W540" s="17" t="s">
        <v>424</v>
      </c>
    </row>
    <row r="541" spans="1:23" x14ac:dyDescent="0.25">
      <c r="A541" s="19" t="s">
        <v>253</v>
      </c>
      <c r="B541" s="20" t="s">
        <v>7</v>
      </c>
      <c r="C541" s="20" t="s">
        <v>13</v>
      </c>
      <c r="D541" s="18" t="s">
        <v>252</v>
      </c>
      <c r="E541" s="18" t="s">
        <v>1652</v>
      </c>
      <c r="F541" s="18">
        <v>5.94</v>
      </c>
      <c r="G541" s="23">
        <v>2.4300000000000002</v>
      </c>
      <c r="H541" s="17">
        <v>6.92</v>
      </c>
      <c r="I541" s="25">
        <v>6.5502183406113579</v>
      </c>
      <c r="J541" s="24">
        <f>G541/F541*((100-H541)/100)*((100-I541)/100)*100</f>
        <v>35.58397776895594</v>
      </c>
      <c r="K541" s="53">
        <v>4.4517338331771326</v>
      </c>
      <c r="L541" s="54">
        <f>J541*10000/K541</f>
        <v>79932.851114686273</v>
      </c>
      <c r="M541" s="55">
        <v>52.5</v>
      </c>
      <c r="N541" s="55">
        <v>17.100000000000001</v>
      </c>
      <c r="O541" s="56">
        <v>1.8095000000000001</v>
      </c>
      <c r="P541" s="55">
        <v>16.3</v>
      </c>
      <c r="Q541" s="17" t="s">
        <v>424</v>
      </c>
      <c r="R541" s="17" t="s">
        <v>424</v>
      </c>
      <c r="S541" s="17" t="s">
        <v>424</v>
      </c>
      <c r="T541" s="17" t="s">
        <v>424</v>
      </c>
      <c r="U541" s="17" t="s">
        <v>424</v>
      </c>
      <c r="V541" s="17" t="s">
        <v>424</v>
      </c>
      <c r="W541" s="17" t="s">
        <v>424</v>
      </c>
    </row>
    <row r="542" spans="1:23" x14ac:dyDescent="0.25">
      <c r="A542" s="19" t="s">
        <v>254</v>
      </c>
      <c r="B542" s="20" t="s">
        <v>7</v>
      </c>
      <c r="C542" s="20" t="s">
        <v>13</v>
      </c>
      <c r="D542" s="18" t="s">
        <v>72</v>
      </c>
      <c r="E542" s="18" t="s">
        <v>1772</v>
      </c>
      <c r="F542" s="18">
        <v>5.94</v>
      </c>
      <c r="G542" s="23">
        <v>2.19</v>
      </c>
      <c r="H542" s="17">
        <v>6.92</v>
      </c>
      <c r="I542" s="25">
        <v>10.635021288160155</v>
      </c>
      <c r="J542" s="24">
        <f>G542/F542*((100-H542)/100)*((100-I542)/100)*100</f>
        <v>30.667713734866552</v>
      </c>
      <c r="K542" s="53">
        <v>5.8405977584059778</v>
      </c>
      <c r="L542" s="54">
        <f>J542*10000/K542</f>
        <v>52507.833963961275</v>
      </c>
      <c r="M542" s="55">
        <v>50.9</v>
      </c>
      <c r="N542" s="55">
        <v>17.600000000000001</v>
      </c>
      <c r="O542" s="56">
        <v>1.4765999999999999</v>
      </c>
      <c r="P542" s="55">
        <v>18.399999999999999</v>
      </c>
      <c r="Q542" s="17" t="s">
        <v>424</v>
      </c>
      <c r="R542" s="17" t="s">
        <v>424</v>
      </c>
      <c r="S542" s="17" t="s">
        <v>424</v>
      </c>
      <c r="T542" s="17" t="s">
        <v>424</v>
      </c>
      <c r="U542" s="17" t="s">
        <v>424</v>
      </c>
      <c r="V542" s="17" t="s">
        <v>424</v>
      </c>
      <c r="W542" s="17" t="s">
        <v>424</v>
      </c>
    </row>
    <row r="543" spans="1:23" x14ac:dyDescent="0.25">
      <c r="A543" s="19" t="s">
        <v>256</v>
      </c>
      <c r="B543" s="20" t="s">
        <v>7</v>
      </c>
      <c r="C543" s="20" t="s">
        <v>13</v>
      </c>
      <c r="D543" s="18" t="s">
        <v>255</v>
      </c>
      <c r="E543" s="18" t="s">
        <v>1558</v>
      </c>
      <c r="F543" s="18">
        <v>5.94</v>
      </c>
      <c r="G543" s="23">
        <v>1.99</v>
      </c>
      <c r="H543" s="17">
        <v>6.92</v>
      </c>
      <c r="I543" s="25">
        <v>6.6115702479338827</v>
      </c>
      <c r="J543" s="24">
        <f>G543/F543*((100-H543)/100)*((100-I543)/100)*100</f>
        <v>29.121656788268357</v>
      </c>
      <c r="K543" s="53">
        <v>4.8544698544698548</v>
      </c>
      <c r="L543" s="54">
        <f>J543*10000/K543</f>
        <v>59989.365803670575</v>
      </c>
      <c r="M543" s="55">
        <v>52.2</v>
      </c>
      <c r="N543" s="55">
        <v>17.3</v>
      </c>
      <c r="O543" s="56">
        <v>3.3946999999999998</v>
      </c>
      <c r="P543" s="55">
        <v>14.2</v>
      </c>
      <c r="Q543" s="17" t="s">
        <v>424</v>
      </c>
      <c r="R543" s="17" t="s">
        <v>424</v>
      </c>
      <c r="S543" s="17" t="s">
        <v>424</v>
      </c>
      <c r="T543" s="17" t="s">
        <v>424</v>
      </c>
      <c r="U543" s="17" t="s">
        <v>424</v>
      </c>
      <c r="V543" s="17" t="s">
        <v>424</v>
      </c>
      <c r="W543" s="17" t="s">
        <v>424</v>
      </c>
    </row>
    <row r="544" spans="1:23" x14ac:dyDescent="0.25">
      <c r="A544" s="19" t="s">
        <v>257</v>
      </c>
      <c r="B544" s="20" t="s">
        <v>7</v>
      </c>
      <c r="C544" s="20" t="s">
        <v>13</v>
      </c>
      <c r="D544" s="18" t="s">
        <v>55</v>
      </c>
      <c r="E544" s="18" t="s">
        <v>1654</v>
      </c>
      <c r="F544" s="18">
        <v>5.94</v>
      </c>
      <c r="G544" s="23">
        <v>2.2400000000000002</v>
      </c>
      <c r="H544" s="17">
        <v>6.92</v>
      </c>
      <c r="I544" s="25">
        <v>10.392139506063552</v>
      </c>
      <c r="J544" s="24">
        <f>G544/F544*((100-H544)/100)*((100-I544)/100)*100</f>
        <v>31.453143479288475</v>
      </c>
      <c r="K544" s="53">
        <v>5.25</v>
      </c>
      <c r="L544" s="54">
        <f>J544*10000/K544</f>
        <v>59910.749484358996</v>
      </c>
      <c r="M544" s="55">
        <v>50.4</v>
      </c>
      <c r="N544" s="55">
        <v>17.7</v>
      </c>
      <c r="O544" s="56">
        <v>4.4367000000000001</v>
      </c>
      <c r="P544" s="55">
        <v>18</v>
      </c>
      <c r="Q544" s="17" t="s">
        <v>424</v>
      </c>
      <c r="R544" s="17" t="s">
        <v>424</v>
      </c>
      <c r="S544" s="17" t="s">
        <v>424</v>
      </c>
      <c r="T544" s="17" t="s">
        <v>424</v>
      </c>
      <c r="U544" s="17" t="s">
        <v>424</v>
      </c>
      <c r="V544" s="17" t="s">
        <v>424</v>
      </c>
      <c r="W544" s="17" t="s">
        <v>424</v>
      </c>
    </row>
    <row r="545" spans="1:23" x14ac:dyDescent="0.25">
      <c r="A545" s="19" t="s">
        <v>498</v>
      </c>
      <c r="B545" s="20" t="s">
        <v>7</v>
      </c>
      <c r="C545" s="20" t="s">
        <v>427</v>
      </c>
      <c r="D545" s="18" t="s">
        <v>88</v>
      </c>
      <c r="E545" s="18" t="s">
        <v>1506</v>
      </c>
      <c r="F545" s="18">
        <v>5.94</v>
      </c>
      <c r="G545" s="23">
        <v>1.34</v>
      </c>
      <c r="H545" s="20">
        <v>6.71</v>
      </c>
      <c r="I545" s="25">
        <v>12.34713422719906</v>
      </c>
      <c r="J545" s="24">
        <f>G545/F545*((100-H545)/100)*((100-I545)/100)*100</f>
        <v>18.446737434757175</v>
      </c>
      <c r="K545" s="53">
        <v>5.7641395908543922</v>
      </c>
      <c r="L545" s="54">
        <f>J545*10000/K545</f>
        <v>32002.586238587082</v>
      </c>
      <c r="M545" s="55">
        <v>45.2</v>
      </c>
      <c r="N545" s="55">
        <v>22.8</v>
      </c>
      <c r="O545" s="56">
        <v>11.981</v>
      </c>
      <c r="P545" s="55">
        <v>61.7</v>
      </c>
      <c r="Q545" s="17" t="s">
        <v>424</v>
      </c>
      <c r="R545" s="17" t="s">
        <v>424</v>
      </c>
      <c r="S545" s="17" t="s">
        <v>424</v>
      </c>
      <c r="T545" s="17" t="s">
        <v>424</v>
      </c>
      <c r="U545" s="17" t="s">
        <v>424</v>
      </c>
      <c r="V545" s="17" t="s">
        <v>424</v>
      </c>
      <c r="W545" s="17" t="s">
        <v>424</v>
      </c>
    </row>
    <row r="546" spans="1:23" x14ac:dyDescent="0.25">
      <c r="A546" s="19" t="s">
        <v>497</v>
      </c>
      <c r="B546" s="20" t="s">
        <v>7</v>
      </c>
      <c r="C546" s="20" t="s">
        <v>427</v>
      </c>
      <c r="D546" s="18" t="s">
        <v>34</v>
      </c>
      <c r="E546" s="18" t="s">
        <v>1684</v>
      </c>
      <c r="F546" s="18">
        <v>5.94</v>
      </c>
      <c r="G546" s="23">
        <v>1.95</v>
      </c>
      <c r="H546" s="20">
        <v>6.71</v>
      </c>
      <c r="I546" s="25">
        <v>13.922859830667917</v>
      </c>
      <c r="J546" s="24">
        <f>G546/F546*((100-H546)/100)*((100-I546)/100)*100</f>
        <v>26.361558909889105</v>
      </c>
      <c r="K546" s="53">
        <v>5.6386651323360182</v>
      </c>
      <c r="L546" s="54">
        <f>J546*10000/K546</f>
        <v>46751.417740191093</v>
      </c>
      <c r="M546" s="55">
        <v>48.5</v>
      </c>
      <c r="N546" s="55">
        <v>18</v>
      </c>
      <c r="O546" s="56">
        <v>4.7209000000000003</v>
      </c>
      <c r="P546" s="55">
        <v>18.600000000000001</v>
      </c>
      <c r="Q546" s="17" t="s">
        <v>424</v>
      </c>
      <c r="R546" s="17" t="s">
        <v>424</v>
      </c>
      <c r="S546" s="17" t="s">
        <v>424</v>
      </c>
      <c r="T546" s="17" t="s">
        <v>424</v>
      </c>
      <c r="U546" s="17" t="s">
        <v>424</v>
      </c>
      <c r="V546" s="17" t="s">
        <v>424</v>
      </c>
      <c r="W546" s="17" t="s">
        <v>424</v>
      </c>
    </row>
    <row r="547" spans="1:23" x14ac:dyDescent="0.25">
      <c r="A547" s="19" t="s">
        <v>496</v>
      </c>
      <c r="B547" s="20" t="s">
        <v>7</v>
      </c>
      <c r="C547" s="20" t="s">
        <v>427</v>
      </c>
      <c r="D547" s="18" t="s">
        <v>75</v>
      </c>
      <c r="E547" s="18" t="s">
        <v>1808</v>
      </c>
      <c r="F547" s="18">
        <v>5.94</v>
      </c>
      <c r="G547" s="23">
        <v>2.6</v>
      </c>
      <c r="H547" s="20">
        <v>6.71</v>
      </c>
      <c r="I547" s="25">
        <v>8.7450138079165534</v>
      </c>
      <c r="J547" s="24">
        <f>G547/F547*((100-H547)/100)*((100-I547)/100)*100</f>
        <v>37.263067206792279</v>
      </c>
      <c r="K547" s="53">
        <v>4.7058823529411766</v>
      </c>
      <c r="L547" s="54">
        <f>J547*10000/K547</f>
        <v>79184.01781443358</v>
      </c>
      <c r="M547" s="55">
        <v>51.3</v>
      </c>
      <c r="N547" s="55">
        <v>17.5</v>
      </c>
      <c r="O547" s="56">
        <v>2.0908000000000002</v>
      </c>
      <c r="P547" s="55">
        <v>16.100000000000001</v>
      </c>
      <c r="Q547" s="17" t="s">
        <v>424</v>
      </c>
      <c r="R547" s="17" t="s">
        <v>424</v>
      </c>
      <c r="S547" s="17" t="s">
        <v>424</v>
      </c>
      <c r="T547" s="17" t="s">
        <v>424</v>
      </c>
      <c r="U547" s="17" t="s">
        <v>424</v>
      </c>
      <c r="V547" s="17" t="s">
        <v>424</v>
      </c>
      <c r="W547" s="17" t="s">
        <v>424</v>
      </c>
    </row>
    <row r="548" spans="1:23" x14ac:dyDescent="0.25">
      <c r="A548" s="19" t="s">
        <v>495</v>
      </c>
      <c r="B548" s="20" t="s">
        <v>7</v>
      </c>
      <c r="C548" s="20" t="s">
        <v>427</v>
      </c>
      <c r="D548" s="18" t="s">
        <v>258</v>
      </c>
      <c r="E548" s="18" t="s">
        <v>1664</v>
      </c>
      <c r="F548" s="18">
        <v>5.94</v>
      </c>
      <c r="G548" s="23">
        <v>2.3199999999999998</v>
      </c>
      <c r="H548" s="20">
        <v>6.71</v>
      </c>
      <c r="I548" s="25">
        <v>9.0531906065886734</v>
      </c>
      <c r="J548" s="24">
        <f>G548/F548*((100-H548)/100)*((100-I548)/100)*100</f>
        <v>33.137832673539251</v>
      </c>
      <c r="K548" s="53">
        <v>4.6900000000000004</v>
      </c>
      <c r="L548" s="54">
        <f>J548*10000/K548</f>
        <v>70656.359645073026</v>
      </c>
      <c r="M548" s="55">
        <v>51.6</v>
      </c>
      <c r="N548" s="55">
        <v>18</v>
      </c>
      <c r="O548" s="56">
        <v>4.9657</v>
      </c>
      <c r="P548" s="55">
        <v>21.4</v>
      </c>
      <c r="Q548" s="17" t="s">
        <v>424</v>
      </c>
      <c r="R548" s="17" t="s">
        <v>424</v>
      </c>
      <c r="S548" s="17" t="s">
        <v>424</v>
      </c>
      <c r="T548" s="17" t="s">
        <v>424</v>
      </c>
      <c r="U548" s="17" t="s">
        <v>424</v>
      </c>
      <c r="V548" s="17" t="s">
        <v>424</v>
      </c>
      <c r="W548" s="17" t="s">
        <v>424</v>
      </c>
    </row>
    <row r="549" spans="1:23" x14ac:dyDescent="0.25">
      <c r="A549" s="19" t="s">
        <v>494</v>
      </c>
      <c r="B549" s="20" t="s">
        <v>7</v>
      </c>
      <c r="C549" s="20" t="s">
        <v>427</v>
      </c>
      <c r="D549" s="18" t="s">
        <v>31</v>
      </c>
      <c r="E549" s="18" t="s">
        <v>1668</v>
      </c>
      <c r="F549" s="18">
        <v>5.94</v>
      </c>
      <c r="G549" s="23">
        <v>2.81</v>
      </c>
      <c r="H549" s="20">
        <v>6.71</v>
      </c>
      <c r="I549" s="25">
        <v>8.1752671249896505</v>
      </c>
      <c r="J549" s="24">
        <f>G549/F549*((100-H549)/100)*((100-I549)/100)*100</f>
        <v>40.524217873815324</v>
      </c>
      <c r="K549" s="53">
        <v>4.8258196721311473</v>
      </c>
      <c r="L549" s="54">
        <f>J549*10000/K549</f>
        <v>83973.750838309468</v>
      </c>
      <c r="M549" s="55">
        <v>52</v>
      </c>
      <c r="N549" s="55">
        <v>17.2</v>
      </c>
      <c r="O549" s="56">
        <v>2.2292000000000001</v>
      </c>
      <c r="P549" s="55">
        <v>18.8</v>
      </c>
      <c r="Q549" s="17" t="s">
        <v>424</v>
      </c>
      <c r="R549" s="17" t="s">
        <v>424</v>
      </c>
      <c r="S549" s="17" t="s">
        <v>424</v>
      </c>
      <c r="T549" s="17" t="s">
        <v>424</v>
      </c>
      <c r="U549" s="17" t="s">
        <v>424</v>
      </c>
      <c r="V549" s="17" t="s">
        <v>424</v>
      </c>
      <c r="W549" s="17" t="s">
        <v>424</v>
      </c>
    </row>
    <row r="550" spans="1:23" x14ac:dyDescent="0.25">
      <c r="A550" s="19" t="s">
        <v>493</v>
      </c>
      <c r="B550" s="20" t="s">
        <v>7</v>
      </c>
      <c r="C550" s="20" t="s">
        <v>427</v>
      </c>
      <c r="D550" s="18" t="s">
        <v>21</v>
      </c>
      <c r="E550" s="18" t="s">
        <v>1578</v>
      </c>
      <c r="F550" s="18">
        <v>5.94</v>
      </c>
      <c r="G550" s="23">
        <v>2.4900000000000002</v>
      </c>
      <c r="H550" s="20">
        <v>6.71</v>
      </c>
      <c r="I550" s="25">
        <v>6.9968435292349334</v>
      </c>
      <c r="J550" s="24">
        <f>G550/F550*((100-H550)/100)*((100-I550)/100)*100</f>
        <v>36.370199534044794</v>
      </c>
      <c r="K550" s="53">
        <v>4.440263405456256</v>
      </c>
      <c r="L550" s="54">
        <f>J550*10000/K550</f>
        <v>81910.004459088159</v>
      </c>
      <c r="M550" s="55">
        <v>53.5</v>
      </c>
      <c r="N550" s="55">
        <v>16.600000000000001</v>
      </c>
      <c r="O550" s="56">
        <v>0.57164999999999999</v>
      </c>
      <c r="P550" s="55">
        <v>16.600000000000001</v>
      </c>
      <c r="Q550" s="17" t="s">
        <v>424</v>
      </c>
      <c r="R550" s="17" t="s">
        <v>424</v>
      </c>
      <c r="S550" s="17" t="s">
        <v>424</v>
      </c>
      <c r="T550" s="17" t="s">
        <v>424</v>
      </c>
      <c r="U550" s="17" t="s">
        <v>424</v>
      </c>
      <c r="V550" s="17" t="s">
        <v>424</v>
      </c>
      <c r="W550" s="17" t="s">
        <v>424</v>
      </c>
    </row>
    <row r="551" spans="1:23" x14ac:dyDescent="0.25">
      <c r="A551" s="19" t="s">
        <v>261</v>
      </c>
      <c r="B551" s="20" t="s">
        <v>7</v>
      </c>
      <c r="C551" s="20" t="s">
        <v>13</v>
      </c>
      <c r="D551" s="18" t="s">
        <v>70</v>
      </c>
      <c r="E551" s="18" t="s">
        <v>1482</v>
      </c>
      <c r="F551" s="18">
        <v>5.94</v>
      </c>
      <c r="G551" s="23">
        <v>1.64</v>
      </c>
      <c r="H551" s="17">
        <v>6.92</v>
      </c>
      <c r="I551" s="25">
        <v>14.059716382811954</v>
      </c>
      <c r="J551" s="24">
        <f>G551/F551*((100-H551)/100)*((100-I551)/100)*100</f>
        <v>22.085669061454702</v>
      </c>
      <c r="K551" s="53">
        <v>4.9892933618843687</v>
      </c>
      <c r="L551" s="54">
        <f>J551*10000/K551</f>
        <v>44266.126402143113</v>
      </c>
      <c r="M551" s="55">
        <v>51.7</v>
      </c>
      <c r="N551" s="55">
        <v>21</v>
      </c>
      <c r="O551" s="56">
        <v>45.081000000000003</v>
      </c>
      <c r="P551" s="55">
        <v>61.4</v>
      </c>
      <c r="Q551" s="17" t="s">
        <v>424</v>
      </c>
      <c r="R551" s="17" t="s">
        <v>424</v>
      </c>
      <c r="S551" s="17" t="s">
        <v>424</v>
      </c>
      <c r="T551" s="17" t="s">
        <v>424</v>
      </c>
      <c r="U551" s="17" t="s">
        <v>424</v>
      </c>
      <c r="V551" s="17" t="s">
        <v>424</v>
      </c>
      <c r="W551" s="17" t="s">
        <v>424</v>
      </c>
    </row>
    <row r="552" spans="1:23" x14ac:dyDescent="0.25">
      <c r="A552" s="19" t="s">
        <v>262</v>
      </c>
      <c r="B552" s="20" t="s">
        <v>7</v>
      </c>
      <c r="C552" s="20" t="s">
        <v>13</v>
      </c>
      <c r="D552" s="18" t="s">
        <v>91</v>
      </c>
      <c r="E552" s="18" t="s">
        <v>1498</v>
      </c>
      <c r="F552" s="18">
        <v>5.94</v>
      </c>
      <c r="G552" s="23">
        <v>1.61</v>
      </c>
      <c r="H552" s="17">
        <v>6.92</v>
      </c>
      <c r="I552" s="25">
        <v>11.088311293509665</v>
      </c>
      <c r="J552" s="24">
        <f>G552/F552*((100-H552)/100)*((100-I552)/100)*100</f>
        <v>22.431311406613119</v>
      </c>
      <c r="K552" s="53">
        <v>4.7304170905391656</v>
      </c>
      <c r="L552" s="54">
        <f>J552*10000/K552</f>
        <v>47419.309919786443</v>
      </c>
      <c r="M552" s="55">
        <v>54.9</v>
      </c>
      <c r="N552" s="55">
        <v>18.7</v>
      </c>
      <c r="O552" s="56">
        <v>42.883000000000003</v>
      </c>
      <c r="P552" s="55">
        <v>14.5</v>
      </c>
      <c r="Q552" s="17" t="s">
        <v>424</v>
      </c>
      <c r="R552" s="17" t="s">
        <v>424</v>
      </c>
      <c r="S552" s="17" t="s">
        <v>424</v>
      </c>
      <c r="T552" s="17" t="s">
        <v>424</v>
      </c>
      <c r="U552" s="17" t="s">
        <v>424</v>
      </c>
      <c r="V552" s="17" t="s">
        <v>424</v>
      </c>
      <c r="W552" s="17" t="s">
        <v>424</v>
      </c>
    </row>
    <row r="553" spans="1:23" x14ac:dyDescent="0.25">
      <c r="A553" s="19" t="s">
        <v>264</v>
      </c>
      <c r="B553" s="20" t="s">
        <v>7</v>
      </c>
      <c r="C553" s="20" t="s">
        <v>13</v>
      </c>
      <c r="D553" s="18" t="s">
        <v>263</v>
      </c>
      <c r="E553" s="74" t="s">
        <v>1774</v>
      </c>
      <c r="F553" s="18">
        <v>5.94</v>
      </c>
      <c r="G553" s="23">
        <v>2.09</v>
      </c>
      <c r="H553" s="17">
        <v>6.92</v>
      </c>
      <c r="I553" s="25">
        <v>20.054379776602001</v>
      </c>
      <c r="J553" s="24">
        <f>G553/F553*((100-H553)/100)*((100-I553)/100)*100</f>
        <v>26.182486718052555</v>
      </c>
      <c r="K553" s="53">
        <v>5.2515723270440251</v>
      </c>
      <c r="L553" s="54">
        <f>J553*10000/K553</f>
        <v>49856.471714615043</v>
      </c>
      <c r="M553" s="55">
        <v>56.3</v>
      </c>
      <c r="N553" s="55">
        <v>17.399999999999999</v>
      </c>
      <c r="O553" s="56">
        <v>42.664000000000001</v>
      </c>
      <c r="P553" s="55">
        <v>11.5</v>
      </c>
      <c r="Q553" s="17" t="s">
        <v>424</v>
      </c>
      <c r="R553" s="17" t="s">
        <v>424</v>
      </c>
      <c r="S553" s="17" t="s">
        <v>424</v>
      </c>
      <c r="T553" s="17" t="s">
        <v>424</v>
      </c>
      <c r="U553" s="17" t="s">
        <v>424</v>
      </c>
      <c r="V553" s="17" t="s">
        <v>424</v>
      </c>
      <c r="W553" s="17" t="s">
        <v>424</v>
      </c>
    </row>
    <row r="554" spans="1:23" x14ac:dyDescent="0.25">
      <c r="A554" s="19" t="s">
        <v>265</v>
      </c>
      <c r="B554" s="20" t="s">
        <v>7</v>
      </c>
      <c r="C554" s="20" t="s">
        <v>13</v>
      </c>
      <c r="D554" s="18" t="s">
        <v>77</v>
      </c>
      <c r="E554" s="18" t="s">
        <v>1630</v>
      </c>
      <c r="F554" s="18">
        <v>5.94</v>
      </c>
      <c r="G554" s="23">
        <v>2.0099999999999998</v>
      </c>
      <c r="H554" s="17">
        <v>6.92</v>
      </c>
      <c r="I554" s="25">
        <v>10.690549521802559</v>
      </c>
      <c r="J554" s="24">
        <f>G554/F554*((100-H554)/100)*((100-I554)/100)*100</f>
        <v>28.129590130515723</v>
      </c>
      <c r="K554" s="53">
        <v>4.9316508937960046</v>
      </c>
      <c r="L554" s="54">
        <f>J554*10000/K554</f>
        <v>57038.891714542537</v>
      </c>
      <c r="M554" s="55">
        <v>51.2</v>
      </c>
      <c r="N554" s="55">
        <v>19.2</v>
      </c>
      <c r="O554" s="56">
        <v>5.4465000000000003</v>
      </c>
      <c r="P554" s="55">
        <v>19.100000000000001</v>
      </c>
      <c r="Q554" s="17" t="s">
        <v>424</v>
      </c>
      <c r="R554" s="17" t="s">
        <v>424</v>
      </c>
      <c r="S554" s="17" t="s">
        <v>424</v>
      </c>
      <c r="T554" s="17" t="s">
        <v>424</v>
      </c>
      <c r="U554" s="17" t="s">
        <v>424</v>
      </c>
      <c r="V554" s="17" t="s">
        <v>424</v>
      </c>
      <c r="W554" s="17" t="s">
        <v>424</v>
      </c>
    </row>
    <row r="555" spans="1:23" x14ac:dyDescent="0.25">
      <c r="A555" s="19" t="s">
        <v>267</v>
      </c>
      <c r="B555" s="20" t="s">
        <v>7</v>
      </c>
      <c r="C555" s="20" t="s">
        <v>13</v>
      </c>
      <c r="D555" s="18" t="s">
        <v>266</v>
      </c>
      <c r="E555" s="18" t="s">
        <v>1486</v>
      </c>
      <c r="F555" s="18">
        <v>5.94</v>
      </c>
      <c r="G555" s="23">
        <v>2.21</v>
      </c>
      <c r="H555" s="17">
        <v>6.92</v>
      </c>
      <c r="I555" s="25">
        <v>11.329588014981269</v>
      </c>
      <c r="J555" s="24">
        <f>G555/F555*((100-H555)/100)*((100-I555)/100)*100</f>
        <v>30.707250343636105</v>
      </c>
      <c r="K555" s="53">
        <v>5.4662004662004664</v>
      </c>
      <c r="L555" s="54">
        <f>J555*10000/K555</f>
        <v>56176.590180895044</v>
      </c>
      <c r="M555" s="55">
        <v>49.5</v>
      </c>
      <c r="N555" s="55">
        <v>19.5</v>
      </c>
      <c r="O555" s="56">
        <v>31.434999999999999</v>
      </c>
      <c r="P555" s="55">
        <v>57.7</v>
      </c>
      <c r="Q555" s="17" t="s">
        <v>424</v>
      </c>
      <c r="R555" s="17" t="s">
        <v>424</v>
      </c>
      <c r="S555" s="17" t="s">
        <v>424</v>
      </c>
      <c r="T555" s="17" t="s">
        <v>424</v>
      </c>
      <c r="U555" s="17" t="s">
        <v>424</v>
      </c>
      <c r="V555" s="17" t="s">
        <v>424</v>
      </c>
      <c r="W555" s="17" t="s">
        <v>424</v>
      </c>
    </row>
    <row r="556" spans="1:23" x14ac:dyDescent="0.25">
      <c r="A556" s="19" t="s">
        <v>269</v>
      </c>
      <c r="B556" s="20" t="s">
        <v>7</v>
      </c>
      <c r="C556" s="20" t="s">
        <v>13</v>
      </c>
      <c r="D556" s="18" t="s">
        <v>268</v>
      </c>
      <c r="E556" s="18" t="s">
        <v>1734</v>
      </c>
      <c r="F556" s="18">
        <v>5.94</v>
      </c>
      <c r="G556" s="23">
        <v>2.31</v>
      </c>
      <c r="H556" s="17">
        <v>6.92</v>
      </c>
      <c r="I556" s="25">
        <v>8.9949791507105825</v>
      </c>
      <c r="J556" s="24">
        <f>G556/F556*((100-H556)/100)*((100-I556)/100)*100</f>
        <v>32.941795213646117</v>
      </c>
      <c r="K556" s="53">
        <v>5.2689352360043911</v>
      </c>
      <c r="L556" s="54">
        <f>J556*10000/K556</f>
        <v>62520.782165899189</v>
      </c>
      <c r="M556" s="55">
        <v>53.1</v>
      </c>
      <c r="N556" s="55">
        <v>16.399999999999999</v>
      </c>
      <c r="O556" s="56">
        <v>0.35131000000000001</v>
      </c>
      <c r="P556" s="55">
        <v>18.600000000000001</v>
      </c>
      <c r="Q556" s="17" t="s">
        <v>424</v>
      </c>
      <c r="R556" s="17" t="s">
        <v>424</v>
      </c>
      <c r="S556" s="17" t="s">
        <v>424</v>
      </c>
      <c r="T556" s="17" t="s">
        <v>424</v>
      </c>
      <c r="U556" s="17" t="s">
        <v>424</v>
      </c>
      <c r="V556" s="17" t="s">
        <v>424</v>
      </c>
      <c r="W556" s="17" t="s">
        <v>424</v>
      </c>
    </row>
    <row r="557" spans="1:23" x14ac:dyDescent="0.25">
      <c r="A557" s="19" t="s">
        <v>504</v>
      </c>
      <c r="B557" s="20" t="s">
        <v>7</v>
      </c>
      <c r="C557" s="20" t="s">
        <v>427</v>
      </c>
      <c r="D557" s="18" t="s">
        <v>218</v>
      </c>
      <c r="E557" s="18" t="s">
        <v>1466</v>
      </c>
      <c r="F557" s="18">
        <v>5.94</v>
      </c>
      <c r="G557" s="23">
        <v>1.1499999999999999</v>
      </c>
      <c r="H557" s="20">
        <v>6.71</v>
      </c>
      <c r="I557" s="25">
        <v>18.404953745150692</v>
      </c>
      <c r="J557" s="24">
        <f>G557/F557*((100-H557)/100)*((100-I557)/100)*100</f>
        <v>14.737040647949707</v>
      </c>
      <c r="K557" s="53">
        <v>5.411499436302142</v>
      </c>
      <c r="L557" s="54">
        <f>J557*10000/K557</f>
        <v>27232.823030690393</v>
      </c>
      <c r="M557" s="55">
        <v>46.9</v>
      </c>
      <c r="N557" s="55">
        <v>22.1</v>
      </c>
      <c r="O557" s="56">
        <v>44.110999999999997</v>
      </c>
      <c r="P557" s="55">
        <v>64.7</v>
      </c>
      <c r="Q557" s="17" t="s">
        <v>424</v>
      </c>
      <c r="R557" s="17" t="s">
        <v>424</v>
      </c>
      <c r="S557" s="17" t="s">
        <v>424</v>
      </c>
      <c r="T557" s="17" t="s">
        <v>424</v>
      </c>
      <c r="U557" s="17" t="s">
        <v>424</v>
      </c>
      <c r="V557" s="17" t="s">
        <v>424</v>
      </c>
      <c r="W557" s="17" t="s">
        <v>424</v>
      </c>
    </row>
    <row r="558" spans="1:23" x14ac:dyDescent="0.25">
      <c r="A558" s="19" t="s">
        <v>503</v>
      </c>
      <c r="B558" s="20" t="s">
        <v>7</v>
      </c>
      <c r="C558" s="20" t="s">
        <v>427</v>
      </c>
      <c r="D558" s="18" t="s">
        <v>270</v>
      </c>
      <c r="E558" s="18" t="s">
        <v>1690</v>
      </c>
      <c r="F558" s="18">
        <v>5.94</v>
      </c>
      <c r="G558" s="23">
        <v>1.45</v>
      </c>
      <c r="H558" s="20">
        <v>6.71</v>
      </c>
      <c r="I558" s="25">
        <v>17.464743845111943</v>
      </c>
      <c r="J558" s="24">
        <f>G558/F558*((100-H558)/100)*((100-I558)/100)*100</f>
        <v>18.795598262120848</v>
      </c>
      <c r="K558" s="53">
        <v>5.0945378151260501</v>
      </c>
      <c r="L558" s="54">
        <f>J558*10000/K558</f>
        <v>36893.627928946487</v>
      </c>
      <c r="M558" s="55">
        <v>47.7</v>
      </c>
      <c r="N558" s="55">
        <v>22.8</v>
      </c>
      <c r="O558" s="56">
        <v>42.98</v>
      </c>
      <c r="P558" s="55">
        <v>66.5</v>
      </c>
      <c r="Q558" s="17" t="s">
        <v>424</v>
      </c>
      <c r="R558" s="17" t="s">
        <v>424</v>
      </c>
      <c r="S558" s="17" t="s">
        <v>424</v>
      </c>
      <c r="T558" s="17" t="s">
        <v>424</v>
      </c>
      <c r="U558" s="17" t="s">
        <v>424</v>
      </c>
      <c r="V558" s="17" t="s">
        <v>424</v>
      </c>
      <c r="W558" s="17" t="s">
        <v>424</v>
      </c>
    </row>
    <row r="559" spans="1:23" x14ac:dyDescent="0.25">
      <c r="A559" s="19" t="s">
        <v>502</v>
      </c>
      <c r="B559" s="20" t="s">
        <v>7</v>
      </c>
      <c r="C559" s="20" t="s">
        <v>427</v>
      </c>
      <c r="D559" s="18" t="s">
        <v>87</v>
      </c>
      <c r="E559" s="18" t="s">
        <v>1545</v>
      </c>
      <c r="F559" s="18">
        <v>5.94</v>
      </c>
      <c r="G559" s="23">
        <v>1.87</v>
      </c>
      <c r="H559" s="20">
        <v>6.71</v>
      </c>
      <c r="I559" s="25">
        <v>9.6167647480981806</v>
      </c>
      <c r="J559" s="24">
        <f>G559/F559*((100-H559)/100)*((100-I559)/100)*100</f>
        <v>26.544719311675678</v>
      </c>
      <c r="K559" s="53">
        <v>5.2053274139844614</v>
      </c>
      <c r="L559" s="54">
        <f>J559*10000/K559</f>
        <v>50995.292323709567</v>
      </c>
      <c r="M559" s="55">
        <v>50.8</v>
      </c>
      <c r="N559" s="55">
        <v>18.8</v>
      </c>
      <c r="O559" s="56">
        <v>3.8521999999999998</v>
      </c>
      <c r="P559" s="55">
        <v>22</v>
      </c>
      <c r="Q559" s="17" t="s">
        <v>424</v>
      </c>
      <c r="R559" s="17" t="s">
        <v>424</v>
      </c>
      <c r="S559" s="17" t="s">
        <v>424</v>
      </c>
      <c r="T559" s="17" t="s">
        <v>424</v>
      </c>
      <c r="U559" s="17" t="s">
        <v>424</v>
      </c>
      <c r="V559" s="17" t="s">
        <v>424</v>
      </c>
      <c r="W559" s="17" t="s">
        <v>424</v>
      </c>
    </row>
    <row r="560" spans="1:23" x14ac:dyDescent="0.25">
      <c r="A560" s="19" t="s">
        <v>501</v>
      </c>
      <c r="B560" s="20" t="s">
        <v>7</v>
      </c>
      <c r="C560" s="20" t="s">
        <v>427</v>
      </c>
      <c r="D560" s="18" t="s">
        <v>271</v>
      </c>
      <c r="E560" s="18" t="s">
        <v>1521</v>
      </c>
      <c r="F560" s="18">
        <v>5.94</v>
      </c>
      <c r="G560" s="23">
        <v>1.88</v>
      </c>
      <c r="H560" s="20">
        <v>6.71</v>
      </c>
      <c r="I560" s="25">
        <v>14.873646209386287</v>
      </c>
      <c r="J560" s="24">
        <f>G560/F560*((100-H560)/100)*((100-I560)/100)*100</f>
        <v>25.134516136090141</v>
      </c>
      <c r="K560" s="53">
        <v>5.1404786680541106</v>
      </c>
      <c r="L560" s="54">
        <f>J560*10000/K560</f>
        <v>48895.283414539721</v>
      </c>
      <c r="M560" s="55">
        <v>45.6</v>
      </c>
      <c r="N560" s="55">
        <v>20.6</v>
      </c>
      <c r="O560" s="56">
        <v>9.3257999999999992</v>
      </c>
      <c r="P560" s="55">
        <v>65.099999999999994</v>
      </c>
      <c r="Q560" s="17" t="s">
        <v>424</v>
      </c>
      <c r="R560" s="17" t="s">
        <v>424</v>
      </c>
      <c r="S560" s="17" t="s">
        <v>424</v>
      </c>
      <c r="T560" s="17" t="s">
        <v>424</v>
      </c>
      <c r="U560" s="17" t="s">
        <v>424</v>
      </c>
      <c r="V560" s="17" t="s">
        <v>424</v>
      </c>
      <c r="W560" s="17" t="s">
        <v>424</v>
      </c>
    </row>
    <row r="561" spans="1:23" x14ac:dyDescent="0.25">
      <c r="A561" s="19" t="s">
        <v>500</v>
      </c>
      <c r="B561" s="20" t="s">
        <v>7</v>
      </c>
      <c r="C561" s="20" t="s">
        <v>427</v>
      </c>
      <c r="D561" s="18" t="s">
        <v>272</v>
      </c>
      <c r="E561" s="18" t="s">
        <v>1470</v>
      </c>
      <c r="F561" s="18">
        <v>5.94</v>
      </c>
      <c r="G561" s="23">
        <v>2.0699999999999998</v>
      </c>
      <c r="H561" s="20">
        <v>6.71</v>
      </c>
      <c r="I561" s="25">
        <v>7.0020183201366217</v>
      </c>
      <c r="J561" s="24">
        <f>G561/F561*((100-H561)/100)*((100-I561)/100)*100</f>
        <v>30.233784750156428</v>
      </c>
      <c r="K561" s="53">
        <v>5</v>
      </c>
      <c r="L561" s="54">
        <f>J561*10000/K561</f>
        <v>60467.569500312864</v>
      </c>
      <c r="M561" s="55">
        <v>53.1</v>
      </c>
      <c r="N561" s="55">
        <v>19.100000000000001</v>
      </c>
      <c r="O561" s="56">
        <v>49.170999999999999</v>
      </c>
      <c r="P561" s="55">
        <v>56.5</v>
      </c>
      <c r="Q561" s="17" t="s">
        <v>424</v>
      </c>
      <c r="R561" s="17" t="s">
        <v>424</v>
      </c>
      <c r="S561" s="17" t="s">
        <v>424</v>
      </c>
      <c r="T561" s="17" t="s">
        <v>424</v>
      </c>
      <c r="U561" s="17" t="s">
        <v>424</v>
      </c>
      <c r="V561" s="17" t="s">
        <v>424</v>
      </c>
      <c r="W561" s="17" t="s">
        <v>424</v>
      </c>
    </row>
    <row r="562" spans="1:23" x14ac:dyDescent="0.25">
      <c r="A562" s="19" t="s">
        <v>499</v>
      </c>
      <c r="B562" s="20" t="s">
        <v>7</v>
      </c>
      <c r="C562" s="20" t="s">
        <v>427</v>
      </c>
      <c r="D562" s="18" t="s">
        <v>273</v>
      </c>
      <c r="E562" s="18" t="s">
        <v>1539</v>
      </c>
      <c r="F562" s="18">
        <v>5.94</v>
      </c>
      <c r="G562" s="23">
        <v>2.4</v>
      </c>
      <c r="H562" s="20">
        <v>6.71</v>
      </c>
      <c r="I562" s="25">
        <v>7.2924130244407266</v>
      </c>
      <c r="J562" s="24">
        <f>G562/F562*((100-H562)/100)*((100-I562)/100)*100</f>
        <v>34.944205207878483</v>
      </c>
      <c r="K562" s="53">
        <v>5.3776775648252535</v>
      </c>
      <c r="L562" s="54">
        <f>J562*10000/K562</f>
        <v>64980.104862449094</v>
      </c>
      <c r="M562" s="55">
        <v>49.6</v>
      </c>
      <c r="N562" s="55">
        <v>17.7</v>
      </c>
      <c r="O562" s="56">
        <v>0.75802000000000003</v>
      </c>
      <c r="P562" s="55">
        <v>13.7</v>
      </c>
      <c r="Q562" s="17" t="s">
        <v>424</v>
      </c>
      <c r="R562" s="17" t="s">
        <v>424</v>
      </c>
      <c r="S562" s="17" t="s">
        <v>424</v>
      </c>
      <c r="T562" s="17" t="s">
        <v>424</v>
      </c>
      <c r="U562" s="17" t="s">
        <v>424</v>
      </c>
      <c r="V562" s="17" t="s">
        <v>424</v>
      </c>
      <c r="W562" s="17" t="s">
        <v>424</v>
      </c>
    </row>
    <row r="563" spans="1:23" x14ac:dyDescent="0.25">
      <c r="A563" s="19" t="s">
        <v>279</v>
      </c>
      <c r="B563" s="20" t="s">
        <v>7</v>
      </c>
      <c r="C563" s="20" t="s">
        <v>13</v>
      </c>
      <c r="D563" s="18" t="s">
        <v>38</v>
      </c>
      <c r="E563" s="18" t="s">
        <v>1549</v>
      </c>
      <c r="F563" s="18">
        <v>5.94</v>
      </c>
      <c r="G563" s="23">
        <v>2.2400000000000002</v>
      </c>
      <c r="H563" s="17">
        <v>6.92</v>
      </c>
      <c r="I563" s="25">
        <v>6.1149425287356358</v>
      </c>
      <c r="J563" s="24">
        <f>G563/F563*((100-H563)/100)*((100-I563)/100)*100</f>
        <v>32.954477061805797</v>
      </c>
      <c r="K563" s="53">
        <v>4.7225025227043389</v>
      </c>
      <c r="L563" s="54">
        <f>J563*10000/K563</f>
        <v>69781.809333866549</v>
      </c>
      <c r="M563" s="55">
        <v>51.9</v>
      </c>
      <c r="N563" s="55">
        <v>17.7</v>
      </c>
      <c r="O563" s="56">
        <v>4.7946</v>
      </c>
      <c r="P563" s="55">
        <v>18.8</v>
      </c>
      <c r="Q563" s="17" t="s">
        <v>424</v>
      </c>
      <c r="R563" s="17" t="s">
        <v>424</v>
      </c>
      <c r="S563" s="17" t="s">
        <v>424</v>
      </c>
      <c r="T563" s="17" t="s">
        <v>424</v>
      </c>
      <c r="U563" s="17" t="s">
        <v>424</v>
      </c>
      <c r="V563" s="17" t="s">
        <v>424</v>
      </c>
      <c r="W563" s="17" t="s">
        <v>424</v>
      </c>
    </row>
    <row r="564" spans="1:23" x14ac:dyDescent="0.25">
      <c r="A564" s="19" t="s">
        <v>280</v>
      </c>
      <c r="B564" s="20" t="s">
        <v>7</v>
      </c>
      <c r="C564" s="20" t="s">
        <v>13</v>
      </c>
      <c r="D564" s="18" t="s">
        <v>64</v>
      </c>
      <c r="E564" s="18" t="s">
        <v>1798</v>
      </c>
      <c r="F564" s="18">
        <v>5.94</v>
      </c>
      <c r="G564" s="23">
        <v>2.93</v>
      </c>
      <c r="H564" s="17">
        <v>6.92</v>
      </c>
      <c r="I564" s="25">
        <v>10.172493454489457</v>
      </c>
      <c r="J564" s="24">
        <f>G564/F564*((100-H564)/100)*((100-I564)/100)*100</f>
        <v>41.242681525455275</v>
      </c>
      <c r="K564" s="53">
        <v>4.8977505112474438</v>
      </c>
      <c r="L564" s="54">
        <f>J564*10000/K564</f>
        <v>84207.395682453571</v>
      </c>
      <c r="M564" s="55">
        <v>52.1</v>
      </c>
      <c r="N564" s="55">
        <v>16.7</v>
      </c>
      <c r="O564" s="56">
        <v>0.63660000000000005</v>
      </c>
      <c r="P564" s="55">
        <v>13.3</v>
      </c>
      <c r="Q564" s="17" t="s">
        <v>424</v>
      </c>
      <c r="R564" s="17" t="s">
        <v>424</v>
      </c>
      <c r="S564" s="17" t="s">
        <v>424</v>
      </c>
      <c r="T564" s="17" t="s">
        <v>424</v>
      </c>
      <c r="U564" s="17" t="s">
        <v>424</v>
      </c>
      <c r="V564" s="17" t="s">
        <v>424</v>
      </c>
      <c r="W564" s="17" t="s">
        <v>424</v>
      </c>
    </row>
    <row r="565" spans="1:23" x14ac:dyDescent="0.25">
      <c r="A565" s="19" t="s">
        <v>282</v>
      </c>
      <c r="B565" s="20" t="s">
        <v>7</v>
      </c>
      <c r="C565" s="20" t="s">
        <v>13</v>
      </c>
      <c r="D565" s="18" t="s">
        <v>281</v>
      </c>
      <c r="E565" s="18" t="s">
        <v>1612</v>
      </c>
      <c r="F565" s="18">
        <v>5.94</v>
      </c>
      <c r="G565" s="23">
        <v>2.25</v>
      </c>
      <c r="H565" s="17">
        <v>6.92</v>
      </c>
      <c r="I565" s="25">
        <v>5.962951622780154</v>
      </c>
      <c r="J565" s="24">
        <f>G565/F565*((100-H565)/100)*((100-I565)/100)*100</f>
        <v>33.155183571786452</v>
      </c>
      <c r="K565" s="53">
        <v>4.7294589178356716</v>
      </c>
      <c r="L565" s="54">
        <f>J565*10000/K565</f>
        <v>70103.544925090842</v>
      </c>
      <c r="M565" s="55">
        <v>48.1</v>
      </c>
      <c r="N565" s="55">
        <v>16.8</v>
      </c>
      <c r="O565" s="56">
        <v>5.1910999999999996</v>
      </c>
      <c r="P565" s="55">
        <v>16.399999999999999</v>
      </c>
      <c r="Q565" s="17" t="s">
        <v>424</v>
      </c>
      <c r="R565" s="17" t="s">
        <v>424</v>
      </c>
      <c r="S565" s="17" t="s">
        <v>424</v>
      </c>
      <c r="T565" s="17" t="s">
        <v>424</v>
      </c>
      <c r="U565" s="17" t="s">
        <v>424</v>
      </c>
      <c r="V565" s="17" t="s">
        <v>424</v>
      </c>
      <c r="W565" s="17" t="s">
        <v>424</v>
      </c>
    </row>
    <row r="566" spans="1:23" x14ac:dyDescent="0.25">
      <c r="A566" s="19" t="s">
        <v>283</v>
      </c>
      <c r="B566" s="20" t="s">
        <v>7</v>
      </c>
      <c r="C566" s="20" t="s">
        <v>13</v>
      </c>
      <c r="D566" s="18" t="s">
        <v>11</v>
      </c>
      <c r="E566" s="18" t="s">
        <v>1592</v>
      </c>
      <c r="F566" s="18">
        <v>5.94</v>
      </c>
      <c r="G566" s="23">
        <v>2.79</v>
      </c>
      <c r="H566" s="17">
        <v>6.92</v>
      </c>
      <c r="I566" s="25">
        <v>5.2692130694891786</v>
      </c>
      <c r="J566" s="24">
        <f>G566/F566*((100-H566)/100)*((100-I566)/100)*100</f>
        <v>41.415725920037929</v>
      </c>
      <c r="K566" s="53">
        <v>4.015679442508711</v>
      </c>
      <c r="L566" s="54">
        <f>J566*10000/K566</f>
        <v>103135.03981822894</v>
      </c>
      <c r="M566" s="55">
        <v>51.1</v>
      </c>
      <c r="N566" s="55">
        <v>18.5</v>
      </c>
      <c r="O566" s="56">
        <v>0.14571000000000001</v>
      </c>
      <c r="P566" s="55">
        <v>18.600000000000001</v>
      </c>
      <c r="Q566" s="17" t="s">
        <v>424</v>
      </c>
      <c r="R566" s="17" t="s">
        <v>424</v>
      </c>
      <c r="S566" s="17" t="s">
        <v>424</v>
      </c>
      <c r="T566" s="17" t="s">
        <v>424</v>
      </c>
      <c r="U566" s="17" t="s">
        <v>424</v>
      </c>
      <c r="V566" s="17" t="s">
        <v>424</v>
      </c>
      <c r="W566" s="17" t="s">
        <v>424</v>
      </c>
    </row>
    <row r="567" spans="1:23" x14ac:dyDescent="0.25">
      <c r="A567" s="19" t="s">
        <v>284</v>
      </c>
      <c r="B567" s="20" t="s">
        <v>7</v>
      </c>
      <c r="C567" s="20" t="s">
        <v>13</v>
      </c>
      <c r="D567" s="18" t="s">
        <v>79</v>
      </c>
      <c r="E567" s="18" t="s">
        <v>1682</v>
      </c>
      <c r="F567" s="18">
        <v>5.94</v>
      </c>
      <c r="G567" s="23">
        <v>1.73</v>
      </c>
      <c r="H567" s="17">
        <v>6.92</v>
      </c>
      <c r="I567" s="25">
        <v>12.793408984921493</v>
      </c>
      <c r="J567" s="24">
        <f>G567/F567*((100-H567)/100)*((100-I567)/100)*100</f>
        <v>23.640972761973845</v>
      </c>
      <c r="K567" s="53">
        <v>5.178764897074756</v>
      </c>
      <c r="L567" s="54">
        <f>J567*10000/K567</f>
        <v>45649.828157535274</v>
      </c>
      <c r="M567" s="55">
        <v>49.2</v>
      </c>
      <c r="N567" s="55">
        <v>19</v>
      </c>
      <c r="O567" s="56">
        <v>2.4076</v>
      </c>
      <c r="P567" s="55">
        <v>18.8</v>
      </c>
      <c r="Q567" s="17" t="s">
        <v>424</v>
      </c>
      <c r="R567" s="17" t="s">
        <v>424</v>
      </c>
      <c r="S567" s="17" t="s">
        <v>424</v>
      </c>
      <c r="T567" s="17" t="s">
        <v>424</v>
      </c>
      <c r="U567" s="17" t="s">
        <v>424</v>
      </c>
      <c r="V567" s="17" t="s">
        <v>424</v>
      </c>
      <c r="W567" s="17" t="s">
        <v>424</v>
      </c>
    </row>
    <row r="568" spans="1:23" x14ac:dyDescent="0.25">
      <c r="A568" s="19" t="s">
        <v>285</v>
      </c>
      <c r="B568" s="20" t="s">
        <v>7</v>
      </c>
      <c r="C568" s="20" t="s">
        <v>13</v>
      </c>
      <c r="D568" s="18" t="s">
        <v>100</v>
      </c>
      <c r="E568" s="18" t="s">
        <v>1468</v>
      </c>
      <c r="F568" s="18">
        <v>5.94</v>
      </c>
      <c r="G568" s="23">
        <v>1.72</v>
      </c>
      <c r="H568" s="17">
        <v>6.92</v>
      </c>
      <c r="I568" s="25">
        <v>13.634610935451526</v>
      </c>
      <c r="J568" s="24">
        <f>G568/F568*((100-H568)/100)*((100-I568)/100)*100</f>
        <v>23.27759513855295</v>
      </c>
      <c r="K568" s="53">
        <v>5.6198347107438016</v>
      </c>
      <c r="L568" s="54">
        <f>J568*10000/K568</f>
        <v>41420.426643601575</v>
      </c>
      <c r="M568" s="55">
        <v>51.6</v>
      </c>
      <c r="N568" s="55">
        <v>20.2</v>
      </c>
      <c r="O568" s="56">
        <v>44.414999999999999</v>
      </c>
      <c r="P568" s="55">
        <v>65.900000000000006</v>
      </c>
      <c r="Q568" s="17" t="s">
        <v>424</v>
      </c>
      <c r="R568" s="17" t="s">
        <v>424</v>
      </c>
      <c r="S568" s="17" t="s">
        <v>424</v>
      </c>
      <c r="T568" s="17" t="s">
        <v>424</v>
      </c>
      <c r="U568" s="17" t="s">
        <v>424</v>
      </c>
      <c r="V568" s="17" t="s">
        <v>424</v>
      </c>
      <c r="W568" s="17" t="s">
        <v>424</v>
      </c>
    </row>
    <row r="569" spans="1:23" x14ac:dyDescent="0.25">
      <c r="A569" s="19" t="s">
        <v>510</v>
      </c>
      <c r="B569" s="20" t="s">
        <v>7</v>
      </c>
      <c r="C569" s="20" t="s">
        <v>427</v>
      </c>
      <c r="D569" s="18" t="s">
        <v>93</v>
      </c>
      <c r="E569" s="18" t="s">
        <v>1562</v>
      </c>
      <c r="F569" s="18">
        <v>5.94</v>
      </c>
      <c r="G569" s="23">
        <v>2.86</v>
      </c>
      <c r="H569" s="20">
        <v>6.71</v>
      </c>
      <c r="I569" s="25">
        <v>11.315132479664973</v>
      </c>
      <c r="J569" s="24">
        <f>G569/F569*((100-H569)/100)*((100-I569)/100)*100</f>
        <v>39.834943252828417</v>
      </c>
      <c r="K569" s="53">
        <v>4.3813015582034831</v>
      </c>
      <c r="L569" s="54">
        <f>J569*10000/K569</f>
        <v>90920.341190033054</v>
      </c>
      <c r="M569" s="55">
        <v>50.2</v>
      </c>
      <c r="N569" s="55">
        <v>18.2</v>
      </c>
      <c r="O569" s="56">
        <v>2.8466</v>
      </c>
      <c r="P569" s="55">
        <v>18.100000000000001</v>
      </c>
      <c r="Q569" s="17" t="s">
        <v>424</v>
      </c>
      <c r="R569" s="17" t="s">
        <v>424</v>
      </c>
      <c r="S569" s="17" t="s">
        <v>424</v>
      </c>
      <c r="T569" s="17" t="s">
        <v>424</v>
      </c>
      <c r="U569" s="17" t="s">
        <v>424</v>
      </c>
      <c r="V569" s="17" t="s">
        <v>424</v>
      </c>
      <c r="W569" s="17" t="s">
        <v>424</v>
      </c>
    </row>
    <row r="570" spans="1:23" x14ac:dyDescent="0.25">
      <c r="A570" s="19" t="s">
        <v>509</v>
      </c>
      <c r="B570" s="20" t="s">
        <v>7</v>
      </c>
      <c r="C570" s="20" t="s">
        <v>427</v>
      </c>
      <c r="D570" s="18" t="s">
        <v>286</v>
      </c>
      <c r="E570" s="18" t="s">
        <v>1556</v>
      </c>
      <c r="F570" s="18">
        <v>5.94</v>
      </c>
      <c r="G570" s="23">
        <v>2.27</v>
      </c>
      <c r="H570" s="20">
        <v>6.71</v>
      </c>
      <c r="I570" s="25">
        <v>8.9267647287726763</v>
      </c>
      <c r="J570" s="24">
        <f>G570/F570*((100-H570)/100)*((100-I570)/100)*100</f>
        <v>32.468727624390318</v>
      </c>
      <c r="K570" s="53">
        <v>4.7415506958250493</v>
      </c>
      <c r="L570" s="54">
        <f>J570*10000/K570</f>
        <v>68477.023040118802</v>
      </c>
      <c r="M570" s="55">
        <v>49.1</v>
      </c>
      <c r="N570" s="55">
        <v>20</v>
      </c>
      <c r="O570" s="56">
        <v>1.4056</v>
      </c>
      <c r="P570" s="55">
        <v>15</v>
      </c>
      <c r="Q570" s="17" t="s">
        <v>424</v>
      </c>
      <c r="R570" s="17" t="s">
        <v>424</v>
      </c>
      <c r="S570" s="17" t="s">
        <v>424</v>
      </c>
      <c r="T570" s="17" t="s">
        <v>424</v>
      </c>
      <c r="U570" s="17" t="s">
        <v>424</v>
      </c>
      <c r="V570" s="17" t="s">
        <v>424</v>
      </c>
      <c r="W570" s="17" t="s">
        <v>424</v>
      </c>
    </row>
    <row r="571" spans="1:23" x14ac:dyDescent="0.25">
      <c r="A571" s="19" t="s">
        <v>508</v>
      </c>
      <c r="B571" s="20" t="s">
        <v>7</v>
      </c>
      <c r="C571" s="20" t="s">
        <v>427</v>
      </c>
      <c r="D571" s="18" t="s">
        <v>287</v>
      </c>
      <c r="E571" s="18" t="s">
        <v>1594</v>
      </c>
      <c r="F571" s="18">
        <v>5.94</v>
      </c>
      <c r="G571" s="23">
        <v>2.3199999999999998</v>
      </c>
      <c r="H571" s="20">
        <v>6.71</v>
      </c>
      <c r="I571" s="25">
        <v>7.6891979301423063</v>
      </c>
      <c r="J571" s="24">
        <f>G571/F571*((100-H571)/100)*((100-I571)/100)*100</f>
        <v>33.634823842129784</v>
      </c>
      <c r="K571" s="53">
        <v>4.7991967871485945</v>
      </c>
      <c r="L571" s="54">
        <f>J571*10000/K571</f>
        <v>70084.277294479631</v>
      </c>
      <c r="M571" s="55">
        <v>51.3</v>
      </c>
      <c r="N571" s="55">
        <v>19.399999999999999</v>
      </c>
      <c r="O571" s="56">
        <v>0.36801</v>
      </c>
      <c r="P571" s="55">
        <v>16.8</v>
      </c>
      <c r="Q571" s="17" t="s">
        <v>424</v>
      </c>
      <c r="R571" s="17" t="s">
        <v>424</v>
      </c>
      <c r="S571" s="17" t="s">
        <v>424</v>
      </c>
      <c r="T571" s="17" t="s">
        <v>424</v>
      </c>
      <c r="U571" s="17" t="s">
        <v>424</v>
      </c>
      <c r="V571" s="17" t="s">
        <v>424</v>
      </c>
      <c r="W571" s="17" t="s">
        <v>424</v>
      </c>
    </row>
    <row r="572" spans="1:23" x14ac:dyDescent="0.25">
      <c r="A572" s="19" t="s">
        <v>507</v>
      </c>
      <c r="B572" s="20" t="s">
        <v>7</v>
      </c>
      <c r="C572" s="20" t="s">
        <v>427</v>
      </c>
      <c r="D572" s="18" t="s">
        <v>89</v>
      </c>
      <c r="E572" s="18" t="s">
        <v>1752</v>
      </c>
      <c r="F572" s="18">
        <v>5.94</v>
      </c>
      <c r="G572" s="23">
        <v>2.14</v>
      </c>
      <c r="H572" s="20">
        <v>6.71</v>
      </c>
      <c r="I572" s="25">
        <v>14.096085677652914</v>
      </c>
      <c r="J572" s="24">
        <f>G572/F572*((100-H572)/100)*((100-I572)/100)*100</f>
        <v>28.871900669464591</v>
      </c>
      <c r="K572" s="53">
        <v>5.1895991332611047</v>
      </c>
      <c r="L572" s="54">
        <f>J572*10000/K572</f>
        <v>55634.16350295578</v>
      </c>
      <c r="M572" s="55">
        <v>48.7</v>
      </c>
      <c r="N572" s="55">
        <v>19.3</v>
      </c>
      <c r="O572" s="56">
        <v>5.5542999999999996</v>
      </c>
      <c r="P572" s="55">
        <v>20.2</v>
      </c>
      <c r="Q572" s="17" t="s">
        <v>424</v>
      </c>
      <c r="R572" s="17" t="s">
        <v>424</v>
      </c>
      <c r="S572" s="17" t="s">
        <v>424</v>
      </c>
      <c r="T572" s="17" t="s">
        <v>424</v>
      </c>
      <c r="U572" s="17" t="s">
        <v>424</v>
      </c>
      <c r="V572" s="17" t="s">
        <v>424</v>
      </c>
      <c r="W572" s="17" t="s">
        <v>424</v>
      </c>
    </row>
    <row r="573" spans="1:23" x14ac:dyDescent="0.25">
      <c r="A573" s="19" t="s">
        <v>506</v>
      </c>
      <c r="B573" s="20" t="s">
        <v>7</v>
      </c>
      <c r="C573" s="20" t="s">
        <v>427</v>
      </c>
      <c r="D573" s="18" t="s">
        <v>57</v>
      </c>
      <c r="E573" s="18" t="s">
        <v>1632</v>
      </c>
      <c r="F573" s="18">
        <v>5.94</v>
      </c>
      <c r="G573" s="23">
        <v>2.4500000000000002</v>
      </c>
      <c r="H573" s="20">
        <v>6.71</v>
      </c>
      <c r="I573" s="25">
        <v>13.390928725701951</v>
      </c>
      <c r="J573" s="24">
        <f>G573/F573*((100-H573)/100)*((100-I573)/100)*100</f>
        <v>33.325610496614814</v>
      </c>
      <c r="K573" s="53">
        <v>5.4505494505494507</v>
      </c>
      <c r="L573" s="54">
        <f>J573*10000/K573</f>
        <v>61141.745064353789</v>
      </c>
      <c r="M573" s="55">
        <v>50.2</v>
      </c>
      <c r="N573" s="55">
        <v>18.899999999999999</v>
      </c>
      <c r="O573" s="56">
        <v>4.3631000000000002</v>
      </c>
      <c r="P573" s="55">
        <v>18.2</v>
      </c>
      <c r="Q573" s="17" t="s">
        <v>424</v>
      </c>
      <c r="R573" s="17" t="s">
        <v>424</v>
      </c>
      <c r="S573" s="17" t="s">
        <v>424</v>
      </c>
      <c r="T573" s="17" t="s">
        <v>424</v>
      </c>
      <c r="U573" s="17" t="s">
        <v>424</v>
      </c>
      <c r="V573" s="17" t="s">
        <v>424</v>
      </c>
      <c r="W573" s="17" t="s">
        <v>424</v>
      </c>
    </row>
    <row r="574" spans="1:23" x14ac:dyDescent="0.25">
      <c r="A574" s="19" t="s">
        <v>505</v>
      </c>
      <c r="B574" s="20" t="s">
        <v>7</v>
      </c>
      <c r="C574" s="20" t="s">
        <v>427</v>
      </c>
      <c r="D574" s="18" t="s">
        <v>59</v>
      </c>
      <c r="E574" s="18" t="s">
        <v>1517</v>
      </c>
      <c r="F574" s="18">
        <v>5.94</v>
      </c>
      <c r="G574" s="23">
        <v>1.91</v>
      </c>
      <c r="H574" s="20">
        <v>6.71</v>
      </c>
      <c r="I574" s="25">
        <v>10.098993428167374</v>
      </c>
      <c r="J574" s="24">
        <f>G574/F574*((100-H574)/100)*((100-I574)/100)*100</f>
        <v>26.967865260765599</v>
      </c>
      <c r="K574" s="53">
        <v>5.2614015572858728</v>
      </c>
      <c r="L574" s="54">
        <f>J574*10000/K574</f>
        <v>51256.048349742647</v>
      </c>
      <c r="M574" s="55">
        <v>47.8</v>
      </c>
      <c r="N574" s="55">
        <v>22</v>
      </c>
      <c r="O574" s="56">
        <v>10.039</v>
      </c>
      <c r="P574" s="55">
        <v>60.6</v>
      </c>
      <c r="Q574" s="17" t="s">
        <v>424</v>
      </c>
      <c r="R574" s="17" t="s">
        <v>424</v>
      </c>
      <c r="S574" s="17" t="s">
        <v>424</v>
      </c>
      <c r="T574" s="17" t="s">
        <v>424</v>
      </c>
      <c r="U574" s="17" t="s">
        <v>424</v>
      </c>
      <c r="V574" s="17" t="s">
        <v>424</v>
      </c>
      <c r="W574" s="17" t="s">
        <v>424</v>
      </c>
    </row>
    <row r="575" spans="1:23" x14ac:dyDescent="0.25">
      <c r="A575" s="19" t="s">
        <v>291</v>
      </c>
      <c r="B575" s="20" t="s">
        <v>7</v>
      </c>
      <c r="C575" s="20" t="s">
        <v>13</v>
      </c>
      <c r="D575" s="18" t="s">
        <v>28</v>
      </c>
      <c r="E575" s="18" t="s">
        <v>1636</v>
      </c>
      <c r="F575" s="18">
        <v>5.94</v>
      </c>
      <c r="G575" s="23">
        <v>2.56</v>
      </c>
      <c r="H575" s="17">
        <v>6.92</v>
      </c>
      <c r="I575" s="25">
        <v>8.1047670555512692</v>
      </c>
      <c r="J575" s="24">
        <f>G575/F575*((100-H575)/100)*((100-I575)/100)*100</f>
        <v>36.864035695490536</v>
      </c>
      <c r="K575" s="53">
        <v>4.9163179916317992</v>
      </c>
      <c r="L575" s="54">
        <f>J575*10000/K575</f>
        <v>74983.017286997769</v>
      </c>
      <c r="M575" s="55">
        <v>49.8</v>
      </c>
      <c r="N575" s="55">
        <v>17</v>
      </c>
      <c r="O575" s="56">
        <v>-0.27381</v>
      </c>
      <c r="P575" s="55">
        <v>13.8</v>
      </c>
      <c r="Q575" s="17" t="s">
        <v>424</v>
      </c>
      <c r="R575" s="17" t="s">
        <v>424</v>
      </c>
      <c r="S575" s="17" t="s">
        <v>424</v>
      </c>
      <c r="T575" s="17" t="s">
        <v>424</v>
      </c>
      <c r="U575" s="17" t="s">
        <v>424</v>
      </c>
      <c r="V575" s="17" t="s">
        <v>424</v>
      </c>
      <c r="W575" s="17" t="s">
        <v>424</v>
      </c>
    </row>
    <row r="576" spans="1:23" x14ac:dyDescent="0.25">
      <c r="A576" s="19" t="s">
        <v>293</v>
      </c>
      <c r="B576" s="20" t="s">
        <v>7</v>
      </c>
      <c r="C576" s="20" t="s">
        <v>13</v>
      </c>
      <c r="D576" s="18" t="s">
        <v>292</v>
      </c>
      <c r="E576" s="18" t="s">
        <v>1602</v>
      </c>
      <c r="F576" s="18">
        <v>5.94</v>
      </c>
      <c r="G576" s="23">
        <v>2.52</v>
      </c>
      <c r="H576" s="17">
        <v>6.92</v>
      </c>
      <c r="I576" s="25">
        <v>16.776315789473678</v>
      </c>
      <c r="J576" s="24">
        <f>G576/F576*((100-H576)/100)*((100-I576)/100)*100</f>
        <v>32.863771929824566</v>
      </c>
      <c r="K576" s="53">
        <v>3.7905844155844157</v>
      </c>
      <c r="L576" s="54">
        <f>J576*10000/K576</f>
        <v>86698.430444419413</v>
      </c>
      <c r="M576" s="55">
        <v>52.8</v>
      </c>
      <c r="N576" s="55">
        <v>18.600000000000001</v>
      </c>
      <c r="O576" s="56">
        <v>26.215</v>
      </c>
      <c r="P576" s="55">
        <v>10.5</v>
      </c>
      <c r="Q576" s="17" t="s">
        <v>424</v>
      </c>
      <c r="R576" s="17" t="s">
        <v>424</v>
      </c>
      <c r="S576" s="17" t="s">
        <v>424</v>
      </c>
      <c r="T576" s="17" t="s">
        <v>424</v>
      </c>
      <c r="U576" s="17" t="s">
        <v>424</v>
      </c>
      <c r="V576" s="17" t="s">
        <v>424</v>
      </c>
      <c r="W576" s="17" t="s">
        <v>424</v>
      </c>
    </row>
    <row r="577" spans="1:23" x14ac:dyDescent="0.25">
      <c r="A577" s="19" t="s">
        <v>295</v>
      </c>
      <c r="B577" s="20" t="s">
        <v>7</v>
      </c>
      <c r="C577" s="20" t="s">
        <v>13</v>
      </c>
      <c r="D577" s="18" t="s">
        <v>294</v>
      </c>
      <c r="E577" s="18" t="s">
        <v>1513</v>
      </c>
      <c r="F577" s="18">
        <v>5.94</v>
      </c>
      <c r="G577" s="23">
        <v>1.74</v>
      </c>
      <c r="H577" s="17">
        <v>6.92</v>
      </c>
      <c r="I577" s="25">
        <v>23.569774423192388</v>
      </c>
      <c r="J577" s="24">
        <f>G577/F577*((100-H577)/100)*((100-I577)/100)*100</f>
        <v>20.839357222625082</v>
      </c>
      <c r="K577" s="53">
        <v>5.3993250843644542</v>
      </c>
      <c r="L577" s="54">
        <f>J577*10000/K577</f>
        <v>38596.22618940354</v>
      </c>
      <c r="M577" s="55">
        <v>47.9</v>
      </c>
      <c r="N577" s="55">
        <v>20.3</v>
      </c>
      <c r="O577" s="56">
        <v>4.6784999999999997</v>
      </c>
      <c r="P577" s="55">
        <v>68.400000000000006</v>
      </c>
      <c r="Q577" s="17" t="s">
        <v>424</v>
      </c>
      <c r="R577" s="17" t="s">
        <v>424</v>
      </c>
      <c r="S577" s="17" t="s">
        <v>424</v>
      </c>
      <c r="T577" s="17" t="s">
        <v>424</v>
      </c>
      <c r="U577" s="17" t="s">
        <v>424</v>
      </c>
      <c r="V577" s="17" t="s">
        <v>424</v>
      </c>
      <c r="W577" s="17" t="s">
        <v>424</v>
      </c>
    </row>
    <row r="578" spans="1:23" x14ac:dyDescent="0.25">
      <c r="A578" s="19" t="s">
        <v>296</v>
      </c>
      <c r="B578" s="20" t="s">
        <v>7</v>
      </c>
      <c r="C578" s="20" t="s">
        <v>13</v>
      </c>
      <c r="D578" s="18" t="s">
        <v>36</v>
      </c>
      <c r="E578" s="18" t="s">
        <v>1523</v>
      </c>
      <c r="F578" s="18">
        <v>5.94</v>
      </c>
      <c r="G578" s="23">
        <v>2.12</v>
      </c>
      <c r="H578" s="17">
        <v>6.92</v>
      </c>
      <c r="I578" s="25">
        <v>13.465529167627398</v>
      </c>
      <c r="J578" s="24">
        <f>G578/F578*((100-H578)/100)*((100-I578)/100)*100</f>
        <v>28.747159117110694</v>
      </c>
      <c r="K578" s="53">
        <v>4.6399999999999997</v>
      </c>
      <c r="L578" s="54">
        <f>J578*10000/K578</f>
        <v>61955.084304117881</v>
      </c>
      <c r="M578" s="55">
        <v>48</v>
      </c>
      <c r="N578" s="55">
        <v>19.7</v>
      </c>
      <c r="O578" s="56">
        <v>5.3948999999999998</v>
      </c>
      <c r="P578" s="55">
        <v>59.4</v>
      </c>
      <c r="Q578" s="17" t="s">
        <v>424</v>
      </c>
      <c r="R578" s="17" t="s">
        <v>424</v>
      </c>
      <c r="S578" s="17" t="s">
        <v>424</v>
      </c>
      <c r="T578" s="17" t="s">
        <v>424</v>
      </c>
      <c r="U578" s="17" t="s">
        <v>424</v>
      </c>
      <c r="V578" s="17" t="s">
        <v>424</v>
      </c>
      <c r="W578" s="17" t="s">
        <v>424</v>
      </c>
    </row>
    <row r="579" spans="1:23" x14ac:dyDescent="0.25">
      <c r="A579" s="19" t="s">
        <v>298</v>
      </c>
      <c r="B579" s="20" t="s">
        <v>7</v>
      </c>
      <c r="C579" s="20" t="s">
        <v>13</v>
      </c>
      <c r="D579" s="18" t="s">
        <v>297</v>
      </c>
      <c r="E579" s="18" t="s">
        <v>1794</v>
      </c>
      <c r="F579" s="18">
        <v>5.94</v>
      </c>
      <c r="G579" s="23">
        <v>3.14</v>
      </c>
      <c r="H579" s="17">
        <v>6.92</v>
      </c>
      <c r="I579" s="25">
        <v>20.654911838790923</v>
      </c>
      <c r="J579" s="24">
        <f>G579/F579*((100-H579)/100)*((100-I579)/100)*100</f>
        <v>39.040882375391199</v>
      </c>
      <c r="K579" s="53">
        <v>5.1581243184296621</v>
      </c>
      <c r="L579" s="54">
        <f>J579*10000/K579</f>
        <v>75688.137712967713</v>
      </c>
      <c r="M579" s="55">
        <v>50.8</v>
      </c>
      <c r="N579" s="55">
        <v>17.5</v>
      </c>
      <c r="O579" s="56">
        <v>1.964</v>
      </c>
      <c r="P579" s="55">
        <v>16.8</v>
      </c>
      <c r="Q579" s="17" t="s">
        <v>424</v>
      </c>
      <c r="R579" s="17" t="s">
        <v>424</v>
      </c>
      <c r="S579" s="17" t="s">
        <v>424</v>
      </c>
      <c r="T579" s="17" t="s">
        <v>424</v>
      </c>
      <c r="U579" s="17" t="s">
        <v>424</v>
      </c>
      <c r="V579" s="17" t="s">
        <v>424</v>
      </c>
      <c r="W579" s="17" t="s">
        <v>424</v>
      </c>
    </row>
    <row r="580" spans="1:23" x14ac:dyDescent="0.25">
      <c r="A580" s="19" t="s">
        <v>300</v>
      </c>
      <c r="B580" s="20" t="s">
        <v>7</v>
      </c>
      <c r="C580" s="20" t="s">
        <v>13</v>
      </c>
      <c r="D580" s="18" t="s">
        <v>299</v>
      </c>
      <c r="E580" s="18" t="s">
        <v>1674</v>
      </c>
      <c r="F580" s="18">
        <v>5.94</v>
      </c>
      <c r="G580" s="23">
        <v>1.84</v>
      </c>
      <c r="H580" s="17">
        <v>6.92</v>
      </c>
      <c r="I580" s="25">
        <v>8.1097607582358879</v>
      </c>
      <c r="J580" s="24">
        <f>G580/F580*((100-H580)/100)*((100-I580)/100)*100</f>
        <v>26.494585828732426</v>
      </c>
      <c r="K580" s="53">
        <v>4.5864661654135341</v>
      </c>
      <c r="L580" s="54">
        <f>J580*10000/K580</f>
        <v>57766.883856088731</v>
      </c>
      <c r="M580" s="55">
        <v>47.9</v>
      </c>
      <c r="N580" s="55">
        <v>19.600000000000001</v>
      </c>
      <c r="O580" s="56">
        <v>5.7769000000000004</v>
      </c>
      <c r="P580" s="55">
        <v>9.6999999999999993</v>
      </c>
      <c r="Q580" s="17" t="s">
        <v>424</v>
      </c>
      <c r="R580" s="17" t="s">
        <v>424</v>
      </c>
      <c r="S580" s="17" t="s">
        <v>424</v>
      </c>
      <c r="T580" s="17" t="s">
        <v>424</v>
      </c>
      <c r="U580" s="17" t="s">
        <v>424</v>
      </c>
      <c r="V580" s="17" t="s">
        <v>424</v>
      </c>
      <c r="W580" s="17" t="s">
        <v>424</v>
      </c>
    </row>
    <row r="581" spans="1:23" x14ac:dyDescent="0.25">
      <c r="A581" s="19" t="s">
        <v>516</v>
      </c>
      <c r="B581" s="20" t="s">
        <v>7</v>
      </c>
      <c r="C581" s="20" t="s">
        <v>427</v>
      </c>
      <c r="D581" s="18" t="s">
        <v>48</v>
      </c>
      <c r="E581" s="18" t="s">
        <v>1692</v>
      </c>
      <c r="F581" s="18">
        <v>5.94</v>
      </c>
      <c r="G581" s="23">
        <v>1.36</v>
      </c>
      <c r="H581" s="20">
        <v>6.71</v>
      </c>
      <c r="I581" s="25">
        <v>13.236759408293091</v>
      </c>
      <c r="J581" s="24">
        <f>G581/F581*((100-H581)/100)*((100-I581)/100)*100</f>
        <v>18.53204392614219</v>
      </c>
      <c r="K581" s="53">
        <v>4.312333629103815</v>
      </c>
      <c r="L581" s="54">
        <f>J581*10000/K581</f>
        <v>42974.513384284466</v>
      </c>
      <c r="M581" s="55">
        <v>46.4</v>
      </c>
      <c r="N581" s="55">
        <v>22</v>
      </c>
      <c r="O581" s="56">
        <v>32.079000000000001</v>
      </c>
      <c r="P581" s="55">
        <v>52.1</v>
      </c>
      <c r="Q581" s="17" t="s">
        <v>424</v>
      </c>
      <c r="R581" s="17" t="s">
        <v>424</v>
      </c>
      <c r="S581" s="17" t="s">
        <v>424</v>
      </c>
      <c r="T581" s="17" t="s">
        <v>424</v>
      </c>
      <c r="U581" s="17" t="s">
        <v>424</v>
      </c>
      <c r="V581" s="17" t="s">
        <v>424</v>
      </c>
      <c r="W581" s="17" t="s">
        <v>424</v>
      </c>
    </row>
    <row r="582" spans="1:23" x14ac:dyDescent="0.25">
      <c r="A582" s="19" t="s">
        <v>515</v>
      </c>
      <c r="B582" s="20" t="s">
        <v>7</v>
      </c>
      <c r="C582" s="20" t="s">
        <v>427</v>
      </c>
      <c r="D582" s="18" t="s">
        <v>29</v>
      </c>
      <c r="E582" s="18" t="s">
        <v>1638</v>
      </c>
      <c r="F582" s="18">
        <v>5.94</v>
      </c>
      <c r="G582" s="23">
        <v>2.13</v>
      </c>
      <c r="H582" s="20">
        <v>6.71</v>
      </c>
      <c r="I582" s="25">
        <v>8.0791047064234291</v>
      </c>
      <c r="J582" s="24">
        <f>G582/F582*((100-H582)/100)*((100-I582)/100)*100</f>
        <v>30.749814285736406</v>
      </c>
      <c r="K582" s="53">
        <v>5.2302631578947372</v>
      </c>
      <c r="L582" s="54">
        <f>J582*10000/K582</f>
        <v>58792.097753860791</v>
      </c>
      <c r="M582" s="55">
        <v>45.4</v>
      </c>
      <c r="N582" s="55">
        <v>20.8</v>
      </c>
      <c r="O582" s="56">
        <v>-1.8064</v>
      </c>
      <c r="P582" s="55">
        <v>24.4</v>
      </c>
      <c r="Q582" s="17" t="s">
        <v>424</v>
      </c>
      <c r="R582" s="17" t="s">
        <v>424</v>
      </c>
      <c r="S582" s="17" t="s">
        <v>424</v>
      </c>
      <c r="T582" s="17" t="s">
        <v>424</v>
      </c>
      <c r="U582" s="17" t="s">
        <v>424</v>
      </c>
      <c r="V582" s="17" t="s">
        <v>424</v>
      </c>
      <c r="W582" s="17" t="s">
        <v>424</v>
      </c>
    </row>
    <row r="583" spans="1:23" x14ac:dyDescent="0.25">
      <c r="A583" s="19" t="s">
        <v>514</v>
      </c>
      <c r="B583" s="20" t="s">
        <v>7</v>
      </c>
      <c r="C583" s="20" t="s">
        <v>427</v>
      </c>
      <c r="D583" s="18" t="s">
        <v>72</v>
      </c>
      <c r="E583" s="18" t="s">
        <v>1772</v>
      </c>
      <c r="F583" s="18">
        <v>5.94</v>
      </c>
      <c r="G583" s="23">
        <v>1.91</v>
      </c>
      <c r="H583" s="20">
        <v>6.71</v>
      </c>
      <c r="I583" s="25">
        <v>9.0305065371150963</v>
      </c>
      <c r="J583" s="24">
        <f>G583/F583*((100-H583)/100)*((100-I583)/100)*100</f>
        <v>27.288382367409657</v>
      </c>
      <c r="K583" s="53">
        <v>6.1868686868686869</v>
      </c>
      <c r="L583" s="54">
        <f>J583*10000/K583</f>
        <v>44106.936397935606</v>
      </c>
      <c r="M583" s="55">
        <v>49.6</v>
      </c>
      <c r="N583" s="55">
        <v>19.3</v>
      </c>
      <c r="O583" s="56">
        <v>5.3907999999999996</v>
      </c>
      <c r="P583" s="55">
        <v>23.7</v>
      </c>
      <c r="Q583" s="17" t="s">
        <v>424</v>
      </c>
      <c r="R583" s="17" t="s">
        <v>424</v>
      </c>
      <c r="S583" s="17" t="s">
        <v>424</v>
      </c>
      <c r="T583" s="17" t="s">
        <v>424</v>
      </c>
      <c r="U583" s="17" t="s">
        <v>424</v>
      </c>
      <c r="V583" s="17" t="s">
        <v>424</v>
      </c>
      <c r="W583" s="17" t="s">
        <v>424</v>
      </c>
    </row>
    <row r="584" spans="1:23" x14ac:dyDescent="0.25">
      <c r="A584" s="19" t="s">
        <v>513</v>
      </c>
      <c r="B584" s="20" t="s">
        <v>7</v>
      </c>
      <c r="C584" s="20" t="s">
        <v>427</v>
      </c>
      <c r="D584" s="18" t="s">
        <v>100</v>
      </c>
      <c r="E584" s="18" t="s">
        <v>1468</v>
      </c>
      <c r="F584" s="18">
        <v>5.94</v>
      </c>
      <c r="G584" s="23">
        <v>2.41</v>
      </c>
      <c r="H584" s="20">
        <v>6.71</v>
      </c>
      <c r="I584" s="25">
        <v>13.113604488078535</v>
      </c>
      <c r="J584" s="24">
        <f>G584/F584*((100-H584)/100)*((100-I584)/100)*100</f>
        <v>32.88648607392296</v>
      </c>
      <c r="K584" s="53">
        <v>5.8548585485854856</v>
      </c>
      <c r="L584" s="54">
        <f>J584*10000/K584</f>
        <v>56169.565500208751</v>
      </c>
      <c r="M584" s="55">
        <v>50.6</v>
      </c>
      <c r="N584" s="55">
        <v>20.2</v>
      </c>
      <c r="O584" s="56">
        <v>35.283000000000001</v>
      </c>
      <c r="P584" s="55">
        <v>57.3</v>
      </c>
      <c r="Q584" s="17" t="s">
        <v>424</v>
      </c>
      <c r="R584" s="17" t="s">
        <v>424</v>
      </c>
      <c r="S584" s="17" t="s">
        <v>424</v>
      </c>
      <c r="T584" s="17" t="s">
        <v>424</v>
      </c>
      <c r="U584" s="17" t="s">
        <v>424</v>
      </c>
      <c r="V584" s="17" t="s">
        <v>424</v>
      </c>
      <c r="W584" s="17" t="s">
        <v>424</v>
      </c>
    </row>
    <row r="585" spans="1:23" x14ac:dyDescent="0.25">
      <c r="A585" s="19" t="s">
        <v>512</v>
      </c>
      <c r="B585" s="20" t="s">
        <v>7</v>
      </c>
      <c r="C585" s="20" t="s">
        <v>427</v>
      </c>
      <c r="D585" s="18" t="s">
        <v>292</v>
      </c>
      <c r="E585" s="18" t="s">
        <v>1602</v>
      </c>
      <c r="F585" s="18">
        <v>5.94</v>
      </c>
      <c r="G585" s="23">
        <v>2.2400000000000002</v>
      </c>
      <c r="H585" s="20">
        <v>6.71</v>
      </c>
      <c r="I585" s="25">
        <v>12.656525758467088</v>
      </c>
      <c r="J585" s="24">
        <f>G585/F585*((100-H585)/100)*((100-I585)/100)*100</f>
        <v>30.727493055325656</v>
      </c>
      <c r="K585" s="53">
        <v>4.3704379562043796</v>
      </c>
      <c r="L585" s="54">
        <f>J585*10000/K585</f>
        <v>70307.583274816105</v>
      </c>
      <c r="M585" s="55">
        <v>52.3</v>
      </c>
      <c r="N585" s="55">
        <v>19.7</v>
      </c>
      <c r="O585" s="56">
        <v>28.474</v>
      </c>
      <c r="P585" s="55">
        <v>22</v>
      </c>
      <c r="Q585" s="17" t="s">
        <v>424</v>
      </c>
      <c r="R585" s="17" t="s">
        <v>424</v>
      </c>
      <c r="S585" s="17" t="s">
        <v>424</v>
      </c>
      <c r="T585" s="17" t="s">
        <v>424</v>
      </c>
      <c r="U585" s="17" t="s">
        <v>424</v>
      </c>
      <c r="V585" s="17" t="s">
        <v>424</v>
      </c>
      <c r="W585" s="17" t="s">
        <v>424</v>
      </c>
    </row>
    <row r="586" spans="1:23" x14ac:dyDescent="0.25">
      <c r="A586" s="19" t="s">
        <v>511</v>
      </c>
      <c r="B586" s="20" t="s">
        <v>7</v>
      </c>
      <c r="C586" s="20" t="s">
        <v>427</v>
      </c>
      <c r="D586" s="18" t="s">
        <v>63</v>
      </c>
      <c r="E586" s="18" t="s">
        <v>1462</v>
      </c>
      <c r="F586" s="18">
        <v>5.94</v>
      </c>
      <c r="G586" s="23">
        <v>1.2</v>
      </c>
      <c r="H586" s="20">
        <v>6.71</v>
      </c>
      <c r="I586" s="25">
        <v>20.030264415418927</v>
      </c>
      <c r="J586" s="24">
        <f>G586/F586*((100-H586)/100)*((100-I586)/100)*100</f>
        <v>15.071467944819329</v>
      </c>
      <c r="K586" s="53">
        <v>5.2017448200654304</v>
      </c>
      <c r="L586" s="54">
        <f>J586*10000/K586</f>
        <v>28973.870241927307</v>
      </c>
      <c r="M586" s="55">
        <v>50</v>
      </c>
      <c r="N586" s="55">
        <v>22.2</v>
      </c>
      <c r="O586" s="56">
        <v>49.192999999999998</v>
      </c>
      <c r="P586" s="55">
        <v>73.7</v>
      </c>
      <c r="Q586" s="17" t="s">
        <v>424</v>
      </c>
      <c r="R586" s="17" t="s">
        <v>424</v>
      </c>
      <c r="S586" s="17" t="s">
        <v>424</v>
      </c>
      <c r="T586" s="17" t="s">
        <v>424</v>
      </c>
      <c r="U586" s="17" t="s">
        <v>424</v>
      </c>
      <c r="V586" s="17" t="s">
        <v>424</v>
      </c>
      <c r="W586" s="17" t="s">
        <v>424</v>
      </c>
    </row>
    <row r="587" spans="1:23" x14ac:dyDescent="0.25">
      <c r="A587" s="19" t="s">
        <v>301</v>
      </c>
      <c r="B587" s="20" t="s">
        <v>7</v>
      </c>
      <c r="C587" s="20" t="s">
        <v>13</v>
      </c>
      <c r="D587" s="18" t="s">
        <v>27</v>
      </c>
      <c r="E587" s="18" t="s">
        <v>1586</v>
      </c>
      <c r="F587" s="18">
        <v>5.94</v>
      </c>
      <c r="G587" s="23">
        <v>2.34</v>
      </c>
      <c r="H587" s="17">
        <v>6.92</v>
      </c>
      <c r="I587" s="25">
        <v>8.0055637122324406</v>
      </c>
      <c r="J587" s="24">
        <f>G587/F587*((100-H587)/100)*((100-I587)/100)*100</f>
        <v>33.732408389590972</v>
      </c>
      <c r="K587" s="53">
        <v>5.037513397642015</v>
      </c>
      <c r="L587" s="54">
        <f>J587*10000/K587</f>
        <v>66962.419207422077</v>
      </c>
      <c r="M587" s="55">
        <v>51</v>
      </c>
      <c r="N587" s="55">
        <v>18.8</v>
      </c>
      <c r="O587" s="56">
        <v>2.0347</v>
      </c>
      <c r="P587" s="55">
        <v>18.5</v>
      </c>
      <c r="Q587" s="17" t="s">
        <v>424</v>
      </c>
      <c r="R587" s="17" t="s">
        <v>424</v>
      </c>
      <c r="S587" s="17" t="s">
        <v>424</v>
      </c>
      <c r="T587" s="17" t="s">
        <v>424</v>
      </c>
      <c r="U587" s="17" t="s">
        <v>424</v>
      </c>
      <c r="V587" s="17" t="s">
        <v>424</v>
      </c>
      <c r="W587" s="17" t="s">
        <v>424</v>
      </c>
    </row>
    <row r="588" spans="1:23" x14ac:dyDescent="0.25">
      <c r="A588" s="19" t="s">
        <v>302</v>
      </c>
      <c r="B588" s="20" t="s">
        <v>7</v>
      </c>
      <c r="C588" s="20" t="s">
        <v>13</v>
      </c>
      <c r="D588" s="18" t="s">
        <v>188</v>
      </c>
      <c r="E588" s="18" t="s">
        <v>1644</v>
      </c>
      <c r="F588" s="18">
        <v>5.94</v>
      </c>
      <c r="G588" s="23">
        <v>2.12</v>
      </c>
      <c r="H588" s="17">
        <v>6.92</v>
      </c>
      <c r="I588" s="25">
        <v>8.7375692704774863</v>
      </c>
      <c r="J588" s="24">
        <f>G588/F588*((100-H588)/100)*((100-I588)/100)*100</f>
        <v>30.317809681623547</v>
      </c>
      <c r="K588" s="53">
        <v>4.7029702970297027</v>
      </c>
      <c r="L588" s="54">
        <f>J588*10000/K588</f>
        <v>64465.237428294276</v>
      </c>
      <c r="M588" s="55">
        <v>53.1</v>
      </c>
      <c r="N588" s="55">
        <v>17.899999999999999</v>
      </c>
      <c r="O588" s="56">
        <v>4.3766999999999996</v>
      </c>
      <c r="P588" s="55">
        <v>8.3000000000000007</v>
      </c>
      <c r="Q588" s="17" t="s">
        <v>424</v>
      </c>
      <c r="R588" s="17" t="s">
        <v>424</v>
      </c>
      <c r="S588" s="17" t="s">
        <v>424</v>
      </c>
      <c r="T588" s="17" t="s">
        <v>424</v>
      </c>
      <c r="U588" s="17" t="s">
        <v>424</v>
      </c>
      <c r="V588" s="17" t="s">
        <v>424</v>
      </c>
      <c r="W588" s="17" t="s">
        <v>424</v>
      </c>
    </row>
    <row r="589" spans="1:23" x14ac:dyDescent="0.25">
      <c r="A589" s="19" t="s">
        <v>303</v>
      </c>
      <c r="B589" s="20" t="s">
        <v>7</v>
      </c>
      <c r="C589" s="20" t="s">
        <v>13</v>
      </c>
      <c r="D589" s="18" t="s">
        <v>33</v>
      </c>
      <c r="E589" s="18" t="s">
        <v>1732</v>
      </c>
      <c r="F589" s="18">
        <v>5.94</v>
      </c>
      <c r="G589" s="23">
        <v>2.25</v>
      </c>
      <c r="H589" s="17">
        <v>6.92</v>
      </c>
      <c r="I589" s="25">
        <v>10.178859292239197</v>
      </c>
      <c r="J589" s="24">
        <f>G589/F589*((100-H589)/100)*((100-I589)/100)*100</f>
        <v>31.66875673135748</v>
      </c>
      <c r="K589" s="53">
        <v>4.340309372156506</v>
      </c>
      <c r="L589" s="54">
        <f>J589*10000/K589</f>
        <v>72964.284376859257</v>
      </c>
      <c r="M589" s="55">
        <v>47.7</v>
      </c>
      <c r="N589" s="55">
        <v>19.7</v>
      </c>
      <c r="O589" s="56">
        <v>1.8577999999999999</v>
      </c>
      <c r="P589" s="55">
        <v>15</v>
      </c>
      <c r="Q589" s="17" t="s">
        <v>424</v>
      </c>
      <c r="R589" s="17" t="s">
        <v>424</v>
      </c>
      <c r="S589" s="17" t="s">
        <v>424</v>
      </c>
      <c r="T589" s="17" t="s">
        <v>424</v>
      </c>
      <c r="U589" s="17" t="s">
        <v>424</v>
      </c>
      <c r="V589" s="17" t="s">
        <v>424</v>
      </c>
      <c r="W589" s="17" t="s">
        <v>424</v>
      </c>
    </row>
    <row r="590" spans="1:23" x14ac:dyDescent="0.25">
      <c r="A590" s="19" t="s">
        <v>304</v>
      </c>
      <c r="B590" s="20" t="s">
        <v>7</v>
      </c>
      <c r="C590" s="20" t="s">
        <v>13</v>
      </c>
      <c r="D590" s="18" t="s">
        <v>248</v>
      </c>
      <c r="E590" s="18" t="s">
        <v>1816</v>
      </c>
      <c r="F590" s="18">
        <v>5.94</v>
      </c>
      <c r="G590" s="23">
        <v>2.6</v>
      </c>
      <c r="H590" s="17">
        <v>6.92</v>
      </c>
      <c r="I590" s="25">
        <v>14.388765252091167</v>
      </c>
      <c r="J590" s="24">
        <f>G590/F590*((100-H590)/100)*((100-I590)/100)*100</f>
        <v>34.879804206855084</v>
      </c>
      <c r="K590" s="53">
        <v>4.6449704142011834</v>
      </c>
      <c r="L590" s="54">
        <f>J590*10000/K590</f>
        <v>75091.553005840877</v>
      </c>
      <c r="M590" s="55">
        <v>49.7</v>
      </c>
      <c r="N590" s="55">
        <v>18.2</v>
      </c>
      <c r="O590" s="56">
        <v>2.2517999999999998</v>
      </c>
      <c r="P590" s="55">
        <v>17</v>
      </c>
      <c r="Q590" s="17" t="s">
        <v>424</v>
      </c>
      <c r="R590" s="17" t="s">
        <v>424</v>
      </c>
      <c r="S590" s="17" t="s">
        <v>424</v>
      </c>
      <c r="T590" s="17" t="s">
        <v>424</v>
      </c>
      <c r="U590" s="17" t="s">
        <v>424</v>
      </c>
      <c r="V590" s="17" t="s">
        <v>424</v>
      </c>
      <c r="W590" s="17" t="s">
        <v>424</v>
      </c>
    </row>
    <row r="591" spans="1:23" x14ac:dyDescent="0.25">
      <c r="A591" s="19" t="s">
        <v>305</v>
      </c>
      <c r="B591" s="20" t="s">
        <v>7</v>
      </c>
      <c r="C591" s="20" t="s">
        <v>13</v>
      </c>
      <c r="D591" s="18" t="s">
        <v>98</v>
      </c>
      <c r="E591" s="18" t="s">
        <v>1626</v>
      </c>
      <c r="F591" s="18">
        <v>5.94</v>
      </c>
      <c r="G591" s="23">
        <v>2.2799999999999998</v>
      </c>
      <c r="H591" s="17">
        <v>6.92</v>
      </c>
      <c r="I591" s="25">
        <v>11.579754601227</v>
      </c>
      <c r="J591" s="24">
        <f>G591/F591*((100-H591)/100)*((100-I591)/100)*100</f>
        <v>31.590499473260198</v>
      </c>
      <c r="K591" s="53">
        <v>5.7997557997557996</v>
      </c>
      <c r="L591" s="54">
        <f>J591*10000/K591</f>
        <v>54468.671723368636</v>
      </c>
      <c r="M591" s="55">
        <v>49.9</v>
      </c>
      <c r="N591" s="55">
        <v>21.3</v>
      </c>
      <c r="O591" s="56">
        <v>3.7014999999999998</v>
      </c>
      <c r="P591" s="55">
        <v>17.600000000000001</v>
      </c>
      <c r="Q591" s="17" t="s">
        <v>424</v>
      </c>
      <c r="R591" s="17" t="s">
        <v>424</v>
      </c>
      <c r="S591" s="17" t="s">
        <v>424</v>
      </c>
      <c r="T591" s="17" t="s">
        <v>424</v>
      </c>
      <c r="U591" s="17" t="s">
        <v>424</v>
      </c>
      <c r="V591" s="17" t="s">
        <v>424</v>
      </c>
      <c r="W591" s="17" t="s">
        <v>424</v>
      </c>
    </row>
    <row r="592" spans="1:23" x14ac:dyDescent="0.25">
      <c r="A592" s="19" t="s">
        <v>306</v>
      </c>
      <c r="B592" s="20" t="s">
        <v>7</v>
      </c>
      <c r="C592" s="20" t="s">
        <v>13</v>
      </c>
      <c r="D592" s="18" t="s">
        <v>99</v>
      </c>
      <c r="E592" s="18" t="s">
        <v>1646</v>
      </c>
      <c r="F592" s="18">
        <v>5.94</v>
      </c>
      <c r="G592" s="23">
        <v>1.87</v>
      </c>
      <c r="H592" s="17">
        <v>6.92</v>
      </c>
      <c r="I592" s="25">
        <v>10.333486308704302</v>
      </c>
      <c r="J592" s="24">
        <f>G592/F592*((100-H592)/100)*((100-I592)/100)*100</f>
        <v>26.274945297140494</v>
      </c>
      <c r="K592" s="53">
        <v>5.3001132502831254</v>
      </c>
      <c r="L592" s="54">
        <f>J592*10000/K592</f>
        <v>49574.309182425335</v>
      </c>
      <c r="M592" s="55">
        <v>48.5</v>
      </c>
      <c r="N592" s="55">
        <v>20.399999999999999</v>
      </c>
      <c r="O592" s="56">
        <v>2.6236999999999999</v>
      </c>
      <c r="P592" s="55">
        <v>23.8</v>
      </c>
      <c r="Q592" s="17" t="s">
        <v>424</v>
      </c>
      <c r="R592" s="17" t="s">
        <v>424</v>
      </c>
      <c r="S592" s="17" t="s">
        <v>424</v>
      </c>
      <c r="T592" s="17" t="s">
        <v>424</v>
      </c>
      <c r="U592" s="17" t="s">
        <v>424</v>
      </c>
      <c r="V592" s="17" t="s">
        <v>424</v>
      </c>
      <c r="W592" s="17" t="s">
        <v>424</v>
      </c>
    </row>
    <row r="593" spans="1:23" x14ac:dyDescent="0.25">
      <c r="A593" s="19" t="s">
        <v>522</v>
      </c>
      <c r="B593" s="20" t="s">
        <v>7</v>
      </c>
      <c r="C593" s="20" t="s">
        <v>427</v>
      </c>
      <c r="D593" s="18" t="s">
        <v>52</v>
      </c>
      <c r="E593" s="18" t="s">
        <v>1576</v>
      </c>
      <c r="F593" s="18">
        <v>5.94</v>
      </c>
      <c r="G593" s="23">
        <v>2.16</v>
      </c>
      <c r="H593" s="20">
        <v>6.71</v>
      </c>
      <c r="I593" s="25">
        <v>9.1174213353798983</v>
      </c>
      <c r="J593" s="24">
        <f>G593/F593*((100-H593)/100)*((100-I593)/100)*100</f>
        <v>30.830675504081491</v>
      </c>
      <c r="K593" s="53">
        <v>5.7142857142857144</v>
      </c>
      <c r="L593" s="54">
        <f>J593*10000/K593</f>
        <v>53953.68213214261</v>
      </c>
      <c r="M593" s="55">
        <v>48.8</v>
      </c>
      <c r="N593" s="55">
        <v>21.2</v>
      </c>
      <c r="O593" s="56">
        <v>8.7714999999999996</v>
      </c>
      <c r="P593" s="55">
        <v>25.6</v>
      </c>
      <c r="Q593" s="17" t="s">
        <v>424</v>
      </c>
      <c r="R593" s="17" t="s">
        <v>424</v>
      </c>
      <c r="S593" s="17" t="s">
        <v>424</v>
      </c>
      <c r="T593" s="17" t="s">
        <v>424</v>
      </c>
      <c r="U593" s="17" t="s">
        <v>424</v>
      </c>
      <c r="V593" s="17" t="s">
        <v>424</v>
      </c>
      <c r="W593" s="17" t="s">
        <v>424</v>
      </c>
    </row>
    <row r="594" spans="1:23" x14ac:dyDescent="0.25">
      <c r="A594" s="19" t="s">
        <v>521</v>
      </c>
      <c r="B594" s="20" t="s">
        <v>7</v>
      </c>
      <c r="C594" s="20" t="s">
        <v>427</v>
      </c>
      <c r="D594" s="18" t="s">
        <v>22</v>
      </c>
      <c r="E594" s="18" t="s">
        <v>1812</v>
      </c>
      <c r="F594" s="18">
        <v>5.94</v>
      </c>
      <c r="G594" s="23">
        <v>2.34</v>
      </c>
      <c r="H594" s="20">
        <v>6.71</v>
      </c>
      <c r="I594" s="25">
        <v>8.0541532813217191</v>
      </c>
      <c r="J594" s="24">
        <f>G594/F594*((100-H594)/100)*((100-I594)/100)*100</f>
        <v>33.79065591667014</v>
      </c>
      <c r="K594" s="53">
        <v>6.1607142857142856</v>
      </c>
      <c r="L594" s="54">
        <f>J594*10000/K594</f>
        <v>54848.600908218199</v>
      </c>
      <c r="M594" s="55">
        <v>52</v>
      </c>
      <c r="N594" s="55">
        <v>18.2</v>
      </c>
      <c r="O594" s="56">
        <v>5.3715999999999999</v>
      </c>
      <c r="P594" s="55">
        <v>22.4</v>
      </c>
      <c r="Q594" s="17" t="s">
        <v>424</v>
      </c>
      <c r="R594" s="17" t="s">
        <v>424</v>
      </c>
      <c r="S594" s="17" t="s">
        <v>424</v>
      </c>
      <c r="T594" s="17" t="s">
        <v>424</v>
      </c>
      <c r="U594" s="17" t="s">
        <v>424</v>
      </c>
      <c r="V594" s="17" t="s">
        <v>424</v>
      </c>
      <c r="W594" s="17" t="s">
        <v>424</v>
      </c>
    </row>
    <row r="595" spans="1:23" x14ac:dyDescent="0.25">
      <c r="A595" s="19" t="s">
        <v>520</v>
      </c>
      <c r="B595" s="20" t="s">
        <v>7</v>
      </c>
      <c r="C595" s="20" t="s">
        <v>427</v>
      </c>
      <c r="D595" s="18" t="s">
        <v>91</v>
      </c>
      <c r="E595" s="18" t="s">
        <v>1498</v>
      </c>
      <c r="F595" s="18">
        <v>5.94</v>
      </c>
      <c r="G595" s="23">
        <v>2.37</v>
      </c>
      <c r="H595" s="20">
        <v>6.71</v>
      </c>
      <c r="I595" s="25">
        <v>7.9373608658939157</v>
      </c>
      <c r="J595" s="24">
        <f>G595/F595*((100-H595)/100)*((100-I595)/100)*100</f>
        <v>34.267341655597974</v>
      </c>
      <c r="K595" s="53">
        <v>5.507075471698113</v>
      </c>
      <c r="L595" s="54">
        <f>J595*10000/K595</f>
        <v>62224.209258987335</v>
      </c>
      <c r="M595" s="55">
        <v>55.8</v>
      </c>
      <c r="N595" s="55">
        <v>19.100000000000001</v>
      </c>
      <c r="O595" s="56">
        <v>46.01</v>
      </c>
      <c r="P595" s="55">
        <v>15.8</v>
      </c>
      <c r="Q595" s="17" t="s">
        <v>424</v>
      </c>
      <c r="R595" s="17" t="s">
        <v>424</v>
      </c>
      <c r="S595" s="17" t="s">
        <v>424</v>
      </c>
      <c r="T595" s="17" t="s">
        <v>424</v>
      </c>
      <c r="U595" s="17" t="s">
        <v>424</v>
      </c>
      <c r="V595" s="17" t="s">
        <v>424</v>
      </c>
      <c r="W595" s="17" t="s">
        <v>424</v>
      </c>
    </row>
    <row r="596" spans="1:23" x14ac:dyDescent="0.25">
      <c r="A596" s="19" t="s">
        <v>519</v>
      </c>
      <c r="B596" s="20" t="s">
        <v>7</v>
      </c>
      <c r="C596" s="20" t="s">
        <v>427</v>
      </c>
      <c r="D596" s="18" t="s">
        <v>233</v>
      </c>
      <c r="E596" s="18" t="s">
        <v>1694</v>
      </c>
      <c r="F596" s="18">
        <v>5.94</v>
      </c>
      <c r="G596" s="23">
        <v>2.1</v>
      </c>
      <c r="H596" s="20">
        <v>6.71</v>
      </c>
      <c r="I596" s="25">
        <v>12.397075798383984</v>
      </c>
      <c r="J596" s="24">
        <f>G596/F596*((100-H596)/100)*((100-I596)/100)*100</f>
        <v>28.892594743121876</v>
      </c>
      <c r="K596" s="53">
        <v>4.6653919694072661</v>
      </c>
      <c r="L596" s="54">
        <f>J596*10000/K596</f>
        <v>61929.61906005221</v>
      </c>
      <c r="M596" s="55">
        <v>47.7</v>
      </c>
      <c r="N596" s="55">
        <v>22.4</v>
      </c>
      <c r="O596" s="56">
        <v>47.448</v>
      </c>
      <c r="P596" s="55">
        <v>67.900000000000006</v>
      </c>
      <c r="Q596" s="17" t="s">
        <v>424</v>
      </c>
      <c r="R596" s="17" t="s">
        <v>424</v>
      </c>
      <c r="S596" s="17" t="s">
        <v>424</v>
      </c>
      <c r="T596" s="17" t="s">
        <v>424</v>
      </c>
      <c r="U596" s="17" t="s">
        <v>424</v>
      </c>
      <c r="V596" s="17" t="s">
        <v>424</v>
      </c>
      <c r="W596" s="17" t="s">
        <v>424</v>
      </c>
    </row>
    <row r="597" spans="1:23" x14ac:dyDescent="0.25">
      <c r="A597" s="19" t="s">
        <v>518</v>
      </c>
      <c r="B597" s="20" t="s">
        <v>7</v>
      </c>
      <c r="C597" s="20" t="s">
        <v>427</v>
      </c>
      <c r="D597" s="18" t="s">
        <v>39</v>
      </c>
      <c r="E597" s="18" t="s">
        <v>1574</v>
      </c>
      <c r="F597" s="18">
        <v>5.94</v>
      </c>
      <c r="G597" s="23">
        <v>2.0699999999999998</v>
      </c>
      <c r="H597" s="20">
        <v>6.71</v>
      </c>
      <c r="I597" s="25">
        <v>10.609324511463296</v>
      </c>
      <c r="J597" s="24">
        <f>G597/F597*((100-H597)/100)*((100-I597)/100)*100</f>
        <v>29.061044041740686</v>
      </c>
      <c r="K597" s="53">
        <v>5.0153217568947905</v>
      </c>
      <c r="L597" s="54">
        <f>J597*10000/K597</f>
        <v>57944.525696260956</v>
      </c>
      <c r="M597" s="55">
        <v>49.2</v>
      </c>
      <c r="N597" s="55">
        <v>19.399999999999999</v>
      </c>
      <c r="O597" s="56">
        <v>4.0416999999999996</v>
      </c>
      <c r="P597" s="55">
        <v>15.6</v>
      </c>
      <c r="Q597" s="17" t="s">
        <v>424</v>
      </c>
      <c r="R597" s="17" t="s">
        <v>424</v>
      </c>
      <c r="S597" s="17" t="s">
        <v>424</v>
      </c>
      <c r="T597" s="17" t="s">
        <v>424</v>
      </c>
      <c r="U597" s="17" t="s">
        <v>424</v>
      </c>
      <c r="V597" s="17" t="s">
        <v>424</v>
      </c>
      <c r="W597" s="17" t="s">
        <v>424</v>
      </c>
    </row>
    <row r="598" spans="1:23" x14ac:dyDescent="0.25">
      <c r="A598" s="19" t="s">
        <v>517</v>
      </c>
      <c r="B598" s="20" t="s">
        <v>7</v>
      </c>
      <c r="C598" s="20" t="s">
        <v>427</v>
      </c>
      <c r="D598" s="18" t="s">
        <v>172</v>
      </c>
      <c r="E598" s="18" t="s">
        <v>1476</v>
      </c>
      <c r="F598" s="18">
        <v>5.94</v>
      </c>
      <c r="G598" s="23">
        <v>1.29</v>
      </c>
      <c r="H598" s="20">
        <v>6.71</v>
      </c>
      <c r="I598" s="25">
        <v>18.415826458906192</v>
      </c>
      <c r="J598" s="24">
        <f>G598/F598*((100-H598)/100)*((100-I598)/100)*100</f>
        <v>16.528912355297553</v>
      </c>
      <c r="K598" s="53">
        <v>4.0416305290546397</v>
      </c>
      <c r="L598" s="54">
        <f>J598*10000/K598</f>
        <v>40896.643660210473</v>
      </c>
      <c r="M598" s="55">
        <v>48.1</v>
      </c>
      <c r="N598" s="55">
        <v>24.4</v>
      </c>
      <c r="O598" s="56">
        <v>40.777999999999999</v>
      </c>
      <c r="P598" s="55">
        <v>61.2</v>
      </c>
      <c r="Q598" s="17" t="s">
        <v>424</v>
      </c>
      <c r="R598" s="17" t="s">
        <v>424</v>
      </c>
      <c r="S598" s="17" t="s">
        <v>424</v>
      </c>
      <c r="T598" s="17" t="s">
        <v>424</v>
      </c>
      <c r="U598" s="17" t="s">
        <v>424</v>
      </c>
      <c r="V598" s="17" t="s">
        <v>424</v>
      </c>
      <c r="W598" s="17" t="s">
        <v>424</v>
      </c>
    </row>
    <row r="599" spans="1:23" x14ac:dyDescent="0.25">
      <c r="A599" s="19" t="s">
        <v>307</v>
      </c>
      <c r="B599" s="20" t="s">
        <v>7</v>
      </c>
      <c r="C599" s="20" t="s">
        <v>13</v>
      </c>
      <c r="D599" s="18" t="s">
        <v>32</v>
      </c>
      <c r="E599" s="18" t="s">
        <v>1810</v>
      </c>
      <c r="F599" s="18">
        <v>5.94</v>
      </c>
      <c r="G599" s="23">
        <v>3.22</v>
      </c>
      <c r="H599" s="17">
        <v>6.92</v>
      </c>
      <c r="I599" s="25">
        <v>10.167001700943253</v>
      </c>
      <c r="J599" s="24">
        <f>G599/F599*((100-H599)/100)*((100-I599)/100)*100</f>
        <v>45.327492678446752</v>
      </c>
      <c r="K599" s="53">
        <v>4.4070961718020545</v>
      </c>
      <c r="L599" s="54">
        <f>J599*10000/K599</f>
        <v>102851.15393774676</v>
      </c>
      <c r="M599" s="55">
        <v>49.9</v>
      </c>
      <c r="N599" s="55">
        <v>17.600000000000001</v>
      </c>
      <c r="O599" s="56">
        <v>3.9369000000000001</v>
      </c>
      <c r="P599" s="55">
        <v>16.899999999999999</v>
      </c>
      <c r="Q599" s="17" t="s">
        <v>424</v>
      </c>
      <c r="R599" s="17" t="s">
        <v>424</v>
      </c>
      <c r="S599" s="17" t="s">
        <v>424</v>
      </c>
      <c r="T599" s="17" t="s">
        <v>424</v>
      </c>
      <c r="U599" s="17" t="s">
        <v>424</v>
      </c>
      <c r="V599" s="17" t="s">
        <v>424</v>
      </c>
      <c r="W599" s="17" t="s">
        <v>424</v>
      </c>
    </row>
    <row r="600" spans="1:23" x14ac:dyDescent="0.25">
      <c r="A600" s="19" t="s">
        <v>308</v>
      </c>
      <c r="B600" s="20" t="s">
        <v>7</v>
      </c>
      <c r="C600" s="20" t="s">
        <v>13</v>
      </c>
      <c r="D600" s="18" t="s">
        <v>203</v>
      </c>
      <c r="E600" s="18" t="s">
        <v>1464</v>
      </c>
      <c r="F600" s="18">
        <v>5.94</v>
      </c>
      <c r="G600" s="23">
        <v>2.0099999999999998</v>
      </c>
      <c r="H600" s="17">
        <v>6.92</v>
      </c>
      <c r="I600" s="25">
        <v>8.1691861352878217</v>
      </c>
      <c r="J600" s="24">
        <f>G600/F600*((100-H600)/100)*((100-I600)/100)*100</f>
        <v>28.923738098653352</v>
      </c>
      <c r="K600" s="53">
        <v>4.9635036496350367</v>
      </c>
      <c r="L600" s="54">
        <f>J600*10000/K600</f>
        <v>58272.825286992782</v>
      </c>
      <c r="M600" s="55">
        <v>48.9</v>
      </c>
      <c r="N600" s="55">
        <v>20.5</v>
      </c>
      <c r="O600" s="56">
        <v>45.905000000000001</v>
      </c>
      <c r="P600" s="55">
        <v>56.4</v>
      </c>
      <c r="Q600" s="17" t="s">
        <v>424</v>
      </c>
      <c r="R600" s="17" t="s">
        <v>424</v>
      </c>
      <c r="S600" s="17" t="s">
        <v>424</v>
      </c>
      <c r="T600" s="17" t="s">
        <v>424</v>
      </c>
      <c r="U600" s="17" t="s">
        <v>424</v>
      </c>
      <c r="V600" s="17" t="s">
        <v>424</v>
      </c>
      <c r="W600" s="17" t="s">
        <v>424</v>
      </c>
    </row>
    <row r="601" spans="1:23" x14ac:dyDescent="0.25">
      <c r="A601" s="19" t="s">
        <v>309</v>
      </c>
      <c r="B601" s="20" t="s">
        <v>7</v>
      </c>
      <c r="C601" s="20" t="s">
        <v>13</v>
      </c>
      <c r="D601" s="18" t="s">
        <v>35</v>
      </c>
      <c r="E601" s="18" t="s">
        <v>1662</v>
      </c>
      <c r="F601" s="18">
        <v>5.94</v>
      </c>
      <c r="G601" s="23">
        <v>2.5299999999999998</v>
      </c>
      <c r="H601" s="17">
        <v>6.92</v>
      </c>
      <c r="I601" s="25">
        <v>6.7756473913375537</v>
      </c>
      <c r="J601" s="24">
        <f>G601/F601*((100-H601)/100)*((100-I601)/100)*100</f>
        <v>36.958967229394233</v>
      </c>
      <c r="K601" s="53">
        <v>5.5621301775147929</v>
      </c>
      <c r="L601" s="54">
        <f>J601*10000/K601</f>
        <v>66447.504912421544</v>
      </c>
      <c r="M601" s="55">
        <v>50.4</v>
      </c>
      <c r="N601" s="55">
        <v>16.899999999999999</v>
      </c>
      <c r="O601" s="56">
        <v>1.2847</v>
      </c>
      <c r="P601" s="55">
        <v>9.6999999999999993</v>
      </c>
      <c r="Q601" s="17" t="s">
        <v>424</v>
      </c>
      <c r="R601" s="17" t="s">
        <v>424</v>
      </c>
      <c r="S601" s="17" t="s">
        <v>424</v>
      </c>
      <c r="T601" s="17" t="s">
        <v>424</v>
      </c>
      <c r="U601" s="17" t="s">
        <v>424</v>
      </c>
      <c r="V601" s="17" t="s">
        <v>424</v>
      </c>
      <c r="W601" s="17" t="s">
        <v>424</v>
      </c>
    </row>
    <row r="602" spans="1:23" x14ac:dyDescent="0.25">
      <c r="A602" s="19" t="s">
        <v>310</v>
      </c>
      <c r="B602" s="20" t="s">
        <v>7</v>
      </c>
      <c r="C602" s="20" t="s">
        <v>13</v>
      </c>
      <c r="D602" s="18" t="s">
        <v>60</v>
      </c>
      <c r="E602" s="18" t="s">
        <v>1776</v>
      </c>
      <c r="F602" s="18">
        <v>5.94</v>
      </c>
      <c r="G602" s="23">
        <v>3.15</v>
      </c>
      <c r="H602" s="17">
        <v>6.92</v>
      </c>
      <c r="I602" s="25">
        <v>13.566874087731415</v>
      </c>
      <c r="J602" s="24">
        <f>G602/F602*((100-H602)/100)*((100-I602)/100)*100</f>
        <v>42.663914787422506</v>
      </c>
      <c r="K602" s="53">
        <v>5.8446362515413073</v>
      </c>
      <c r="L602" s="54">
        <f>J602*10000/K602</f>
        <v>72996.698085653275</v>
      </c>
      <c r="M602" s="55">
        <v>51.2</v>
      </c>
      <c r="N602" s="55">
        <v>17.8</v>
      </c>
      <c r="O602" s="56">
        <v>1.7892999999999999</v>
      </c>
      <c r="P602" s="55">
        <v>11.2</v>
      </c>
      <c r="Q602" s="17" t="s">
        <v>424</v>
      </c>
      <c r="R602" s="17" t="s">
        <v>424</v>
      </c>
      <c r="S602" s="17" t="s">
        <v>424</v>
      </c>
      <c r="T602" s="17" t="s">
        <v>424</v>
      </c>
      <c r="U602" s="17" t="s">
        <v>424</v>
      </c>
      <c r="V602" s="17" t="s">
        <v>424</v>
      </c>
      <c r="W602" s="17" t="s">
        <v>424</v>
      </c>
    </row>
    <row r="603" spans="1:23" x14ac:dyDescent="0.25">
      <c r="A603" s="19" t="s">
        <v>311</v>
      </c>
      <c r="B603" s="20" t="s">
        <v>7</v>
      </c>
      <c r="C603" s="20" t="s">
        <v>13</v>
      </c>
      <c r="D603" s="18" t="s">
        <v>278</v>
      </c>
      <c r="E603" s="18" t="s">
        <v>1596</v>
      </c>
      <c r="F603" s="18">
        <v>5.94</v>
      </c>
      <c r="G603" s="23">
        <v>2.63</v>
      </c>
      <c r="H603" s="17">
        <v>6.92</v>
      </c>
      <c r="I603" s="25">
        <v>15.426497277676953</v>
      </c>
      <c r="J603" s="24">
        <f>G603/F603*((100-H603)/100)*((100-I603)/100)*100</f>
        <v>34.854591407114086</v>
      </c>
      <c r="K603" s="53">
        <v>4.1791044776119399</v>
      </c>
      <c r="L603" s="54">
        <f>J603*10000/K603</f>
        <v>83402.058009880144</v>
      </c>
      <c r="M603" s="55">
        <v>50.9</v>
      </c>
      <c r="N603" s="55">
        <v>17.3</v>
      </c>
      <c r="O603" s="56">
        <v>3.8893</v>
      </c>
      <c r="P603" s="55">
        <v>17.899999999999999</v>
      </c>
      <c r="Q603" s="17" t="s">
        <v>424</v>
      </c>
      <c r="R603" s="17" t="s">
        <v>424</v>
      </c>
      <c r="S603" s="17" t="s">
        <v>424</v>
      </c>
      <c r="T603" s="17" t="s">
        <v>424</v>
      </c>
      <c r="U603" s="17" t="s">
        <v>424</v>
      </c>
      <c r="V603" s="17" t="s">
        <v>424</v>
      </c>
      <c r="W603" s="17" t="s">
        <v>424</v>
      </c>
    </row>
    <row r="604" spans="1:23" x14ac:dyDescent="0.25">
      <c r="A604" s="19" t="s">
        <v>312</v>
      </c>
      <c r="B604" s="20" t="s">
        <v>7</v>
      </c>
      <c r="C604" s="20" t="s">
        <v>13</v>
      </c>
      <c r="D604" s="18" t="s">
        <v>80</v>
      </c>
      <c r="E604" s="18" t="s">
        <v>1718</v>
      </c>
      <c r="F604" s="18">
        <v>5.94</v>
      </c>
      <c r="G604" s="23">
        <v>2.93</v>
      </c>
      <c r="H604" s="17">
        <v>6.92</v>
      </c>
      <c r="I604" s="25">
        <v>13.346567916316717</v>
      </c>
      <c r="J604" s="24">
        <f>G604/F604*((100-H604)/100)*((100-I604)/100)*100</f>
        <v>39.785362412396083</v>
      </c>
      <c r="K604" s="53">
        <v>4.7585513078470827</v>
      </c>
      <c r="L604" s="54">
        <f>J604*10000/K604</f>
        <v>83608.140037889447</v>
      </c>
      <c r="M604" s="55">
        <v>51</v>
      </c>
      <c r="N604" s="55">
        <v>18.399999999999999</v>
      </c>
      <c r="O604" s="56">
        <v>2.5103</v>
      </c>
      <c r="P604" s="55">
        <v>17.7</v>
      </c>
      <c r="Q604" s="17" t="s">
        <v>424</v>
      </c>
      <c r="R604" s="17" t="s">
        <v>424</v>
      </c>
      <c r="S604" s="17" t="s">
        <v>424</v>
      </c>
      <c r="T604" s="17" t="s">
        <v>424</v>
      </c>
      <c r="U604" s="17" t="s">
        <v>424</v>
      </c>
      <c r="V604" s="17" t="s">
        <v>424</v>
      </c>
      <c r="W604" s="17" t="s">
        <v>424</v>
      </c>
    </row>
    <row r="605" spans="1:23" x14ac:dyDescent="0.25">
      <c r="A605" s="19" t="s">
        <v>528</v>
      </c>
      <c r="B605" s="20" t="s">
        <v>7</v>
      </c>
      <c r="C605" s="20" t="s">
        <v>427</v>
      </c>
      <c r="D605" s="18" t="s">
        <v>297</v>
      </c>
      <c r="E605" s="18" t="s">
        <v>1794</v>
      </c>
      <c r="F605" s="18">
        <v>5.94</v>
      </c>
      <c r="G605" s="23">
        <v>2.11</v>
      </c>
      <c r="H605" s="20">
        <v>6.71</v>
      </c>
      <c r="I605" s="25">
        <v>6.2135176651305599</v>
      </c>
      <c r="J605" s="24">
        <f>G605/F605*((100-H605)/100)*((100-I605)/100)*100</f>
        <v>31.079308715676994</v>
      </c>
      <c r="K605" s="53">
        <v>5.0053134962805528</v>
      </c>
      <c r="L605" s="54">
        <f>J605*10000/K605</f>
        <v>62092.631637902443</v>
      </c>
      <c r="M605" s="55">
        <v>50.2</v>
      </c>
      <c r="N605" s="55">
        <v>16.899999999999999</v>
      </c>
      <c r="O605" s="56">
        <v>2</v>
      </c>
      <c r="P605" s="55">
        <v>17.3</v>
      </c>
      <c r="Q605" s="17" t="s">
        <v>424</v>
      </c>
      <c r="R605" s="17" t="s">
        <v>424</v>
      </c>
      <c r="S605" s="17" t="s">
        <v>424</v>
      </c>
      <c r="T605" s="17" t="s">
        <v>424</v>
      </c>
      <c r="U605" s="17" t="s">
        <v>424</v>
      </c>
      <c r="V605" s="17" t="s">
        <v>424</v>
      </c>
      <c r="W605" s="17" t="s">
        <v>424</v>
      </c>
    </row>
    <row r="606" spans="1:23" x14ac:dyDescent="0.25">
      <c r="A606" s="19" t="s">
        <v>527</v>
      </c>
      <c r="B606" s="20" t="s">
        <v>7</v>
      </c>
      <c r="C606" s="20" t="s">
        <v>427</v>
      </c>
      <c r="D606" s="18" t="s">
        <v>220</v>
      </c>
      <c r="E606" s="18" t="s">
        <v>1642</v>
      </c>
      <c r="F606" s="18">
        <v>5.94</v>
      </c>
      <c r="G606" s="23">
        <v>1</v>
      </c>
      <c r="H606" s="20">
        <v>6.71</v>
      </c>
      <c r="I606" s="25">
        <v>7.234009840098409</v>
      </c>
      <c r="J606" s="24">
        <f>G606/F606*((100-H606)/100)*((100-I606)/100)*100</f>
        <v>14.569257949523939</v>
      </c>
      <c r="K606" s="53">
        <v>3.993480032599837</v>
      </c>
      <c r="L606" s="54">
        <f>J606*10000/K606</f>
        <v>36482.611232787494</v>
      </c>
      <c r="M606" s="55">
        <v>49.7</v>
      </c>
      <c r="N606" s="55">
        <v>18.3</v>
      </c>
      <c r="O606" s="56">
        <v>4.4398</v>
      </c>
      <c r="P606" s="55">
        <v>12.7</v>
      </c>
      <c r="Q606" s="17" t="s">
        <v>424</v>
      </c>
      <c r="R606" s="17" t="s">
        <v>424</v>
      </c>
      <c r="S606" s="17" t="s">
        <v>424</v>
      </c>
      <c r="T606" s="17" t="s">
        <v>424</v>
      </c>
      <c r="U606" s="17" t="s">
        <v>424</v>
      </c>
      <c r="V606" s="17" t="s">
        <v>424</v>
      </c>
      <c r="W606" s="17" t="s">
        <v>424</v>
      </c>
    </row>
    <row r="607" spans="1:23" x14ac:dyDescent="0.25">
      <c r="A607" s="19" t="s">
        <v>526</v>
      </c>
      <c r="B607" s="20" t="s">
        <v>7</v>
      </c>
      <c r="C607" s="20" t="s">
        <v>427</v>
      </c>
      <c r="D607" s="18" t="s">
        <v>275</v>
      </c>
      <c r="E607" s="18" t="s">
        <v>1762</v>
      </c>
      <c r="F607" s="18">
        <v>5.94</v>
      </c>
      <c r="G607" s="23">
        <v>2.8</v>
      </c>
      <c r="H607" s="20">
        <v>6.71</v>
      </c>
      <c r="I607" s="25">
        <v>7.0021545090797233</v>
      </c>
      <c r="J607" s="24">
        <f>G607/F607*((100-H607)/100)*((100-I607)/100)*100</f>
        <v>40.895880835646906</v>
      </c>
      <c r="K607" s="53">
        <v>4.3969610636277299</v>
      </c>
      <c r="L607" s="54">
        <f>J607*10000/K607</f>
        <v>93009.422289279042</v>
      </c>
      <c r="M607" s="55">
        <v>53</v>
      </c>
      <c r="N607" s="55">
        <v>16.7</v>
      </c>
      <c r="O607" s="56">
        <v>2.4708999999999999</v>
      </c>
      <c r="P607" s="55">
        <v>17.2</v>
      </c>
      <c r="Q607" s="17" t="s">
        <v>424</v>
      </c>
      <c r="R607" s="17" t="s">
        <v>424</v>
      </c>
      <c r="S607" s="17" t="s">
        <v>424</v>
      </c>
      <c r="T607" s="17" t="s">
        <v>424</v>
      </c>
      <c r="U607" s="17" t="s">
        <v>424</v>
      </c>
      <c r="V607" s="17" t="s">
        <v>424</v>
      </c>
      <c r="W607" s="17" t="s">
        <v>424</v>
      </c>
    </row>
    <row r="608" spans="1:23" x14ac:dyDescent="0.25">
      <c r="A608" s="19" t="s">
        <v>525</v>
      </c>
      <c r="B608" s="20" t="s">
        <v>7</v>
      </c>
      <c r="C608" s="20" t="s">
        <v>427</v>
      </c>
      <c r="D608" s="18" t="s">
        <v>190</v>
      </c>
      <c r="E608" s="18" t="s">
        <v>1456</v>
      </c>
      <c r="F608" s="18">
        <v>5.94</v>
      </c>
      <c r="G608" s="23">
        <v>1.62</v>
      </c>
      <c r="H608" s="20">
        <v>6.71</v>
      </c>
      <c r="I608" s="25">
        <v>8.7293071735131722</v>
      </c>
      <c r="J608" s="24">
        <f>G608/F608*((100-H608)/100)*((100-I608)/100)*100</f>
        <v>23.221753455771697</v>
      </c>
      <c r="K608" s="53">
        <v>5.073068893528184</v>
      </c>
      <c r="L608" s="54">
        <f>J608*10000/K608</f>
        <v>45774.567511582893</v>
      </c>
      <c r="M608" s="55">
        <v>48.5</v>
      </c>
      <c r="N608" s="55">
        <v>21.4</v>
      </c>
      <c r="O608" s="56">
        <v>47.951000000000001</v>
      </c>
      <c r="P608" s="55">
        <v>57.4</v>
      </c>
      <c r="Q608" s="17" t="s">
        <v>424</v>
      </c>
      <c r="R608" s="17" t="s">
        <v>424</v>
      </c>
      <c r="S608" s="17" t="s">
        <v>424</v>
      </c>
      <c r="T608" s="17" t="s">
        <v>424</v>
      </c>
      <c r="U608" s="17" t="s">
        <v>424</v>
      </c>
      <c r="V608" s="17" t="s">
        <v>424</v>
      </c>
      <c r="W608" s="17" t="s">
        <v>424</v>
      </c>
    </row>
    <row r="609" spans="1:23" x14ac:dyDescent="0.25">
      <c r="A609" s="19" t="s">
        <v>524</v>
      </c>
      <c r="B609" s="20" t="s">
        <v>7</v>
      </c>
      <c r="C609" s="20" t="s">
        <v>427</v>
      </c>
      <c r="D609" s="18" t="s">
        <v>249</v>
      </c>
      <c r="E609" s="18" t="s">
        <v>1688</v>
      </c>
      <c r="F609" s="18">
        <v>5.94</v>
      </c>
      <c r="G609" s="23">
        <v>2.0699999999999998</v>
      </c>
      <c r="H609" s="20">
        <v>6.71</v>
      </c>
      <c r="I609" s="25">
        <v>7.4037210014547243</v>
      </c>
      <c r="J609" s="24">
        <f>G609/F609*((100-H609)/100)*((100-I609)/100)*100</f>
        <v>30.103190599819492</v>
      </c>
      <c r="K609" s="53">
        <v>4.8669950738916254</v>
      </c>
      <c r="L609" s="54">
        <f>J609*10000/K609</f>
        <v>61851.697285054222</v>
      </c>
      <c r="M609" s="55">
        <v>50.4</v>
      </c>
      <c r="N609" s="55">
        <v>20</v>
      </c>
      <c r="O609" s="56">
        <v>38.802</v>
      </c>
      <c r="P609" s="55">
        <v>60</v>
      </c>
      <c r="Q609" s="17" t="s">
        <v>424</v>
      </c>
      <c r="R609" s="17" t="s">
        <v>424</v>
      </c>
      <c r="S609" s="17" t="s">
        <v>424</v>
      </c>
      <c r="T609" s="17" t="s">
        <v>424</v>
      </c>
      <c r="U609" s="17" t="s">
        <v>424</v>
      </c>
      <c r="V609" s="17" t="s">
        <v>424</v>
      </c>
      <c r="W609" s="17" t="s">
        <v>424</v>
      </c>
    </row>
    <row r="610" spans="1:23" x14ac:dyDescent="0.25">
      <c r="A610" s="19" t="s">
        <v>523</v>
      </c>
      <c r="B610" s="20" t="s">
        <v>7</v>
      </c>
      <c r="C610" s="20" t="s">
        <v>427</v>
      </c>
      <c r="D610" s="18" t="s">
        <v>20</v>
      </c>
      <c r="E610" s="18" t="s">
        <v>1618</v>
      </c>
      <c r="F610" s="18">
        <v>5.94</v>
      </c>
      <c r="G610" s="23">
        <v>1.62</v>
      </c>
      <c r="H610" s="20">
        <v>6.71</v>
      </c>
      <c r="I610" s="25">
        <v>9.0249121198227229</v>
      </c>
      <c r="J610" s="24">
        <f>G610/F610*((100-H610)/100)*((100-I610)/100)*100</f>
        <v>23.14654349547747</v>
      </c>
      <c r="K610" s="53">
        <v>4.5226615236258434</v>
      </c>
      <c r="L610" s="54">
        <f>J610*10000/K610</f>
        <v>51179.031140320127</v>
      </c>
      <c r="M610" s="55">
        <v>54.5</v>
      </c>
      <c r="N610" s="55">
        <v>17.399999999999999</v>
      </c>
      <c r="O610" s="56">
        <v>1.3234999999999999</v>
      </c>
      <c r="P610" s="55">
        <v>13.1</v>
      </c>
      <c r="Q610" s="17" t="s">
        <v>424</v>
      </c>
      <c r="R610" s="17" t="s">
        <v>424</v>
      </c>
      <c r="S610" s="17" t="s">
        <v>424</v>
      </c>
      <c r="T610" s="17" t="s">
        <v>424</v>
      </c>
      <c r="U610" s="17" t="s">
        <v>424</v>
      </c>
      <c r="V610" s="17" t="s">
        <v>424</v>
      </c>
      <c r="W610" s="17" t="s">
        <v>424</v>
      </c>
    </row>
    <row r="611" spans="1:23" x14ac:dyDescent="0.25">
      <c r="A611" s="19" t="s">
        <v>313</v>
      </c>
      <c r="B611" s="20" t="s">
        <v>7</v>
      </c>
      <c r="C611" s="20" t="s">
        <v>13</v>
      </c>
      <c r="D611" s="18" t="s">
        <v>289</v>
      </c>
      <c r="E611" s="18" t="s">
        <v>1706</v>
      </c>
      <c r="F611" s="18">
        <v>5.94</v>
      </c>
      <c r="G611" s="23">
        <v>2.2999999999999998</v>
      </c>
      <c r="H611" s="17">
        <v>6.92</v>
      </c>
      <c r="I611" s="25">
        <v>18.840366972477064</v>
      </c>
      <c r="J611" s="24">
        <f>G611/F611*((100-H611)/100)*((100-I611)/100)*100</f>
        <v>29.250806190343802</v>
      </c>
      <c r="K611" s="53">
        <v>4.9470338983050848</v>
      </c>
      <c r="L611" s="54">
        <f>J611*10000/K611</f>
        <v>59127.967973628583</v>
      </c>
      <c r="M611" s="55">
        <v>49.4</v>
      </c>
      <c r="N611" s="55">
        <v>19.100000000000001</v>
      </c>
      <c r="O611" s="56">
        <v>2.3637000000000001</v>
      </c>
      <c r="P611" s="55">
        <v>14.5</v>
      </c>
      <c r="Q611" s="17" t="s">
        <v>424</v>
      </c>
      <c r="R611" s="17" t="s">
        <v>424</v>
      </c>
      <c r="S611" s="17" t="s">
        <v>424</v>
      </c>
      <c r="T611" s="17" t="s">
        <v>424</v>
      </c>
      <c r="U611" s="17" t="s">
        <v>424</v>
      </c>
      <c r="V611" s="17" t="s">
        <v>424</v>
      </c>
      <c r="W611" s="17" t="s">
        <v>424</v>
      </c>
    </row>
    <row r="612" spans="1:23" x14ac:dyDescent="0.25">
      <c r="A612" s="19" t="s">
        <v>314</v>
      </c>
      <c r="B612" s="20" t="s">
        <v>7</v>
      </c>
      <c r="C612" s="20" t="s">
        <v>13</v>
      </c>
      <c r="D612" s="18" t="s">
        <v>171</v>
      </c>
      <c r="E612" s="18" t="s">
        <v>1484</v>
      </c>
      <c r="F612" s="18">
        <v>5.94</v>
      </c>
      <c r="G612" s="23">
        <v>1.76</v>
      </c>
      <c r="H612" s="17">
        <v>6.92</v>
      </c>
      <c r="I612" s="25">
        <v>25.823966469803771</v>
      </c>
      <c r="J612" s="24">
        <f>G612/F612*((100-H612)/100)*((100-I612)/100)*100</f>
        <v>20.457200595527901</v>
      </c>
      <c r="K612" s="53">
        <v>5.8698372966207764</v>
      </c>
      <c r="L612" s="54">
        <f>J612*10000/K612</f>
        <v>34851.392912210642</v>
      </c>
      <c r="M612" s="55">
        <v>46.8</v>
      </c>
      <c r="N612" s="55">
        <v>21.2</v>
      </c>
      <c r="O612" s="56">
        <v>38.030999999999999</v>
      </c>
      <c r="P612" s="55">
        <v>61</v>
      </c>
      <c r="Q612" s="17" t="s">
        <v>424</v>
      </c>
      <c r="R612" s="17" t="s">
        <v>424</v>
      </c>
      <c r="S612" s="17" t="s">
        <v>424</v>
      </c>
      <c r="T612" s="17" t="s">
        <v>424</v>
      </c>
      <c r="U612" s="17" t="s">
        <v>424</v>
      </c>
      <c r="V612" s="17" t="s">
        <v>424</v>
      </c>
      <c r="W612" s="17" t="s">
        <v>424</v>
      </c>
    </row>
    <row r="613" spans="1:23" x14ac:dyDescent="0.25">
      <c r="A613" s="19" t="s">
        <v>315</v>
      </c>
      <c r="B613" s="20" t="s">
        <v>7</v>
      </c>
      <c r="C613" s="20" t="s">
        <v>13</v>
      </c>
      <c r="D613" s="18" t="s">
        <v>19</v>
      </c>
      <c r="E613" s="18" t="s">
        <v>1680</v>
      </c>
      <c r="F613" s="18">
        <v>5.94</v>
      </c>
      <c r="G613" s="23">
        <v>2.2200000000000002</v>
      </c>
      <c r="H613" s="17">
        <v>6.92</v>
      </c>
      <c r="I613" s="25">
        <v>11.291779584462512</v>
      </c>
      <c r="J613" s="24">
        <f>G613/F613*((100-H613)/100)*((100-I613)/100)*100</f>
        <v>30.859349775989344</v>
      </c>
      <c r="K613" s="53">
        <v>4.3486238532110093</v>
      </c>
      <c r="L613" s="54">
        <f>J613*10000/K613</f>
        <v>70963.4836620852</v>
      </c>
      <c r="M613" s="55">
        <v>50.7</v>
      </c>
      <c r="N613" s="55">
        <v>17.600000000000001</v>
      </c>
      <c r="O613" s="56">
        <v>-5.9749999999999998E-2</v>
      </c>
      <c r="P613" s="55">
        <v>14.4</v>
      </c>
      <c r="Q613" s="17" t="s">
        <v>424</v>
      </c>
      <c r="R613" s="17" t="s">
        <v>424</v>
      </c>
      <c r="S613" s="17" t="s">
        <v>424</v>
      </c>
      <c r="T613" s="17" t="s">
        <v>424</v>
      </c>
      <c r="U613" s="17" t="s">
        <v>424</v>
      </c>
      <c r="V613" s="17" t="s">
        <v>424</v>
      </c>
      <c r="W613" s="17" t="s">
        <v>424</v>
      </c>
    </row>
    <row r="614" spans="1:23" x14ac:dyDescent="0.25">
      <c r="A614" s="19" t="s">
        <v>316</v>
      </c>
      <c r="B614" s="20" t="s">
        <v>7</v>
      </c>
      <c r="C614" s="20" t="s">
        <v>13</v>
      </c>
      <c r="D614" s="18" t="s">
        <v>215</v>
      </c>
      <c r="E614" s="18" t="s">
        <v>1474</v>
      </c>
      <c r="F614" s="18">
        <v>5.94</v>
      </c>
      <c r="G614" s="23">
        <v>2.37</v>
      </c>
      <c r="H614" s="17">
        <v>6.92</v>
      </c>
      <c r="I614" s="25">
        <v>25.149856658848062</v>
      </c>
      <c r="J614" s="24">
        <f>G614/F614*((100-H614)/100)*((100-I614)/100)*100</f>
        <v>27.797831112795922</v>
      </c>
      <c r="K614" s="53">
        <v>4.3755781683626269</v>
      </c>
      <c r="L614" s="54">
        <f>J614*10000/K614</f>
        <v>63529.504086537832</v>
      </c>
      <c r="M614" s="55">
        <v>50.1</v>
      </c>
      <c r="N614" s="55">
        <v>21.7</v>
      </c>
      <c r="O614" s="56">
        <v>52.518000000000001</v>
      </c>
      <c r="P614" s="55">
        <v>68.3</v>
      </c>
      <c r="Q614" s="17" t="s">
        <v>424</v>
      </c>
      <c r="R614" s="17" t="s">
        <v>424</v>
      </c>
      <c r="S614" s="17" t="s">
        <v>424</v>
      </c>
      <c r="T614" s="17" t="s">
        <v>424</v>
      </c>
      <c r="U614" s="17" t="s">
        <v>424</v>
      </c>
      <c r="V614" s="17" t="s">
        <v>424</v>
      </c>
      <c r="W614" s="17" t="s">
        <v>424</v>
      </c>
    </row>
    <row r="615" spans="1:23" x14ac:dyDescent="0.25">
      <c r="A615" s="19" t="s">
        <v>317</v>
      </c>
      <c r="B615" s="20" t="s">
        <v>7</v>
      </c>
      <c r="C615" s="20" t="s">
        <v>13</v>
      </c>
      <c r="D615" s="18" t="s">
        <v>159</v>
      </c>
      <c r="E615" s="18" t="s">
        <v>1496</v>
      </c>
      <c r="F615" s="18">
        <v>5.94</v>
      </c>
      <c r="G615" s="23">
        <v>1.75</v>
      </c>
      <c r="H615" s="17">
        <v>6.92</v>
      </c>
      <c r="I615" s="25">
        <v>11.229458307973212</v>
      </c>
      <c r="J615" s="24">
        <f>G615/F615*((100-H615)/100)*((100-I615)/100)*100</f>
        <v>24.343154101370775</v>
      </c>
      <c r="K615" s="53">
        <v>5.4137931034482758</v>
      </c>
      <c r="L615" s="54">
        <f>J615*10000/K615</f>
        <v>44965.061715907803</v>
      </c>
      <c r="M615" s="55">
        <v>48.2</v>
      </c>
      <c r="N615" s="55">
        <v>20.399999999999999</v>
      </c>
      <c r="O615" s="56">
        <v>48.177</v>
      </c>
      <c r="P615" s="55">
        <v>60.2</v>
      </c>
      <c r="Q615" s="17" t="s">
        <v>424</v>
      </c>
      <c r="R615" s="17" t="s">
        <v>424</v>
      </c>
      <c r="S615" s="17" t="s">
        <v>424</v>
      </c>
      <c r="T615" s="17" t="s">
        <v>424</v>
      </c>
      <c r="U615" s="17" t="s">
        <v>424</v>
      </c>
      <c r="V615" s="17" t="s">
        <v>424</v>
      </c>
      <c r="W615" s="17" t="s">
        <v>424</v>
      </c>
    </row>
    <row r="616" spans="1:23" x14ac:dyDescent="0.25">
      <c r="A616" s="19" t="s">
        <v>318</v>
      </c>
      <c r="B616" s="20" t="s">
        <v>7</v>
      </c>
      <c r="C616" s="20" t="s">
        <v>13</v>
      </c>
      <c r="D616" s="18" t="s">
        <v>270</v>
      </c>
      <c r="E616" s="18" t="s">
        <v>1690</v>
      </c>
      <c r="F616" s="18">
        <v>5.94</v>
      </c>
      <c r="G616" s="23">
        <v>1.75</v>
      </c>
      <c r="H616" s="17">
        <v>6.92</v>
      </c>
      <c r="I616" s="25">
        <v>22.74827664570865</v>
      </c>
      <c r="J616" s="24">
        <f>G616/F616*((100-H616)/100)*((100-I616)/100)*100</f>
        <v>21.184399355522761</v>
      </c>
      <c r="K616" s="53">
        <v>4.6737044145873323</v>
      </c>
      <c r="L616" s="54">
        <f>J616*10000/K616</f>
        <v>45326.784658017896</v>
      </c>
      <c r="M616" s="55">
        <v>48.9</v>
      </c>
      <c r="N616" s="55">
        <v>21</v>
      </c>
      <c r="O616" s="56">
        <v>38.622999999999998</v>
      </c>
      <c r="P616" s="55">
        <v>55.3</v>
      </c>
      <c r="Q616" s="17" t="s">
        <v>424</v>
      </c>
      <c r="R616" s="17" t="s">
        <v>424</v>
      </c>
      <c r="S616" s="17" t="s">
        <v>424</v>
      </c>
      <c r="T616" s="17" t="s">
        <v>424</v>
      </c>
      <c r="U616" s="17" t="s">
        <v>424</v>
      </c>
      <c r="V616" s="17" t="s">
        <v>424</v>
      </c>
      <c r="W616" s="17" t="s">
        <v>424</v>
      </c>
    </row>
    <row r="617" spans="1:23" x14ac:dyDescent="0.25">
      <c r="A617" s="19" t="s">
        <v>534</v>
      </c>
      <c r="B617" s="20" t="s">
        <v>7</v>
      </c>
      <c r="C617" s="20" t="s">
        <v>427</v>
      </c>
      <c r="D617" s="18" t="s">
        <v>12</v>
      </c>
      <c r="E617" s="18" t="s">
        <v>1708</v>
      </c>
      <c r="F617" s="18">
        <v>5.94</v>
      </c>
      <c r="G617" s="23">
        <v>2.52</v>
      </c>
      <c r="H617" s="20">
        <v>6.71</v>
      </c>
      <c r="I617" s="25">
        <v>6.3083596794353243</v>
      </c>
      <c r="J617" s="24">
        <f>G617/F617*((100-H617)/100)*((100-I617)/100)*100</f>
        <v>37.080879926386878</v>
      </c>
      <c r="K617" s="53">
        <v>5.2197802197802199</v>
      </c>
      <c r="L617" s="54">
        <f>J617*10000/K617</f>
        <v>71039.159437920127</v>
      </c>
      <c r="M617" s="55">
        <v>49.4</v>
      </c>
      <c r="N617" s="55">
        <v>18.899999999999999</v>
      </c>
      <c r="O617" s="56">
        <v>6.5487000000000002</v>
      </c>
      <c r="P617" s="55">
        <v>17.100000000000001</v>
      </c>
      <c r="Q617" s="17" t="s">
        <v>424</v>
      </c>
      <c r="R617" s="17" t="s">
        <v>424</v>
      </c>
      <c r="S617" s="17" t="s">
        <v>424</v>
      </c>
      <c r="T617" s="17" t="s">
        <v>424</v>
      </c>
      <c r="U617" s="17" t="s">
        <v>424</v>
      </c>
      <c r="V617" s="17" t="s">
        <v>424</v>
      </c>
      <c r="W617" s="17" t="s">
        <v>424</v>
      </c>
    </row>
    <row r="618" spans="1:23" x14ac:dyDescent="0.25">
      <c r="A618" s="19" t="s">
        <v>533</v>
      </c>
      <c r="B618" s="20" t="s">
        <v>7</v>
      </c>
      <c r="C618" s="20" t="s">
        <v>427</v>
      </c>
      <c r="D618" s="18" t="s">
        <v>81</v>
      </c>
      <c r="E618" s="18" t="s">
        <v>1780</v>
      </c>
      <c r="F618" s="18">
        <v>5.94</v>
      </c>
      <c r="G618" s="23">
        <v>2.7</v>
      </c>
      <c r="H618" s="20">
        <v>6.71</v>
      </c>
      <c r="I618" s="25">
        <v>5.7506862814105641</v>
      </c>
      <c r="J618" s="24">
        <f>G618/F618*((100-H618)/100)*((100-I618)/100)*100</f>
        <v>39.965993076396401</v>
      </c>
      <c r="K618" s="53">
        <v>4.5146088595664464</v>
      </c>
      <c r="L618" s="54">
        <f>J618*10000/K618</f>
        <v>88525.926208886405</v>
      </c>
      <c r="M618" s="55">
        <v>53.9</v>
      </c>
      <c r="N618" s="55">
        <v>15.7</v>
      </c>
      <c r="O618" s="56">
        <v>0.72465999999999997</v>
      </c>
      <c r="P618" s="55">
        <v>15.1</v>
      </c>
      <c r="Q618" s="17" t="s">
        <v>424</v>
      </c>
      <c r="R618" s="17" t="s">
        <v>424</v>
      </c>
      <c r="S618" s="17" t="s">
        <v>424</v>
      </c>
      <c r="T618" s="17" t="s">
        <v>424</v>
      </c>
      <c r="U618" s="17" t="s">
        <v>424</v>
      </c>
      <c r="V618" s="17" t="s">
        <v>424</v>
      </c>
      <c r="W618" s="17" t="s">
        <v>424</v>
      </c>
    </row>
    <row r="619" spans="1:23" x14ac:dyDescent="0.25">
      <c r="A619" s="19" t="s">
        <v>532</v>
      </c>
      <c r="B619" s="20" t="s">
        <v>7</v>
      </c>
      <c r="C619" s="20" t="s">
        <v>427</v>
      </c>
      <c r="D619" s="18" t="s">
        <v>47</v>
      </c>
      <c r="E619" s="18" t="s">
        <v>1754</v>
      </c>
      <c r="F619" s="18">
        <v>5.94</v>
      </c>
      <c r="G619" s="23">
        <v>2.57</v>
      </c>
      <c r="H619" s="20">
        <v>6.71</v>
      </c>
      <c r="I619" s="25">
        <v>10.487904879048795</v>
      </c>
      <c r="J619" s="24">
        <f>G619/F619*((100-H619)/100)*((100-I619)/100)*100</f>
        <v>36.129628315407722</v>
      </c>
      <c r="K619" s="53">
        <v>5.5465116279069768</v>
      </c>
      <c r="L619" s="54">
        <f>J619*10000/K619</f>
        <v>65139.37180555689</v>
      </c>
      <c r="M619" s="55">
        <v>51.3</v>
      </c>
      <c r="N619" s="55">
        <v>17.3</v>
      </c>
      <c r="O619" s="56">
        <v>3.0106000000000002</v>
      </c>
      <c r="P619" s="55">
        <v>16.8</v>
      </c>
      <c r="Q619" s="17" t="s">
        <v>424</v>
      </c>
      <c r="R619" s="17" t="s">
        <v>424</v>
      </c>
      <c r="S619" s="17" t="s">
        <v>424</v>
      </c>
      <c r="T619" s="17" t="s">
        <v>424</v>
      </c>
      <c r="U619" s="17" t="s">
        <v>424</v>
      </c>
      <c r="V619" s="17" t="s">
        <v>424</v>
      </c>
      <c r="W619" s="17" t="s">
        <v>424</v>
      </c>
    </row>
    <row r="620" spans="1:23" x14ac:dyDescent="0.25">
      <c r="A620" s="19" t="s">
        <v>531</v>
      </c>
      <c r="B620" s="20" t="s">
        <v>7</v>
      </c>
      <c r="C620" s="20" t="s">
        <v>427</v>
      </c>
      <c r="D620" s="18" t="s">
        <v>95</v>
      </c>
      <c r="E620" s="18" t="s">
        <v>1650</v>
      </c>
      <c r="F620" s="18">
        <v>5.94</v>
      </c>
      <c r="G620" s="23">
        <v>1.85</v>
      </c>
      <c r="H620" s="20">
        <v>6.71</v>
      </c>
      <c r="I620" s="25">
        <v>5.6576601289260733</v>
      </c>
      <c r="J620" s="24">
        <f>G620/F620*((100-H620)/100)*((100-I620)/100)*100</f>
        <v>27.411135084442932</v>
      </c>
      <c r="K620" s="53">
        <v>5.1527924130663854</v>
      </c>
      <c r="L620" s="54">
        <f>J620*10000/K620</f>
        <v>53196.660930749174</v>
      </c>
      <c r="M620" s="55">
        <v>49.2</v>
      </c>
      <c r="N620" s="55">
        <v>18</v>
      </c>
      <c r="O620" s="56">
        <v>-1.1860999999999999</v>
      </c>
      <c r="P620" s="55">
        <v>12.7</v>
      </c>
      <c r="Q620" s="17" t="s">
        <v>424</v>
      </c>
      <c r="R620" s="17" t="s">
        <v>424</v>
      </c>
      <c r="S620" s="17" t="s">
        <v>424</v>
      </c>
      <c r="T620" s="17" t="s">
        <v>424</v>
      </c>
      <c r="U620" s="17" t="s">
        <v>424</v>
      </c>
      <c r="V620" s="17" t="s">
        <v>424</v>
      </c>
      <c r="W620" s="17" t="s">
        <v>424</v>
      </c>
    </row>
    <row r="621" spans="1:23" x14ac:dyDescent="0.25">
      <c r="A621" s="19" t="s">
        <v>530</v>
      </c>
      <c r="B621" s="20" t="s">
        <v>7</v>
      </c>
      <c r="C621" s="20" t="s">
        <v>427</v>
      </c>
      <c r="D621" s="18" t="s">
        <v>79</v>
      </c>
      <c r="E621" s="18" t="s">
        <v>1682</v>
      </c>
      <c r="F621" s="18">
        <v>5.94</v>
      </c>
      <c r="G621" s="23">
        <v>1.44</v>
      </c>
      <c r="H621" s="20">
        <v>6.71</v>
      </c>
      <c r="I621" s="25">
        <v>5.1848443012731948</v>
      </c>
      <c r="J621" s="24">
        <f>G621/F621*((100-H621)/100)*((100-I621)/100)*100</f>
        <v>21.443165757901149</v>
      </c>
      <c r="K621" s="53">
        <v>5.0694444444444446</v>
      </c>
      <c r="L621" s="54">
        <f>J621*10000/K621</f>
        <v>42298.847522435142</v>
      </c>
      <c r="M621" s="55">
        <v>50.1</v>
      </c>
      <c r="N621" s="55">
        <v>18.5</v>
      </c>
      <c r="O621" s="56">
        <v>1.3131999999999999</v>
      </c>
      <c r="P621" s="55">
        <v>17.5</v>
      </c>
      <c r="Q621" s="17" t="s">
        <v>424</v>
      </c>
      <c r="R621" s="17" t="s">
        <v>424</v>
      </c>
      <c r="S621" s="17" t="s">
        <v>424</v>
      </c>
      <c r="T621" s="17" t="s">
        <v>424</v>
      </c>
      <c r="U621" s="17" t="s">
        <v>424</v>
      </c>
      <c r="V621" s="17" t="s">
        <v>424</v>
      </c>
      <c r="W621" s="17" t="s">
        <v>424</v>
      </c>
    </row>
    <row r="622" spans="1:23" x14ac:dyDescent="0.25">
      <c r="A622" s="19" t="s">
        <v>529</v>
      </c>
      <c r="B622" s="20" t="s">
        <v>7</v>
      </c>
      <c r="C622" s="20" t="s">
        <v>427</v>
      </c>
      <c r="D622" s="18" t="s">
        <v>245</v>
      </c>
      <c r="E622" s="18" t="s">
        <v>1511</v>
      </c>
      <c r="F622" s="18">
        <v>5.94</v>
      </c>
      <c r="G622" s="23">
        <v>1.1100000000000001</v>
      </c>
      <c r="H622" s="20">
        <v>6.71</v>
      </c>
      <c r="I622" s="25">
        <v>6.2384757221880696</v>
      </c>
      <c r="J622" s="24">
        <f>G622/F622*((100-H622)/100)*((100-I622)/100)*100</f>
        <v>16.345427585628876</v>
      </c>
      <c r="K622" s="53">
        <v>5.1705170517051702</v>
      </c>
      <c r="L622" s="54">
        <f>J622*10000/K622</f>
        <v>31612.752500716277</v>
      </c>
      <c r="M622" s="55">
        <v>46.1</v>
      </c>
      <c r="N622" s="55">
        <v>18.7</v>
      </c>
      <c r="O622" s="56">
        <v>3.2098</v>
      </c>
      <c r="P622" s="55">
        <v>56.1</v>
      </c>
      <c r="Q622" s="17" t="s">
        <v>424</v>
      </c>
      <c r="R622" s="17" t="s">
        <v>424</v>
      </c>
      <c r="S622" s="17" t="s">
        <v>424</v>
      </c>
      <c r="T622" s="17" t="s">
        <v>424</v>
      </c>
      <c r="U622" s="17" t="s">
        <v>424</v>
      </c>
      <c r="V622" s="17" t="s">
        <v>424</v>
      </c>
      <c r="W622" s="17" t="s">
        <v>424</v>
      </c>
    </row>
    <row r="623" spans="1:23" x14ac:dyDescent="0.25">
      <c r="A623" s="19" t="s">
        <v>319</v>
      </c>
      <c r="B623" s="20" t="s">
        <v>7</v>
      </c>
      <c r="C623" s="20" t="s">
        <v>13</v>
      </c>
      <c r="D623" s="18" t="s">
        <v>277</v>
      </c>
      <c r="E623" s="18" t="s">
        <v>1460</v>
      </c>
      <c r="F623" s="18">
        <v>5.94</v>
      </c>
      <c r="G623" s="23">
        <v>2.48</v>
      </c>
      <c r="H623" s="17">
        <v>6.92</v>
      </c>
      <c r="I623" s="25">
        <v>18.374999999999996</v>
      </c>
      <c r="J623" s="24">
        <f>G623/F623*((100-H623)/100)*((100-I623)/100)*100</f>
        <v>31.720849158249152</v>
      </c>
      <c r="K623" s="53">
        <v>4.9894736842105267</v>
      </c>
      <c r="L623" s="54">
        <f>J623*10000/K623</f>
        <v>63575.541561891747</v>
      </c>
      <c r="M623" s="55">
        <v>49.2</v>
      </c>
      <c r="N623" s="55">
        <v>20.100000000000001</v>
      </c>
      <c r="O623" s="56">
        <v>45.036999999999999</v>
      </c>
      <c r="P623" s="55">
        <v>73.099999999999994</v>
      </c>
      <c r="Q623" s="17" t="s">
        <v>424</v>
      </c>
      <c r="R623" s="17" t="s">
        <v>424</v>
      </c>
      <c r="S623" s="17" t="s">
        <v>424</v>
      </c>
      <c r="T623" s="17" t="s">
        <v>424</v>
      </c>
      <c r="U623" s="17" t="s">
        <v>424</v>
      </c>
      <c r="V623" s="17" t="s">
        <v>424</v>
      </c>
      <c r="W623" s="17" t="s">
        <v>424</v>
      </c>
    </row>
    <row r="624" spans="1:23" x14ac:dyDescent="0.25">
      <c r="A624" s="19" t="s">
        <v>320</v>
      </c>
      <c r="B624" s="20" t="s">
        <v>7</v>
      </c>
      <c r="C624" s="20" t="s">
        <v>13</v>
      </c>
      <c r="D624" s="18" t="s">
        <v>69</v>
      </c>
      <c r="E624" s="18" t="s">
        <v>1724</v>
      </c>
      <c r="F624" s="18">
        <v>5.94</v>
      </c>
      <c r="G624" s="23">
        <v>2.38</v>
      </c>
      <c r="H624" s="17">
        <v>6.92</v>
      </c>
      <c r="I624" s="25">
        <v>11.532569844627618</v>
      </c>
      <c r="J624" s="24">
        <f>G624/F624*((100-H624)/100)*((100-I624)/100)*100</f>
        <v>32.993645099817684</v>
      </c>
      <c r="K624" s="53">
        <v>4.4664778092540134</v>
      </c>
      <c r="L624" s="54">
        <f>J624*10000/K624</f>
        <v>73869.492940183773</v>
      </c>
      <c r="M624" s="55">
        <v>51.6</v>
      </c>
      <c r="N624" s="55">
        <v>18.5</v>
      </c>
      <c r="O624" s="56">
        <v>3.4580000000000002</v>
      </c>
      <c r="P624" s="55">
        <v>17.100000000000001</v>
      </c>
      <c r="Q624" s="17" t="s">
        <v>424</v>
      </c>
      <c r="R624" s="17" t="s">
        <v>424</v>
      </c>
      <c r="S624" s="17" t="s">
        <v>424</v>
      </c>
      <c r="T624" s="17" t="s">
        <v>424</v>
      </c>
      <c r="U624" s="17" t="s">
        <v>424</v>
      </c>
      <c r="V624" s="17" t="s">
        <v>424</v>
      </c>
      <c r="W624" s="17" t="s">
        <v>424</v>
      </c>
    </row>
    <row r="625" spans="1:23" x14ac:dyDescent="0.25">
      <c r="A625" s="19" t="s">
        <v>321</v>
      </c>
      <c r="B625" s="20" t="s">
        <v>7</v>
      </c>
      <c r="C625" s="20" t="s">
        <v>13</v>
      </c>
      <c r="D625" s="18" t="s">
        <v>23</v>
      </c>
      <c r="E625" s="18" t="s">
        <v>1620</v>
      </c>
      <c r="F625" s="18">
        <v>5.94</v>
      </c>
      <c r="G625" s="23">
        <v>2.59</v>
      </c>
      <c r="H625" s="17">
        <v>6.92</v>
      </c>
      <c r="I625" s="25">
        <v>25.051853187843808</v>
      </c>
      <c r="J625" s="24">
        <f>G625/F625*((100-H625)/100)*((100-I625)/100)*100</f>
        <v>30.417995586975653</v>
      </c>
      <c r="K625" s="53">
        <v>5.0809061488673137</v>
      </c>
      <c r="L625" s="54">
        <f>J625*10000/K625</f>
        <v>59867.265199843801</v>
      </c>
      <c r="M625" s="55">
        <v>51.4</v>
      </c>
      <c r="N625" s="55">
        <v>18.100000000000001</v>
      </c>
      <c r="O625" s="56">
        <v>2.4605999999999999</v>
      </c>
      <c r="P625" s="55">
        <v>13.9</v>
      </c>
      <c r="Q625" s="17" t="s">
        <v>424</v>
      </c>
      <c r="R625" s="17" t="s">
        <v>424</v>
      </c>
      <c r="S625" s="17" t="s">
        <v>424</v>
      </c>
      <c r="T625" s="17" t="s">
        <v>424</v>
      </c>
      <c r="U625" s="17" t="s">
        <v>424</v>
      </c>
      <c r="V625" s="17" t="s">
        <v>424</v>
      </c>
      <c r="W625" s="17" t="s">
        <v>424</v>
      </c>
    </row>
    <row r="626" spans="1:23" x14ac:dyDescent="0.25">
      <c r="A626" s="19" t="s">
        <v>322</v>
      </c>
      <c r="B626" s="20" t="s">
        <v>7</v>
      </c>
      <c r="C626" s="20" t="s">
        <v>13</v>
      </c>
      <c r="D626" s="18" t="s">
        <v>25</v>
      </c>
      <c r="E626" s="18" t="s">
        <v>1756</v>
      </c>
      <c r="F626" s="18">
        <v>5.94</v>
      </c>
      <c r="G626" s="23">
        <v>2.2999999999999998</v>
      </c>
      <c r="H626" s="17">
        <v>6.92</v>
      </c>
      <c r="I626" s="25">
        <v>17.340053654174458</v>
      </c>
      <c r="J626" s="24">
        <f>G626/F626*((100-H626)/100)*((100-I626)/100)*100</f>
        <v>29.791535275252041</v>
      </c>
      <c r="K626" s="53">
        <v>4.7140039447731752</v>
      </c>
      <c r="L626" s="54">
        <f>J626*10000/K626</f>
        <v>63197.943031601615</v>
      </c>
      <c r="M626" s="55">
        <v>52</v>
      </c>
      <c r="N626" s="55">
        <v>16.8</v>
      </c>
      <c r="O626" s="56">
        <v>1.9415</v>
      </c>
      <c r="P626" s="55">
        <v>9</v>
      </c>
      <c r="Q626" s="17" t="s">
        <v>424</v>
      </c>
      <c r="R626" s="17" t="s">
        <v>424</v>
      </c>
      <c r="S626" s="17" t="s">
        <v>424</v>
      </c>
      <c r="T626" s="17" t="s">
        <v>424</v>
      </c>
      <c r="U626" s="17" t="s">
        <v>424</v>
      </c>
      <c r="V626" s="17" t="s">
        <v>424</v>
      </c>
      <c r="W626" s="17" t="s">
        <v>424</v>
      </c>
    </row>
    <row r="627" spans="1:23" x14ac:dyDescent="0.25">
      <c r="A627" s="19" t="s">
        <v>323</v>
      </c>
      <c r="B627" s="20" t="s">
        <v>7</v>
      </c>
      <c r="C627" s="20" t="s">
        <v>13</v>
      </c>
      <c r="D627" s="18" t="s">
        <v>53</v>
      </c>
      <c r="E627" s="18" t="s">
        <v>1686</v>
      </c>
      <c r="F627" s="18">
        <v>5.94</v>
      </c>
      <c r="G627" s="23">
        <v>1.92</v>
      </c>
      <c r="H627" s="17">
        <v>6.92</v>
      </c>
      <c r="I627" s="25">
        <v>11.992945326278649</v>
      </c>
      <c r="J627" s="24">
        <f>G627/F627*((100-H627)/100)*((100-I627)/100)*100</f>
        <v>26.478211390803985</v>
      </c>
      <c r="K627" s="53">
        <v>4.9267782426778242</v>
      </c>
      <c r="L627" s="54">
        <f>J627*10000/K627</f>
        <v>53743.460912120194</v>
      </c>
      <c r="M627" s="55">
        <v>50.3</v>
      </c>
      <c r="N627" s="55">
        <v>20.7</v>
      </c>
      <c r="O627" s="56">
        <v>44.947000000000003</v>
      </c>
      <c r="P627" s="55">
        <v>56.7</v>
      </c>
      <c r="Q627" s="17" t="s">
        <v>424</v>
      </c>
      <c r="R627" s="17" t="s">
        <v>424</v>
      </c>
      <c r="S627" s="17" t="s">
        <v>424</v>
      </c>
      <c r="T627" s="17" t="s">
        <v>424</v>
      </c>
      <c r="U627" s="17" t="s">
        <v>424</v>
      </c>
      <c r="V627" s="17" t="s">
        <v>424</v>
      </c>
      <c r="W627" s="17" t="s">
        <v>424</v>
      </c>
    </row>
    <row r="628" spans="1:23" x14ac:dyDescent="0.25">
      <c r="A628" s="19" t="s">
        <v>324</v>
      </c>
      <c r="B628" s="20" t="s">
        <v>7</v>
      </c>
      <c r="C628" s="20" t="s">
        <v>13</v>
      </c>
      <c r="D628" s="18" t="s">
        <v>228</v>
      </c>
      <c r="E628" s="18" t="s">
        <v>1537</v>
      </c>
      <c r="F628" s="18">
        <v>5.94</v>
      </c>
      <c r="G628" s="23">
        <v>2.5099999999999998</v>
      </c>
      <c r="H628" s="17">
        <v>6.92</v>
      </c>
      <c r="I628" s="25">
        <v>16.666666666666654</v>
      </c>
      <c r="J628" s="24">
        <f>G628/F628*((100-H628)/100)*((100-I628)/100)*100</f>
        <v>32.776487093153762</v>
      </c>
      <c r="K628" s="53">
        <v>4.4843897824030279</v>
      </c>
      <c r="L628" s="54">
        <f>J628*10000/K628</f>
        <v>73090.183243593929</v>
      </c>
      <c r="M628" s="55">
        <v>50.4</v>
      </c>
      <c r="N628" s="55">
        <v>17.3</v>
      </c>
      <c r="O628" s="56">
        <v>3.3731</v>
      </c>
      <c r="P628" s="55">
        <v>12.8</v>
      </c>
      <c r="Q628" s="17" t="s">
        <v>424</v>
      </c>
      <c r="R628" s="17" t="s">
        <v>424</v>
      </c>
      <c r="S628" s="17" t="s">
        <v>424</v>
      </c>
      <c r="T628" s="17" t="s">
        <v>424</v>
      </c>
      <c r="U628" s="17" t="s">
        <v>424</v>
      </c>
      <c r="V628" s="17" t="s">
        <v>424</v>
      </c>
      <c r="W628" s="17" t="s">
        <v>424</v>
      </c>
    </row>
    <row r="629" spans="1:23" x14ac:dyDescent="0.25">
      <c r="A629" s="19" t="s">
        <v>540</v>
      </c>
      <c r="B629" s="20" t="s">
        <v>7</v>
      </c>
      <c r="C629" s="20" t="s">
        <v>427</v>
      </c>
      <c r="D629" s="18" t="s">
        <v>290</v>
      </c>
      <c r="E629" s="18" t="s">
        <v>1814</v>
      </c>
      <c r="F629" s="18">
        <v>5.94</v>
      </c>
      <c r="G629" s="23">
        <v>2.31</v>
      </c>
      <c r="H629" s="20">
        <v>6.71</v>
      </c>
      <c r="I629" s="25">
        <v>9.5348375570700696</v>
      </c>
      <c r="J629" s="24">
        <f>G629/F629*((100-H629)/100)*((100-I629)/100)*100</f>
        <v>32.820258350059191</v>
      </c>
      <c r="K629" s="53">
        <v>4.3034605146406388</v>
      </c>
      <c r="L629" s="54">
        <f>J629*10000/K629</f>
        <v>76264.806516529294</v>
      </c>
      <c r="M629" s="55">
        <v>51</v>
      </c>
      <c r="N629" s="55">
        <v>16.600000000000001</v>
      </c>
      <c r="O629" s="56">
        <v>-1.8422000000000001</v>
      </c>
      <c r="P629" s="55">
        <v>11.5</v>
      </c>
      <c r="Q629" s="17" t="s">
        <v>424</v>
      </c>
      <c r="R629" s="17" t="s">
        <v>424</v>
      </c>
      <c r="S629" s="17" t="s">
        <v>424</v>
      </c>
      <c r="T629" s="17" t="s">
        <v>424</v>
      </c>
      <c r="U629" s="17" t="s">
        <v>424</v>
      </c>
      <c r="V629" s="17" t="s">
        <v>424</v>
      </c>
      <c r="W629" s="17" t="s">
        <v>424</v>
      </c>
    </row>
    <row r="630" spans="1:23" x14ac:dyDescent="0.25">
      <c r="A630" s="19" t="s">
        <v>539</v>
      </c>
      <c r="B630" s="20" t="s">
        <v>7</v>
      </c>
      <c r="C630" s="20" t="s">
        <v>427</v>
      </c>
      <c r="D630" s="18" t="s">
        <v>252</v>
      </c>
      <c r="E630" s="18" t="s">
        <v>1652</v>
      </c>
      <c r="F630" s="18">
        <v>5.94</v>
      </c>
      <c r="G630" s="23">
        <v>1.82</v>
      </c>
      <c r="H630" s="20">
        <v>6.71</v>
      </c>
      <c r="I630" s="25">
        <v>7.0604209097080792</v>
      </c>
      <c r="J630" s="24">
        <f>G630/F630*((100-H630)/100)*((100-I630)/100)*100</f>
        <v>26.565667789001125</v>
      </c>
      <c r="K630" s="53">
        <v>4.7023809523809526</v>
      </c>
      <c r="L630" s="54">
        <f>J630*10000/K630</f>
        <v>56494.078336103652</v>
      </c>
      <c r="M630" s="55">
        <v>51.5</v>
      </c>
      <c r="N630" s="55">
        <v>18</v>
      </c>
      <c r="O630" s="56">
        <v>1.0121</v>
      </c>
      <c r="P630" s="55">
        <v>11.7</v>
      </c>
      <c r="Q630" s="17" t="s">
        <v>424</v>
      </c>
      <c r="R630" s="17" t="s">
        <v>424</v>
      </c>
      <c r="S630" s="17" t="s">
        <v>424</v>
      </c>
      <c r="T630" s="17" t="s">
        <v>424</v>
      </c>
      <c r="U630" s="17" t="s">
        <v>424</v>
      </c>
      <c r="V630" s="17" t="s">
        <v>424</v>
      </c>
      <c r="W630" s="17" t="s">
        <v>424</v>
      </c>
    </row>
    <row r="631" spans="1:23" x14ac:dyDescent="0.25">
      <c r="A631" s="19" t="s">
        <v>538</v>
      </c>
      <c r="B631" s="20" t="s">
        <v>7</v>
      </c>
      <c r="C631" s="20" t="s">
        <v>427</v>
      </c>
      <c r="D631" s="18" t="s">
        <v>206</v>
      </c>
      <c r="E631" s="18" t="s">
        <v>1533</v>
      </c>
      <c r="F631" s="18">
        <v>5.94</v>
      </c>
      <c r="G631" s="23">
        <v>2.2599999999999998</v>
      </c>
      <c r="H631" s="20">
        <v>6.71</v>
      </c>
      <c r="I631" s="25">
        <v>4.8919068736141922</v>
      </c>
      <c r="J631" s="24">
        <f>G631/F631*((100-H631)/100)*((100-I631)/100)*100</f>
        <v>33.757833093499663</v>
      </c>
      <c r="K631" s="53">
        <v>5.4503464203233261</v>
      </c>
      <c r="L631" s="54">
        <f>J631*10000/K631</f>
        <v>61937.041226632849</v>
      </c>
      <c r="M631" s="55">
        <v>53.5</v>
      </c>
      <c r="N631" s="55">
        <v>16.3</v>
      </c>
      <c r="O631" s="56">
        <v>1.7681</v>
      </c>
      <c r="P631" s="55">
        <v>17.399999999999999</v>
      </c>
      <c r="Q631" s="17" t="s">
        <v>424</v>
      </c>
      <c r="R631" s="17" t="s">
        <v>424</v>
      </c>
      <c r="S631" s="17" t="s">
        <v>424</v>
      </c>
      <c r="T631" s="17" t="s">
        <v>424</v>
      </c>
      <c r="U631" s="17" t="s">
        <v>424</v>
      </c>
      <c r="V631" s="17" t="s">
        <v>424</v>
      </c>
      <c r="W631" s="17" t="s">
        <v>424</v>
      </c>
    </row>
    <row r="632" spans="1:23" x14ac:dyDescent="0.25">
      <c r="A632" s="19" t="s">
        <v>537</v>
      </c>
      <c r="B632" s="20" t="s">
        <v>7</v>
      </c>
      <c r="C632" s="20" t="s">
        <v>427</v>
      </c>
      <c r="D632" s="18" t="s">
        <v>43</v>
      </c>
      <c r="E632" s="18" t="s">
        <v>1502</v>
      </c>
      <c r="F632" s="18">
        <v>5.94</v>
      </c>
      <c r="G632" s="23">
        <v>1.76</v>
      </c>
      <c r="H632" s="20">
        <v>6.71</v>
      </c>
      <c r="I632" s="25">
        <v>5.7682104146138204</v>
      </c>
      <c r="J632" s="24">
        <f>G632/F632*((100-H632)/100)*((100-I632)/100)*100</f>
        <v>26.047062667913117</v>
      </c>
      <c r="K632" s="53">
        <v>5.2039691289966923</v>
      </c>
      <c r="L632" s="54">
        <f>J632*10000/K632</f>
        <v>50052.300508044915</v>
      </c>
      <c r="M632" s="55">
        <v>48.2</v>
      </c>
      <c r="N632" s="55">
        <v>21.7</v>
      </c>
      <c r="O632" s="56">
        <v>7.9715999999999996</v>
      </c>
      <c r="P632" s="55">
        <v>63.2</v>
      </c>
      <c r="Q632" s="17" t="s">
        <v>424</v>
      </c>
      <c r="R632" s="17" t="s">
        <v>424</v>
      </c>
      <c r="S632" s="17" t="s">
        <v>424</v>
      </c>
      <c r="T632" s="17" t="s">
        <v>424</v>
      </c>
      <c r="U632" s="17" t="s">
        <v>424</v>
      </c>
      <c r="V632" s="17" t="s">
        <v>424</v>
      </c>
      <c r="W632" s="17" t="s">
        <v>424</v>
      </c>
    </row>
    <row r="633" spans="1:23" x14ac:dyDescent="0.25">
      <c r="A633" s="19" t="s">
        <v>536</v>
      </c>
      <c r="B633" s="20" t="s">
        <v>7</v>
      </c>
      <c r="C633" s="20" t="s">
        <v>427</v>
      </c>
      <c r="D633" s="18" t="s">
        <v>15</v>
      </c>
      <c r="E633" s="18" t="s">
        <v>1648</v>
      </c>
      <c r="F633" s="18">
        <v>5.94</v>
      </c>
      <c r="G633" s="23">
        <v>1.8</v>
      </c>
      <c r="H633" s="20">
        <v>6.71</v>
      </c>
      <c r="I633" s="25">
        <v>7.2478823717436525</v>
      </c>
      <c r="J633" s="24">
        <f>G633/F633*((100-H633)/100)*((100-I633)/100)*100</f>
        <v>26.220742586484956</v>
      </c>
      <c r="K633" s="53">
        <v>5.1265822784810124</v>
      </c>
      <c r="L633" s="54">
        <f>J633*10000/K633</f>
        <v>51146.633687217574</v>
      </c>
      <c r="M633" s="55">
        <v>51</v>
      </c>
      <c r="N633" s="55">
        <v>17.5</v>
      </c>
      <c r="O633" s="56">
        <v>1.8913</v>
      </c>
      <c r="P633" s="55">
        <v>21.3</v>
      </c>
      <c r="Q633" s="17" t="s">
        <v>424</v>
      </c>
      <c r="R633" s="17" t="s">
        <v>424</v>
      </c>
      <c r="S633" s="17" t="s">
        <v>424</v>
      </c>
      <c r="T633" s="17" t="s">
        <v>424</v>
      </c>
      <c r="U633" s="17" t="s">
        <v>424</v>
      </c>
      <c r="V633" s="17" t="s">
        <v>424</v>
      </c>
      <c r="W633" s="17" t="s">
        <v>424</v>
      </c>
    </row>
    <row r="634" spans="1:23" x14ac:dyDescent="0.25">
      <c r="A634" s="19" t="s">
        <v>535</v>
      </c>
      <c r="B634" s="20" t="s">
        <v>7</v>
      </c>
      <c r="C634" s="20" t="s">
        <v>427</v>
      </c>
      <c r="D634" s="18" t="s">
        <v>50</v>
      </c>
      <c r="E634" s="18" t="s">
        <v>1758</v>
      </c>
      <c r="F634" s="18">
        <v>5.94</v>
      </c>
      <c r="G634" s="23">
        <v>1.68</v>
      </c>
      <c r="H634" s="20">
        <v>6.71</v>
      </c>
      <c r="I634" s="25">
        <v>9.3613445378151265</v>
      </c>
      <c r="J634" s="24">
        <f>G634/F634*((100-H634)/100)*((100-I634)/100)*100</f>
        <v>23.915055020796196</v>
      </c>
      <c r="K634" s="53">
        <v>4.9469214437367306</v>
      </c>
      <c r="L634" s="54">
        <f>J634*10000/K634</f>
        <v>48343.308647188875</v>
      </c>
      <c r="M634" s="55">
        <v>51.4</v>
      </c>
      <c r="N634" s="55">
        <v>18</v>
      </c>
      <c r="O634" s="56">
        <v>1.8638999999999999</v>
      </c>
      <c r="P634" s="55">
        <v>14.6</v>
      </c>
      <c r="Q634" s="17" t="s">
        <v>424</v>
      </c>
      <c r="R634" s="17" t="s">
        <v>424</v>
      </c>
      <c r="S634" s="17" t="s">
        <v>424</v>
      </c>
      <c r="T634" s="17" t="s">
        <v>424</v>
      </c>
      <c r="U634" s="17" t="s">
        <v>424</v>
      </c>
      <c r="V634" s="17" t="s">
        <v>424</v>
      </c>
      <c r="W634" s="17" t="s">
        <v>424</v>
      </c>
    </row>
    <row r="635" spans="1:23" x14ac:dyDescent="0.25">
      <c r="A635" s="19" t="s">
        <v>325</v>
      </c>
      <c r="B635" s="20" t="s">
        <v>7</v>
      </c>
      <c r="C635" s="20" t="s">
        <v>13</v>
      </c>
      <c r="D635" s="18" t="s">
        <v>286</v>
      </c>
      <c r="E635" s="18" t="s">
        <v>1556</v>
      </c>
      <c r="F635" s="18">
        <v>5.94</v>
      </c>
      <c r="G635" s="23">
        <v>2.67</v>
      </c>
      <c r="H635" s="17">
        <v>6.92</v>
      </c>
      <c r="I635" s="25">
        <v>16.031722502223527</v>
      </c>
      <c r="J635" s="24">
        <f>G635/F635*((100-H635)/100)*((100-I635)/100)*100</f>
        <v>35.131479140650498</v>
      </c>
      <c r="K635" s="53">
        <v>5.0372736954206605</v>
      </c>
      <c r="L635" s="54">
        <f>J635*10000/K635</f>
        <v>69743.042099515471</v>
      </c>
      <c r="M635" s="55">
        <v>52.4</v>
      </c>
      <c r="N635" s="55">
        <v>17</v>
      </c>
      <c r="O635" s="56">
        <v>2.3654999999999999</v>
      </c>
      <c r="P635" s="55">
        <v>14.3</v>
      </c>
      <c r="Q635" s="17" t="s">
        <v>424</v>
      </c>
      <c r="R635" s="17" t="s">
        <v>424</v>
      </c>
      <c r="S635" s="17" t="s">
        <v>424</v>
      </c>
      <c r="T635" s="17" t="s">
        <v>424</v>
      </c>
      <c r="U635" s="17" t="s">
        <v>424</v>
      </c>
      <c r="V635" s="17" t="s">
        <v>424</v>
      </c>
      <c r="W635" s="17" t="s">
        <v>424</v>
      </c>
    </row>
    <row r="636" spans="1:23" x14ac:dyDescent="0.25">
      <c r="A636" s="19" t="s">
        <v>326</v>
      </c>
      <c r="B636" s="20" t="s">
        <v>7</v>
      </c>
      <c r="C636" s="20" t="s">
        <v>13</v>
      </c>
      <c r="D636" s="18" t="s">
        <v>54</v>
      </c>
      <c r="E636" s="18" t="s">
        <v>1730</v>
      </c>
      <c r="F636" s="18">
        <v>5.94</v>
      </c>
      <c r="G636" s="23">
        <v>2.3199999999999998</v>
      </c>
      <c r="H636" s="17">
        <v>6.92</v>
      </c>
      <c r="I636" s="25">
        <v>9.6465517241379288</v>
      </c>
      <c r="J636" s="24">
        <f>G636/F636*((100-H636)/100)*((100-I636)/100)*100</f>
        <v>32.847524579124574</v>
      </c>
      <c r="K636" s="53">
        <v>4.9637305699481864</v>
      </c>
      <c r="L636" s="54">
        <f>J636*10000/K636</f>
        <v>66175.075613476438</v>
      </c>
      <c r="M636" s="55">
        <v>53.1</v>
      </c>
      <c r="N636" s="55">
        <v>16.899999999999999</v>
      </c>
      <c r="O636" s="56">
        <v>-0.25341999999999998</v>
      </c>
      <c r="P636" s="55">
        <v>14.3</v>
      </c>
      <c r="Q636" s="17" t="s">
        <v>424</v>
      </c>
      <c r="R636" s="17" t="s">
        <v>424</v>
      </c>
      <c r="S636" s="17" t="s">
        <v>424</v>
      </c>
      <c r="T636" s="17" t="s">
        <v>424</v>
      </c>
      <c r="U636" s="17" t="s">
        <v>424</v>
      </c>
      <c r="V636" s="17" t="s">
        <v>424</v>
      </c>
      <c r="W636" s="17" t="s">
        <v>424</v>
      </c>
    </row>
    <row r="637" spans="1:23" x14ac:dyDescent="0.25">
      <c r="A637" s="19" t="s">
        <v>327</v>
      </c>
      <c r="B637" s="20" t="s">
        <v>7</v>
      </c>
      <c r="C637" s="20" t="s">
        <v>13</v>
      </c>
      <c r="D637" s="18" t="s">
        <v>274</v>
      </c>
      <c r="E637" s="18" t="s">
        <v>1580</v>
      </c>
      <c r="F637" s="18">
        <v>5.94</v>
      </c>
      <c r="G637" s="23">
        <v>1.87</v>
      </c>
      <c r="H637" s="17">
        <v>6.92</v>
      </c>
      <c r="I637" s="25">
        <v>15.290563866513228</v>
      </c>
      <c r="J637" s="24">
        <f>G637/F637*((100-H637)/100)*((100-I637)/100)*100</f>
        <v>24.822374696330396</v>
      </c>
      <c r="K637" s="53">
        <v>5.2290502793296092</v>
      </c>
      <c r="L637" s="54">
        <f>J637*10000/K637</f>
        <v>47470.139643623297</v>
      </c>
      <c r="M637" s="55">
        <v>48.9</v>
      </c>
      <c r="N637" s="55">
        <v>17.5</v>
      </c>
      <c r="O637" s="56">
        <v>5.3212999999999999</v>
      </c>
      <c r="P637" s="55">
        <v>25.5</v>
      </c>
      <c r="Q637" s="17" t="s">
        <v>424</v>
      </c>
      <c r="R637" s="17" t="s">
        <v>424</v>
      </c>
      <c r="S637" s="17" t="s">
        <v>424</v>
      </c>
      <c r="T637" s="17" t="s">
        <v>424</v>
      </c>
      <c r="U637" s="17" t="s">
        <v>424</v>
      </c>
      <c r="V637" s="17" t="s">
        <v>424</v>
      </c>
      <c r="W637" s="17" t="s">
        <v>424</v>
      </c>
    </row>
    <row r="638" spans="1:23" x14ac:dyDescent="0.25">
      <c r="A638" s="19" t="s">
        <v>328</v>
      </c>
      <c r="B638" s="20" t="s">
        <v>7</v>
      </c>
      <c r="C638" s="20" t="s">
        <v>13</v>
      </c>
      <c r="D638" s="18" t="s">
        <v>173</v>
      </c>
      <c r="E638" s="18" t="s">
        <v>1720</v>
      </c>
      <c r="F638" s="18">
        <v>5.94</v>
      </c>
      <c r="G638" s="23">
        <v>2.38</v>
      </c>
      <c r="H638" s="17">
        <v>6.92</v>
      </c>
      <c r="I638" s="25">
        <v>7.5166508087535711</v>
      </c>
      <c r="J638" s="24">
        <f>G638/F638*((100-H638)/100)*((100-I638)/100)*100</f>
        <v>34.491369258714641</v>
      </c>
      <c r="K638" s="53">
        <v>4.5333333333333332</v>
      </c>
      <c r="L638" s="54">
        <f>J638*10000/K638</f>
        <v>76083.902776576419</v>
      </c>
      <c r="M638" s="55">
        <v>52.3</v>
      </c>
      <c r="N638" s="55">
        <v>17.5</v>
      </c>
      <c r="O638" s="56">
        <v>2.085</v>
      </c>
      <c r="P638" s="55">
        <v>9.8000000000000007</v>
      </c>
      <c r="Q638" s="17" t="s">
        <v>424</v>
      </c>
      <c r="R638" s="17" t="s">
        <v>424</v>
      </c>
      <c r="S638" s="17" t="s">
        <v>424</v>
      </c>
      <c r="T638" s="17" t="s">
        <v>424</v>
      </c>
      <c r="U638" s="17" t="s">
        <v>424</v>
      </c>
      <c r="V638" s="17" t="s">
        <v>424</v>
      </c>
      <c r="W638" s="17" t="s">
        <v>424</v>
      </c>
    </row>
    <row r="639" spans="1:23" x14ac:dyDescent="0.25">
      <c r="A639" s="19" t="s">
        <v>329</v>
      </c>
      <c r="B639" s="20" t="s">
        <v>7</v>
      </c>
      <c r="C639" s="20" t="s">
        <v>13</v>
      </c>
      <c r="D639" s="18" t="s">
        <v>273</v>
      </c>
      <c r="E639" s="18" t="s">
        <v>1539</v>
      </c>
      <c r="F639" s="18">
        <v>5.94</v>
      </c>
      <c r="G639" s="23">
        <v>2.66</v>
      </c>
      <c r="H639" s="17">
        <v>6.92</v>
      </c>
      <c r="I639" s="25">
        <v>12.131663792457079</v>
      </c>
      <c r="J639" s="24">
        <f>G639/F639*((100-H639)/100)*((100-I639)/100)*100</f>
        <v>36.62553433159416</v>
      </c>
      <c r="K639" s="53">
        <v>5.0862068965517242</v>
      </c>
      <c r="L639" s="54">
        <f>J639*10000/K639</f>
        <v>72009.52512652411</v>
      </c>
      <c r="M639" s="55">
        <v>49.8</v>
      </c>
      <c r="N639" s="55">
        <v>17.2</v>
      </c>
      <c r="O639" s="56">
        <v>0.79759000000000002</v>
      </c>
      <c r="P639" s="55">
        <v>14.8</v>
      </c>
      <c r="Q639" s="17" t="s">
        <v>424</v>
      </c>
      <c r="R639" s="17" t="s">
        <v>424</v>
      </c>
      <c r="S639" s="17" t="s">
        <v>424</v>
      </c>
      <c r="T639" s="17" t="s">
        <v>424</v>
      </c>
      <c r="U639" s="17" t="s">
        <v>424</v>
      </c>
      <c r="V639" s="17" t="s">
        <v>424</v>
      </c>
      <c r="W639" s="17" t="s">
        <v>424</v>
      </c>
    </row>
    <row r="640" spans="1:23" x14ac:dyDescent="0.25">
      <c r="A640" s="19" t="s">
        <v>330</v>
      </c>
      <c r="B640" s="20" t="s">
        <v>7</v>
      </c>
      <c r="C640" s="20" t="s">
        <v>13</v>
      </c>
      <c r="D640" s="18" t="s">
        <v>41</v>
      </c>
      <c r="E640" s="18" t="s">
        <v>1660</v>
      </c>
      <c r="F640" s="18">
        <v>5.94</v>
      </c>
      <c r="G640" s="23">
        <v>1.81</v>
      </c>
      <c r="H640" s="17">
        <v>6.92</v>
      </c>
      <c r="I640" s="25">
        <v>14.478686402976617</v>
      </c>
      <c r="J640" s="24">
        <f>G640/F640*((100-H640)/100)*((100-I640)/100)*100</f>
        <v>24.256205730632647</v>
      </c>
      <c r="K640" s="53">
        <v>5.7659831121833536</v>
      </c>
      <c r="L640" s="54">
        <f>J640*10000/K640</f>
        <v>42067.771026557457</v>
      </c>
      <c r="M640" s="55">
        <v>52.8</v>
      </c>
      <c r="N640" s="55">
        <v>16.899999999999999</v>
      </c>
      <c r="O640" s="56">
        <v>5.2934999999999999</v>
      </c>
      <c r="P640" s="55">
        <v>22.5</v>
      </c>
      <c r="Q640" s="17" t="s">
        <v>424</v>
      </c>
      <c r="R640" s="17" t="s">
        <v>424</v>
      </c>
      <c r="S640" s="17" t="s">
        <v>424</v>
      </c>
      <c r="T640" s="17" t="s">
        <v>424</v>
      </c>
      <c r="U640" s="17" t="s">
        <v>424</v>
      </c>
      <c r="V640" s="17" t="s">
        <v>424</v>
      </c>
      <c r="W640" s="17" t="s">
        <v>424</v>
      </c>
    </row>
    <row r="641" spans="1:23" x14ac:dyDescent="0.25">
      <c r="A641" s="19" t="s">
        <v>546</v>
      </c>
      <c r="B641" s="20" t="s">
        <v>7</v>
      </c>
      <c r="C641" s="20" t="s">
        <v>427</v>
      </c>
      <c r="D641" s="18" t="s">
        <v>247</v>
      </c>
      <c r="E641" s="18" t="s">
        <v>1704</v>
      </c>
      <c r="F641" s="18">
        <v>5.94</v>
      </c>
      <c r="G641" s="23">
        <v>1.86</v>
      </c>
      <c r="H641" s="20">
        <v>6.71</v>
      </c>
      <c r="I641" s="25">
        <v>5.4585963609357657</v>
      </c>
      <c r="J641" s="24">
        <f>G641/F641*((100-H641)/100)*((100-I641)/100)*100</f>
        <v>27.617453930316909</v>
      </c>
      <c r="K641" s="53">
        <v>4.8837209302325579</v>
      </c>
      <c r="L641" s="54">
        <f>J641*10000/K641</f>
        <v>56550.024714458428</v>
      </c>
      <c r="M641" s="55">
        <v>54</v>
      </c>
      <c r="N641" s="55">
        <v>16.399999999999999</v>
      </c>
      <c r="O641" s="56">
        <v>0.37280000000000002</v>
      </c>
      <c r="P641" s="55">
        <v>13.1</v>
      </c>
      <c r="Q641" s="17" t="s">
        <v>424</v>
      </c>
      <c r="R641" s="17" t="s">
        <v>424</v>
      </c>
      <c r="S641" s="17" t="s">
        <v>424</v>
      </c>
      <c r="T641" s="17" t="s">
        <v>424</v>
      </c>
      <c r="U641" s="17" t="s">
        <v>424</v>
      </c>
      <c r="V641" s="17" t="s">
        <v>424</v>
      </c>
      <c r="W641" s="17" t="s">
        <v>424</v>
      </c>
    </row>
    <row r="642" spans="1:23" x14ac:dyDescent="0.25">
      <c r="A642" s="19" t="s">
        <v>545</v>
      </c>
      <c r="B642" s="20" t="s">
        <v>7</v>
      </c>
      <c r="C642" s="20" t="s">
        <v>427</v>
      </c>
      <c r="D642" s="18" t="s">
        <v>181</v>
      </c>
      <c r="E642" s="18" t="s">
        <v>1494</v>
      </c>
      <c r="F642" s="18">
        <v>5.94</v>
      </c>
      <c r="G642" s="23">
        <v>1.61</v>
      </c>
      <c r="H642" s="20">
        <v>6.71</v>
      </c>
      <c r="I642" s="25">
        <v>10.106592972759582</v>
      </c>
      <c r="J642" s="24">
        <f>G642/F642*((100-H642)/100)*((100-I642)/100)*100</f>
        <v>22.730153309646003</v>
      </c>
      <c r="K642" s="53">
        <v>5.1270718232044201</v>
      </c>
      <c r="L642" s="54">
        <f>J642*10000/K642</f>
        <v>44333.59643368455</v>
      </c>
      <c r="M642" s="55">
        <v>47.8</v>
      </c>
      <c r="N642" s="55">
        <v>20.2</v>
      </c>
      <c r="O642" s="56">
        <v>20.98</v>
      </c>
      <c r="P642" s="55">
        <v>49.6</v>
      </c>
      <c r="Q642" s="17" t="s">
        <v>424</v>
      </c>
      <c r="R642" s="17" t="s">
        <v>424</v>
      </c>
      <c r="S642" s="17" t="s">
        <v>424</v>
      </c>
      <c r="T642" s="17" t="s">
        <v>424</v>
      </c>
      <c r="U642" s="17" t="s">
        <v>424</v>
      </c>
      <c r="V642" s="17" t="s">
        <v>424</v>
      </c>
      <c r="W642" s="17" t="s">
        <v>424</v>
      </c>
    </row>
    <row r="643" spans="1:23" x14ac:dyDescent="0.25">
      <c r="A643" s="19" t="s">
        <v>544</v>
      </c>
      <c r="B643" s="20" t="s">
        <v>7</v>
      </c>
      <c r="C643" s="20" t="s">
        <v>427</v>
      </c>
      <c r="D643" s="18" t="s">
        <v>36</v>
      </c>
      <c r="E643" s="18" t="s">
        <v>1523</v>
      </c>
      <c r="F643" s="18">
        <v>5.94</v>
      </c>
      <c r="G643" s="23">
        <v>1.5</v>
      </c>
      <c r="H643" s="20">
        <v>6.71</v>
      </c>
      <c r="I643" s="25">
        <v>9.9123767798466496</v>
      </c>
      <c r="J643" s="24">
        <f>G643/F643*((100-H643)/100)*((100-I643)/100)*100</f>
        <v>21.22291507628309</v>
      </c>
      <c r="K643" s="53">
        <v>4.770173646578141</v>
      </c>
      <c r="L643" s="54">
        <f>J643*10000/K643</f>
        <v>44490.86479589111</v>
      </c>
      <c r="M643" s="55">
        <v>49</v>
      </c>
      <c r="N643" s="55">
        <v>19.399999999999999</v>
      </c>
      <c r="O643" s="56">
        <v>7.2450000000000001</v>
      </c>
      <c r="P643" s="55">
        <v>59.5</v>
      </c>
      <c r="Q643" s="17" t="s">
        <v>424</v>
      </c>
      <c r="R643" s="17" t="s">
        <v>424</v>
      </c>
      <c r="S643" s="17" t="s">
        <v>424</v>
      </c>
      <c r="T643" s="17" t="s">
        <v>424</v>
      </c>
      <c r="U643" s="17" t="s">
        <v>424</v>
      </c>
      <c r="V643" s="17" t="s">
        <v>424</v>
      </c>
      <c r="W643" s="17" t="s">
        <v>424</v>
      </c>
    </row>
    <row r="644" spans="1:23" x14ac:dyDescent="0.25">
      <c r="A644" s="19" t="s">
        <v>543</v>
      </c>
      <c r="B644" s="20" t="s">
        <v>7</v>
      </c>
      <c r="C644" s="20" t="s">
        <v>427</v>
      </c>
      <c r="D644" s="18" t="s">
        <v>260</v>
      </c>
      <c r="E644" s="18" t="s">
        <v>1740</v>
      </c>
      <c r="F644" s="18">
        <v>5.94</v>
      </c>
      <c r="G644" s="23">
        <v>1.85</v>
      </c>
      <c r="H644" s="20">
        <v>6.71</v>
      </c>
      <c r="I644" s="25">
        <v>7.0074021854071189</v>
      </c>
      <c r="J644" s="24">
        <f>G644/F644*((100-H644)/100)*((100-I644)/100)*100</f>
        <v>27.018967984390969</v>
      </c>
      <c r="K644" s="53">
        <v>4.4090056285178241</v>
      </c>
      <c r="L644" s="54">
        <f>J644*10000/K644</f>
        <v>61281.31887523568</v>
      </c>
      <c r="M644" s="55">
        <v>54.5</v>
      </c>
      <c r="N644" s="55">
        <v>16.7</v>
      </c>
      <c r="O644" s="56">
        <v>1.6412</v>
      </c>
      <c r="P644" s="55">
        <v>14.8</v>
      </c>
      <c r="Q644" s="17" t="s">
        <v>424</v>
      </c>
      <c r="R644" s="17" t="s">
        <v>424</v>
      </c>
      <c r="S644" s="17" t="s">
        <v>424</v>
      </c>
      <c r="T644" s="17" t="s">
        <v>424</v>
      </c>
      <c r="U644" s="17" t="s">
        <v>424</v>
      </c>
      <c r="V644" s="17" t="s">
        <v>424</v>
      </c>
      <c r="W644" s="17" t="s">
        <v>424</v>
      </c>
    </row>
    <row r="645" spans="1:23" x14ac:dyDescent="0.25">
      <c r="A645" s="19" t="s">
        <v>542</v>
      </c>
      <c r="B645" s="20" t="s">
        <v>7</v>
      </c>
      <c r="C645" s="20" t="s">
        <v>427</v>
      </c>
      <c r="D645" s="18" t="s">
        <v>61</v>
      </c>
      <c r="E645" s="18" t="s">
        <v>1676</v>
      </c>
      <c r="F645" s="18">
        <v>5.94</v>
      </c>
      <c r="G645" s="23">
        <v>2.4700000000000002</v>
      </c>
      <c r="H645" s="20">
        <v>6.71</v>
      </c>
      <c r="I645" s="25">
        <v>6.8600633458105396</v>
      </c>
      <c r="J645" s="24">
        <f>G645/F645*((100-H645)/100)*((100-I645)/100)*100</f>
        <v>36.131129605150264</v>
      </c>
      <c r="K645" s="53">
        <v>4.3539325842696632</v>
      </c>
      <c r="L645" s="54">
        <f>J645*10000/K645</f>
        <v>82985.046060861248</v>
      </c>
      <c r="M645" s="55">
        <v>52</v>
      </c>
      <c r="N645" s="55">
        <v>16.8</v>
      </c>
      <c r="O645" s="56">
        <v>0.80681999999999998</v>
      </c>
      <c r="P645" s="55">
        <v>23.2</v>
      </c>
      <c r="Q645" s="17" t="s">
        <v>424</v>
      </c>
      <c r="R645" s="17" t="s">
        <v>424</v>
      </c>
      <c r="S645" s="17" t="s">
        <v>424</v>
      </c>
      <c r="T645" s="17" t="s">
        <v>424</v>
      </c>
      <c r="U645" s="17" t="s">
        <v>424</v>
      </c>
      <c r="V645" s="17" t="s">
        <v>424</v>
      </c>
      <c r="W645" s="17" t="s">
        <v>424</v>
      </c>
    </row>
    <row r="646" spans="1:23" x14ac:dyDescent="0.25">
      <c r="A646" s="19" t="s">
        <v>541</v>
      </c>
      <c r="B646" s="20" t="s">
        <v>7</v>
      </c>
      <c r="C646" s="20" t="s">
        <v>427</v>
      </c>
      <c r="D646" s="18" t="s">
        <v>73</v>
      </c>
      <c r="E646" s="18" t="s">
        <v>1640</v>
      </c>
      <c r="F646" s="18">
        <v>5.94</v>
      </c>
      <c r="G646" s="23">
        <v>1.85</v>
      </c>
      <c r="H646" s="20">
        <v>6.71</v>
      </c>
      <c r="I646" s="25">
        <v>7.4828941621779013</v>
      </c>
      <c r="J646" s="24">
        <f>G646/F646*((100-H646)/100)*((100-I646)/100)*100</f>
        <v>26.880813950638526</v>
      </c>
      <c r="K646" s="53">
        <v>4.7519841269841274</v>
      </c>
      <c r="L646" s="54">
        <f>J646*10000/K646</f>
        <v>56567.558376291505</v>
      </c>
      <c r="M646" s="55">
        <v>56.6</v>
      </c>
      <c r="N646" s="55">
        <v>15.9</v>
      </c>
      <c r="O646" s="56">
        <v>3.9669000000000003E-2</v>
      </c>
      <c r="P646" s="55">
        <v>13.6</v>
      </c>
      <c r="Q646" s="17" t="s">
        <v>424</v>
      </c>
      <c r="R646" s="17" t="s">
        <v>424</v>
      </c>
      <c r="S646" s="17" t="s">
        <v>424</v>
      </c>
      <c r="T646" s="17" t="s">
        <v>424</v>
      </c>
      <c r="U646" s="17" t="s">
        <v>424</v>
      </c>
      <c r="V646" s="17" t="s">
        <v>424</v>
      </c>
      <c r="W646" s="17" t="s">
        <v>424</v>
      </c>
    </row>
    <row r="647" spans="1:23" x14ac:dyDescent="0.25">
      <c r="A647" s="19" t="s">
        <v>331</v>
      </c>
      <c r="B647" s="20" t="s">
        <v>7</v>
      </c>
      <c r="C647" s="20" t="s">
        <v>13</v>
      </c>
      <c r="D647" s="18" t="s">
        <v>242</v>
      </c>
      <c r="E647" s="18" t="s">
        <v>1458</v>
      </c>
      <c r="F647" s="18">
        <v>5.94</v>
      </c>
      <c r="G647" s="23">
        <v>1.97</v>
      </c>
      <c r="H647" s="17">
        <v>6.92</v>
      </c>
      <c r="I647" s="25">
        <v>26.698661278100541</v>
      </c>
      <c r="J647" s="24">
        <f>G647/F647*((100-H647)/100)*((100-I647)/100)*100</f>
        <v>22.628098582864929</v>
      </c>
      <c r="K647" s="53">
        <v>4.6956521739130439</v>
      </c>
      <c r="L647" s="54">
        <f>J647*10000/K647</f>
        <v>48189.469204249377</v>
      </c>
      <c r="M647" s="55">
        <v>48.1</v>
      </c>
      <c r="N647" s="55">
        <v>19.600000000000001</v>
      </c>
      <c r="O647" s="56">
        <v>47.36</v>
      </c>
      <c r="P647" s="55">
        <v>64.8</v>
      </c>
      <c r="Q647" s="17" t="s">
        <v>424</v>
      </c>
      <c r="R647" s="17" t="s">
        <v>424</v>
      </c>
      <c r="S647" s="17" t="s">
        <v>424</v>
      </c>
      <c r="T647" s="17" t="s">
        <v>424</v>
      </c>
      <c r="U647" s="17" t="s">
        <v>424</v>
      </c>
      <c r="V647" s="17" t="s">
        <v>424</v>
      </c>
      <c r="W647" s="17" t="s">
        <v>424</v>
      </c>
    </row>
    <row r="648" spans="1:23" x14ac:dyDescent="0.25">
      <c r="A648" s="19" t="s">
        <v>332</v>
      </c>
      <c r="B648" s="20" t="s">
        <v>7</v>
      </c>
      <c r="C648" s="20" t="s">
        <v>13</v>
      </c>
      <c r="D648" s="18" t="s">
        <v>101</v>
      </c>
      <c r="E648" s="18" t="s">
        <v>1792</v>
      </c>
      <c r="F648" s="18">
        <v>5.94</v>
      </c>
      <c r="G648" s="23">
        <v>2.61</v>
      </c>
      <c r="H648" s="17">
        <v>6.92</v>
      </c>
      <c r="I648" s="25">
        <v>13.972687292647182</v>
      </c>
      <c r="J648" s="24">
        <f>G648/F648*((100-H648)/100)*((100-I648)/100)*100</f>
        <v>35.184128142001761</v>
      </c>
      <c r="K648" s="53">
        <v>4.949596774193548</v>
      </c>
      <c r="L648" s="54">
        <f>J648*10000/K648</f>
        <v>71084.837305225548</v>
      </c>
      <c r="M648" s="55">
        <v>52.6</v>
      </c>
      <c r="N648" s="55">
        <v>16.100000000000001</v>
      </c>
      <c r="O648" s="56">
        <v>8.4419999999999995E-2</v>
      </c>
      <c r="P648" s="55">
        <v>11.6</v>
      </c>
      <c r="Q648" s="17" t="s">
        <v>424</v>
      </c>
      <c r="R648" s="17" t="s">
        <v>424</v>
      </c>
      <c r="S648" s="17" t="s">
        <v>424</v>
      </c>
      <c r="T648" s="17" t="s">
        <v>424</v>
      </c>
      <c r="U648" s="17" t="s">
        <v>424</v>
      </c>
      <c r="V648" s="17" t="s">
        <v>424</v>
      </c>
      <c r="W648" s="17" t="s">
        <v>424</v>
      </c>
    </row>
    <row r="649" spans="1:23" x14ac:dyDescent="0.25">
      <c r="A649" s="19" t="s">
        <v>333</v>
      </c>
      <c r="B649" s="20" t="s">
        <v>7</v>
      </c>
      <c r="C649" s="20" t="s">
        <v>13</v>
      </c>
      <c r="D649" s="18" t="s">
        <v>205</v>
      </c>
      <c r="E649" s="18" t="s">
        <v>1492</v>
      </c>
      <c r="F649" s="18">
        <v>5.94</v>
      </c>
      <c r="G649" s="23">
        <v>2</v>
      </c>
      <c r="H649" s="17">
        <v>6.92</v>
      </c>
      <c r="I649" s="25">
        <v>21.943517098258585</v>
      </c>
      <c r="J649" s="24">
        <f>G649/F649*((100-H649)/100)*((100-I649)/100)*100</f>
        <v>24.462954304693906</v>
      </c>
      <c r="K649" s="53">
        <v>5.2120535714285712</v>
      </c>
      <c r="L649" s="54">
        <f>J649*10000/K649</f>
        <v>46935.347017142907</v>
      </c>
      <c r="M649" s="55">
        <v>50.6</v>
      </c>
      <c r="N649" s="55">
        <v>18.3</v>
      </c>
      <c r="O649" s="56">
        <v>30.181999999999999</v>
      </c>
      <c r="P649" s="55">
        <v>43.4</v>
      </c>
      <c r="Q649" s="17" t="s">
        <v>424</v>
      </c>
      <c r="R649" s="17" t="s">
        <v>424</v>
      </c>
      <c r="S649" s="17" t="s">
        <v>424</v>
      </c>
      <c r="T649" s="17" t="s">
        <v>424</v>
      </c>
      <c r="U649" s="17" t="s">
        <v>424</v>
      </c>
      <c r="V649" s="17" t="s">
        <v>424</v>
      </c>
      <c r="W649" s="17" t="s">
        <v>424</v>
      </c>
    </row>
    <row r="650" spans="1:23" x14ac:dyDescent="0.25">
      <c r="A650" s="19" t="s">
        <v>334</v>
      </c>
      <c r="B650" s="20" t="s">
        <v>7</v>
      </c>
      <c r="C650" s="20" t="s">
        <v>13</v>
      </c>
      <c r="D650" s="18" t="s">
        <v>67</v>
      </c>
      <c r="E650" s="18" t="s">
        <v>1490</v>
      </c>
      <c r="F650" s="18">
        <v>5.94</v>
      </c>
      <c r="G650" s="23">
        <v>2.2200000000000002</v>
      </c>
      <c r="H650" s="17">
        <v>6.92</v>
      </c>
      <c r="I650" s="25">
        <v>18.083354995234373</v>
      </c>
      <c r="J650" s="24">
        <f>G650/F650*((100-H650)/100)*((100-I650)/100)*100</f>
        <v>28.496732195011383</v>
      </c>
      <c r="K650" s="53">
        <v>5.3575482406356416</v>
      </c>
      <c r="L650" s="54">
        <f>J650*10000/K650</f>
        <v>53189.87513518014</v>
      </c>
      <c r="M650" s="55">
        <v>49.2</v>
      </c>
      <c r="N650" s="55">
        <v>20.100000000000001</v>
      </c>
      <c r="O650" s="56">
        <v>5.4927000000000001</v>
      </c>
      <c r="P650" s="55">
        <v>44.6</v>
      </c>
      <c r="Q650" s="17" t="s">
        <v>424</v>
      </c>
      <c r="R650" s="17" t="s">
        <v>424</v>
      </c>
      <c r="S650" s="17" t="s">
        <v>424</v>
      </c>
      <c r="T650" s="17" t="s">
        <v>424</v>
      </c>
      <c r="U650" s="17" t="s">
        <v>424</v>
      </c>
      <c r="V650" s="17" t="s">
        <v>424</v>
      </c>
      <c r="W650" s="17" t="s">
        <v>424</v>
      </c>
    </row>
    <row r="651" spans="1:23" x14ac:dyDescent="0.25">
      <c r="A651" s="19" t="s">
        <v>335</v>
      </c>
      <c r="B651" s="20" t="s">
        <v>7</v>
      </c>
      <c r="C651" s="20" t="s">
        <v>13</v>
      </c>
      <c r="D651" s="18" t="s">
        <v>49</v>
      </c>
      <c r="E651" s="18" t="s">
        <v>1554</v>
      </c>
      <c r="F651" s="18">
        <v>5.94</v>
      </c>
      <c r="G651" s="23">
        <v>2.12</v>
      </c>
      <c r="H651" s="17">
        <v>6.92</v>
      </c>
      <c r="I651" s="25">
        <v>25.541951023685272</v>
      </c>
      <c r="J651" s="24">
        <f>G651/F651*((100-H651)/100)*((100-I651)/100)*100</f>
        <v>24.735314850633998</v>
      </c>
      <c r="K651" s="53">
        <v>5.2625820568927786</v>
      </c>
      <c r="L651" s="54">
        <f>J651*10000/K651</f>
        <v>47002.240693304528</v>
      </c>
      <c r="M651" s="55">
        <v>52</v>
      </c>
      <c r="N651" s="55">
        <v>17.8</v>
      </c>
      <c r="O651" s="56">
        <v>4.3623000000000003</v>
      </c>
      <c r="P651" s="55">
        <v>23.2</v>
      </c>
      <c r="Q651" s="17" t="s">
        <v>424</v>
      </c>
      <c r="R651" s="17" t="s">
        <v>424</v>
      </c>
      <c r="S651" s="17" t="s">
        <v>424</v>
      </c>
      <c r="T651" s="17" t="s">
        <v>424</v>
      </c>
      <c r="U651" s="17" t="s">
        <v>424</v>
      </c>
      <c r="V651" s="17" t="s">
        <v>424</v>
      </c>
      <c r="W651" s="17" t="s">
        <v>424</v>
      </c>
    </row>
    <row r="652" spans="1:23" x14ac:dyDescent="0.25">
      <c r="A652" s="19" t="s">
        <v>336</v>
      </c>
      <c r="B652" s="20" t="s">
        <v>7</v>
      </c>
      <c r="C652" s="20" t="s">
        <v>13</v>
      </c>
      <c r="D652" s="18" t="s">
        <v>88</v>
      </c>
      <c r="E652" s="18" t="s">
        <v>1506</v>
      </c>
      <c r="F652" s="18">
        <v>5.94</v>
      </c>
      <c r="G652" s="23">
        <v>1.57</v>
      </c>
      <c r="H652" s="17">
        <v>6.92</v>
      </c>
      <c r="I652" s="25">
        <v>17.63857251328777</v>
      </c>
      <c r="J652" s="24">
        <f>G652/F652*((100-H652)/100)*((100-I652)/100)*100</f>
        <v>20.262519566712434</v>
      </c>
      <c r="K652" s="53">
        <v>5.6445993031358883</v>
      </c>
      <c r="L652" s="54">
        <f>J652*10000/K652</f>
        <v>35897.179726212773</v>
      </c>
      <c r="M652" s="55">
        <v>48.4</v>
      </c>
      <c r="N652" s="55">
        <v>20.5</v>
      </c>
      <c r="O652" s="56">
        <v>3.7101999999999999</v>
      </c>
      <c r="P652" s="55">
        <v>52.4</v>
      </c>
      <c r="Q652" s="17" t="s">
        <v>424</v>
      </c>
      <c r="R652" s="17" t="s">
        <v>424</v>
      </c>
      <c r="S652" s="17" t="s">
        <v>424</v>
      </c>
      <c r="T652" s="17" t="s">
        <v>424</v>
      </c>
      <c r="U652" s="17" t="s">
        <v>424</v>
      </c>
      <c r="V652" s="17" t="s">
        <v>424</v>
      </c>
      <c r="W652" s="17" t="s">
        <v>424</v>
      </c>
    </row>
    <row r="653" spans="1:23" x14ac:dyDescent="0.25">
      <c r="A653" s="19" t="s">
        <v>552</v>
      </c>
      <c r="B653" s="20" t="s">
        <v>7</v>
      </c>
      <c r="C653" s="20" t="s">
        <v>427</v>
      </c>
      <c r="D653" s="18" t="s">
        <v>222</v>
      </c>
      <c r="E653" s="18" t="s">
        <v>1700</v>
      </c>
      <c r="F653" s="18">
        <v>5.94</v>
      </c>
      <c r="G653" s="23">
        <v>1.66</v>
      </c>
      <c r="H653" s="20">
        <v>6.71</v>
      </c>
      <c r="I653" s="25">
        <v>17.198982475975129</v>
      </c>
      <c r="J653" s="24">
        <f>G653/F653*((100-H653)/100)*((100-I653)/100)*100</f>
        <v>21.587005884166704</v>
      </c>
      <c r="K653" s="53">
        <v>3.5565819861431871</v>
      </c>
      <c r="L653" s="54">
        <f>J653*10000/K653</f>
        <v>60695.932128858331</v>
      </c>
      <c r="M653" s="55">
        <v>49.9</v>
      </c>
      <c r="N653" s="55">
        <v>20.5</v>
      </c>
      <c r="O653" s="56">
        <v>42.692999999999998</v>
      </c>
      <c r="P653" s="55">
        <v>58.9</v>
      </c>
      <c r="Q653" s="17" t="s">
        <v>424</v>
      </c>
      <c r="R653" s="17" t="s">
        <v>424</v>
      </c>
      <c r="S653" s="17" t="s">
        <v>424</v>
      </c>
      <c r="T653" s="17" t="s">
        <v>424</v>
      </c>
      <c r="U653" s="17" t="s">
        <v>424</v>
      </c>
      <c r="V653" s="17" t="s">
        <v>424</v>
      </c>
      <c r="W653" s="17" t="s">
        <v>424</v>
      </c>
    </row>
    <row r="654" spans="1:23" x14ac:dyDescent="0.25">
      <c r="A654" s="19" t="s">
        <v>551</v>
      </c>
      <c r="B654" s="20" t="s">
        <v>7</v>
      </c>
      <c r="C654" s="20" t="s">
        <v>427</v>
      </c>
      <c r="D654" s="18" t="s">
        <v>246</v>
      </c>
      <c r="E654" s="18" t="s">
        <v>1616</v>
      </c>
      <c r="F654" s="18">
        <v>5.94</v>
      </c>
      <c r="G654" s="23">
        <v>1.93</v>
      </c>
      <c r="H654" s="20">
        <v>6.71</v>
      </c>
      <c r="I654" s="25">
        <v>11.393589643609131</v>
      </c>
      <c r="J654" s="24">
        <f>G654/F654*((100-H654)/100)*((100-I654)/100)*100</f>
        <v>26.8578410820624</v>
      </c>
      <c r="K654" s="53">
        <v>4.2386464826357972</v>
      </c>
      <c r="L654" s="54">
        <f>J654*10000/K654</f>
        <v>63364.192300748051</v>
      </c>
      <c r="M654" s="55">
        <v>51.3</v>
      </c>
      <c r="N654" s="55">
        <v>17.5</v>
      </c>
      <c r="O654" s="56">
        <v>5.6351000000000004</v>
      </c>
      <c r="P654" s="55">
        <v>22.4</v>
      </c>
      <c r="Q654" s="17" t="s">
        <v>424</v>
      </c>
      <c r="R654" s="17" t="s">
        <v>424</v>
      </c>
      <c r="S654" s="17" t="s">
        <v>424</v>
      </c>
      <c r="T654" s="17" t="s">
        <v>424</v>
      </c>
      <c r="U654" s="17" t="s">
        <v>424</v>
      </c>
      <c r="V654" s="17" t="s">
        <v>424</v>
      </c>
      <c r="W654" s="17" t="s">
        <v>424</v>
      </c>
    </row>
    <row r="655" spans="1:23" s="63" customFormat="1" x14ac:dyDescent="0.25">
      <c r="A655" s="19" t="s">
        <v>550</v>
      </c>
      <c r="B655" s="20" t="s">
        <v>7</v>
      </c>
      <c r="C655" s="20" t="s">
        <v>427</v>
      </c>
      <c r="D655" s="18" t="s">
        <v>174</v>
      </c>
      <c r="E655" s="18" t="s">
        <v>1696</v>
      </c>
      <c r="F655" s="18">
        <v>5.94</v>
      </c>
      <c r="G655" s="23">
        <v>1.24</v>
      </c>
      <c r="H655" s="20">
        <v>6.71</v>
      </c>
      <c r="I655" s="25">
        <v>11.396561715279113</v>
      </c>
      <c r="J655" s="24">
        <f>G655/F655*((100-H655)/100)*((100-I655)/100)*100</f>
        <v>17.255236194278112</v>
      </c>
      <c r="K655" s="53">
        <v>5.1354279523293611</v>
      </c>
      <c r="L655" s="54">
        <f>J655*10000/K655</f>
        <v>33600.38609138965</v>
      </c>
      <c r="M655" s="55">
        <v>47.7</v>
      </c>
      <c r="N655" s="55">
        <v>21.7</v>
      </c>
      <c r="O655" s="56">
        <v>48.412999999999997</v>
      </c>
      <c r="P655" s="55">
        <v>71.2</v>
      </c>
      <c r="Q655" s="17" t="s">
        <v>424</v>
      </c>
      <c r="R655" s="17" t="s">
        <v>424</v>
      </c>
      <c r="S655" s="17" t="s">
        <v>424</v>
      </c>
      <c r="T655" s="17" t="s">
        <v>424</v>
      </c>
      <c r="U655" s="17" t="s">
        <v>424</v>
      </c>
      <c r="V655" s="17" t="s">
        <v>424</v>
      </c>
      <c r="W655" s="17" t="s">
        <v>424</v>
      </c>
    </row>
    <row r="656" spans="1:23" x14ac:dyDescent="0.25">
      <c r="A656" s="19" t="s">
        <v>549</v>
      </c>
      <c r="B656" s="20" t="s">
        <v>7</v>
      </c>
      <c r="C656" s="20" t="s">
        <v>427</v>
      </c>
      <c r="D656" s="18" t="s">
        <v>266</v>
      </c>
      <c r="E656" s="18" t="s">
        <v>1486</v>
      </c>
      <c r="F656" s="18">
        <v>5.94</v>
      </c>
      <c r="G656" s="23">
        <v>1.62</v>
      </c>
      <c r="H656" s="20">
        <v>6.71</v>
      </c>
      <c r="I656" s="25">
        <v>8.7513340448239028</v>
      </c>
      <c r="J656" s="24">
        <f>G656/F656*((100-H656)/100)*((100-I656)/100)*100</f>
        <v>23.216149218977392</v>
      </c>
      <c r="K656" s="53">
        <v>5.7882069795427196</v>
      </c>
      <c r="L656" s="54">
        <f>J656*10000/K656</f>
        <v>40109.397091414161</v>
      </c>
      <c r="M656" s="55">
        <v>48.9</v>
      </c>
      <c r="N656" s="55">
        <v>19.5</v>
      </c>
      <c r="O656" s="56">
        <v>31.913</v>
      </c>
      <c r="P656" s="55">
        <v>58.7</v>
      </c>
      <c r="Q656" s="17" t="s">
        <v>424</v>
      </c>
      <c r="R656" s="17" t="s">
        <v>424</v>
      </c>
      <c r="S656" s="17" t="s">
        <v>424</v>
      </c>
      <c r="T656" s="17" t="s">
        <v>424</v>
      </c>
      <c r="U656" s="17" t="s">
        <v>424</v>
      </c>
      <c r="V656" s="17" t="s">
        <v>424</v>
      </c>
      <c r="W656" s="17" t="s">
        <v>424</v>
      </c>
    </row>
    <row r="657" spans="1:23" x14ac:dyDescent="0.25">
      <c r="A657" s="19" t="s">
        <v>548</v>
      </c>
      <c r="B657" s="20" t="s">
        <v>7</v>
      </c>
      <c r="C657" s="20" t="s">
        <v>427</v>
      </c>
      <c r="D657" s="18" t="s">
        <v>58</v>
      </c>
      <c r="E657" s="18" t="s">
        <v>1778</v>
      </c>
      <c r="F657" s="18">
        <v>5.94</v>
      </c>
      <c r="G657" s="23">
        <v>2.21</v>
      </c>
      <c r="H657" s="20">
        <v>6.71</v>
      </c>
      <c r="I657" s="25">
        <v>6.3386524822695121</v>
      </c>
      <c r="J657" s="24">
        <f>G657/F657*((100-H657)/100)*((100-I657)/100)*100</f>
        <v>32.508828809668785</v>
      </c>
      <c r="K657" s="53">
        <v>5.2934407364787113</v>
      </c>
      <c r="L657" s="54">
        <f>J657*10000/K657</f>
        <v>61413.417903482987</v>
      </c>
      <c r="M657" s="55">
        <v>52</v>
      </c>
      <c r="N657" s="55">
        <v>18.2</v>
      </c>
      <c r="O657" s="56">
        <v>3.0467</v>
      </c>
      <c r="P657" s="55">
        <v>18.3</v>
      </c>
      <c r="Q657" s="17" t="s">
        <v>424</v>
      </c>
      <c r="R657" s="17" t="s">
        <v>424</v>
      </c>
      <c r="S657" s="17" t="s">
        <v>424</v>
      </c>
      <c r="T657" s="17" t="s">
        <v>424</v>
      </c>
      <c r="U657" s="17" t="s">
        <v>424</v>
      </c>
      <c r="V657" s="17" t="s">
        <v>424</v>
      </c>
      <c r="W657" s="17" t="s">
        <v>424</v>
      </c>
    </row>
    <row r="658" spans="1:23" x14ac:dyDescent="0.25">
      <c r="A658" s="19" t="s">
        <v>547</v>
      </c>
      <c r="B658" s="20" t="s">
        <v>7</v>
      </c>
      <c r="C658" s="20" t="s">
        <v>427</v>
      </c>
      <c r="D658" s="18" t="s">
        <v>40</v>
      </c>
      <c r="E658" s="18" t="s">
        <v>1590</v>
      </c>
      <c r="F658" s="18">
        <v>5.94</v>
      </c>
      <c r="G658" s="23">
        <v>1.77</v>
      </c>
      <c r="H658" s="20">
        <v>6.71</v>
      </c>
      <c r="I658" s="25">
        <v>4.4892381277758755</v>
      </c>
      <c r="J658" s="24">
        <f>G658/F658*((100-H658)/100)*((100-I658)/100)*100</f>
        <v>26.550592905481192</v>
      </c>
      <c r="K658" s="53">
        <v>5.047219307450157</v>
      </c>
      <c r="L658" s="54">
        <f>J658*10000/K658</f>
        <v>52604.397170319295</v>
      </c>
      <c r="M658" s="55">
        <v>51</v>
      </c>
      <c r="N658" s="55">
        <v>17.5</v>
      </c>
      <c r="O658" s="56">
        <v>0.98675000000000002</v>
      </c>
      <c r="P658" s="55">
        <v>20.6</v>
      </c>
      <c r="Q658" s="17" t="s">
        <v>424</v>
      </c>
      <c r="R658" s="17" t="s">
        <v>424</v>
      </c>
      <c r="S658" s="17" t="s">
        <v>424</v>
      </c>
      <c r="T658" s="17" t="s">
        <v>424</v>
      </c>
      <c r="U658" s="17" t="s">
        <v>424</v>
      </c>
      <c r="V658" s="17" t="s">
        <v>424</v>
      </c>
      <c r="W658" s="17" t="s">
        <v>424</v>
      </c>
    </row>
    <row r="659" spans="1:23" x14ac:dyDescent="0.25">
      <c r="A659" s="19" t="s">
        <v>337</v>
      </c>
      <c r="B659" s="20" t="s">
        <v>7</v>
      </c>
      <c r="C659" s="20" t="s">
        <v>13</v>
      </c>
      <c r="D659" s="18" t="s">
        <v>192</v>
      </c>
      <c r="E659" s="18" t="s">
        <v>1744</v>
      </c>
      <c r="F659" s="18">
        <v>5.94</v>
      </c>
      <c r="G659" s="23">
        <v>2.67</v>
      </c>
      <c r="H659" s="17">
        <v>6.92</v>
      </c>
      <c r="I659" s="25">
        <v>16.059234251515388</v>
      </c>
      <c r="J659" s="24">
        <f>G659/F659*((100-H659)/100)*((100-I659)/100)*100</f>
        <v>35.119968502643246</v>
      </c>
      <c r="K659" s="53">
        <v>5.1803278688524594</v>
      </c>
      <c r="L659" s="54">
        <f>J659*10000/K659</f>
        <v>67794.875907001187</v>
      </c>
      <c r="M659" s="55">
        <v>50</v>
      </c>
      <c r="N659" s="55">
        <v>18.899999999999999</v>
      </c>
      <c r="O659" s="56">
        <v>2.4352</v>
      </c>
      <c r="P659" s="55">
        <v>14</v>
      </c>
      <c r="Q659" s="17" t="s">
        <v>424</v>
      </c>
      <c r="R659" s="17" t="s">
        <v>424</v>
      </c>
      <c r="S659" s="17" t="s">
        <v>424</v>
      </c>
      <c r="T659" s="17" t="s">
        <v>424</v>
      </c>
      <c r="U659" s="17" t="s">
        <v>424</v>
      </c>
      <c r="V659" s="17" t="s">
        <v>424</v>
      </c>
      <c r="W659" s="17" t="s">
        <v>424</v>
      </c>
    </row>
    <row r="660" spans="1:23" x14ac:dyDescent="0.25">
      <c r="A660" s="19" t="s">
        <v>338</v>
      </c>
      <c r="B660" s="20" t="s">
        <v>7</v>
      </c>
      <c r="C660" s="20" t="s">
        <v>13</v>
      </c>
      <c r="D660" s="18" t="s">
        <v>92</v>
      </c>
      <c r="E660" s="18" t="s">
        <v>1748</v>
      </c>
      <c r="F660" s="18">
        <v>5.94</v>
      </c>
      <c r="G660" s="23">
        <v>2.2999999999999998</v>
      </c>
      <c r="H660" s="17">
        <v>6.92</v>
      </c>
      <c r="I660" s="25">
        <v>13.024889296075729</v>
      </c>
      <c r="J660" s="24">
        <f>G660/F660*((100-H660)/100)*((100-I660)/100)*100</f>
        <v>31.346767003264176</v>
      </c>
      <c r="K660" s="53">
        <v>5.1655629139072845</v>
      </c>
      <c r="L660" s="54">
        <f>J660*10000/K660</f>
        <v>60684.12586529347</v>
      </c>
      <c r="M660" s="55">
        <v>50.1</v>
      </c>
      <c r="N660" s="55">
        <v>18.3</v>
      </c>
      <c r="O660" s="56">
        <v>2.7942999999999998</v>
      </c>
      <c r="P660" s="55">
        <v>11.7</v>
      </c>
      <c r="Q660" s="17" t="s">
        <v>424</v>
      </c>
      <c r="R660" s="17" t="s">
        <v>424</v>
      </c>
      <c r="S660" s="17" t="s">
        <v>424</v>
      </c>
      <c r="T660" s="17" t="s">
        <v>424</v>
      </c>
      <c r="U660" s="17" t="s">
        <v>424</v>
      </c>
      <c r="V660" s="17" t="s">
        <v>424</v>
      </c>
      <c r="W660" s="17" t="s">
        <v>424</v>
      </c>
    </row>
    <row r="661" spans="1:23" x14ac:dyDescent="0.25">
      <c r="A661" s="19" t="s">
        <v>339</v>
      </c>
      <c r="B661" s="20" t="s">
        <v>7</v>
      </c>
      <c r="C661" s="20" t="s">
        <v>13</v>
      </c>
      <c r="D661" s="18" t="s">
        <v>44</v>
      </c>
      <c r="E661" s="18" t="s">
        <v>1782</v>
      </c>
      <c r="F661" s="18">
        <v>5.94</v>
      </c>
      <c r="G661" s="23">
        <v>2.04</v>
      </c>
      <c r="H661" s="17">
        <v>6.92</v>
      </c>
      <c r="I661" s="25">
        <v>10.613740934258743</v>
      </c>
      <c r="J661" s="24">
        <f>G661/F661*((100-H661)/100)*((100-I661)/100)*100</f>
        <v>28.573988059649764</v>
      </c>
      <c r="K661" s="53">
        <v>4.3796992481203008</v>
      </c>
      <c r="L661" s="54">
        <f>J661*10000/K661</f>
        <v>65241.895483835506</v>
      </c>
      <c r="M661" s="55">
        <v>53.7</v>
      </c>
      <c r="N661" s="55">
        <v>16.2</v>
      </c>
      <c r="O661" s="56">
        <v>0.44929999999999998</v>
      </c>
      <c r="P661" s="55">
        <v>15.5</v>
      </c>
      <c r="Q661" s="17" t="s">
        <v>424</v>
      </c>
      <c r="R661" s="17" t="s">
        <v>424</v>
      </c>
      <c r="S661" s="17" t="s">
        <v>424</v>
      </c>
      <c r="T661" s="17" t="s">
        <v>424</v>
      </c>
      <c r="U661" s="17" t="s">
        <v>424</v>
      </c>
      <c r="V661" s="17" t="s">
        <v>424</v>
      </c>
      <c r="W661" s="17" t="s">
        <v>424</v>
      </c>
    </row>
    <row r="662" spans="1:23" x14ac:dyDescent="0.25">
      <c r="A662" s="19" t="s">
        <v>340</v>
      </c>
      <c r="B662" s="20" t="s">
        <v>7</v>
      </c>
      <c r="C662" s="20" t="s">
        <v>13</v>
      </c>
      <c r="D662" s="18" t="s">
        <v>170</v>
      </c>
      <c r="E662" s="73" t="s">
        <v>1803</v>
      </c>
      <c r="F662" s="18">
        <v>5.94</v>
      </c>
      <c r="G662" s="23">
        <v>2.59</v>
      </c>
      <c r="H662" s="17">
        <v>6.92</v>
      </c>
      <c r="I662" s="25">
        <v>10.939303023309495</v>
      </c>
      <c r="J662" s="24">
        <f>G662/F662*((100-H662)/100)*((100-I662)/100)*100</f>
        <v>36.145628715806417</v>
      </c>
      <c r="K662" s="53">
        <v>5.2444444444444445</v>
      </c>
      <c r="L662" s="54">
        <f>J662*10000/K662</f>
        <v>68921.749669969868</v>
      </c>
      <c r="M662" s="55">
        <v>50.8</v>
      </c>
      <c r="N662" s="55">
        <v>17.2</v>
      </c>
      <c r="O662" s="56">
        <v>-0.49019000000000001</v>
      </c>
      <c r="P662" s="55">
        <v>21.3</v>
      </c>
      <c r="Q662" s="17" t="s">
        <v>424</v>
      </c>
      <c r="R662" s="17" t="s">
        <v>424</v>
      </c>
      <c r="S662" s="17" t="s">
        <v>424</v>
      </c>
      <c r="T662" s="17" t="s">
        <v>424</v>
      </c>
      <c r="U662" s="17" t="s">
        <v>424</v>
      </c>
      <c r="V662" s="17" t="s">
        <v>424</v>
      </c>
      <c r="W662" s="17" t="s">
        <v>424</v>
      </c>
    </row>
    <row r="663" spans="1:23" x14ac:dyDescent="0.25">
      <c r="A663" s="19" t="s">
        <v>341</v>
      </c>
      <c r="B663" s="20" t="s">
        <v>7</v>
      </c>
      <c r="C663" s="20" t="s">
        <v>13</v>
      </c>
      <c r="D663" s="18" t="s">
        <v>158</v>
      </c>
      <c r="E663" s="18" t="s">
        <v>1670</v>
      </c>
      <c r="F663" s="18">
        <v>5.94</v>
      </c>
      <c r="G663" s="23">
        <v>1.98</v>
      </c>
      <c r="H663" s="17">
        <v>6.92</v>
      </c>
      <c r="I663" s="25">
        <v>11.165932898132692</v>
      </c>
      <c r="J663" s="24">
        <f>G663/F663*((100-H663)/100)*((100-I663)/100)*100</f>
        <v>27.562249886139362</v>
      </c>
      <c r="K663" s="53">
        <v>5.1893095768374167</v>
      </c>
      <c r="L663" s="54">
        <f>J663*10000/K663</f>
        <v>53113.520166852242</v>
      </c>
      <c r="M663" s="55">
        <v>51.6</v>
      </c>
      <c r="N663" s="55">
        <v>17.899999999999999</v>
      </c>
      <c r="O663" s="56">
        <v>6.0411999999999999</v>
      </c>
      <c r="P663" s="55">
        <v>17.899999999999999</v>
      </c>
      <c r="Q663" s="17" t="s">
        <v>424</v>
      </c>
      <c r="R663" s="17" t="s">
        <v>424</v>
      </c>
      <c r="S663" s="17" t="s">
        <v>424</v>
      </c>
      <c r="T663" s="17" t="s">
        <v>424</v>
      </c>
      <c r="U663" s="17" t="s">
        <v>424</v>
      </c>
      <c r="V663" s="17" t="s">
        <v>424</v>
      </c>
      <c r="W663" s="17" t="s">
        <v>424</v>
      </c>
    </row>
    <row r="664" spans="1:23" x14ac:dyDescent="0.25">
      <c r="A664" s="19" t="s">
        <v>342</v>
      </c>
      <c r="B664" s="20" t="s">
        <v>7</v>
      </c>
      <c r="C664" s="20" t="s">
        <v>13</v>
      </c>
      <c r="D664" s="18" t="s">
        <v>287</v>
      </c>
      <c r="E664" s="18" t="s">
        <v>1594</v>
      </c>
      <c r="F664" s="18">
        <v>5.94</v>
      </c>
      <c r="G664" s="23">
        <v>1.98</v>
      </c>
      <c r="H664" s="17">
        <v>6.92</v>
      </c>
      <c r="I664" s="25">
        <v>10.765742704600296</v>
      </c>
      <c r="J664" s="24">
        <f>G664/F664*((100-H664)/100)*((100-I664)/100)*100</f>
        <v>27.686415563519347</v>
      </c>
      <c r="K664" s="53">
        <v>4.5454545454545459</v>
      </c>
      <c r="L664" s="54">
        <f>J664*10000/K664</f>
        <v>60910.114239742557</v>
      </c>
      <c r="M664" s="55">
        <v>53.2</v>
      </c>
      <c r="N664" s="55">
        <v>17</v>
      </c>
      <c r="O664" s="56">
        <v>-0.59370000000000001</v>
      </c>
      <c r="P664" s="55">
        <v>11.3</v>
      </c>
      <c r="Q664" s="17" t="s">
        <v>424</v>
      </c>
      <c r="R664" s="17" t="s">
        <v>424</v>
      </c>
      <c r="S664" s="17" t="s">
        <v>424</v>
      </c>
      <c r="T664" s="17" t="s">
        <v>424</v>
      </c>
      <c r="U664" s="17" t="s">
        <v>424</v>
      </c>
      <c r="V664" s="17" t="s">
        <v>424</v>
      </c>
      <c r="W664" s="17" t="s">
        <v>424</v>
      </c>
    </row>
    <row r="665" spans="1:23" x14ac:dyDescent="0.25">
      <c r="A665" s="19" t="s">
        <v>558</v>
      </c>
      <c r="B665" s="20" t="s">
        <v>7</v>
      </c>
      <c r="C665" s="20" t="s">
        <v>427</v>
      </c>
      <c r="D665" s="18" t="s">
        <v>276</v>
      </c>
      <c r="E665" s="18" t="s">
        <v>1742</v>
      </c>
      <c r="F665" s="18">
        <v>5.94</v>
      </c>
      <c r="G665" s="23">
        <v>2.39</v>
      </c>
      <c r="H665" s="20">
        <v>6.71</v>
      </c>
      <c r="I665" s="25">
        <v>6.5882352941176521</v>
      </c>
      <c r="J665" s="24">
        <f>G665/F665*((100-H665)/100)*((100-I665)/100)*100</f>
        <v>35.062923628441276</v>
      </c>
      <c r="K665" s="53">
        <v>4.7638190954773867</v>
      </c>
      <c r="L665" s="54">
        <f>J665*10000/K665</f>
        <v>73602.550654639388</v>
      </c>
      <c r="M665" s="55">
        <v>52.5</v>
      </c>
      <c r="N665" s="55">
        <v>17.3</v>
      </c>
      <c r="O665" s="56">
        <v>2.3176999999999999</v>
      </c>
      <c r="P665" s="55">
        <v>12.2</v>
      </c>
      <c r="Q665" s="17" t="s">
        <v>424</v>
      </c>
      <c r="R665" s="17" t="s">
        <v>424</v>
      </c>
      <c r="S665" s="17" t="s">
        <v>424</v>
      </c>
      <c r="T665" s="17" t="s">
        <v>424</v>
      </c>
      <c r="U665" s="17" t="s">
        <v>424</v>
      </c>
      <c r="V665" s="17" t="s">
        <v>424</v>
      </c>
      <c r="W665" s="17" t="s">
        <v>424</v>
      </c>
    </row>
    <row r="666" spans="1:23" x14ac:dyDescent="0.25">
      <c r="A666" s="19" t="s">
        <v>557</v>
      </c>
      <c r="B666" s="20" t="s">
        <v>7</v>
      </c>
      <c r="C666" s="20" t="s">
        <v>427</v>
      </c>
      <c r="D666" s="18" t="s">
        <v>82</v>
      </c>
      <c r="E666" s="18" t="s">
        <v>1760</v>
      </c>
      <c r="F666" s="18">
        <v>5.94</v>
      </c>
      <c r="G666" s="23">
        <v>2.65</v>
      </c>
      <c r="H666" s="20">
        <v>6.71</v>
      </c>
      <c r="I666" s="25">
        <v>7.6399942121255986</v>
      </c>
      <c r="J666" s="24">
        <f>G666/F666*((100-H666)/100)*((100-I666)/100)*100</f>
        <v>38.439565809544824</v>
      </c>
      <c r="K666" s="53">
        <v>5.5321637426900585</v>
      </c>
      <c r="L666" s="54">
        <f>J666*10000/K666</f>
        <v>69483.78174875438</v>
      </c>
      <c r="M666" s="55">
        <v>52.7</v>
      </c>
      <c r="N666" s="55">
        <v>16.899999999999999</v>
      </c>
      <c r="O666" s="56">
        <v>3.0179</v>
      </c>
      <c r="P666" s="55">
        <v>12</v>
      </c>
      <c r="Q666" s="17" t="s">
        <v>424</v>
      </c>
      <c r="R666" s="17" t="s">
        <v>424</v>
      </c>
      <c r="S666" s="17" t="s">
        <v>424</v>
      </c>
      <c r="T666" s="17" t="s">
        <v>424</v>
      </c>
      <c r="U666" s="17" t="s">
        <v>424</v>
      </c>
      <c r="V666" s="17" t="s">
        <v>424</v>
      </c>
      <c r="W666" s="17" t="s">
        <v>424</v>
      </c>
    </row>
    <row r="667" spans="1:23" x14ac:dyDescent="0.25">
      <c r="A667" s="19" t="s">
        <v>556</v>
      </c>
      <c r="B667" s="20" t="s">
        <v>7</v>
      </c>
      <c r="C667" s="20" t="s">
        <v>427</v>
      </c>
      <c r="D667" s="18" t="s">
        <v>164</v>
      </c>
      <c r="E667" s="18" t="s">
        <v>1488</v>
      </c>
      <c r="F667" s="18">
        <v>5.94</v>
      </c>
      <c r="G667" s="23">
        <v>1.32</v>
      </c>
      <c r="H667" s="20">
        <v>6.71</v>
      </c>
      <c r="I667" s="25">
        <v>15.506558300474769</v>
      </c>
      <c r="J667" s="24">
        <f>G667/F667*((100-H667)/100)*((100-I667)/100)*100</f>
        <v>17.516429280330467</v>
      </c>
      <c r="K667" s="53">
        <v>4.572769953051643</v>
      </c>
      <c r="L667" s="54">
        <f>J667*10000/K667</f>
        <v>38305.949042201129</v>
      </c>
      <c r="M667" s="55">
        <v>50.5</v>
      </c>
      <c r="N667" s="55">
        <v>18.600000000000001</v>
      </c>
      <c r="O667" s="56">
        <v>39.649000000000001</v>
      </c>
      <c r="P667" s="55">
        <v>56.7</v>
      </c>
      <c r="Q667" s="17" t="s">
        <v>424</v>
      </c>
      <c r="R667" s="17" t="s">
        <v>424</v>
      </c>
      <c r="S667" s="17" t="s">
        <v>424</v>
      </c>
      <c r="T667" s="17" t="s">
        <v>424</v>
      </c>
      <c r="U667" s="17" t="s">
        <v>424</v>
      </c>
      <c r="V667" s="17" t="s">
        <v>424</v>
      </c>
      <c r="W667" s="17" t="s">
        <v>424</v>
      </c>
    </row>
    <row r="668" spans="1:23" x14ac:dyDescent="0.25">
      <c r="A668" s="19" t="s">
        <v>555</v>
      </c>
      <c r="B668" s="20" t="s">
        <v>7</v>
      </c>
      <c r="C668" s="20" t="s">
        <v>427</v>
      </c>
      <c r="D668" s="18" t="s">
        <v>219</v>
      </c>
      <c r="E668" s="18" t="s">
        <v>1560</v>
      </c>
      <c r="F668" s="18">
        <v>5.94</v>
      </c>
      <c r="G668" s="23">
        <v>2.3199999999999998</v>
      </c>
      <c r="H668" s="20">
        <v>6.71</v>
      </c>
      <c r="I668" s="25">
        <v>8.4962587496982884</v>
      </c>
      <c r="J668" s="24">
        <f>G668/F668*((100-H668)/100)*((100-I668)/100)*100</f>
        <v>33.340759140199154</v>
      </c>
      <c r="K668" s="53">
        <v>4.6305418719211824</v>
      </c>
      <c r="L668" s="54">
        <f>J668*10000/K668</f>
        <v>72001.852185749231</v>
      </c>
      <c r="M668" s="55">
        <v>51.7</v>
      </c>
      <c r="N668" s="55">
        <v>17</v>
      </c>
      <c r="O668" s="56">
        <v>2.6492</v>
      </c>
      <c r="P668" s="55">
        <v>14.1</v>
      </c>
      <c r="Q668" s="17" t="s">
        <v>424</v>
      </c>
      <c r="R668" s="17" t="s">
        <v>424</v>
      </c>
      <c r="S668" s="17" t="s">
        <v>424</v>
      </c>
      <c r="T668" s="17" t="s">
        <v>424</v>
      </c>
      <c r="U668" s="17" t="s">
        <v>424</v>
      </c>
      <c r="V668" s="17" t="s">
        <v>424</v>
      </c>
      <c r="W668" s="17" t="s">
        <v>424</v>
      </c>
    </row>
    <row r="669" spans="1:23" x14ac:dyDescent="0.25">
      <c r="A669" s="19" t="s">
        <v>554</v>
      </c>
      <c r="B669" s="20" t="s">
        <v>7</v>
      </c>
      <c r="C669" s="20" t="s">
        <v>427</v>
      </c>
      <c r="D669" s="18" t="s">
        <v>200</v>
      </c>
      <c r="E669" s="18" t="s">
        <v>1608</v>
      </c>
      <c r="F669" s="18">
        <v>5.94</v>
      </c>
      <c r="G669" s="23">
        <v>2.12</v>
      </c>
      <c r="H669" s="20">
        <v>6.71</v>
      </c>
      <c r="I669" s="25">
        <v>8.7786872091157093</v>
      </c>
      <c r="J669" s="24">
        <f>G669/F669*((100-H669)/100)*((100-I669)/100)*100</f>
        <v>30.37252002180907</v>
      </c>
      <c r="K669" s="53">
        <v>5.4689265536723166</v>
      </c>
      <c r="L669" s="54">
        <f>J669*10000/K669</f>
        <v>55536.529378721119</v>
      </c>
      <c r="M669" s="55">
        <v>48.9</v>
      </c>
      <c r="N669" s="55">
        <v>18.600000000000001</v>
      </c>
      <c r="O669" s="56">
        <v>2.8209</v>
      </c>
      <c r="P669" s="55">
        <v>22.1</v>
      </c>
      <c r="Q669" s="17" t="s">
        <v>424</v>
      </c>
      <c r="R669" s="17" t="s">
        <v>424</v>
      </c>
      <c r="S669" s="17" t="s">
        <v>424</v>
      </c>
      <c r="T669" s="17" t="s">
        <v>424</v>
      </c>
      <c r="U669" s="17" t="s">
        <v>424</v>
      </c>
      <c r="V669" s="17" t="s">
        <v>424</v>
      </c>
      <c r="W669" s="17" t="s">
        <v>424</v>
      </c>
    </row>
    <row r="670" spans="1:23" x14ac:dyDescent="0.25">
      <c r="A670" s="19" t="s">
        <v>553</v>
      </c>
      <c r="B670" s="20" t="s">
        <v>7</v>
      </c>
      <c r="C670" s="20" t="s">
        <v>427</v>
      </c>
      <c r="D670" s="18" t="s">
        <v>259</v>
      </c>
      <c r="E670" s="18" t="s">
        <v>1572</v>
      </c>
      <c r="F670" s="18">
        <v>5.94</v>
      </c>
      <c r="G670" s="23">
        <v>2.19</v>
      </c>
      <c r="H670" s="20">
        <v>6.71</v>
      </c>
      <c r="I670" s="25">
        <v>11.95448653319891</v>
      </c>
      <c r="J670" s="24">
        <f>G670/F670*((100-H670)/100)*((100-I670)/100)*100</f>
        <v>30.283076487182058</v>
      </c>
      <c r="K670" s="53">
        <v>4.6930693069306928</v>
      </c>
      <c r="L670" s="54">
        <f>J670*10000/K670</f>
        <v>64527.230489565147</v>
      </c>
      <c r="M670" s="55">
        <v>51.1</v>
      </c>
      <c r="N670" s="55">
        <v>17.2</v>
      </c>
      <c r="O670" s="56">
        <v>2.3064</v>
      </c>
      <c r="P670" s="55">
        <v>18.5</v>
      </c>
      <c r="Q670" s="17" t="s">
        <v>424</v>
      </c>
      <c r="R670" s="17" t="s">
        <v>424</v>
      </c>
      <c r="S670" s="17" t="s">
        <v>424</v>
      </c>
      <c r="T670" s="17" t="s">
        <v>424</v>
      </c>
      <c r="U670" s="17" t="s">
        <v>424</v>
      </c>
      <c r="V670" s="17" t="s">
        <v>424</v>
      </c>
      <c r="W670" s="17" t="s">
        <v>424</v>
      </c>
    </row>
    <row r="671" spans="1:23" x14ac:dyDescent="0.25">
      <c r="A671" s="19" t="s">
        <v>343</v>
      </c>
      <c r="B671" s="20" t="s">
        <v>7</v>
      </c>
      <c r="C671" s="20" t="s">
        <v>13</v>
      </c>
      <c r="D671" s="18" t="s">
        <v>16</v>
      </c>
      <c r="E671" s="18" t="s">
        <v>1541</v>
      </c>
      <c r="F671" s="18">
        <v>5.94</v>
      </c>
      <c r="G671" s="23">
        <v>2.5099999999999998</v>
      </c>
      <c r="H671" s="17">
        <v>6.92</v>
      </c>
      <c r="I671" s="25">
        <v>20.576258163657318</v>
      </c>
      <c r="J671" s="24">
        <f>G671/F671*((100-H671)/100)*((100-I671)/100)*100</f>
        <v>31.238774990266343</v>
      </c>
      <c r="K671" s="53">
        <v>5.0319148936170217</v>
      </c>
      <c r="L671" s="54">
        <f>J671*10000/K671</f>
        <v>62081.286450000756</v>
      </c>
      <c r="M671" s="55">
        <v>50</v>
      </c>
      <c r="N671" s="55">
        <v>17.7</v>
      </c>
      <c r="O671" s="56">
        <v>0.38734000000000002</v>
      </c>
      <c r="P671" s="55">
        <v>13.6</v>
      </c>
      <c r="Q671" s="17" t="s">
        <v>424</v>
      </c>
      <c r="R671" s="17" t="s">
        <v>424</v>
      </c>
      <c r="S671" s="17" t="s">
        <v>424</v>
      </c>
      <c r="T671" s="17" t="s">
        <v>424</v>
      </c>
      <c r="U671" s="17" t="s">
        <v>424</v>
      </c>
      <c r="V671" s="17" t="s">
        <v>424</v>
      </c>
      <c r="W671" s="17" t="s">
        <v>424</v>
      </c>
    </row>
    <row r="672" spans="1:23" x14ac:dyDescent="0.25">
      <c r="A672" s="19" t="s">
        <v>344</v>
      </c>
      <c r="B672" s="20" t="s">
        <v>7</v>
      </c>
      <c r="C672" s="20" t="s">
        <v>13</v>
      </c>
      <c r="D672" s="18" t="s">
        <v>8</v>
      </c>
      <c r="E672" s="18" t="s">
        <v>1634</v>
      </c>
      <c r="F672" s="18">
        <v>5.94</v>
      </c>
      <c r="G672" s="23">
        <v>2.42</v>
      </c>
      <c r="H672" s="17">
        <v>6.92</v>
      </c>
      <c r="I672" s="25">
        <v>6.6778096147723653</v>
      </c>
      <c r="J672" s="24">
        <f>G672/F672*((100-H672)/100)*((100-I672)/100)*100</f>
        <v>35.389157145046987</v>
      </c>
      <c r="K672" s="53">
        <v>4.5383867832847429</v>
      </c>
      <c r="L672" s="54">
        <f>J672*10000/K672</f>
        <v>77977.393366709512</v>
      </c>
      <c r="M672" s="55">
        <v>51.2</v>
      </c>
      <c r="N672" s="55">
        <v>17.5</v>
      </c>
      <c r="O672" s="56">
        <v>-1.0021</v>
      </c>
      <c r="P672" s="55">
        <v>11.6</v>
      </c>
      <c r="Q672" s="17" t="s">
        <v>424</v>
      </c>
      <c r="R672" s="17" t="s">
        <v>424</v>
      </c>
      <c r="S672" s="17" t="s">
        <v>424</v>
      </c>
      <c r="T672" s="17" t="s">
        <v>424</v>
      </c>
      <c r="U672" s="17" t="s">
        <v>424</v>
      </c>
      <c r="V672" s="17" t="s">
        <v>424</v>
      </c>
      <c r="W672" s="17" t="s">
        <v>424</v>
      </c>
    </row>
    <row r="673" spans="1:23" x14ac:dyDescent="0.25">
      <c r="A673" s="19" t="s">
        <v>345</v>
      </c>
      <c r="B673" s="20" t="s">
        <v>7</v>
      </c>
      <c r="C673" s="20" t="s">
        <v>13</v>
      </c>
      <c r="D673" s="18" t="s">
        <v>34</v>
      </c>
      <c r="E673" s="18" t="s">
        <v>1684</v>
      </c>
      <c r="F673" s="18">
        <v>5.94</v>
      </c>
      <c r="G673" s="23">
        <v>2.27</v>
      </c>
      <c r="H673" s="17">
        <v>6.92</v>
      </c>
      <c r="I673" s="25">
        <v>10.019440705847169</v>
      </c>
      <c r="J673" s="24">
        <f>G673/F673*((100-H673)/100)*((100-I673)/100)*100</f>
        <v>32.006963538983868</v>
      </c>
      <c r="K673" s="53">
        <v>5.1441241685144128</v>
      </c>
      <c r="L673" s="54">
        <f>J673*10000/K673</f>
        <v>62220.433431386737</v>
      </c>
      <c r="M673" s="55">
        <v>49.4</v>
      </c>
      <c r="N673" s="55">
        <v>16.899999999999999</v>
      </c>
      <c r="O673" s="56">
        <v>1.7784</v>
      </c>
      <c r="P673" s="55">
        <v>15.9</v>
      </c>
      <c r="Q673" s="17" t="s">
        <v>424</v>
      </c>
      <c r="R673" s="17" t="s">
        <v>424</v>
      </c>
      <c r="S673" s="17" t="s">
        <v>424</v>
      </c>
      <c r="T673" s="17" t="s">
        <v>424</v>
      </c>
      <c r="U673" s="17" t="s">
        <v>424</v>
      </c>
      <c r="V673" s="17" t="s">
        <v>424</v>
      </c>
      <c r="W673" s="17" t="s">
        <v>424</v>
      </c>
    </row>
    <row r="674" spans="1:23" x14ac:dyDescent="0.25">
      <c r="A674" s="19" t="s">
        <v>346</v>
      </c>
      <c r="B674" s="20" t="s">
        <v>7</v>
      </c>
      <c r="C674" s="20" t="s">
        <v>13</v>
      </c>
      <c r="D674" s="18" t="s">
        <v>14</v>
      </c>
      <c r="E674" s="18" t="s">
        <v>1551</v>
      </c>
      <c r="F674" s="18">
        <v>5.94</v>
      </c>
      <c r="G674" s="23">
        <v>2.37</v>
      </c>
      <c r="H674" s="17">
        <v>6.92</v>
      </c>
      <c r="I674" s="25">
        <v>18.567942656702748</v>
      </c>
      <c r="J674" s="24">
        <f>G674/F674*((100-H674)/100)*((100-I674)/100)*100</f>
        <v>30.242221005233063</v>
      </c>
      <c r="K674" s="53">
        <v>4.716981132075472</v>
      </c>
      <c r="L674" s="54">
        <f>J674*10000/K674</f>
        <v>64113.508531094092</v>
      </c>
      <c r="M674" s="55">
        <v>48</v>
      </c>
      <c r="N674" s="55">
        <v>18.899999999999999</v>
      </c>
      <c r="O674" s="56">
        <v>2.7408000000000001</v>
      </c>
      <c r="P674" s="55">
        <v>13.7</v>
      </c>
      <c r="Q674" s="17" t="s">
        <v>424</v>
      </c>
      <c r="R674" s="17" t="s">
        <v>424</v>
      </c>
      <c r="S674" s="17" t="s">
        <v>424</v>
      </c>
      <c r="T674" s="17" t="s">
        <v>424</v>
      </c>
      <c r="U674" s="17" t="s">
        <v>424</v>
      </c>
      <c r="V674" s="17" t="s">
        <v>424</v>
      </c>
      <c r="W674" s="17" t="s">
        <v>424</v>
      </c>
    </row>
    <row r="675" spans="1:23" x14ac:dyDescent="0.25">
      <c r="A675" s="19" t="s">
        <v>347</v>
      </c>
      <c r="B675" s="20" t="s">
        <v>7</v>
      </c>
      <c r="C675" s="20" t="s">
        <v>13</v>
      </c>
      <c r="D675" s="18" t="s">
        <v>271</v>
      </c>
      <c r="E675" s="18" t="s">
        <v>1521</v>
      </c>
      <c r="F675" s="18">
        <v>5.94</v>
      </c>
      <c r="G675" s="23">
        <v>2.13</v>
      </c>
      <c r="H675" s="17">
        <v>6.92</v>
      </c>
      <c r="I675" s="25">
        <v>16.397952166271878</v>
      </c>
      <c r="J675" s="24">
        <f>G675/F675*((100-H675)/100)*((100-I675)/100)*100</f>
        <v>27.903999064535473</v>
      </c>
      <c r="K675" s="53">
        <v>4.8795811518324603</v>
      </c>
      <c r="L675" s="54">
        <f>J675*10000/K675</f>
        <v>57185.234134402104</v>
      </c>
      <c r="M675" s="55">
        <v>47.5</v>
      </c>
      <c r="N675" s="55">
        <v>19.8</v>
      </c>
      <c r="O675" s="56">
        <v>5.1058000000000003</v>
      </c>
      <c r="P675" s="55">
        <v>57.5</v>
      </c>
      <c r="Q675" s="17" t="s">
        <v>424</v>
      </c>
      <c r="R675" s="17" t="s">
        <v>424</v>
      </c>
      <c r="S675" s="17" t="s">
        <v>424</v>
      </c>
      <c r="T675" s="17" t="s">
        <v>424</v>
      </c>
      <c r="U675" s="17" t="s">
        <v>424</v>
      </c>
      <c r="V675" s="17" t="s">
        <v>424</v>
      </c>
      <c r="W675" s="17" t="s">
        <v>424</v>
      </c>
    </row>
    <row r="676" spans="1:23" x14ac:dyDescent="0.25">
      <c r="A676" s="19" t="s">
        <v>348</v>
      </c>
      <c r="B676" s="20" t="s">
        <v>7</v>
      </c>
      <c r="C676" s="20" t="s">
        <v>13</v>
      </c>
      <c r="D676" s="18" t="s">
        <v>17</v>
      </c>
      <c r="E676" s="18" t="s">
        <v>1716</v>
      </c>
      <c r="F676" s="18">
        <v>5.94</v>
      </c>
      <c r="G676" s="23">
        <v>1.97</v>
      </c>
      <c r="H676" s="17">
        <v>6.92</v>
      </c>
      <c r="I676" s="25">
        <v>9.050106688249576</v>
      </c>
      <c r="J676" s="24">
        <f>G676/F676*((100-H676)/100)*((100-I676)/100)*100</f>
        <v>28.07620144247765</v>
      </c>
      <c r="K676" s="53">
        <v>5.719557195571956</v>
      </c>
      <c r="L676" s="54">
        <f>J676*10000/K676</f>
        <v>49088.068328460919</v>
      </c>
      <c r="M676" s="55">
        <v>51.8</v>
      </c>
      <c r="N676" s="55">
        <v>17.2</v>
      </c>
      <c r="O676" s="56">
        <v>3.5232999999999999</v>
      </c>
      <c r="P676" s="55">
        <v>19.3</v>
      </c>
      <c r="Q676" s="17" t="s">
        <v>424</v>
      </c>
      <c r="R676" s="17" t="s">
        <v>424</v>
      </c>
      <c r="S676" s="17" t="s">
        <v>424</v>
      </c>
      <c r="T676" s="17" t="s">
        <v>424</v>
      </c>
      <c r="U676" s="17" t="s">
        <v>424</v>
      </c>
      <c r="V676" s="17" t="s">
        <v>424</v>
      </c>
      <c r="W676" s="17" t="s">
        <v>424</v>
      </c>
    </row>
    <row r="677" spans="1:23" x14ac:dyDescent="0.25">
      <c r="A677" s="19" t="s">
        <v>564</v>
      </c>
      <c r="B677" s="20" t="s">
        <v>7</v>
      </c>
      <c r="C677" s="20" t="s">
        <v>427</v>
      </c>
      <c r="D677" s="18" t="s">
        <v>74</v>
      </c>
      <c r="E677" s="18" t="s">
        <v>1678</v>
      </c>
      <c r="F677" s="18">
        <v>5.94</v>
      </c>
      <c r="G677" s="23">
        <v>1.9</v>
      </c>
      <c r="H677" s="20">
        <v>6.71</v>
      </c>
      <c r="I677" s="25">
        <v>5.5426895167515777</v>
      </c>
      <c r="J677" s="24">
        <f>G677/F677*((100-H677)/100)*((100-I677)/100)*100</f>
        <v>28.186284074859035</v>
      </c>
      <c r="K677" s="53">
        <v>6.0776942355889725</v>
      </c>
      <c r="L677" s="54">
        <f>J677*10000/K677</f>
        <v>46376.607611829917</v>
      </c>
      <c r="M677" s="55">
        <v>50.5</v>
      </c>
      <c r="N677" s="55">
        <v>18.399999999999999</v>
      </c>
      <c r="O677" s="56">
        <v>2.089</v>
      </c>
      <c r="P677" s="55">
        <v>21.4</v>
      </c>
      <c r="Q677" s="17" t="s">
        <v>424</v>
      </c>
      <c r="R677" s="17" t="s">
        <v>424</v>
      </c>
      <c r="S677" s="17" t="s">
        <v>424</v>
      </c>
      <c r="T677" s="17" t="s">
        <v>424</v>
      </c>
      <c r="U677" s="17" t="s">
        <v>424</v>
      </c>
      <c r="V677" s="17" t="s">
        <v>424</v>
      </c>
      <c r="W677" s="17" t="s">
        <v>424</v>
      </c>
    </row>
    <row r="678" spans="1:23" x14ac:dyDescent="0.25">
      <c r="A678" s="19" t="s">
        <v>563</v>
      </c>
      <c r="B678" s="20" t="s">
        <v>7</v>
      </c>
      <c r="C678" s="20" t="s">
        <v>427</v>
      </c>
      <c r="D678" s="18" t="s">
        <v>38</v>
      </c>
      <c r="E678" s="18" t="s">
        <v>1549</v>
      </c>
      <c r="F678" s="18">
        <v>5.94</v>
      </c>
      <c r="G678" s="23">
        <v>1.81</v>
      </c>
      <c r="H678" s="20">
        <v>6.71</v>
      </c>
      <c r="I678" s="25">
        <v>5.5674354666259296</v>
      </c>
      <c r="J678" s="24">
        <f>G678/F678*((100-H678)/100)*((100-I678)/100)*100</f>
        <v>26.844109833377821</v>
      </c>
      <c r="K678" s="53">
        <v>4.9376299376299375</v>
      </c>
      <c r="L678" s="54">
        <f>J678*10000/K678</f>
        <v>54366.386652019923</v>
      </c>
      <c r="M678" s="55">
        <v>51.6</v>
      </c>
      <c r="N678" s="55">
        <v>18.100000000000001</v>
      </c>
      <c r="O678" s="56">
        <v>3.3990999999999998</v>
      </c>
      <c r="P678" s="55">
        <v>18.100000000000001</v>
      </c>
      <c r="Q678" s="17" t="s">
        <v>424</v>
      </c>
      <c r="R678" s="17" t="s">
        <v>424</v>
      </c>
      <c r="S678" s="17" t="s">
        <v>424</v>
      </c>
      <c r="T678" s="17" t="s">
        <v>424</v>
      </c>
      <c r="U678" s="17" t="s">
        <v>424</v>
      </c>
      <c r="V678" s="17" t="s">
        <v>424</v>
      </c>
      <c r="W678" s="17" t="s">
        <v>424</v>
      </c>
    </row>
    <row r="679" spans="1:23" x14ac:dyDescent="0.25">
      <c r="A679" s="19" t="s">
        <v>562</v>
      </c>
      <c r="B679" s="20" t="s">
        <v>7</v>
      </c>
      <c r="C679" s="20" t="s">
        <v>427</v>
      </c>
      <c r="D679" s="18" t="s">
        <v>232</v>
      </c>
      <c r="E679" s="18" t="s">
        <v>1598</v>
      </c>
      <c r="F679" s="18">
        <v>5.94</v>
      </c>
      <c r="G679" s="23">
        <v>2.59</v>
      </c>
      <c r="H679" s="20">
        <v>6.71</v>
      </c>
      <c r="I679" s="25">
        <v>5.9071084245160295</v>
      </c>
      <c r="J679" s="24">
        <f>G679/F679*((100-H679)/100)*((100-I679)/100)*100</f>
        <v>38.274121152608025</v>
      </c>
      <c r="K679" s="53">
        <v>4.660287081339713</v>
      </c>
      <c r="L679" s="54">
        <f>J679*10000/K679</f>
        <v>82128.247647793396</v>
      </c>
      <c r="M679" s="55">
        <v>49.9</v>
      </c>
      <c r="N679" s="55">
        <v>17.600000000000001</v>
      </c>
      <c r="O679" s="56">
        <v>2.4470000000000001</v>
      </c>
      <c r="P679" s="55">
        <v>19.7</v>
      </c>
      <c r="Q679" s="17" t="s">
        <v>424</v>
      </c>
      <c r="R679" s="17" t="s">
        <v>424</v>
      </c>
      <c r="S679" s="17" t="s">
        <v>424</v>
      </c>
      <c r="T679" s="17" t="s">
        <v>424</v>
      </c>
      <c r="U679" s="17" t="s">
        <v>424</v>
      </c>
      <c r="V679" s="17" t="s">
        <v>424</v>
      </c>
      <c r="W679" s="17" t="s">
        <v>424</v>
      </c>
    </row>
    <row r="680" spans="1:23" x14ac:dyDescent="0.25">
      <c r="A680" s="19" t="s">
        <v>561</v>
      </c>
      <c r="B680" s="20" t="s">
        <v>7</v>
      </c>
      <c r="C680" s="20" t="s">
        <v>427</v>
      </c>
      <c r="D680" s="18" t="s">
        <v>85</v>
      </c>
      <c r="E680" s="18" t="s">
        <v>1764</v>
      </c>
      <c r="F680" s="18">
        <v>5.94</v>
      </c>
      <c r="G680" s="23">
        <v>2.4700000000000002</v>
      </c>
      <c r="H680" s="20">
        <v>6.71</v>
      </c>
      <c r="I680" s="25">
        <v>5.8597649950080708</v>
      </c>
      <c r="J680" s="24">
        <f>G680/F680*((100-H680)/100)*((100-I680)/100)*100</f>
        <v>36.519168406280762</v>
      </c>
      <c r="K680" s="53">
        <v>5.6474820143884896</v>
      </c>
      <c r="L680" s="54">
        <f>J680*10000/K680</f>
        <v>64664.514757618163</v>
      </c>
      <c r="M680" s="55">
        <v>53.6</v>
      </c>
      <c r="N680" s="55">
        <v>15.7</v>
      </c>
      <c r="O680" s="56">
        <v>-1.0629999999999999</v>
      </c>
      <c r="P680" s="55">
        <v>15.6</v>
      </c>
      <c r="Q680" s="17" t="s">
        <v>424</v>
      </c>
      <c r="R680" s="17" t="s">
        <v>424</v>
      </c>
      <c r="S680" s="17" t="s">
        <v>424</v>
      </c>
      <c r="T680" s="17" t="s">
        <v>424</v>
      </c>
      <c r="U680" s="17" t="s">
        <v>424</v>
      </c>
      <c r="V680" s="17" t="s">
        <v>424</v>
      </c>
      <c r="W680" s="17" t="s">
        <v>424</v>
      </c>
    </row>
    <row r="681" spans="1:23" x14ac:dyDescent="0.25">
      <c r="A681" s="19" t="s">
        <v>560</v>
      </c>
      <c r="B681" s="20" t="s">
        <v>7</v>
      </c>
      <c r="C681" s="20" t="s">
        <v>427</v>
      </c>
      <c r="D681" s="18" t="s">
        <v>288</v>
      </c>
      <c r="E681" s="18" t="s">
        <v>1570</v>
      </c>
      <c r="F681" s="18">
        <v>5.94</v>
      </c>
      <c r="G681" s="23">
        <v>2.2200000000000002</v>
      </c>
      <c r="H681" s="20">
        <v>6.71</v>
      </c>
      <c r="I681" s="25">
        <v>5.7872864398953325</v>
      </c>
      <c r="J681" s="24">
        <f>G681/F681*((100-H681)/100)*((100-I681)/100)*100</f>
        <v>32.848166644123253</v>
      </c>
      <c r="K681" s="53">
        <v>5.2277657266811284</v>
      </c>
      <c r="L681" s="54">
        <f>J681*10000/K681</f>
        <v>62834.044908468131</v>
      </c>
      <c r="M681" s="55">
        <v>49.8</v>
      </c>
      <c r="N681" s="55">
        <v>17.899999999999999</v>
      </c>
      <c r="O681" s="56">
        <v>4.0094000000000003</v>
      </c>
      <c r="P681" s="55">
        <v>20.8</v>
      </c>
      <c r="Q681" s="17" t="s">
        <v>424</v>
      </c>
      <c r="R681" s="17" t="s">
        <v>424</v>
      </c>
      <c r="S681" s="17" t="s">
        <v>424</v>
      </c>
      <c r="T681" s="17" t="s">
        <v>424</v>
      </c>
      <c r="U681" s="17" t="s">
        <v>424</v>
      </c>
      <c r="V681" s="17" t="s">
        <v>424</v>
      </c>
      <c r="W681" s="17" t="s">
        <v>424</v>
      </c>
    </row>
    <row r="682" spans="1:23" x14ac:dyDescent="0.25">
      <c r="A682" s="19" t="s">
        <v>559</v>
      </c>
      <c r="B682" s="20" t="s">
        <v>7</v>
      </c>
      <c r="C682" s="20" t="s">
        <v>427</v>
      </c>
      <c r="D682" s="18" t="s">
        <v>24</v>
      </c>
      <c r="E682" s="18" t="s">
        <v>1784</v>
      </c>
      <c r="F682" s="18">
        <v>5.94</v>
      </c>
      <c r="G682" s="23">
        <v>2.59</v>
      </c>
      <c r="H682" s="20">
        <v>6.71</v>
      </c>
      <c r="I682" s="25">
        <v>5.0343249427917582</v>
      </c>
      <c r="J682" s="24">
        <f>G682/F682*((100-H682)/100)*((100-I682)/100)*100</f>
        <v>38.629142878055923</v>
      </c>
      <c r="K682" s="53">
        <v>5.2149944873208378</v>
      </c>
      <c r="L682" s="54">
        <f>J682*10000/K682</f>
        <v>74073.219007181237</v>
      </c>
      <c r="M682" s="55">
        <v>51.5</v>
      </c>
      <c r="N682" s="55">
        <v>16.899999999999999</v>
      </c>
      <c r="O682" s="56">
        <v>1.3492</v>
      </c>
      <c r="P682" s="55">
        <v>14.5</v>
      </c>
      <c r="Q682" s="17" t="s">
        <v>424</v>
      </c>
      <c r="R682" s="17" t="s">
        <v>424</v>
      </c>
      <c r="S682" s="17" t="s">
        <v>424</v>
      </c>
      <c r="T682" s="17" t="s">
        <v>424</v>
      </c>
      <c r="U682" s="17" t="s">
        <v>424</v>
      </c>
      <c r="V682" s="17" t="s">
        <v>424</v>
      </c>
      <c r="W682" s="17" t="s">
        <v>424</v>
      </c>
    </row>
    <row r="683" spans="1:23" x14ac:dyDescent="0.25">
      <c r="A683" s="19" t="s">
        <v>349</v>
      </c>
      <c r="B683" s="20" t="s">
        <v>7</v>
      </c>
      <c r="C683" s="20" t="s">
        <v>13</v>
      </c>
      <c r="D683" s="18" t="s">
        <v>78</v>
      </c>
      <c r="E683" s="18" t="s">
        <v>1588</v>
      </c>
      <c r="F683" s="18">
        <v>5.94</v>
      </c>
      <c r="G683" s="23">
        <v>2.09</v>
      </c>
      <c r="H683" s="17">
        <v>6.92</v>
      </c>
      <c r="I683" s="25">
        <v>10.638297872340424</v>
      </c>
      <c r="J683" s="24">
        <f>G683/F683*((100-H683)/100)*((100-I683)/100)*100</f>
        <v>29.266288416075646</v>
      </c>
      <c r="K683" s="53">
        <v>6.0751295336787567</v>
      </c>
      <c r="L683" s="54">
        <f>J683*10000/K683</f>
        <v>48173.933171024306</v>
      </c>
      <c r="M683" s="55">
        <v>49.2</v>
      </c>
      <c r="N683" s="55">
        <v>19.3</v>
      </c>
      <c r="O683" s="56">
        <v>1.2905</v>
      </c>
      <c r="P683" s="55">
        <v>18.3</v>
      </c>
      <c r="Q683" s="17" t="s">
        <v>424</v>
      </c>
      <c r="R683" s="17" t="s">
        <v>424</v>
      </c>
      <c r="S683" s="17" t="s">
        <v>424</v>
      </c>
      <c r="T683" s="17" t="s">
        <v>424</v>
      </c>
      <c r="U683" s="17" t="s">
        <v>424</v>
      </c>
      <c r="V683" s="17" t="s">
        <v>424</v>
      </c>
      <c r="W683" s="17" t="s">
        <v>424</v>
      </c>
    </row>
    <row r="684" spans="1:23" x14ac:dyDescent="0.25">
      <c r="A684" s="19" t="s">
        <v>350</v>
      </c>
      <c r="B684" s="20" t="s">
        <v>7</v>
      </c>
      <c r="C684" s="20" t="s">
        <v>13</v>
      </c>
      <c r="D684" s="18" t="s">
        <v>102</v>
      </c>
      <c r="E684" s="18" t="s">
        <v>1790</v>
      </c>
      <c r="F684" s="18">
        <v>5.94</v>
      </c>
      <c r="G684" s="23">
        <v>2.68</v>
      </c>
      <c r="H684" s="17">
        <v>6.92</v>
      </c>
      <c r="I684" s="25">
        <v>10.172994488671151</v>
      </c>
      <c r="J684" s="24">
        <f>G684/F684*((100-H684)/100)*((100-I684)/100)*100</f>
        <v>37.72347098253406</v>
      </c>
      <c r="K684" s="53">
        <v>5.1731601731601735</v>
      </c>
      <c r="L684" s="54">
        <f>J684*10000/K684</f>
        <v>72921.521313517718</v>
      </c>
      <c r="M684" s="55">
        <v>53.2</v>
      </c>
      <c r="N684" s="55">
        <v>16</v>
      </c>
      <c r="O684" s="56">
        <v>-0.96594000000000002</v>
      </c>
      <c r="P684" s="55">
        <v>12.9</v>
      </c>
      <c r="Q684" s="17" t="s">
        <v>424</v>
      </c>
      <c r="R684" s="17" t="s">
        <v>424</v>
      </c>
      <c r="S684" s="17" t="s">
        <v>424</v>
      </c>
      <c r="T684" s="17" t="s">
        <v>424</v>
      </c>
      <c r="U684" s="17" t="s">
        <v>424</v>
      </c>
      <c r="V684" s="17" t="s">
        <v>424</v>
      </c>
      <c r="W684" s="17" t="s">
        <v>424</v>
      </c>
    </row>
    <row r="685" spans="1:23" x14ac:dyDescent="0.25">
      <c r="A685" s="19" t="s">
        <v>351</v>
      </c>
      <c r="B685" s="20" t="s">
        <v>7</v>
      </c>
      <c r="C685" s="20" t="s">
        <v>13</v>
      </c>
      <c r="D685" s="18" t="s">
        <v>75</v>
      </c>
      <c r="E685" s="18" t="s">
        <v>1808</v>
      </c>
      <c r="F685" s="18">
        <v>5.94</v>
      </c>
      <c r="G685" s="23">
        <v>2.2999999999999998</v>
      </c>
      <c r="H685" s="17">
        <v>6.92</v>
      </c>
      <c r="I685" s="25">
        <v>9.9515496423902157</v>
      </c>
      <c r="J685" s="24">
        <f>G685/F685*((100-H685)/100)*((100-I685)/100)*100</f>
        <v>32.454431727876312</v>
      </c>
      <c r="K685" s="53">
        <v>4.5463414634146337</v>
      </c>
      <c r="L685" s="54">
        <f>J685*10000/K685</f>
        <v>71385.820860672145</v>
      </c>
      <c r="M685" s="55">
        <v>52.8</v>
      </c>
      <c r="N685" s="55">
        <v>16.100000000000001</v>
      </c>
      <c r="O685" s="56">
        <v>-0.14917</v>
      </c>
      <c r="P685" s="55">
        <v>14.1</v>
      </c>
      <c r="Q685" s="17" t="s">
        <v>424</v>
      </c>
      <c r="R685" s="17" t="s">
        <v>424</v>
      </c>
      <c r="S685" s="17" t="s">
        <v>424</v>
      </c>
      <c r="T685" s="17" t="s">
        <v>424</v>
      </c>
      <c r="U685" s="17" t="s">
        <v>424</v>
      </c>
      <c r="V685" s="17" t="s">
        <v>424</v>
      </c>
      <c r="W685" s="17" t="s">
        <v>424</v>
      </c>
    </row>
    <row r="686" spans="1:23" x14ac:dyDescent="0.25">
      <c r="A686" s="19" t="s">
        <v>352</v>
      </c>
      <c r="B686" s="20" t="s">
        <v>7</v>
      </c>
      <c r="C686" s="20" t="s">
        <v>13</v>
      </c>
      <c r="D686" s="18" t="s">
        <v>94</v>
      </c>
      <c r="E686" s="18" t="s">
        <v>1582</v>
      </c>
      <c r="F686" s="18">
        <v>5.94</v>
      </c>
      <c r="G686" s="23">
        <v>2.23</v>
      </c>
      <c r="H686" s="17">
        <v>6.92</v>
      </c>
      <c r="I686" s="25">
        <v>15.516849678152221</v>
      </c>
      <c r="J686" s="24">
        <f>G686/F686*((100-H686)/100)*((100-I686)/100)*100</f>
        <v>29.521939965093306</v>
      </c>
      <c r="K686" s="53">
        <v>4.6488625123639959</v>
      </c>
      <c r="L686" s="54">
        <f>J686*10000/K686</f>
        <v>63503.577244062406</v>
      </c>
      <c r="M686" s="55">
        <v>54</v>
      </c>
      <c r="N686" s="55">
        <v>16.600000000000001</v>
      </c>
      <c r="O686" s="56">
        <v>0.95270999999999995</v>
      </c>
      <c r="P686" s="55">
        <v>12.3</v>
      </c>
      <c r="Q686" s="17" t="s">
        <v>424</v>
      </c>
      <c r="R686" s="17" t="s">
        <v>424</v>
      </c>
      <c r="S686" s="17" t="s">
        <v>424</v>
      </c>
      <c r="T686" s="17" t="s">
        <v>424</v>
      </c>
      <c r="U686" s="17" t="s">
        <v>424</v>
      </c>
      <c r="V686" s="17" t="s">
        <v>424</v>
      </c>
      <c r="W686" s="17" t="s">
        <v>424</v>
      </c>
    </row>
    <row r="687" spans="1:23" x14ac:dyDescent="0.25">
      <c r="A687" s="19" t="s">
        <v>353</v>
      </c>
      <c r="B687" s="20" t="s">
        <v>7</v>
      </c>
      <c r="C687" s="20" t="s">
        <v>13</v>
      </c>
      <c r="D687" s="18" t="s">
        <v>93</v>
      </c>
      <c r="E687" s="18" t="s">
        <v>1562</v>
      </c>
      <c r="F687" s="18">
        <v>5.94</v>
      </c>
      <c r="G687" s="23">
        <v>2.4500000000000002</v>
      </c>
      <c r="H687" s="17">
        <v>6.92</v>
      </c>
      <c r="I687" s="25">
        <v>16.653857977251768</v>
      </c>
      <c r="J687" s="24">
        <f>G687/F687*((100-H687)/100)*((100-I687)/100)*100</f>
        <v>31.99790286821489</v>
      </c>
      <c r="K687" s="53">
        <v>4.0893169877408058</v>
      </c>
      <c r="L687" s="54">
        <f>J687*10000/K687</f>
        <v>78247.548341544767</v>
      </c>
      <c r="M687" s="55">
        <v>51.1</v>
      </c>
      <c r="N687" s="55">
        <v>16.600000000000001</v>
      </c>
      <c r="O687" s="56">
        <v>1.3574999999999999</v>
      </c>
      <c r="P687" s="55">
        <v>13.8</v>
      </c>
      <c r="Q687" s="17" t="s">
        <v>424</v>
      </c>
      <c r="R687" s="17" t="s">
        <v>424</v>
      </c>
      <c r="S687" s="17" t="s">
        <v>424</v>
      </c>
      <c r="T687" s="17" t="s">
        <v>424</v>
      </c>
      <c r="U687" s="17" t="s">
        <v>424</v>
      </c>
      <c r="V687" s="17" t="s">
        <v>424</v>
      </c>
      <c r="W687" s="17" t="s">
        <v>424</v>
      </c>
    </row>
    <row r="688" spans="1:23" x14ac:dyDescent="0.25">
      <c r="A688" s="19" t="s">
        <v>354</v>
      </c>
      <c r="B688" s="20" t="s">
        <v>7</v>
      </c>
      <c r="C688" s="20" t="s">
        <v>13</v>
      </c>
      <c r="D688" s="18" t="s">
        <v>56</v>
      </c>
      <c r="E688" s="18" t="s">
        <v>1515</v>
      </c>
      <c r="F688" s="18">
        <v>5.94</v>
      </c>
      <c r="G688" s="23">
        <v>1.59</v>
      </c>
      <c r="H688" s="17">
        <v>6.92</v>
      </c>
      <c r="I688" s="25">
        <v>15.957289040486435</v>
      </c>
      <c r="J688" s="24">
        <f>G688/F688*((100-H688)/100)*((100-I688)/100)*100</f>
        <v>20.939538556258118</v>
      </c>
      <c r="K688" s="53">
        <v>5.3828828828828827</v>
      </c>
      <c r="L688" s="54">
        <f>J688*10000/K688</f>
        <v>38900.230623341442</v>
      </c>
      <c r="M688" s="55">
        <v>47.2</v>
      </c>
      <c r="N688" s="55">
        <v>20.3</v>
      </c>
      <c r="O688" s="56">
        <v>3.6505999999999998</v>
      </c>
      <c r="P688" s="55">
        <v>44.1</v>
      </c>
      <c r="Q688" s="17" t="s">
        <v>424</v>
      </c>
      <c r="R688" s="17" t="s">
        <v>424</v>
      </c>
      <c r="S688" s="17" t="s">
        <v>424</v>
      </c>
      <c r="T688" s="17" t="s">
        <v>424</v>
      </c>
      <c r="U688" s="17" t="s">
        <v>424</v>
      </c>
      <c r="V688" s="17" t="s">
        <v>424</v>
      </c>
      <c r="W688" s="17" t="s">
        <v>424</v>
      </c>
    </row>
    <row r="689" spans="1:23" x14ac:dyDescent="0.25">
      <c r="A689" s="19" t="s">
        <v>570</v>
      </c>
      <c r="B689" s="20" t="s">
        <v>7</v>
      </c>
      <c r="C689" s="20" t="s">
        <v>427</v>
      </c>
      <c r="D689" s="18" t="s">
        <v>76</v>
      </c>
      <c r="E689" s="18" t="s">
        <v>1818</v>
      </c>
      <c r="F689" s="18">
        <v>5.94</v>
      </c>
      <c r="G689" s="23">
        <v>2.2599999999999998</v>
      </c>
      <c r="H689" s="20">
        <v>6.71</v>
      </c>
      <c r="I689" s="25">
        <v>5.3962641248366596</v>
      </c>
      <c r="J689" s="24">
        <f>G689/F689*((100-H689)/100)*((100-I689)/100)*100</f>
        <v>33.578815647701028</v>
      </c>
      <c r="K689" s="53">
        <v>5.319383259911894</v>
      </c>
      <c r="L689" s="54">
        <f>J689*10000/K689</f>
        <v>63125.392563379988</v>
      </c>
      <c r="M689" s="55">
        <v>50.3</v>
      </c>
      <c r="N689" s="55">
        <v>16.5</v>
      </c>
      <c r="O689" s="56">
        <v>1.9247000000000001</v>
      </c>
      <c r="P689" s="55">
        <v>17.2</v>
      </c>
      <c r="Q689" s="17" t="s">
        <v>424</v>
      </c>
      <c r="R689" s="17" t="s">
        <v>424</v>
      </c>
      <c r="S689" s="17" t="s">
        <v>424</v>
      </c>
      <c r="T689" s="17" t="s">
        <v>424</v>
      </c>
      <c r="U689" s="17" t="s">
        <v>424</v>
      </c>
      <c r="V689" s="17" t="s">
        <v>424</v>
      </c>
      <c r="W689" s="17" t="s">
        <v>424</v>
      </c>
    </row>
    <row r="690" spans="1:23" x14ac:dyDescent="0.25">
      <c r="A690" s="19" t="s">
        <v>569</v>
      </c>
      <c r="B690" s="20" t="s">
        <v>7</v>
      </c>
      <c r="C690" s="20" t="s">
        <v>427</v>
      </c>
      <c r="D690" s="18" t="s">
        <v>70</v>
      </c>
      <c r="E690" s="18" t="s">
        <v>1482</v>
      </c>
      <c r="F690" s="18">
        <v>5.94</v>
      </c>
      <c r="G690" s="23">
        <v>1.49</v>
      </c>
      <c r="H690" s="20">
        <v>6.71</v>
      </c>
      <c r="I690" s="25">
        <v>8.079796657167071</v>
      </c>
      <c r="J690" s="24">
        <f>G690/F690*((100-H690)/100)*((100-I690)/100)*100</f>
        <v>21.510271543907063</v>
      </c>
      <c r="K690" s="53">
        <v>4.9695740365111565</v>
      </c>
      <c r="L690" s="54">
        <f>J690*10000/K690</f>
        <v>43283.934167943597</v>
      </c>
      <c r="M690" s="55">
        <v>51.6</v>
      </c>
      <c r="N690" s="55">
        <v>21.1</v>
      </c>
      <c r="O690" s="56">
        <v>40.92</v>
      </c>
      <c r="P690" s="55">
        <v>55.8</v>
      </c>
      <c r="Q690" s="17" t="s">
        <v>424</v>
      </c>
      <c r="R690" s="17" t="s">
        <v>424</v>
      </c>
      <c r="S690" s="17" t="s">
        <v>424</v>
      </c>
      <c r="T690" s="17" t="s">
        <v>424</v>
      </c>
      <c r="U690" s="17" t="s">
        <v>424</v>
      </c>
      <c r="V690" s="17" t="s">
        <v>424</v>
      </c>
      <c r="W690" s="17" t="s">
        <v>424</v>
      </c>
    </row>
    <row r="691" spans="1:23" x14ac:dyDescent="0.25">
      <c r="A691" s="19" t="s">
        <v>568</v>
      </c>
      <c r="B691" s="20" t="s">
        <v>7</v>
      </c>
      <c r="C691" s="20" t="s">
        <v>427</v>
      </c>
      <c r="D691" s="18" t="s">
        <v>175</v>
      </c>
      <c r="E691" s="18" t="s">
        <v>1543</v>
      </c>
      <c r="F691" s="18">
        <v>5.94</v>
      </c>
      <c r="G691" s="23">
        <v>1.82</v>
      </c>
      <c r="H691" s="20">
        <v>6.71</v>
      </c>
      <c r="I691" s="25">
        <v>9.9337237977805088</v>
      </c>
      <c r="J691" s="24">
        <f>G691/F691*((100-H691)/100)*((100-I691)/100)*100</f>
        <v>25.744368502638387</v>
      </c>
      <c r="K691" s="53">
        <v>4.1093620546810277</v>
      </c>
      <c r="L691" s="54">
        <f>J691*10000/K691</f>
        <v>62648.090287670428</v>
      </c>
      <c r="M691" s="55">
        <v>50</v>
      </c>
      <c r="N691" s="55">
        <v>17.8</v>
      </c>
      <c r="O691" s="56">
        <v>1.5438000000000001</v>
      </c>
      <c r="P691" s="55">
        <v>15.8</v>
      </c>
      <c r="Q691" s="17" t="s">
        <v>424</v>
      </c>
      <c r="R691" s="17" t="s">
        <v>424</v>
      </c>
      <c r="S691" s="17" t="s">
        <v>424</v>
      </c>
      <c r="T691" s="17" t="s">
        <v>424</v>
      </c>
      <c r="U691" s="17" t="s">
        <v>424</v>
      </c>
      <c r="V691" s="17" t="s">
        <v>424</v>
      </c>
      <c r="W691" s="17" t="s">
        <v>424</v>
      </c>
    </row>
    <row r="692" spans="1:23" x14ac:dyDescent="0.25">
      <c r="A692" s="19" t="s">
        <v>567</v>
      </c>
      <c r="B692" s="20" t="s">
        <v>7</v>
      </c>
      <c r="C692" s="20" t="s">
        <v>427</v>
      </c>
      <c r="D692" s="18" t="s">
        <v>235</v>
      </c>
      <c r="E692" s="18" t="s">
        <v>1768</v>
      </c>
      <c r="F692" s="18">
        <v>5.94</v>
      </c>
      <c r="G692" s="23">
        <v>2.0099999999999998</v>
      </c>
      <c r="H692" s="20">
        <v>6.71</v>
      </c>
      <c r="I692" s="25">
        <v>5.3298517778972512</v>
      </c>
      <c r="J692" s="24">
        <f>G692/F692*((100-H692)/100)*((100-I692)/100)*100</f>
        <v>29.885309825852406</v>
      </c>
      <c r="K692" s="53">
        <v>4.8879837067209779</v>
      </c>
      <c r="L692" s="54">
        <f>J692*10000/K692</f>
        <v>61140.363018723052</v>
      </c>
      <c r="M692" s="55">
        <v>51.6</v>
      </c>
      <c r="N692" s="55">
        <v>17.100000000000001</v>
      </c>
      <c r="O692" s="56">
        <v>2.8788999999999998</v>
      </c>
      <c r="P692" s="55">
        <v>14.6</v>
      </c>
      <c r="Q692" s="17" t="s">
        <v>424</v>
      </c>
      <c r="R692" s="17" t="s">
        <v>424</v>
      </c>
      <c r="S692" s="17" t="s">
        <v>424</v>
      </c>
      <c r="T692" s="17" t="s">
        <v>424</v>
      </c>
      <c r="U692" s="17" t="s">
        <v>424</v>
      </c>
      <c r="V692" s="17" t="s">
        <v>424</v>
      </c>
      <c r="W692" s="17" t="s">
        <v>424</v>
      </c>
    </row>
    <row r="693" spans="1:23" x14ac:dyDescent="0.25">
      <c r="A693" s="19" t="s">
        <v>566</v>
      </c>
      <c r="B693" s="20" t="s">
        <v>7</v>
      </c>
      <c r="C693" s="20" t="s">
        <v>427</v>
      </c>
      <c r="D693" s="18" t="s">
        <v>191</v>
      </c>
      <c r="E693" s="18" t="s">
        <v>1702</v>
      </c>
      <c r="F693" s="18">
        <v>5.94</v>
      </c>
      <c r="G693" s="23">
        <v>1.62</v>
      </c>
      <c r="H693" s="20">
        <v>6.71</v>
      </c>
      <c r="I693" s="25">
        <v>8.8782889675334609</v>
      </c>
      <c r="J693" s="24">
        <f>G693/F693*((100-H693)/100)*((100-I693)/100)*100</f>
        <v>23.183848424233101</v>
      </c>
      <c r="K693" s="53">
        <v>4.9111807732497388</v>
      </c>
      <c r="L693" s="54">
        <f>J693*10000/K693</f>
        <v>47206.26157870442</v>
      </c>
      <c r="M693" s="55">
        <v>50.3</v>
      </c>
      <c r="N693" s="55">
        <v>20.399999999999999</v>
      </c>
      <c r="O693" s="56">
        <v>45.843000000000004</v>
      </c>
      <c r="P693" s="55">
        <v>48</v>
      </c>
      <c r="Q693" s="17" t="s">
        <v>424</v>
      </c>
      <c r="R693" s="17" t="s">
        <v>424</v>
      </c>
      <c r="S693" s="17" t="s">
        <v>424</v>
      </c>
      <c r="T693" s="17" t="s">
        <v>424</v>
      </c>
      <c r="U693" s="17" t="s">
        <v>424</v>
      </c>
      <c r="V693" s="17" t="s">
        <v>424</v>
      </c>
      <c r="W693" s="17" t="s">
        <v>424</v>
      </c>
    </row>
    <row r="694" spans="1:23" x14ac:dyDescent="0.25">
      <c r="A694" s="19" t="s">
        <v>565</v>
      </c>
      <c r="B694" s="20" t="s">
        <v>7</v>
      </c>
      <c r="C694" s="20" t="s">
        <v>427</v>
      </c>
      <c r="D694" s="18" t="s">
        <v>83</v>
      </c>
      <c r="E694" s="18" t="s">
        <v>1533</v>
      </c>
      <c r="F694" s="18">
        <v>5.94</v>
      </c>
      <c r="G694" s="23">
        <v>2.36</v>
      </c>
      <c r="H694" s="20">
        <v>6.71</v>
      </c>
      <c r="I694" s="25">
        <v>5.3865068387889901</v>
      </c>
      <c r="J694" s="24">
        <f>G694/F694*((100-H694)/100)*((100-I694)/100)*100</f>
        <v>35.068220460845332</v>
      </c>
      <c r="K694" s="53">
        <v>5.6511350059737158</v>
      </c>
      <c r="L694" s="54">
        <f>J694*10000/K694</f>
        <v>62055.180815491636</v>
      </c>
      <c r="M694" s="55">
        <v>53.7</v>
      </c>
      <c r="N694" s="55">
        <v>16.600000000000001</v>
      </c>
      <c r="O694" s="56">
        <v>2.7883</v>
      </c>
      <c r="P694" s="55">
        <v>17.600000000000001</v>
      </c>
      <c r="Q694" s="17" t="s">
        <v>424</v>
      </c>
      <c r="R694" s="17" t="s">
        <v>424</v>
      </c>
      <c r="S694" s="17" t="s">
        <v>424</v>
      </c>
      <c r="T694" s="17" t="s">
        <v>424</v>
      </c>
      <c r="U694" s="17" t="s">
        <v>424</v>
      </c>
      <c r="V694" s="17" t="s">
        <v>424</v>
      </c>
      <c r="W694" s="17" t="s">
        <v>424</v>
      </c>
    </row>
    <row r="695" spans="1:23" x14ac:dyDescent="0.25">
      <c r="A695" s="19" t="s">
        <v>355</v>
      </c>
      <c r="B695" s="20" t="s">
        <v>7</v>
      </c>
      <c r="C695" s="20" t="s">
        <v>13</v>
      </c>
      <c r="D695" s="18" t="s">
        <v>45</v>
      </c>
      <c r="E695" s="18" t="s">
        <v>1472</v>
      </c>
      <c r="F695" s="18">
        <v>5.94</v>
      </c>
      <c r="G695" s="23">
        <v>1.98</v>
      </c>
      <c r="H695" s="17">
        <v>6.92</v>
      </c>
      <c r="I695" s="25">
        <v>18.957151081503408</v>
      </c>
      <c r="J695" s="24">
        <f>G695/F695*((100-H695)/100)*((100-I695)/100)*100</f>
        <v>25.144894591112205</v>
      </c>
      <c r="K695" s="53">
        <v>4.8798328108672937</v>
      </c>
      <c r="L695" s="54">
        <f>J695*10000/K695</f>
        <v>51528.18870170103</v>
      </c>
      <c r="M695" s="55">
        <v>50.6</v>
      </c>
      <c r="N695" s="55">
        <v>21</v>
      </c>
      <c r="O695" s="56">
        <v>49.185000000000002</v>
      </c>
      <c r="P695" s="55">
        <v>67.7</v>
      </c>
      <c r="Q695" s="17" t="s">
        <v>424</v>
      </c>
      <c r="R695" s="17" t="s">
        <v>424</v>
      </c>
      <c r="S695" s="17" t="s">
        <v>424</v>
      </c>
      <c r="T695" s="17" t="s">
        <v>424</v>
      </c>
      <c r="U695" s="17" t="s">
        <v>424</v>
      </c>
      <c r="V695" s="17" t="s">
        <v>424</v>
      </c>
      <c r="W695" s="17" t="s">
        <v>424</v>
      </c>
    </row>
    <row r="696" spans="1:23" x14ac:dyDescent="0.25">
      <c r="A696" s="19" t="s">
        <v>356</v>
      </c>
      <c r="B696" s="20" t="s">
        <v>7</v>
      </c>
      <c r="C696" s="20" t="s">
        <v>13</v>
      </c>
      <c r="D696" s="18" t="s">
        <v>218</v>
      </c>
      <c r="E696" s="18" t="s">
        <v>1466</v>
      </c>
      <c r="F696" s="18">
        <v>5.94</v>
      </c>
      <c r="G696" s="23">
        <v>2.16</v>
      </c>
      <c r="H696" s="17">
        <v>6.92</v>
      </c>
      <c r="I696" s="25">
        <v>18.392223422311375</v>
      </c>
      <c r="J696" s="24">
        <f>G696/F696*((100-H696)/100)*((100-I696)/100)*100</f>
        <v>27.622006704913666</v>
      </c>
      <c r="K696" s="53">
        <v>4.3446379468377634</v>
      </c>
      <c r="L696" s="54">
        <f>J696*10000/K696</f>
        <v>63577.234841900448</v>
      </c>
      <c r="M696" s="55">
        <v>54.6</v>
      </c>
      <c r="N696" s="55">
        <v>18.8</v>
      </c>
      <c r="O696" s="56">
        <v>41.024000000000001</v>
      </c>
      <c r="P696" s="55">
        <v>51.5</v>
      </c>
      <c r="Q696" s="17" t="s">
        <v>424</v>
      </c>
      <c r="R696" s="17" t="s">
        <v>424</v>
      </c>
      <c r="S696" s="17" t="s">
        <v>424</v>
      </c>
      <c r="T696" s="17" t="s">
        <v>424</v>
      </c>
      <c r="U696" s="17" t="s">
        <v>424</v>
      </c>
      <c r="V696" s="17" t="s">
        <v>424</v>
      </c>
      <c r="W696" s="17" t="s">
        <v>424</v>
      </c>
    </row>
    <row r="697" spans="1:23" x14ac:dyDescent="0.25">
      <c r="A697" s="19" t="s">
        <v>357</v>
      </c>
      <c r="B697" s="20" t="s">
        <v>7</v>
      </c>
      <c r="C697" s="20" t="s">
        <v>13</v>
      </c>
      <c r="D697" s="18" t="s">
        <v>189</v>
      </c>
      <c r="E697" s="18" t="s">
        <v>1508</v>
      </c>
      <c r="F697" s="18">
        <v>5.94</v>
      </c>
      <c r="G697" s="23">
        <v>2.11</v>
      </c>
      <c r="H697" s="17">
        <v>6.92</v>
      </c>
      <c r="I697" s="25">
        <v>12.910505836575879</v>
      </c>
      <c r="J697" s="24">
        <f>G697/F697*((100-H697)/100)*((100-I697)/100)*100</f>
        <v>28.795070953372885</v>
      </c>
      <c r="K697" s="53">
        <v>4.0205303678357573</v>
      </c>
      <c r="L697" s="54">
        <f>J697*10000/K697</f>
        <v>71620.080732963615</v>
      </c>
      <c r="M697" s="55">
        <v>53.3</v>
      </c>
      <c r="N697" s="55">
        <v>15.7</v>
      </c>
      <c r="O697" s="56">
        <v>2.0285000000000002</v>
      </c>
      <c r="P697" s="55">
        <v>38.799999999999997</v>
      </c>
      <c r="Q697" s="17" t="s">
        <v>424</v>
      </c>
      <c r="R697" s="17" t="s">
        <v>424</v>
      </c>
      <c r="S697" s="17" t="s">
        <v>424</v>
      </c>
      <c r="T697" s="17" t="s">
        <v>424</v>
      </c>
      <c r="U697" s="17" t="s">
        <v>424</v>
      </c>
      <c r="V697" s="17" t="s">
        <v>424</v>
      </c>
      <c r="W697" s="17" t="s">
        <v>424</v>
      </c>
    </row>
    <row r="698" spans="1:23" x14ac:dyDescent="0.25">
      <c r="A698" s="19" t="s">
        <v>358</v>
      </c>
      <c r="B698" s="20" t="s">
        <v>7</v>
      </c>
      <c r="C698" s="20" t="s">
        <v>13</v>
      </c>
      <c r="D698" s="18" t="s">
        <v>65</v>
      </c>
      <c r="E698" s="18" t="s">
        <v>1658</v>
      </c>
      <c r="F698" s="18">
        <v>5.94</v>
      </c>
      <c r="G698" s="23">
        <v>1.84</v>
      </c>
      <c r="H698" s="17">
        <v>6.92</v>
      </c>
      <c r="I698" s="25">
        <v>11.84422272288381</v>
      </c>
      <c r="J698" s="24">
        <f>G698/F698*((100-H698)/100)*((100-I698)/100)*100</f>
        <v>25.417833565783354</v>
      </c>
      <c r="K698" s="53">
        <v>5.188470066518847</v>
      </c>
      <c r="L698" s="54">
        <f>J698*10000/K698</f>
        <v>48989.072385334584</v>
      </c>
      <c r="M698" s="55">
        <v>49.7</v>
      </c>
      <c r="N698" s="55">
        <v>18.8</v>
      </c>
      <c r="O698" s="56">
        <v>-0.69350000000000001</v>
      </c>
      <c r="P698" s="55">
        <v>19.3</v>
      </c>
      <c r="Q698" s="17" t="s">
        <v>424</v>
      </c>
      <c r="R698" s="17" t="s">
        <v>424</v>
      </c>
      <c r="S698" s="17" t="s">
        <v>424</v>
      </c>
      <c r="T698" s="17" t="s">
        <v>424</v>
      </c>
      <c r="U698" s="17" t="s">
        <v>424</v>
      </c>
      <c r="V698" s="17" t="s">
        <v>424</v>
      </c>
      <c r="W698" s="17" t="s">
        <v>424</v>
      </c>
    </row>
    <row r="699" spans="1:23" x14ac:dyDescent="0.25">
      <c r="A699" s="19" t="s">
        <v>359</v>
      </c>
      <c r="B699" s="20" t="s">
        <v>7</v>
      </c>
      <c r="C699" s="20" t="s">
        <v>13</v>
      </c>
      <c r="D699" s="18" t="s">
        <v>103</v>
      </c>
      <c r="E699" s="18" t="s">
        <v>1710</v>
      </c>
      <c r="F699" s="18">
        <v>5.94</v>
      </c>
      <c r="G699" s="23">
        <v>2.0299999999999998</v>
      </c>
      <c r="H699" s="17">
        <v>6.92</v>
      </c>
      <c r="I699" s="25">
        <v>16.045627376425852</v>
      </c>
      <c r="J699" s="24">
        <f>G699/F699*((100-H699)/100)*((100-I699)/100)*100</f>
        <v>26.706027268886579</v>
      </c>
      <c r="K699" s="53">
        <v>5.3149171270718236</v>
      </c>
      <c r="L699" s="54">
        <f>J699*10000/K699</f>
        <v>50247.307023580768</v>
      </c>
      <c r="M699" s="55">
        <v>48.9</v>
      </c>
      <c r="N699" s="55">
        <v>18.2</v>
      </c>
      <c r="O699" s="56">
        <v>5.9032</v>
      </c>
      <c r="P699" s="55">
        <v>57.1</v>
      </c>
      <c r="Q699" s="17" t="s">
        <v>424</v>
      </c>
      <c r="R699" s="17" t="s">
        <v>424</v>
      </c>
      <c r="S699" s="17" t="s">
        <v>424</v>
      </c>
      <c r="T699" s="17" t="s">
        <v>424</v>
      </c>
      <c r="U699" s="17" t="s">
        <v>424</v>
      </c>
      <c r="V699" s="17" t="s">
        <v>424</v>
      </c>
      <c r="W699" s="17" t="s">
        <v>424</v>
      </c>
    </row>
    <row r="700" spans="1:23" x14ac:dyDescent="0.25">
      <c r="A700" s="19" t="s">
        <v>360</v>
      </c>
      <c r="B700" s="20" t="s">
        <v>7</v>
      </c>
      <c r="C700" s="20" t="s">
        <v>13</v>
      </c>
      <c r="D700" s="18" t="s">
        <v>97</v>
      </c>
      <c r="E700" s="18" t="s">
        <v>1529</v>
      </c>
      <c r="F700" s="18">
        <v>5.94</v>
      </c>
      <c r="G700" s="23">
        <v>1.63</v>
      </c>
      <c r="H700" s="17">
        <v>6.92</v>
      </c>
      <c r="I700" s="25">
        <v>13.792576752711167</v>
      </c>
      <c r="J700" s="24">
        <f>G700/F700*((100-H700)/100)*((100-I700)/100)*100</f>
        <v>22.019233565737302</v>
      </c>
      <c r="K700" s="53">
        <v>5.9722222222222223</v>
      </c>
      <c r="L700" s="54">
        <f>J700*10000/K700</f>
        <v>36869.414342629898</v>
      </c>
      <c r="M700" s="55">
        <v>45.8</v>
      </c>
      <c r="N700" s="55">
        <v>20.6</v>
      </c>
      <c r="O700" s="56">
        <v>2.8736999999999999</v>
      </c>
      <c r="P700" s="55">
        <v>24</v>
      </c>
      <c r="Q700" s="17" t="s">
        <v>424</v>
      </c>
      <c r="R700" s="17" t="s">
        <v>424</v>
      </c>
      <c r="S700" s="17" t="s">
        <v>424</v>
      </c>
      <c r="T700" s="17" t="s">
        <v>424</v>
      </c>
      <c r="U700" s="17" t="s">
        <v>424</v>
      </c>
      <c r="V700" s="17" t="s">
        <v>424</v>
      </c>
      <c r="W700" s="17" t="s">
        <v>424</v>
      </c>
    </row>
    <row r="701" spans="1:23" x14ac:dyDescent="0.25">
      <c r="A701" s="19" t="s">
        <v>576</v>
      </c>
      <c r="B701" s="20" t="s">
        <v>7</v>
      </c>
      <c r="C701" s="20" t="s">
        <v>427</v>
      </c>
      <c r="D701" s="18" t="s">
        <v>32</v>
      </c>
      <c r="E701" s="18" t="s">
        <v>1810</v>
      </c>
      <c r="F701" s="18">
        <v>5.94</v>
      </c>
      <c r="G701" s="23">
        <v>2.16</v>
      </c>
      <c r="H701" s="20">
        <v>6.71</v>
      </c>
      <c r="I701" s="25">
        <v>4.7095036552520133</v>
      </c>
      <c r="J701" s="24">
        <f>G701/F701*((100-H701)/100)*((100-I701)/100)*100</f>
        <v>32.326001469096511</v>
      </c>
      <c r="K701" s="53">
        <v>4.429590017825312</v>
      </c>
      <c r="L701" s="54">
        <f>J701*10000/K701</f>
        <v>72977.411767256111</v>
      </c>
      <c r="M701" s="55">
        <v>51.3</v>
      </c>
      <c r="N701" s="55">
        <v>16.600000000000001</v>
      </c>
      <c r="O701" s="56">
        <v>3.1286999999999998</v>
      </c>
      <c r="P701" s="55">
        <v>16.2</v>
      </c>
      <c r="Q701" s="17" t="s">
        <v>424</v>
      </c>
      <c r="R701" s="17" t="s">
        <v>424</v>
      </c>
      <c r="S701" s="17" t="s">
        <v>424</v>
      </c>
      <c r="T701" s="17" t="s">
        <v>424</v>
      </c>
      <c r="U701" s="17" t="s">
        <v>424</v>
      </c>
      <c r="V701" s="17" t="s">
        <v>424</v>
      </c>
      <c r="W701" s="17" t="s">
        <v>424</v>
      </c>
    </row>
    <row r="702" spans="1:23" x14ac:dyDescent="0.25">
      <c r="A702" s="19" t="s">
        <v>575</v>
      </c>
      <c r="B702" s="20" t="s">
        <v>7</v>
      </c>
      <c r="C702" s="20" t="s">
        <v>427</v>
      </c>
      <c r="D702" s="18" t="s">
        <v>299</v>
      </c>
      <c r="E702" s="18" t="s">
        <v>1674</v>
      </c>
      <c r="F702" s="18">
        <v>5.94</v>
      </c>
      <c r="G702" s="23">
        <v>1.67</v>
      </c>
      <c r="H702" s="20">
        <v>6.71</v>
      </c>
      <c r="I702" s="25">
        <v>5.126426148627818</v>
      </c>
      <c r="J702" s="24">
        <f>G702/F702*((100-H702)/100)*((100-I702)/100)*100</f>
        <v>24.883437755341472</v>
      </c>
      <c r="K702" s="53">
        <v>4.7247247247247248</v>
      </c>
      <c r="L702" s="54">
        <f>J702*10000/K702</f>
        <v>52666.428638953665</v>
      </c>
      <c r="M702" s="55">
        <v>49.5</v>
      </c>
      <c r="N702" s="55">
        <v>18.600000000000001</v>
      </c>
      <c r="O702" s="56">
        <v>6.6649000000000003</v>
      </c>
      <c r="P702" s="55">
        <v>10.8</v>
      </c>
      <c r="Q702" s="17" t="s">
        <v>424</v>
      </c>
      <c r="R702" s="17" t="s">
        <v>424</v>
      </c>
      <c r="S702" s="17" t="s">
        <v>424</v>
      </c>
      <c r="T702" s="17" t="s">
        <v>424</v>
      </c>
      <c r="U702" s="17" t="s">
        <v>424</v>
      </c>
      <c r="V702" s="17" t="s">
        <v>424</v>
      </c>
      <c r="W702" s="17" t="s">
        <v>424</v>
      </c>
    </row>
    <row r="703" spans="1:23" x14ac:dyDescent="0.25">
      <c r="A703" s="19" t="s">
        <v>574</v>
      </c>
      <c r="B703" s="20" t="s">
        <v>7</v>
      </c>
      <c r="C703" s="20" t="s">
        <v>427</v>
      </c>
      <c r="D703" s="18" t="s">
        <v>53</v>
      </c>
      <c r="E703" s="18" t="s">
        <v>1686</v>
      </c>
      <c r="F703" s="18">
        <v>5.94</v>
      </c>
      <c r="G703" s="23">
        <v>1.55</v>
      </c>
      <c r="H703" s="20">
        <v>6.71</v>
      </c>
      <c r="I703" s="25">
        <v>5.7171437365343234</v>
      </c>
      <c r="J703" s="24">
        <f>G703/F703*((100-H703)/100)*((100-I703)/100)*100</f>
        <v>22.951605848937717</v>
      </c>
      <c r="K703" s="53">
        <v>4.9405940594059405</v>
      </c>
      <c r="L703" s="54">
        <f>J703*10000/K703</f>
        <v>46455.154123100394</v>
      </c>
      <c r="M703" s="55">
        <v>51.7</v>
      </c>
      <c r="N703" s="55">
        <v>19.3</v>
      </c>
      <c r="O703" s="56">
        <v>49.213000000000001</v>
      </c>
      <c r="P703" s="55">
        <v>58</v>
      </c>
      <c r="Q703" s="17" t="s">
        <v>424</v>
      </c>
      <c r="R703" s="17" t="s">
        <v>424</v>
      </c>
      <c r="S703" s="17" t="s">
        <v>424</v>
      </c>
      <c r="T703" s="17" t="s">
        <v>424</v>
      </c>
      <c r="U703" s="17" t="s">
        <v>424</v>
      </c>
      <c r="V703" s="17" t="s">
        <v>424</v>
      </c>
      <c r="W703" s="17" t="s">
        <v>424</v>
      </c>
    </row>
    <row r="704" spans="1:23" x14ac:dyDescent="0.25">
      <c r="A704" s="19" t="s">
        <v>573</v>
      </c>
      <c r="B704" s="20" t="s">
        <v>7</v>
      </c>
      <c r="C704" s="20" t="s">
        <v>427</v>
      </c>
      <c r="D704" s="18" t="s">
        <v>177</v>
      </c>
      <c r="E704" s="18" t="s">
        <v>1698</v>
      </c>
      <c r="F704" s="18">
        <v>5.94</v>
      </c>
      <c r="G704" s="23">
        <v>1.37</v>
      </c>
      <c r="H704" s="20">
        <v>6.71</v>
      </c>
      <c r="I704" s="25">
        <v>7.860497343906367</v>
      </c>
      <c r="J704" s="24">
        <f>G704/F704*((100-H704)/100)*((100-I704)/100)*100</f>
        <v>19.825085955922823</v>
      </c>
      <c r="K704" s="53">
        <v>4.9083503054989821</v>
      </c>
      <c r="L704" s="54">
        <f>J704*10000/K704</f>
        <v>40390.527818913302</v>
      </c>
      <c r="M704" s="55">
        <v>50.8</v>
      </c>
      <c r="N704" s="55">
        <v>20.7</v>
      </c>
      <c r="O704" s="56">
        <v>43.993000000000002</v>
      </c>
      <c r="P704" s="55">
        <v>69.099999999999994</v>
      </c>
      <c r="Q704" s="17" t="s">
        <v>424</v>
      </c>
      <c r="R704" s="17" t="s">
        <v>424</v>
      </c>
      <c r="S704" s="17" t="s">
        <v>424</v>
      </c>
      <c r="T704" s="17" t="s">
        <v>424</v>
      </c>
      <c r="U704" s="17" t="s">
        <v>424</v>
      </c>
      <c r="V704" s="17" t="s">
        <v>424</v>
      </c>
      <c r="W704" s="17" t="s">
        <v>424</v>
      </c>
    </row>
    <row r="705" spans="1:23" x14ac:dyDescent="0.25">
      <c r="A705" s="19" t="s">
        <v>572</v>
      </c>
      <c r="B705" s="20" t="s">
        <v>7</v>
      </c>
      <c r="C705" s="20" t="s">
        <v>427</v>
      </c>
      <c r="D705" s="18" t="s">
        <v>94</v>
      </c>
      <c r="E705" s="18" t="s">
        <v>1582</v>
      </c>
      <c r="F705" s="18">
        <v>5.94</v>
      </c>
      <c r="G705" s="23">
        <v>2.2799999999999998</v>
      </c>
      <c r="H705" s="20">
        <v>6.71</v>
      </c>
      <c r="I705" s="25">
        <v>8.1584006151480306</v>
      </c>
      <c r="J705" s="24">
        <f>G705/F705*((100-H705)/100)*((100-I705)/100)*100</f>
        <v>32.886899661746256</v>
      </c>
      <c r="K705" s="53">
        <v>4.6989141164856862</v>
      </c>
      <c r="L705" s="54">
        <f>J705*10000/K705</f>
        <v>69988.296969220493</v>
      </c>
      <c r="M705" s="55">
        <v>54</v>
      </c>
      <c r="N705" s="55">
        <v>16.8</v>
      </c>
      <c r="O705" s="56">
        <v>1.1854</v>
      </c>
      <c r="P705" s="55">
        <v>14.8</v>
      </c>
      <c r="Q705" s="17" t="s">
        <v>424</v>
      </c>
      <c r="R705" s="17" t="s">
        <v>424</v>
      </c>
      <c r="S705" s="17" t="s">
        <v>424</v>
      </c>
      <c r="T705" s="17" t="s">
        <v>424</v>
      </c>
      <c r="U705" s="17" t="s">
        <v>424</v>
      </c>
      <c r="V705" s="17" t="s">
        <v>424</v>
      </c>
      <c r="W705" s="17" t="s">
        <v>424</v>
      </c>
    </row>
    <row r="706" spans="1:23" x14ac:dyDescent="0.25">
      <c r="A706" s="19" t="s">
        <v>571</v>
      </c>
      <c r="B706" s="20" t="s">
        <v>7</v>
      </c>
      <c r="C706" s="20" t="s">
        <v>427</v>
      </c>
      <c r="D706" s="18" t="s">
        <v>195</v>
      </c>
      <c r="E706" s="18" t="s">
        <v>1750</v>
      </c>
      <c r="F706" s="18">
        <v>5.94</v>
      </c>
      <c r="G706" s="23">
        <v>1.74</v>
      </c>
      <c r="H706" s="20">
        <v>6.71</v>
      </c>
      <c r="I706" s="25">
        <v>6.2875173156841635</v>
      </c>
      <c r="J706" s="24">
        <f>G706/F706*((100-H706)/100)*((100-I706)/100)*100</f>
        <v>25.609160381714641</v>
      </c>
      <c r="K706" s="53">
        <v>4.8868312757201648</v>
      </c>
      <c r="L706" s="54">
        <f>J706*10000/K706</f>
        <v>52404.42924426659</v>
      </c>
      <c r="M706" s="55">
        <v>51</v>
      </c>
      <c r="N706" s="55">
        <v>17.5</v>
      </c>
      <c r="O706" s="56">
        <v>1.9044000000000001</v>
      </c>
      <c r="P706" s="55">
        <v>16.100000000000001</v>
      </c>
      <c r="Q706" s="17" t="s">
        <v>424</v>
      </c>
      <c r="R706" s="17" t="s">
        <v>424</v>
      </c>
      <c r="S706" s="17" t="s">
        <v>424</v>
      </c>
      <c r="T706" s="17" t="s">
        <v>424</v>
      </c>
      <c r="U706" s="17" t="s">
        <v>424</v>
      </c>
      <c r="V706" s="17" t="s">
        <v>424</v>
      </c>
      <c r="W706" s="17" t="s">
        <v>424</v>
      </c>
    </row>
    <row r="707" spans="1:23" x14ac:dyDescent="0.25">
      <c r="A707" s="19" t="s">
        <v>361</v>
      </c>
      <c r="B707" s="20" t="s">
        <v>7</v>
      </c>
      <c r="C707" s="20" t="s">
        <v>13</v>
      </c>
      <c r="D707" s="18" t="s">
        <v>259</v>
      </c>
      <c r="E707" s="18" t="s">
        <v>1572</v>
      </c>
      <c r="F707" s="18">
        <v>5.94</v>
      </c>
      <c r="G707" s="23">
        <v>2.23</v>
      </c>
      <c r="H707" s="17">
        <v>6.92</v>
      </c>
      <c r="I707" s="25">
        <v>20.015126512651264</v>
      </c>
      <c r="J707" s="24">
        <f>G707/F707*((100-H707)/100)*((100-I707)/100)*100</f>
        <v>27.950054232275072</v>
      </c>
      <c r="K707" s="53">
        <v>4.4714686623012163</v>
      </c>
      <c r="L707" s="54">
        <f>J707*10000/K707</f>
        <v>62507.548063393413</v>
      </c>
      <c r="M707" s="55">
        <v>49.9</v>
      </c>
      <c r="N707" s="55">
        <v>19</v>
      </c>
      <c r="O707" s="56">
        <v>4.7716000000000003</v>
      </c>
      <c r="P707" s="55">
        <v>21.1</v>
      </c>
      <c r="Q707" s="17" t="s">
        <v>424</v>
      </c>
      <c r="R707" s="17" t="s">
        <v>424</v>
      </c>
      <c r="S707" s="17" t="s">
        <v>424</v>
      </c>
      <c r="T707" s="17" t="s">
        <v>424</v>
      </c>
      <c r="U707" s="17" t="s">
        <v>424</v>
      </c>
      <c r="V707" s="17" t="s">
        <v>424</v>
      </c>
      <c r="W707" s="17" t="s">
        <v>424</v>
      </c>
    </row>
    <row r="708" spans="1:23" x14ac:dyDescent="0.25">
      <c r="A708" s="19" t="s">
        <v>362</v>
      </c>
      <c r="B708" s="20" t="s">
        <v>7</v>
      </c>
      <c r="C708" s="20" t="s">
        <v>13</v>
      </c>
      <c r="D708" s="18" t="s">
        <v>218</v>
      </c>
      <c r="E708" s="18" t="s">
        <v>1466</v>
      </c>
      <c r="F708" s="18">
        <v>5.94</v>
      </c>
      <c r="G708" s="23">
        <v>1.28</v>
      </c>
      <c r="H708" s="17">
        <v>6.92</v>
      </c>
      <c r="I708" s="25">
        <v>16.767002928734136</v>
      </c>
      <c r="J708" s="24">
        <f>G708/F708*((100-H708)/100)*((100-I708)/100)*100</f>
        <v>16.694577492026237</v>
      </c>
      <c r="K708" s="53">
        <v>5.1472191930207201</v>
      </c>
      <c r="L708" s="54">
        <f>J708*10000/K708</f>
        <v>32434.168559720463</v>
      </c>
      <c r="M708" s="55">
        <v>48.2</v>
      </c>
      <c r="N708" s="55">
        <v>21.2</v>
      </c>
      <c r="O708" s="56">
        <v>48.363</v>
      </c>
      <c r="P708" s="55">
        <v>58.4</v>
      </c>
      <c r="Q708" s="17" t="s">
        <v>424</v>
      </c>
      <c r="R708" s="17" t="s">
        <v>424</v>
      </c>
      <c r="S708" s="17" t="s">
        <v>424</v>
      </c>
      <c r="T708" s="17" t="s">
        <v>424</v>
      </c>
      <c r="U708" s="17" t="s">
        <v>424</v>
      </c>
      <c r="V708" s="17" t="s">
        <v>424</v>
      </c>
      <c r="W708" s="17" t="s">
        <v>424</v>
      </c>
    </row>
    <row r="709" spans="1:23" x14ac:dyDescent="0.25">
      <c r="A709" s="19" t="s">
        <v>363</v>
      </c>
      <c r="B709" s="20" t="s">
        <v>7</v>
      </c>
      <c r="C709" s="20" t="s">
        <v>13</v>
      </c>
      <c r="D709" s="18" t="s">
        <v>58</v>
      </c>
      <c r="E709" s="18" t="s">
        <v>1778</v>
      </c>
      <c r="F709" s="18">
        <v>5.94</v>
      </c>
      <c r="G709" s="23">
        <v>2.41</v>
      </c>
      <c r="H709" s="17">
        <v>6.92</v>
      </c>
      <c r="I709" s="25">
        <v>14.636871508379889</v>
      </c>
      <c r="J709" s="24">
        <f>G709/F709*((100-H709)/100)*((100-I709)/100)*100</f>
        <v>32.237198653198654</v>
      </c>
      <c r="K709" s="53">
        <v>5.0106609808102345</v>
      </c>
      <c r="L709" s="54">
        <f>J709*10000/K709</f>
        <v>64337.217737660299</v>
      </c>
      <c r="M709" s="55">
        <v>52.5</v>
      </c>
      <c r="N709" s="55">
        <v>18</v>
      </c>
      <c r="O709" s="56">
        <v>10.436999999999999</v>
      </c>
      <c r="P709" s="55">
        <v>17</v>
      </c>
      <c r="Q709" s="17" t="s">
        <v>424</v>
      </c>
      <c r="R709" s="17" t="s">
        <v>424</v>
      </c>
      <c r="S709" s="17" t="s">
        <v>424</v>
      </c>
      <c r="T709" s="17" t="s">
        <v>424</v>
      </c>
      <c r="U709" s="17" t="s">
        <v>424</v>
      </c>
      <c r="V709" s="17" t="s">
        <v>424</v>
      </c>
      <c r="W709" s="17" t="s">
        <v>424</v>
      </c>
    </row>
    <row r="710" spans="1:23" x14ac:dyDescent="0.25">
      <c r="A710" s="19" t="s">
        <v>364</v>
      </c>
      <c r="B710" s="20" t="s">
        <v>7</v>
      </c>
      <c r="C710" s="20" t="s">
        <v>13</v>
      </c>
      <c r="D710" s="18" t="s">
        <v>190</v>
      </c>
      <c r="E710" s="18" t="s">
        <v>1456</v>
      </c>
      <c r="F710" s="18">
        <v>5.94</v>
      </c>
      <c r="G710" s="23">
        <v>1.75</v>
      </c>
      <c r="H710" s="17">
        <v>6.92</v>
      </c>
      <c r="I710" s="25">
        <v>19.82354778263586</v>
      </c>
      <c r="J710" s="24">
        <f>G710/F710*((100-H710)/100)*((100-I710)/100)*100</f>
        <v>21.986434851323981</v>
      </c>
      <c r="K710" s="53">
        <v>4.8586387434554972</v>
      </c>
      <c r="L710" s="54">
        <f>J710*10000/K710</f>
        <v>45252.25276511725</v>
      </c>
      <c r="M710" s="55">
        <v>49.3</v>
      </c>
      <c r="N710" s="55">
        <v>19.600000000000001</v>
      </c>
      <c r="O710" s="56">
        <v>43.292999999999999</v>
      </c>
      <c r="P710" s="55">
        <v>49.1</v>
      </c>
      <c r="Q710" s="17" t="s">
        <v>424</v>
      </c>
      <c r="R710" s="17" t="s">
        <v>424</v>
      </c>
      <c r="S710" s="17" t="s">
        <v>424</v>
      </c>
      <c r="T710" s="17" t="s">
        <v>424</v>
      </c>
      <c r="U710" s="17" t="s">
        <v>424</v>
      </c>
      <c r="V710" s="17" t="s">
        <v>424</v>
      </c>
      <c r="W710" s="17" t="s">
        <v>424</v>
      </c>
    </row>
    <row r="711" spans="1:23" x14ac:dyDescent="0.25">
      <c r="A711" s="19" t="s">
        <v>365</v>
      </c>
      <c r="B711" s="20" t="s">
        <v>7</v>
      </c>
      <c r="C711" s="20" t="s">
        <v>13</v>
      </c>
      <c r="D711" s="18" t="s">
        <v>243</v>
      </c>
      <c r="E711" s="18" t="s">
        <v>1746</v>
      </c>
      <c r="F711" s="18">
        <v>5.94</v>
      </c>
      <c r="G711" s="23">
        <v>2.16</v>
      </c>
      <c r="H711" s="17">
        <v>6.92</v>
      </c>
      <c r="I711" s="25">
        <v>17.783236563942236</v>
      </c>
      <c r="J711" s="24">
        <f>G711/F711*((100-H711)/100)*((100-I711)/100)*100</f>
        <v>27.828132147739115</v>
      </c>
      <c r="K711" s="53">
        <v>5.4502923976608191</v>
      </c>
      <c r="L711" s="54">
        <f>J711*10000/K711</f>
        <v>51058.05361870589</v>
      </c>
      <c r="M711" s="55">
        <v>51.6</v>
      </c>
      <c r="N711" s="55">
        <v>17.2</v>
      </c>
      <c r="O711" s="56">
        <v>2.1478999999999999</v>
      </c>
      <c r="P711" s="55">
        <v>17.3</v>
      </c>
      <c r="Q711" s="17" t="s">
        <v>424</v>
      </c>
      <c r="R711" s="17" t="s">
        <v>424</v>
      </c>
      <c r="S711" s="17" t="s">
        <v>424</v>
      </c>
      <c r="T711" s="17" t="s">
        <v>424</v>
      </c>
      <c r="U711" s="17" t="s">
        <v>424</v>
      </c>
      <c r="V711" s="17" t="s">
        <v>424</v>
      </c>
      <c r="W711" s="17" t="s">
        <v>424</v>
      </c>
    </row>
    <row r="712" spans="1:23" x14ac:dyDescent="0.25">
      <c r="A712" s="19" t="s">
        <v>366</v>
      </c>
      <c r="B712" s="20" t="s">
        <v>7</v>
      </c>
      <c r="C712" s="20" t="s">
        <v>13</v>
      </c>
      <c r="D712" s="18" t="s">
        <v>90</v>
      </c>
      <c r="E712" s="18" t="s">
        <v>1614</v>
      </c>
      <c r="F712" s="18">
        <v>5.94</v>
      </c>
      <c r="G712" s="23">
        <v>1.64</v>
      </c>
      <c r="H712" s="17">
        <v>6.92</v>
      </c>
      <c r="I712" s="25">
        <v>21.344313376363228</v>
      </c>
      <c r="J712" s="24">
        <f>G712/F712*((100-H712)/100)*((100-I712)/100)*100</f>
        <v>20.21361102680488</v>
      </c>
      <c r="K712" s="53">
        <v>5.0051813471502591</v>
      </c>
      <c r="L712" s="54">
        <f>J712*10000/K712</f>
        <v>40385.371927260268</v>
      </c>
      <c r="M712" s="55">
        <v>49.3</v>
      </c>
      <c r="N712" s="55">
        <v>19</v>
      </c>
      <c r="O712" s="56">
        <v>1.9548000000000001</v>
      </c>
      <c r="P712" s="55">
        <v>21</v>
      </c>
      <c r="Q712" s="17" t="s">
        <v>424</v>
      </c>
      <c r="R712" s="17" t="s">
        <v>424</v>
      </c>
      <c r="S712" s="17" t="s">
        <v>424</v>
      </c>
      <c r="T712" s="17" t="s">
        <v>424</v>
      </c>
      <c r="U712" s="17" t="s">
        <v>424</v>
      </c>
      <c r="V712" s="17" t="s">
        <v>424</v>
      </c>
      <c r="W712" s="17" t="s">
        <v>424</v>
      </c>
    </row>
    <row r="713" spans="1:23" x14ac:dyDescent="0.25">
      <c r="A713" s="19" t="s">
        <v>582</v>
      </c>
      <c r="B713" s="20" t="s">
        <v>7</v>
      </c>
      <c r="C713" s="20" t="s">
        <v>427</v>
      </c>
      <c r="D713" s="18" t="s">
        <v>268</v>
      </c>
      <c r="E713" s="18" t="s">
        <v>1734</v>
      </c>
      <c r="F713" s="18">
        <v>5.94</v>
      </c>
      <c r="G713" s="23">
        <v>2.09</v>
      </c>
      <c r="H713" s="20">
        <v>6.71</v>
      </c>
      <c r="I713" s="25">
        <v>7.1606372386325887</v>
      </c>
      <c r="J713" s="24">
        <f>G713/F713*((100-H713)/100)*((100-I713)/100)*100</f>
        <v>30.473833127435434</v>
      </c>
      <c r="K713" s="53">
        <v>5.4405286343612334</v>
      </c>
      <c r="L713" s="54">
        <f>J713*10000/K713</f>
        <v>56012.63255002303</v>
      </c>
      <c r="M713" s="55">
        <v>51.1</v>
      </c>
      <c r="N713" s="55">
        <v>17.600000000000001</v>
      </c>
      <c r="O713" s="56">
        <v>2.8917000000000002</v>
      </c>
      <c r="P713" s="55">
        <v>22.6</v>
      </c>
      <c r="Q713" s="17" t="s">
        <v>424</v>
      </c>
      <c r="R713" s="17" t="s">
        <v>424</v>
      </c>
      <c r="S713" s="17" t="s">
        <v>424</v>
      </c>
      <c r="T713" s="17" t="s">
        <v>424</v>
      </c>
      <c r="U713" s="17" t="s">
        <v>424</v>
      </c>
      <c r="V713" s="17" t="s">
        <v>424</v>
      </c>
      <c r="W713" s="17" t="s">
        <v>424</v>
      </c>
    </row>
    <row r="714" spans="1:23" x14ac:dyDescent="0.25">
      <c r="A714" s="19" t="s">
        <v>581</v>
      </c>
      <c r="B714" s="20" t="s">
        <v>7</v>
      </c>
      <c r="C714" s="20" t="s">
        <v>427</v>
      </c>
      <c r="D714" s="18" t="s">
        <v>45</v>
      </c>
      <c r="E714" s="18" t="s">
        <v>1472</v>
      </c>
      <c r="F714" s="18">
        <v>5.94</v>
      </c>
      <c r="G714" s="23">
        <v>1.56</v>
      </c>
      <c r="H714" s="20">
        <v>6.71</v>
      </c>
      <c r="I714" s="25">
        <v>7.199507199507206</v>
      </c>
      <c r="J714" s="24">
        <f>G714/F714*((100-H714)/100)*((100-I714)/100)*100</f>
        <v>22.736495687606798</v>
      </c>
      <c r="K714" s="53">
        <v>4.8582600195503423</v>
      </c>
      <c r="L714" s="54">
        <f>J714*10000/K714</f>
        <v>46799.668185959257</v>
      </c>
      <c r="M714" s="55">
        <v>49.9</v>
      </c>
      <c r="N714" s="55">
        <v>20.8</v>
      </c>
      <c r="O714" s="56">
        <v>38.183999999999997</v>
      </c>
      <c r="P714" s="55">
        <v>52.9</v>
      </c>
      <c r="Q714" s="17" t="s">
        <v>424</v>
      </c>
      <c r="R714" s="17" t="s">
        <v>424</v>
      </c>
      <c r="S714" s="17" t="s">
        <v>424</v>
      </c>
      <c r="T714" s="17" t="s">
        <v>424</v>
      </c>
      <c r="U714" s="17" t="s">
        <v>424</v>
      </c>
      <c r="V714" s="17" t="s">
        <v>424</v>
      </c>
      <c r="W714" s="17" t="s">
        <v>424</v>
      </c>
    </row>
    <row r="715" spans="1:23" x14ac:dyDescent="0.25">
      <c r="A715" s="19" t="s">
        <v>580</v>
      </c>
      <c r="B715" s="20" t="s">
        <v>7</v>
      </c>
      <c r="C715" s="20" t="s">
        <v>427</v>
      </c>
      <c r="D715" s="18" t="s">
        <v>16</v>
      </c>
      <c r="E715" s="18" t="s">
        <v>1541</v>
      </c>
      <c r="F715" s="18">
        <v>5.94</v>
      </c>
      <c r="G715" s="23">
        <v>1.58</v>
      </c>
      <c r="H715" s="20">
        <v>6.71</v>
      </c>
      <c r="I715" s="25">
        <v>6.6221608348680139</v>
      </c>
      <c r="J715" s="24">
        <f>G715/F715*((100-H715)/100)*((100-I715)/100)*100</f>
        <v>23.171254903754139</v>
      </c>
      <c r="K715" s="53">
        <v>5.1515151515151514</v>
      </c>
      <c r="L715" s="54">
        <f>J715*10000/K715</f>
        <v>44979.494813169797</v>
      </c>
      <c r="M715" s="55">
        <v>50.8</v>
      </c>
      <c r="N715" s="55">
        <v>16.899999999999999</v>
      </c>
      <c r="O715" s="56">
        <v>1.7085999999999999</v>
      </c>
      <c r="P715" s="55">
        <v>14</v>
      </c>
      <c r="Q715" s="17" t="s">
        <v>424</v>
      </c>
      <c r="R715" s="17" t="s">
        <v>424</v>
      </c>
      <c r="S715" s="17" t="s">
        <v>424</v>
      </c>
      <c r="T715" s="17" t="s">
        <v>424</v>
      </c>
      <c r="U715" s="17" t="s">
        <v>424</v>
      </c>
      <c r="V715" s="17" t="s">
        <v>424</v>
      </c>
      <c r="W715" s="17" t="s">
        <v>424</v>
      </c>
    </row>
    <row r="716" spans="1:23" x14ac:dyDescent="0.25">
      <c r="A716" s="19" t="s">
        <v>579</v>
      </c>
      <c r="B716" s="20" t="s">
        <v>7</v>
      </c>
      <c r="C716" s="20" t="s">
        <v>427</v>
      </c>
      <c r="D716" s="18" t="s">
        <v>294</v>
      </c>
      <c r="E716" s="18" t="s">
        <v>1513</v>
      </c>
      <c r="F716" s="18">
        <v>5.94</v>
      </c>
      <c r="G716" s="23">
        <v>1.42</v>
      </c>
      <c r="H716" s="20">
        <v>6.71</v>
      </c>
      <c r="I716" s="25">
        <v>7.6263399693721237</v>
      </c>
      <c r="J716" s="24">
        <f>G716/F716*((100-H716)/100)*((100-I716)/100)*100</f>
        <v>20.60085019670931</v>
      </c>
      <c r="K716" s="53">
        <v>5.4636871508379885</v>
      </c>
      <c r="L716" s="54">
        <f>J716*10000/K716</f>
        <v>37705.032568619288</v>
      </c>
      <c r="M716" s="55">
        <v>48.4</v>
      </c>
      <c r="N716" s="55">
        <v>19.600000000000001</v>
      </c>
      <c r="O716" s="56">
        <v>3.6738</v>
      </c>
      <c r="P716" s="55">
        <v>64.099999999999994</v>
      </c>
      <c r="Q716" s="17" t="s">
        <v>424</v>
      </c>
      <c r="R716" s="17" t="s">
        <v>424</v>
      </c>
      <c r="S716" s="17" t="s">
        <v>424</v>
      </c>
      <c r="T716" s="17" t="s">
        <v>424</v>
      </c>
      <c r="U716" s="17" t="s">
        <v>424</v>
      </c>
      <c r="V716" s="17" t="s">
        <v>424</v>
      </c>
      <c r="W716" s="17" t="s">
        <v>424</v>
      </c>
    </row>
    <row r="717" spans="1:23" x14ac:dyDescent="0.25">
      <c r="A717" s="19" t="s">
        <v>578</v>
      </c>
      <c r="B717" s="20" t="s">
        <v>7</v>
      </c>
      <c r="C717" s="20" t="s">
        <v>427</v>
      </c>
      <c r="D717" s="18" t="s">
        <v>278</v>
      </c>
      <c r="E717" s="18" t="s">
        <v>1596</v>
      </c>
      <c r="F717" s="18">
        <v>5.94</v>
      </c>
      <c r="G717" s="23">
        <v>1.75</v>
      </c>
      <c r="H717" s="20">
        <v>6.71</v>
      </c>
      <c r="I717" s="25">
        <v>5.1364859669357985</v>
      </c>
      <c r="J717" s="24">
        <f>G717/F717*((100-H717)/100)*((100-I717)/100)*100</f>
        <v>26.072693842176736</v>
      </c>
      <c r="K717" s="53">
        <v>4.3018213356461406</v>
      </c>
      <c r="L717" s="54">
        <f>J717*10000/K717</f>
        <v>60608.500000060034</v>
      </c>
      <c r="M717" s="55">
        <v>50.3</v>
      </c>
      <c r="N717" s="55">
        <v>17.600000000000001</v>
      </c>
      <c r="O717" s="56">
        <v>2.4790000000000001</v>
      </c>
      <c r="P717" s="55">
        <v>19.100000000000001</v>
      </c>
      <c r="Q717" s="17" t="s">
        <v>424</v>
      </c>
      <c r="R717" s="17" t="s">
        <v>424</v>
      </c>
      <c r="S717" s="17" t="s">
        <v>424</v>
      </c>
      <c r="T717" s="17" t="s">
        <v>424</v>
      </c>
      <c r="U717" s="17" t="s">
        <v>424</v>
      </c>
      <c r="V717" s="17" t="s">
        <v>424</v>
      </c>
      <c r="W717" s="17" t="s">
        <v>424</v>
      </c>
    </row>
    <row r="718" spans="1:23" x14ac:dyDescent="0.25">
      <c r="A718" s="19" t="s">
        <v>577</v>
      </c>
      <c r="B718" s="20" t="s">
        <v>7</v>
      </c>
      <c r="C718" s="20" t="s">
        <v>427</v>
      </c>
      <c r="D718" s="18" t="s">
        <v>11</v>
      </c>
      <c r="E718" s="18" t="s">
        <v>1592</v>
      </c>
      <c r="F718" s="18">
        <v>5.94</v>
      </c>
      <c r="G718" s="23">
        <v>2.36</v>
      </c>
      <c r="H718" s="20">
        <v>6.71</v>
      </c>
      <c r="I718" s="25">
        <v>3.8165589412126866</v>
      </c>
      <c r="J718" s="24">
        <f>G718/F718*((100-H718)/100)*((100-I718)/100)*100</f>
        <v>35.650117155965106</v>
      </c>
      <c r="K718" s="53">
        <v>4.01453957996769</v>
      </c>
      <c r="L718" s="54">
        <f>J718*10000/K718</f>
        <v>88802.50510882253</v>
      </c>
      <c r="M718" s="55">
        <v>51.8</v>
      </c>
      <c r="N718" s="55">
        <v>17.5</v>
      </c>
      <c r="O718" s="56">
        <v>1.6871</v>
      </c>
      <c r="P718" s="55">
        <v>16.899999999999999</v>
      </c>
      <c r="Q718" s="17" t="s">
        <v>424</v>
      </c>
      <c r="R718" s="17" t="s">
        <v>424</v>
      </c>
      <c r="S718" s="17" t="s">
        <v>424</v>
      </c>
      <c r="T718" s="17" t="s">
        <v>424</v>
      </c>
      <c r="U718" s="17" t="s">
        <v>424</v>
      </c>
      <c r="V718" s="17" t="s">
        <v>424</v>
      </c>
      <c r="W718" s="17" t="s">
        <v>424</v>
      </c>
    </row>
    <row r="719" spans="1:23" x14ac:dyDescent="0.25">
      <c r="A719" s="19" t="s">
        <v>367</v>
      </c>
      <c r="B719" s="20" t="s">
        <v>7</v>
      </c>
      <c r="C719" s="20" t="s">
        <v>13</v>
      </c>
      <c r="D719" s="18" t="s">
        <v>204</v>
      </c>
      <c r="E719" s="18" t="s">
        <v>1786</v>
      </c>
      <c r="F719" s="18">
        <v>5.94</v>
      </c>
      <c r="G719" s="23">
        <v>2.91</v>
      </c>
      <c r="H719" s="17">
        <v>6.92</v>
      </c>
      <c r="I719" s="25">
        <v>19.56422367819594</v>
      </c>
      <c r="J719" s="24">
        <f>G719/F719*((100-H719)/100)*((100-I719)/100)*100</f>
        <v>36.678551506224828</v>
      </c>
      <c r="K719" s="53">
        <v>4.3732327992459945</v>
      </c>
      <c r="L719" s="54">
        <f>J719*10000/K719</f>
        <v>83870.567129535644</v>
      </c>
      <c r="M719" s="55">
        <v>52.9</v>
      </c>
      <c r="N719" s="55">
        <v>18.5</v>
      </c>
      <c r="O719" s="56">
        <v>3.3618000000000001</v>
      </c>
      <c r="P719" s="55">
        <v>10</v>
      </c>
      <c r="Q719" s="17" t="s">
        <v>424</v>
      </c>
      <c r="R719" s="17" t="s">
        <v>424</v>
      </c>
      <c r="S719" s="17" t="s">
        <v>424</v>
      </c>
      <c r="T719" s="17" t="s">
        <v>424</v>
      </c>
      <c r="U719" s="17" t="s">
        <v>424</v>
      </c>
      <c r="V719" s="17" t="s">
        <v>424</v>
      </c>
      <c r="W719" s="17" t="s">
        <v>424</v>
      </c>
    </row>
    <row r="720" spans="1:23" x14ac:dyDescent="0.25">
      <c r="A720" s="19" t="s">
        <v>368</v>
      </c>
      <c r="B720" s="20" t="s">
        <v>7</v>
      </c>
      <c r="C720" s="20" t="s">
        <v>13</v>
      </c>
      <c r="D720" s="18" t="s">
        <v>157</v>
      </c>
      <c r="E720" s="18" t="s">
        <v>1800</v>
      </c>
      <c r="F720" s="18">
        <v>5.94</v>
      </c>
      <c r="G720" s="23">
        <v>2.39</v>
      </c>
      <c r="H720" s="17">
        <v>6.92</v>
      </c>
      <c r="I720" s="25">
        <v>16.30207930741285</v>
      </c>
      <c r="J720" s="24">
        <f>G720/F720*((100-H720)/100)*((100-I720)/100)*100</f>
        <v>31.346026725215093</v>
      </c>
      <c r="K720" s="53">
        <v>5.5148741418764304</v>
      </c>
      <c r="L720" s="54">
        <f>J720*10000/K720</f>
        <v>56839.060908377571</v>
      </c>
      <c r="M720" s="55">
        <v>52</v>
      </c>
      <c r="N720" s="55">
        <v>17.600000000000001</v>
      </c>
      <c r="O720" s="56">
        <v>3.1206999999999998</v>
      </c>
      <c r="P720" s="55">
        <v>12.5</v>
      </c>
      <c r="Q720" s="17" t="s">
        <v>424</v>
      </c>
      <c r="R720" s="17" t="s">
        <v>424</v>
      </c>
      <c r="S720" s="17" t="s">
        <v>424</v>
      </c>
      <c r="T720" s="17" t="s">
        <v>424</v>
      </c>
      <c r="U720" s="17" t="s">
        <v>424</v>
      </c>
      <c r="V720" s="17" t="s">
        <v>424</v>
      </c>
      <c r="W720" s="17" t="s">
        <v>424</v>
      </c>
    </row>
    <row r="721" spans="1:23" x14ac:dyDescent="0.25">
      <c r="A721" s="19" t="s">
        <v>369</v>
      </c>
      <c r="B721" s="20" t="s">
        <v>7</v>
      </c>
      <c r="C721" s="20" t="s">
        <v>13</v>
      </c>
      <c r="D721" s="18" t="s">
        <v>12</v>
      </c>
      <c r="E721" s="18" t="s">
        <v>1708</v>
      </c>
      <c r="F721" s="18">
        <v>5.94</v>
      </c>
      <c r="G721" s="23">
        <v>2.0099999999999998</v>
      </c>
      <c r="H721" s="17">
        <v>6.92</v>
      </c>
      <c r="I721" s="25">
        <v>10.274790919952203</v>
      </c>
      <c r="J721" s="24">
        <f>G721/F721*((100-H721)/100)*((100-I721)/100)*100</f>
        <v>28.260540651436706</v>
      </c>
      <c r="K721" s="53">
        <v>4.8909657320872277</v>
      </c>
      <c r="L721" s="54">
        <f>J721*10000/K721</f>
        <v>57781.105408351483</v>
      </c>
      <c r="M721" s="55">
        <v>50.6</v>
      </c>
      <c r="N721" s="55">
        <v>17.2</v>
      </c>
      <c r="O721" s="56">
        <v>4.5761000000000003</v>
      </c>
      <c r="P721" s="55">
        <v>13.3</v>
      </c>
      <c r="Q721" s="17" t="s">
        <v>424</v>
      </c>
      <c r="R721" s="17" t="s">
        <v>424</v>
      </c>
      <c r="S721" s="17" t="s">
        <v>424</v>
      </c>
      <c r="T721" s="17" t="s">
        <v>424</v>
      </c>
      <c r="U721" s="17" t="s">
        <v>424</v>
      </c>
      <c r="V721" s="17" t="s">
        <v>424</v>
      </c>
      <c r="W721" s="17" t="s">
        <v>424</v>
      </c>
    </row>
    <row r="722" spans="1:23" x14ac:dyDescent="0.25">
      <c r="A722" s="19" t="s">
        <v>370</v>
      </c>
      <c r="B722" s="20" t="s">
        <v>7</v>
      </c>
      <c r="C722" s="20" t="s">
        <v>13</v>
      </c>
      <c r="D722" s="18" t="s">
        <v>50</v>
      </c>
      <c r="E722" s="18" t="s">
        <v>1758</v>
      </c>
      <c r="F722" s="18">
        <v>5.94</v>
      </c>
      <c r="G722" s="23">
        <v>2.25</v>
      </c>
      <c r="H722" s="17">
        <v>6.92</v>
      </c>
      <c r="I722" s="25">
        <v>9.9897903086468229</v>
      </c>
      <c r="J722" s="24">
        <f>G722/F722*((100-H722)/100)*((100-I722)/100)*100</f>
        <v>31.735417871481641</v>
      </c>
      <c r="K722" s="53">
        <v>4.7975708502024288</v>
      </c>
      <c r="L722" s="54">
        <f>J722*10000/K722</f>
        <v>66148.930078109421</v>
      </c>
      <c r="M722" s="55">
        <v>50.6</v>
      </c>
      <c r="N722" s="55">
        <v>18.2</v>
      </c>
      <c r="O722" s="56">
        <v>3.5457999999999998</v>
      </c>
      <c r="P722" s="55">
        <v>17.5</v>
      </c>
      <c r="Q722" s="17" t="s">
        <v>424</v>
      </c>
      <c r="R722" s="17" t="s">
        <v>424</v>
      </c>
      <c r="S722" s="17" t="s">
        <v>424</v>
      </c>
      <c r="T722" s="17" t="s">
        <v>424</v>
      </c>
      <c r="U722" s="17" t="s">
        <v>424</v>
      </c>
      <c r="V722" s="17" t="s">
        <v>424</v>
      </c>
      <c r="W722" s="17" t="s">
        <v>424</v>
      </c>
    </row>
    <row r="723" spans="1:23" x14ac:dyDescent="0.25">
      <c r="A723" s="19" t="s">
        <v>371</v>
      </c>
      <c r="B723" s="20" t="s">
        <v>7</v>
      </c>
      <c r="C723" s="20" t="s">
        <v>13</v>
      </c>
      <c r="D723" s="18" t="s">
        <v>26</v>
      </c>
      <c r="E723" s="18" t="s">
        <v>1568</v>
      </c>
      <c r="F723" s="18">
        <v>5.94</v>
      </c>
      <c r="G723" s="23">
        <v>1.67</v>
      </c>
      <c r="H723" s="17">
        <v>6.92</v>
      </c>
      <c r="I723" s="25">
        <v>10.331897239508539</v>
      </c>
      <c r="J723" s="24">
        <f>G723/F723*((100-H723)/100)*((100-I723)/100)*100</f>
        <v>23.4652065627285</v>
      </c>
      <c r="K723" s="53">
        <v>5</v>
      </c>
      <c r="L723" s="54">
        <f>J723*10000/K723</f>
        <v>46930.413125457002</v>
      </c>
      <c r="M723" s="55">
        <v>48.6</v>
      </c>
      <c r="N723" s="55">
        <v>18.5</v>
      </c>
      <c r="O723" s="56">
        <v>-1.8552999999999999</v>
      </c>
      <c r="P723" s="55">
        <v>19</v>
      </c>
      <c r="Q723" s="17" t="s">
        <v>424</v>
      </c>
      <c r="R723" s="17" t="s">
        <v>424</v>
      </c>
      <c r="S723" s="17" t="s">
        <v>424</v>
      </c>
      <c r="T723" s="17" t="s">
        <v>424</v>
      </c>
      <c r="U723" s="17" t="s">
        <v>424</v>
      </c>
      <c r="V723" s="17" t="s">
        <v>424</v>
      </c>
      <c r="W723" s="17" t="s">
        <v>424</v>
      </c>
    </row>
    <row r="724" spans="1:23" x14ac:dyDescent="0.25">
      <c r="A724" s="19" t="s">
        <v>372</v>
      </c>
      <c r="B724" s="20" t="s">
        <v>7</v>
      </c>
      <c r="C724" s="20" t="s">
        <v>13</v>
      </c>
      <c r="D724" s="18" t="s">
        <v>174</v>
      </c>
      <c r="E724" s="18" t="s">
        <v>1696</v>
      </c>
      <c r="F724" s="18">
        <v>5.94</v>
      </c>
      <c r="G724" s="23">
        <v>1.1299999999999999</v>
      </c>
      <c r="H724" s="17">
        <v>6.92</v>
      </c>
      <c r="I724" s="25">
        <v>24.416783447366257</v>
      </c>
      <c r="J724" s="24">
        <f>G724/F724*((100-H724)/100)*((100-I724)/100)*100</f>
        <v>13.383624495442151</v>
      </c>
      <c r="K724" s="53">
        <v>4.5286686103012634</v>
      </c>
      <c r="L724" s="54">
        <f>J724*10000/K724</f>
        <v>29553.110742081488</v>
      </c>
      <c r="M724" s="55">
        <v>46.7</v>
      </c>
      <c r="N724" s="55">
        <v>22.2</v>
      </c>
      <c r="O724" s="56">
        <v>49.427</v>
      </c>
      <c r="P724" s="55">
        <v>64.3</v>
      </c>
      <c r="Q724" s="17" t="s">
        <v>424</v>
      </c>
      <c r="R724" s="17" t="s">
        <v>424</v>
      </c>
      <c r="S724" s="17" t="s">
        <v>424</v>
      </c>
      <c r="T724" s="17" t="s">
        <v>424</v>
      </c>
      <c r="U724" s="17" t="s">
        <v>424</v>
      </c>
      <c r="V724" s="17" t="s">
        <v>424</v>
      </c>
      <c r="W724" s="17" t="s">
        <v>424</v>
      </c>
    </row>
    <row r="725" spans="1:23" x14ac:dyDescent="0.25">
      <c r="A725" s="19" t="s">
        <v>588</v>
      </c>
      <c r="B725" s="20" t="s">
        <v>7</v>
      </c>
      <c r="C725" s="20" t="s">
        <v>427</v>
      </c>
      <c r="D725" s="18" t="s">
        <v>27</v>
      </c>
      <c r="E725" s="18" t="s">
        <v>1586</v>
      </c>
      <c r="F725" s="18">
        <v>5.94</v>
      </c>
      <c r="G725" s="23">
        <v>1.8</v>
      </c>
      <c r="H725" s="20">
        <v>6.71</v>
      </c>
      <c r="I725" s="25">
        <v>8.1457489878542528</v>
      </c>
      <c r="J725" s="24">
        <f>G725/F725*((100-H725)/100)*((100-I725)/100)*100</f>
        <v>25.966918414918418</v>
      </c>
      <c r="K725" s="53">
        <v>5.102702702702703</v>
      </c>
      <c r="L725" s="54">
        <f>J725*10000/K725</f>
        <v>50888.558334321046</v>
      </c>
      <c r="M725" s="55">
        <v>51.1</v>
      </c>
      <c r="N725" s="55">
        <v>17.5</v>
      </c>
      <c r="O725" s="56">
        <v>0.98046999999999995</v>
      </c>
      <c r="P725" s="55">
        <v>16.5</v>
      </c>
      <c r="Q725" s="17" t="s">
        <v>424</v>
      </c>
      <c r="R725" s="17" t="s">
        <v>424</v>
      </c>
      <c r="S725" s="17" t="s">
        <v>424</v>
      </c>
      <c r="T725" s="17" t="s">
        <v>424</v>
      </c>
      <c r="U725" s="17" t="s">
        <v>424</v>
      </c>
      <c r="V725" s="17" t="s">
        <v>424</v>
      </c>
      <c r="W725" s="17" t="s">
        <v>424</v>
      </c>
    </row>
    <row r="726" spans="1:23" x14ac:dyDescent="0.25">
      <c r="A726" s="19" t="s">
        <v>587</v>
      </c>
      <c r="B726" s="20" t="s">
        <v>7</v>
      </c>
      <c r="C726" s="20" t="s">
        <v>427</v>
      </c>
      <c r="D726" s="18" t="s">
        <v>102</v>
      </c>
      <c r="E726" s="18" t="s">
        <v>1790</v>
      </c>
      <c r="F726" s="18">
        <v>5.94</v>
      </c>
      <c r="G726" s="23">
        <v>2.37</v>
      </c>
      <c r="H726" s="20">
        <v>6.71</v>
      </c>
      <c r="I726" s="25">
        <v>5.7879485845902421</v>
      </c>
      <c r="J726" s="24">
        <f>G726/F726*((100-H726)/100)*((100-I726)/100)*100</f>
        <v>35.067390901360739</v>
      </c>
      <c r="K726" s="53">
        <v>5.2922077922077921</v>
      </c>
      <c r="L726" s="54">
        <f>J726*10000/K726</f>
        <v>66262.309187847277</v>
      </c>
      <c r="M726" s="55">
        <v>53.3</v>
      </c>
      <c r="N726" s="55">
        <v>16</v>
      </c>
      <c r="O726" s="56">
        <v>-0.67586000000000002</v>
      </c>
      <c r="P726" s="55">
        <v>13.5</v>
      </c>
      <c r="Q726" s="17" t="s">
        <v>424</v>
      </c>
      <c r="R726" s="17" t="s">
        <v>424</v>
      </c>
      <c r="S726" s="17" t="s">
        <v>424</v>
      </c>
      <c r="T726" s="17" t="s">
        <v>424</v>
      </c>
      <c r="U726" s="17" t="s">
        <v>424</v>
      </c>
      <c r="V726" s="17" t="s">
        <v>424</v>
      </c>
      <c r="W726" s="17" t="s">
        <v>424</v>
      </c>
    </row>
    <row r="727" spans="1:23" x14ac:dyDescent="0.25">
      <c r="A727" s="19" t="s">
        <v>586</v>
      </c>
      <c r="B727" s="20" t="s">
        <v>7</v>
      </c>
      <c r="C727" s="20" t="s">
        <v>427</v>
      </c>
      <c r="D727" s="18" t="s">
        <v>281</v>
      </c>
      <c r="E727" s="18" t="s">
        <v>1612</v>
      </c>
      <c r="F727" s="18">
        <v>5.94</v>
      </c>
      <c r="G727" s="23">
        <v>2.06</v>
      </c>
      <c r="H727" s="20">
        <v>6.71</v>
      </c>
      <c r="I727" s="25">
        <v>7.9790712884237998</v>
      </c>
      <c r="J727" s="24">
        <f>G727/F727*((100-H727)/100)*((100-I727)/100)*100</f>
        <v>29.771620918141522</v>
      </c>
      <c r="K727" s="53">
        <v>4.7702834799608995</v>
      </c>
      <c r="L727" s="54">
        <f>J727*10000/K727</f>
        <v>62410.590572251589</v>
      </c>
      <c r="M727" s="55">
        <v>49.3</v>
      </c>
      <c r="N727" s="55">
        <v>15.2</v>
      </c>
      <c r="O727" s="56">
        <v>3.3490000000000002</v>
      </c>
      <c r="P727" s="55">
        <v>17.2</v>
      </c>
      <c r="Q727" s="17" t="s">
        <v>424</v>
      </c>
      <c r="R727" s="17" t="s">
        <v>424</v>
      </c>
      <c r="S727" s="17" t="s">
        <v>424</v>
      </c>
      <c r="T727" s="17" t="s">
        <v>424</v>
      </c>
      <c r="U727" s="17" t="s">
        <v>424</v>
      </c>
      <c r="V727" s="17" t="s">
        <v>424</v>
      </c>
      <c r="W727" s="17" t="s">
        <v>424</v>
      </c>
    </row>
    <row r="728" spans="1:23" x14ac:dyDescent="0.25">
      <c r="A728" s="19" t="s">
        <v>585</v>
      </c>
      <c r="B728" s="20" t="s">
        <v>7</v>
      </c>
      <c r="C728" s="20" t="s">
        <v>427</v>
      </c>
      <c r="D728" s="18" t="s">
        <v>159</v>
      </c>
      <c r="E728" s="18" t="s">
        <v>1496</v>
      </c>
      <c r="F728" s="18">
        <v>5.94</v>
      </c>
      <c r="G728" s="23">
        <v>1.3</v>
      </c>
      <c r="H728" s="20">
        <v>6.71</v>
      </c>
      <c r="I728" s="25">
        <v>8.0181426814268182</v>
      </c>
      <c r="J728" s="24">
        <f>G728/F728*((100-H728)/100)*((100-I728)/100)*100</f>
        <v>18.779938905765324</v>
      </c>
      <c r="K728" s="53">
        <v>5.4325259515570936</v>
      </c>
      <c r="L728" s="54">
        <f>J728*10000/K728</f>
        <v>34569.441680039352</v>
      </c>
      <c r="M728" s="55">
        <v>48.3</v>
      </c>
      <c r="N728" s="55">
        <v>20.2</v>
      </c>
      <c r="O728" s="56">
        <v>49.197000000000003</v>
      </c>
      <c r="P728" s="55">
        <v>62.2</v>
      </c>
      <c r="Q728" s="17" t="s">
        <v>424</v>
      </c>
      <c r="R728" s="17" t="s">
        <v>424</v>
      </c>
      <c r="S728" s="17" t="s">
        <v>424</v>
      </c>
      <c r="T728" s="17" t="s">
        <v>424</v>
      </c>
      <c r="U728" s="17" t="s">
        <v>424</v>
      </c>
      <c r="V728" s="17" t="s">
        <v>424</v>
      </c>
      <c r="W728" s="17" t="s">
        <v>424</v>
      </c>
    </row>
    <row r="729" spans="1:23" x14ac:dyDescent="0.25">
      <c r="A729" s="19" t="s">
        <v>584</v>
      </c>
      <c r="B729" s="20" t="s">
        <v>7</v>
      </c>
      <c r="C729" s="20" t="s">
        <v>427</v>
      </c>
      <c r="D729" s="18" t="s">
        <v>238</v>
      </c>
      <c r="E729" s="18" t="s">
        <v>1796</v>
      </c>
      <c r="F729" s="18">
        <v>5.94</v>
      </c>
      <c r="G729" s="23">
        <v>2.12</v>
      </c>
      <c r="H729" s="20">
        <v>6.71</v>
      </c>
      <c r="I729" s="25">
        <v>6.2289798206277931</v>
      </c>
      <c r="J729" s="24">
        <f>G729/F729*((100-H729)/100)*((100-I729)/100)*100</f>
        <v>31.221455827897813</v>
      </c>
      <c r="K729" s="53">
        <v>4.7834645669291342</v>
      </c>
      <c r="L729" s="54">
        <f>J729*10000/K729</f>
        <v>65269.545516757556</v>
      </c>
      <c r="M729" s="55">
        <v>52</v>
      </c>
      <c r="N729" s="55">
        <v>16.399999999999999</v>
      </c>
      <c r="O729" s="56">
        <v>0.30352000000000001</v>
      </c>
      <c r="P729" s="55">
        <v>12.6</v>
      </c>
      <c r="Q729" s="17" t="s">
        <v>424</v>
      </c>
      <c r="R729" s="17" t="s">
        <v>424</v>
      </c>
      <c r="S729" s="17" t="s">
        <v>424</v>
      </c>
      <c r="T729" s="17" t="s">
        <v>424</v>
      </c>
      <c r="U729" s="17" t="s">
        <v>424</v>
      </c>
      <c r="V729" s="17" t="s">
        <v>424</v>
      </c>
      <c r="W729" s="17" t="s">
        <v>424</v>
      </c>
    </row>
    <row r="730" spans="1:23" x14ac:dyDescent="0.25">
      <c r="A730" s="19" t="s">
        <v>583</v>
      </c>
      <c r="B730" s="20" t="s">
        <v>7</v>
      </c>
      <c r="C730" s="20" t="s">
        <v>427</v>
      </c>
      <c r="D730" s="18" t="s">
        <v>66</v>
      </c>
      <c r="E730" s="18" t="s">
        <v>1766</v>
      </c>
      <c r="F730" s="18">
        <v>5.94</v>
      </c>
      <c r="G730" s="23">
        <v>1.82</v>
      </c>
      <c r="H730" s="20">
        <v>6.71</v>
      </c>
      <c r="I730" s="25">
        <v>6.6362599771949959</v>
      </c>
      <c r="J730" s="24">
        <f>G730/F730*((100-H730)/100)*((100-I730)/100)*100</f>
        <v>26.686909121622922</v>
      </c>
      <c r="K730" s="53">
        <v>5.4376367614879646</v>
      </c>
      <c r="L730" s="54">
        <f>J730*10000/K730</f>
        <v>49078.138706566097</v>
      </c>
      <c r="M730" s="55">
        <v>54</v>
      </c>
      <c r="N730" s="55">
        <v>15.7</v>
      </c>
      <c r="O730" s="56">
        <v>-1.2581</v>
      </c>
      <c r="P730" s="55">
        <v>15.3</v>
      </c>
      <c r="Q730" s="17" t="s">
        <v>424</v>
      </c>
      <c r="R730" s="17" t="s">
        <v>424</v>
      </c>
      <c r="S730" s="17" t="s">
        <v>424</v>
      </c>
      <c r="T730" s="17" t="s">
        <v>424</v>
      </c>
      <c r="U730" s="17" t="s">
        <v>424</v>
      </c>
      <c r="V730" s="17" t="s">
        <v>424</v>
      </c>
      <c r="W730" s="17" t="s">
        <v>424</v>
      </c>
    </row>
    <row r="731" spans="1:23" x14ac:dyDescent="0.25">
      <c r="A731" s="19" t="s">
        <v>373</v>
      </c>
      <c r="B731" s="20" t="s">
        <v>7</v>
      </c>
      <c r="C731" s="20" t="s">
        <v>13</v>
      </c>
      <c r="D731" s="18" t="s">
        <v>39</v>
      </c>
      <c r="E731" s="18" t="s">
        <v>1574</v>
      </c>
      <c r="F731" s="18">
        <v>5.94</v>
      </c>
      <c r="G731" s="23">
        <v>2.2400000000000002</v>
      </c>
      <c r="H731" s="17">
        <v>6.92</v>
      </c>
      <c r="I731" s="25">
        <v>12.907237005719965</v>
      </c>
      <c r="J731" s="24">
        <f>G731/F731*((100-H731)/100)*((100-I731)/100)*100</f>
        <v>30.570322239220527</v>
      </c>
      <c r="K731" s="53">
        <v>4.610837438423645</v>
      </c>
      <c r="L731" s="54">
        <f>J731*10000/K731</f>
        <v>66301.019386343673</v>
      </c>
      <c r="M731" s="55">
        <v>49.8</v>
      </c>
      <c r="N731" s="55">
        <v>18.399999999999999</v>
      </c>
      <c r="O731" s="56">
        <v>1.0316000000000001</v>
      </c>
      <c r="P731" s="55">
        <v>15.5</v>
      </c>
      <c r="Q731" s="17" t="s">
        <v>424</v>
      </c>
      <c r="R731" s="17" t="s">
        <v>424</v>
      </c>
      <c r="S731" s="17" t="s">
        <v>424</v>
      </c>
      <c r="T731" s="17" t="s">
        <v>424</v>
      </c>
      <c r="U731" s="17" t="s">
        <v>424</v>
      </c>
      <c r="V731" s="17" t="s">
        <v>424</v>
      </c>
      <c r="W731" s="17" t="s">
        <v>424</v>
      </c>
    </row>
    <row r="732" spans="1:23" x14ac:dyDescent="0.25">
      <c r="A732" s="19" t="s">
        <v>374</v>
      </c>
      <c r="B732" s="20" t="s">
        <v>7</v>
      </c>
      <c r="C732" s="20" t="s">
        <v>13</v>
      </c>
      <c r="D732" s="18" t="s">
        <v>73</v>
      </c>
      <c r="E732" s="18" t="s">
        <v>1640</v>
      </c>
      <c r="F732" s="18">
        <v>5.94</v>
      </c>
      <c r="G732" s="23">
        <v>2.38</v>
      </c>
      <c r="H732" s="17">
        <v>6.92</v>
      </c>
      <c r="I732" s="25">
        <v>10.869410677472093</v>
      </c>
      <c r="J732" s="24">
        <f>G732/F732*((100-H732)/100)*((100-I732)/100)*100</f>
        <v>33.240968189992145</v>
      </c>
      <c r="K732" s="53">
        <v>4.4817658349328218</v>
      </c>
      <c r="L732" s="54">
        <f>J732*10000/K732</f>
        <v>74169.355147691254</v>
      </c>
      <c r="M732" s="55">
        <v>54.8</v>
      </c>
      <c r="N732" s="55">
        <v>16.5</v>
      </c>
      <c r="O732" s="56">
        <v>-1.1875</v>
      </c>
      <c r="P732" s="55">
        <v>12.8</v>
      </c>
      <c r="Q732" s="17" t="s">
        <v>424</v>
      </c>
      <c r="R732" s="17" t="s">
        <v>424</v>
      </c>
      <c r="S732" s="17" t="s">
        <v>424</v>
      </c>
      <c r="T732" s="17" t="s">
        <v>424</v>
      </c>
      <c r="U732" s="17" t="s">
        <v>424</v>
      </c>
      <c r="V732" s="17" t="s">
        <v>424</v>
      </c>
      <c r="W732" s="17" t="s">
        <v>424</v>
      </c>
    </row>
    <row r="733" spans="1:23" x14ac:dyDescent="0.25">
      <c r="A733" s="19" t="s">
        <v>375</v>
      </c>
      <c r="B733" s="20" t="s">
        <v>7</v>
      </c>
      <c r="C733" s="20" t="s">
        <v>13</v>
      </c>
      <c r="D733" s="18" t="s">
        <v>89</v>
      </c>
      <c r="E733" s="18" t="s">
        <v>1752</v>
      </c>
      <c r="F733" s="18">
        <v>5.94</v>
      </c>
      <c r="G733" s="23">
        <v>1.6</v>
      </c>
      <c r="H733" s="17">
        <v>6.92</v>
      </c>
      <c r="I733" s="25">
        <v>14.002874022034174</v>
      </c>
      <c r="J733" s="24">
        <f>G733/F733*((100-H733)/100)*((100-I733)/100)*100</f>
        <v>21.56124575361363</v>
      </c>
      <c r="K733" s="53">
        <v>4.8440748440748438</v>
      </c>
      <c r="L733" s="54">
        <f>J733*10000/K733</f>
        <v>44510.55453857578</v>
      </c>
      <c r="M733" s="55">
        <v>51.4</v>
      </c>
      <c r="N733" s="55">
        <v>17</v>
      </c>
      <c r="O733" s="56">
        <v>0.33859</v>
      </c>
      <c r="P733" s="55">
        <v>14</v>
      </c>
      <c r="Q733" s="17" t="s">
        <v>424</v>
      </c>
      <c r="R733" s="17" t="s">
        <v>424</v>
      </c>
      <c r="S733" s="17" t="s">
        <v>424</v>
      </c>
      <c r="T733" s="17" t="s">
        <v>424</v>
      </c>
      <c r="U733" s="17" t="s">
        <v>424</v>
      </c>
      <c r="V733" s="17" t="s">
        <v>424</v>
      </c>
      <c r="W733" s="17" t="s">
        <v>424</v>
      </c>
    </row>
    <row r="734" spans="1:23" x14ac:dyDescent="0.25">
      <c r="A734" s="19" t="s">
        <v>376</v>
      </c>
      <c r="B734" s="20" t="s">
        <v>7</v>
      </c>
      <c r="C734" s="20" t="s">
        <v>13</v>
      </c>
      <c r="D734" s="18" t="s">
        <v>51</v>
      </c>
      <c r="E734" s="18" t="s">
        <v>1519</v>
      </c>
      <c r="F734" s="18">
        <v>5.94</v>
      </c>
      <c r="G734" s="23">
        <v>1.65</v>
      </c>
      <c r="H734" s="17">
        <v>6.92</v>
      </c>
      <c r="I734" s="25">
        <v>21.242313380555764</v>
      </c>
      <c r="J734" s="24">
        <f>G734/F734*((100-H734)/100)*((100-I734)/100)*100</f>
        <v>20.363237418160743</v>
      </c>
      <c r="K734" s="53">
        <v>5.7797029702970297</v>
      </c>
      <c r="L734" s="54">
        <f>J734*10000/K734</f>
        <v>35232.325126068266</v>
      </c>
      <c r="M734" s="55">
        <v>45.2</v>
      </c>
      <c r="N734" s="55">
        <v>20.5</v>
      </c>
      <c r="O734" s="56">
        <v>2.0642</v>
      </c>
      <c r="P734" s="55">
        <v>23.9</v>
      </c>
      <c r="Q734" s="17" t="s">
        <v>424</v>
      </c>
      <c r="R734" s="17" t="s">
        <v>424</v>
      </c>
      <c r="S734" s="17" t="s">
        <v>424</v>
      </c>
      <c r="T734" s="17" t="s">
        <v>424</v>
      </c>
      <c r="U734" s="17" t="s">
        <v>424</v>
      </c>
      <c r="V734" s="17" t="s">
        <v>424</v>
      </c>
      <c r="W734" s="17" t="s">
        <v>424</v>
      </c>
    </row>
    <row r="735" spans="1:23" x14ac:dyDescent="0.25">
      <c r="A735" s="19" t="s">
        <v>377</v>
      </c>
      <c r="B735" s="20" t="s">
        <v>7</v>
      </c>
      <c r="C735" s="20" t="s">
        <v>13</v>
      </c>
      <c r="D735" s="18" t="s">
        <v>169</v>
      </c>
      <c r="E735" s="18" t="s">
        <v>1728</v>
      </c>
      <c r="F735" s="18">
        <v>5.94</v>
      </c>
      <c r="G735" s="23">
        <v>2.6</v>
      </c>
      <c r="H735" s="17">
        <v>6.92</v>
      </c>
      <c r="I735" s="25">
        <v>11.12098326669628</v>
      </c>
      <c r="J735" s="24">
        <f>G735/F735*((100-H735)/100)*((100-I735)/100)*100</f>
        <v>36.211166804029233</v>
      </c>
      <c r="K735" s="53">
        <v>4.927835051546392</v>
      </c>
      <c r="L735" s="54">
        <f>J735*10000/K735</f>
        <v>73482.911715289447</v>
      </c>
      <c r="M735" s="55">
        <v>53</v>
      </c>
      <c r="N735" s="55">
        <v>15.8</v>
      </c>
      <c r="O735" s="56">
        <v>1.2907999999999999</v>
      </c>
      <c r="P735" s="55">
        <v>16.600000000000001</v>
      </c>
      <c r="Q735" s="17" t="s">
        <v>424</v>
      </c>
      <c r="R735" s="17" t="s">
        <v>424</v>
      </c>
      <c r="S735" s="17" t="s">
        <v>424</v>
      </c>
      <c r="T735" s="17" t="s">
        <v>424</v>
      </c>
      <c r="U735" s="17" t="s">
        <v>424</v>
      </c>
      <c r="V735" s="17" t="s">
        <v>424</v>
      </c>
      <c r="W735" s="17" t="s">
        <v>424</v>
      </c>
    </row>
    <row r="736" spans="1:23" x14ac:dyDescent="0.25">
      <c r="A736" s="19" t="s">
        <v>378</v>
      </c>
      <c r="B736" s="20" t="s">
        <v>7</v>
      </c>
      <c r="C736" s="20" t="s">
        <v>13</v>
      </c>
      <c r="D736" s="18" t="s">
        <v>81</v>
      </c>
      <c r="E736" s="18" t="s">
        <v>1780</v>
      </c>
      <c r="F736" s="18">
        <v>5.94</v>
      </c>
      <c r="G736" s="23">
        <v>2.86</v>
      </c>
      <c r="H736" s="17">
        <v>6.92</v>
      </c>
      <c r="I736" s="25">
        <v>8.5496183206106871</v>
      </c>
      <c r="J736" s="24">
        <f>G736/F736*((100-H736)/100)*((100-I736)/100)*100</f>
        <v>40.984674017528974</v>
      </c>
      <c r="K736" s="53">
        <v>4.3078324225865208</v>
      </c>
      <c r="L736" s="54">
        <f>J736*10000/K736</f>
        <v>95139.898670712078</v>
      </c>
      <c r="M736" s="55">
        <v>54.5</v>
      </c>
      <c r="N736" s="55">
        <v>15.9</v>
      </c>
      <c r="O736" s="56">
        <v>-0.78744000000000003</v>
      </c>
      <c r="P736" s="55">
        <v>11.2</v>
      </c>
      <c r="Q736" s="17" t="s">
        <v>424</v>
      </c>
      <c r="R736" s="17" t="s">
        <v>424</v>
      </c>
      <c r="S736" s="17" t="s">
        <v>424</v>
      </c>
      <c r="T736" s="17" t="s">
        <v>424</v>
      </c>
      <c r="U736" s="17" t="s">
        <v>424</v>
      </c>
      <c r="V736" s="17" t="s">
        <v>424</v>
      </c>
      <c r="W736" s="17" t="s">
        <v>424</v>
      </c>
    </row>
    <row r="737" spans="1:23" x14ac:dyDescent="0.25">
      <c r="A737" s="19" t="s">
        <v>594</v>
      </c>
      <c r="B737" s="20" t="s">
        <v>7</v>
      </c>
      <c r="C737" s="20" t="s">
        <v>427</v>
      </c>
      <c r="D737" s="18" t="s">
        <v>92</v>
      </c>
      <c r="E737" s="18" t="s">
        <v>1748</v>
      </c>
      <c r="F737" s="18">
        <v>5.94</v>
      </c>
      <c r="G737" s="23">
        <v>2.02</v>
      </c>
      <c r="H737" s="20">
        <v>6.71</v>
      </c>
      <c r="I737" s="25">
        <v>7.4502914637067779</v>
      </c>
      <c r="J737" s="24">
        <f>G737/F737*((100-H737)/100)*((100-I737)/100)*100</f>
        <v>29.361285967825939</v>
      </c>
      <c r="K737" s="53">
        <v>5.1795429815016325</v>
      </c>
      <c r="L737" s="54">
        <f>J737*10000/K737</f>
        <v>56687.020597546296</v>
      </c>
      <c r="M737" s="55">
        <v>51.4</v>
      </c>
      <c r="N737" s="55">
        <v>17.5</v>
      </c>
      <c r="O737" s="56">
        <v>5.4709000000000001E-2</v>
      </c>
      <c r="P737" s="55">
        <v>10.7</v>
      </c>
      <c r="Q737" s="17" t="s">
        <v>424</v>
      </c>
      <c r="R737" s="17" t="s">
        <v>424</v>
      </c>
      <c r="S737" s="17" t="s">
        <v>424</v>
      </c>
      <c r="T737" s="17" t="s">
        <v>424</v>
      </c>
      <c r="U737" s="17" t="s">
        <v>424</v>
      </c>
      <c r="V737" s="17" t="s">
        <v>424</v>
      </c>
      <c r="W737" s="17" t="s">
        <v>424</v>
      </c>
    </row>
    <row r="738" spans="1:23" x14ac:dyDescent="0.25">
      <c r="A738" s="19" t="s">
        <v>593</v>
      </c>
      <c r="B738" s="20" t="s">
        <v>7</v>
      </c>
      <c r="C738" s="20" t="s">
        <v>427</v>
      </c>
      <c r="D738" s="18" t="s">
        <v>35</v>
      </c>
      <c r="E738" s="18" t="s">
        <v>1662</v>
      </c>
      <c r="F738" s="18">
        <v>5.94</v>
      </c>
      <c r="G738" s="23">
        <v>2.0699999999999998</v>
      </c>
      <c r="H738" s="20">
        <v>6.71</v>
      </c>
      <c r="I738" s="25">
        <v>6.2792302384420848</v>
      </c>
      <c r="J738" s="24">
        <f>G738/F738*((100-H738)/100)*((100-I738)/100)*100</f>
        <v>30.468764250648782</v>
      </c>
      <c r="K738" s="53">
        <v>5.4085155350978136</v>
      </c>
      <c r="L738" s="54">
        <f>J738*10000/K738</f>
        <v>56334.800284710196</v>
      </c>
      <c r="M738" s="55">
        <v>50.7</v>
      </c>
      <c r="N738" s="55">
        <v>16.7</v>
      </c>
      <c r="O738" s="56">
        <v>4.1082000000000001</v>
      </c>
      <c r="P738" s="55">
        <v>4.7</v>
      </c>
      <c r="Q738" s="17" t="s">
        <v>424</v>
      </c>
      <c r="R738" s="17" t="s">
        <v>424</v>
      </c>
      <c r="S738" s="17" t="s">
        <v>424</v>
      </c>
      <c r="T738" s="17" t="s">
        <v>424</v>
      </c>
      <c r="U738" s="17" t="s">
        <v>424</v>
      </c>
      <c r="V738" s="17" t="s">
        <v>424</v>
      </c>
      <c r="W738" s="17" t="s">
        <v>424</v>
      </c>
    </row>
    <row r="739" spans="1:23" x14ac:dyDescent="0.25">
      <c r="A739" s="19" t="s">
        <v>592</v>
      </c>
      <c r="B739" s="20" t="s">
        <v>7</v>
      </c>
      <c r="C739" s="20" t="s">
        <v>427</v>
      </c>
      <c r="D739" s="18" t="s">
        <v>30</v>
      </c>
      <c r="E739" s="18" t="s">
        <v>1606</v>
      </c>
      <c r="F739" s="18">
        <v>5.94</v>
      </c>
      <c r="G739" s="23">
        <v>1.69</v>
      </c>
      <c r="H739" s="20">
        <v>6.71</v>
      </c>
      <c r="I739" s="25">
        <v>6.5322881672265671</v>
      </c>
      <c r="J739" s="24">
        <f>G739/F739*((100-H739)/100)*((100-I739)/100)*100</f>
        <v>24.808297633545862</v>
      </c>
      <c r="K739" s="53">
        <v>4.8370672097759675</v>
      </c>
      <c r="L739" s="54">
        <f>J739*10000/K739</f>
        <v>51287.891107667449</v>
      </c>
      <c r="M739" s="55">
        <v>50.3</v>
      </c>
      <c r="N739" s="55">
        <v>19.100000000000001</v>
      </c>
      <c r="O739" s="56">
        <v>-3.9462000000000004E-3</v>
      </c>
      <c r="P739" s="55">
        <v>18.600000000000001</v>
      </c>
      <c r="Q739" s="17" t="s">
        <v>424</v>
      </c>
      <c r="R739" s="17" t="s">
        <v>424</v>
      </c>
      <c r="S739" s="17" t="s">
        <v>424</v>
      </c>
      <c r="T739" s="17" t="s">
        <v>424</v>
      </c>
      <c r="U739" s="17" t="s">
        <v>424</v>
      </c>
      <c r="V739" s="17" t="s">
        <v>424</v>
      </c>
      <c r="W739" s="17" t="s">
        <v>424</v>
      </c>
    </row>
    <row r="740" spans="1:23" x14ac:dyDescent="0.25">
      <c r="A740" s="19" t="s">
        <v>591</v>
      </c>
      <c r="B740" s="20" t="s">
        <v>7</v>
      </c>
      <c r="C740" s="20" t="s">
        <v>427</v>
      </c>
      <c r="D740" s="18" t="s">
        <v>55</v>
      </c>
      <c r="E740" s="18" t="s">
        <v>1654</v>
      </c>
      <c r="F740" s="18">
        <v>5.94</v>
      </c>
      <c r="G740" s="23">
        <v>1.97</v>
      </c>
      <c r="H740" s="20">
        <v>6.71</v>
      </c>
      <c r="I740" s="25">
        <v>7.8009470798371687</v>
      </c>
      <c r="J740" s="24">
        <f>G740/F740*((100-H740)/100)*((100-I740)/100)*100</f>
        <v>28.526029973798522</v>
      </c>
      <c r="K740" s="53">
        <v>5</v>
      </c>
      <c r="L740" s="54">
        <f>J740*10000/K740</f>
        <v>57052.059947597052</v>
      </c>
      <c r="M740" s="55">
        <v>50.4</v>
      </c>
      <c r="N740" s="55">
        <v>18.100000000000001</v>
      </c>
      <c r="O740" s="56">
        <v>2.0434000000000001</v>
      </c>
      <c r="P740" s="55">
        <v>18.600000000000001</v>
      </c>
      <c r="Q740" s="17" t="s">
        <v>424</v>
      </c>
      <c r="R740" s="17" t="s">
        <v>424</v>
      </c>
      <c r="S740" s="17" t="s">
        <v>424</v>
      </c>
      <c r="T740" s="17" t="s">
        <v>424</v>
      </c>
      <c r="U740" s="17" t="s">
        <v>424</v>
      </c>
      <c r="V740" s="17" t="s">
        <v>424</v>
      </c>
      <c r="W740" s="17" t="s">
        <v>424</v>
      </c>
    </row>
    <row r="741" spans="1:23" x14ac:dyDescent="0.25">
      <c r="A741" s="19" t="s">
        <v>590</v>
      </c>
      <c r="B741" s="20" t="s">
        <v>7</v>
      </c>
      <c r="C741" s="20" t="s">
        <v>427</v>
      </c>
      <c r="D741" s="18" t="s">
        <v>207</v>
      </c>
      <c r="E741" s="18" t="s">
        <v>1628</v>
      </c>
      <c r="F741" s="18">
        <v>5.94</v>
      </c>
      <c r="G741" s="23">
        <v>1.9</v>
      </c>
      <c r="H741" s="20">
        <v>6.71</v>
      </c>
      <c r="I741" s="25">
        <v>9.6404420253999756</v>
      </c>
      <c r="J741" s="24">
        <f>G741/F741*((100-H741)/100)*((100-I741)/100)*100</f>
        <v>26.963505068275808</v>
      </c>
      <c r="K741" s="53">
        <v>4.109704641350211</v>
      </c>
      <c r="L741" s="54">
        <f>J741*10000/K741</f>
        <v>65609.350114798435</v>
      </c>
      <c r="M741" s="55">
        <v>51</v>
      </c>
      <c r="N741" s="55">
        <v>18</v>
      </c>
      <c r="O741" s="56">
        <v>-1.3030999999999999</v>
      </c>
      <c r="P741" s="55">
        <v>22.5</v>
      </c>
      <c r="Q741" s="17" t="s">
        <v>424</v>
      </c>
      <c r="R741" s="17" t="s">
        <v>424</v>
      </c>
      <c r="S741" s="17" t="s">
        <v>424</v>
      </c>
      <c r="T741" s="17" t="s">
        <v>424</v>
      </c>
      <c r="U741" s="17" t="s">
        <v>424</v>
      </c>
      <c r="V741" s="17" t="s">
        <v>424</v>
      </c>
      <c r="W741" s="17" t="s">
        <v>424</v>
      </c>
    </row>
    <row r="742" spans="1:23" x14ac:dyDescent="0.25">
      <c r="A742" s="19" t="s">
        <v>589</v>
      </c>
      <c r="B742" s="20" t="s">
        <v>7</v>
      </c>
      <c r="C742" s="20" t="s">
        <v>427</v>
      </c>
      <c r="D742" s="18" t="s">
        <v>14</v>
      </c>
      <c r="E742" s="18" t="s">
        <v>1551</v>
      </c>
      <c r="F742" s="18">
        <v>5.94</v>
      </c>
      <c r="G742" s="23">
        <v>1.53</v>
      </c>
      <c r="H742" s="20">
        <v>6.71</v>
      </c>
      <c r="I742" s="25">
        <v>7.8642714570858239</v>
      </c>
      <c r="J742" s="24">
        <f>G742/F742*((100-H742)/100)*((100-I742)/100)*100</f>
        <v>22.13951757091877</v>
      </c>
      <c r="K742" s="53">
        <v>4.8969072164948457</v>
      </c>
      <c r="L742" s="54">
        <f>J742*10000/K742</f>
        <v>45211.225355349903</v>
      </c>
      <c r="M742" s="55">
        <v>48.9</v>
      </c>
      <c r="N742" s="55">
        <v>18.3</v>
      </c>
      <c r="O742" s="56">
        <v>1.5988</v>
      </c>
      <c r="P742" s="55">
        <v>12.7</v>
      </c>
      <c r="Q742" s="17" t="s">
        <v>424</v>
      </c>
      <c r="R742" s="17" t="s">
        <v>424</v>
      </c>
      <c r="S742" s="17" t="s">
        <v>424</v>
      </c>
      <c r="T742" s="17" t="s">
        <v>424</v>
      </c>
      <c r="U742" s="17" t="s">
        <v>424</v>
      </c>
      <c r="V742" s="17" t="s">
        <v>424</v>
      </c>
      <c r="W742" s="17" t="s">
        <v>424</v>
      </c>
    </row>
    <row r="743" spans="1:23" x14ac:dyDescent="0.25">
      <c r="A743" s="19" t="s">
        <v>379</v>
      </c>
      <c r="B743" s="20" t="s">
        <v>7</v>
      </c>
      <c r="C743" s="20" t="s">
        <v>13</v>
      </c>
      <c r="D743" s="18" t="s">
        <v>156</v>
      </c>
      <c r="E743" s="18" t="s">
        <v>1525</v>
      </c>
      <c r="F743" s="18">
        <v>5.94</v>
      </c>
      <c r="G743" s="23">
        <v>2.4300000000000002</v>
      </c>
      <c r="H743" s="17">
        <v>6.92</v>
      </c>
      <c r="I743" s="25">
        <v>16.72184212462297</v>
      </c>
      <c r="J743" s="24">
        <f>G743/F743*((100-H743)/100)*((100-I743)/100)*100</f>
        <v>31.710808370618565</v>
      </c>
      <c r="K743" s="53">
        <v>4.029209621993127</v>
      </c>
      <c r="L743" s="54">
        <f>J743*10000/K743</f>
        <v>78702.304783368891</v>
      </c>
      <c r="M743" s="55">
        <v>52.7</v>
      </c>
      <c r="N743" s="55">
        <v>18.8</v>
      </c>
      <c r="O743" s="56">
        <v>3.9293</v>
      </c>
      <c r="P743" s="55">
        <v>50.9</v>
      </c>
      <c r="Q743" s="17" t="s">
        <v>424</v>
      </c>
      <c r="R743" s="17" t="s">
        <v>424</v>
      </c>
      <c r="S743" s="17" t="s">
        <v>424</v>
      </c>
      <c r="T743" s="17" t="s">
        <v>424</v>
      </c>
      <c r="U743" s="17" t="s">
        <v>424</v>
      </c>
      <c r="V743" s="17" t="s">
        <v>424</v>
      </c>
      <c r="W743" s="17" t="s">
        <v>424</v>
      </c>
    </row>
    <row r="744" spans="1:23" x14ac:dyDescent="0.25">
      <c r="A744" s="19" t="s">
        <v>380</v>
      </c>
      <c r="B744" s="20" t="s">
        <v>7</v>
      </c>
      <c r="C744" s="20" t="s">
        <v>13</v>
      </c>
      <c r="D744" s="18" t="s">
        <v>232</v>
      </c>
      <c r="E744" s="18" t="s">
        <v>1598</v>
      </c>
      <c r="F744" s="18">
        <v>5.94</v>
      </c>
      <c r="G744" s="23">
        <v>2.5</v>
      </c>
      <c r="H744" s="17">
        <v>6.92</v>
      </c>
      <c r="I744" s="25">
        <v>21.58704453441295</v>
      </c>
      <c r="J744" s="24">
        <f>G744/F744*((100-H744)/100)*((100-I744)/100)*100</f>
        <v>30.718341307814985</v>
      </c>
      <c r="K744" s="53">
        <v>4.5534838076545636</v>
      </c>
      <c r="L744" s="54">
        <f>J744*10000/K744</f>
        <v>67461.184897981613</v>
      </c>
      <c r="M744" s="55">
        <v>50.3</v>
      </c>
      <c r="N744" s="55">
        <v>17.100000000000001</v>
      </c>
      <c r="O744" s="56">
        <v>5.3632999999999997</v>
      </c>
      <c r="P744" s="55">
        <v>16.399999999999999</v>
      </c>
      <c r="Q744" s="17" t="s">
        <v>424</v>
      </c>
      <c r="R744" s="17" t="s">
        <v>424</v>
      </c>
      <c r="S744" s="17" t="s">
        <v>424</v>
      </c>
      <c r="T744" s="17" t="s">
        <v>424</v>
      </c>
      <c r="U744" s="17" t="s">
        <v>424</v>
      </c>
      <c r="V744" s="17" t="s">
        <v>424</v>
      </c>
      <c r="W744" s="17" t="s">
        <v>424</v>
      </c>
    </row>
    <row r="745" spans="1:23" x14ac:dyDescent="0.25">
      <c r="A745" s="19" t="s">
        <v>381</v>
      </c>
      <c r="B745" s="20" t="s">
        <v>7</v>
      </c>
      <c r="C745" s="20" t="s">
        <v>13</v>
      </c>
      <c r="D745" s="18" t="s">
        <v>272</v>
      </c>
      <c r="E745" s="18" t="s">
        <v>1470</v>
      </c>
      <c r="F745" s="18">
        <v>5.94</v>
      </c>
      <c r="G745" s="23">
        <v>1.95</v>
      </c>
      <c r="H745" s="17">
        <v>6.92</v>
      </c>
      <c r="I745" s="25">
        <v>21.63232323232323</v>
      </c>
      <c r="J745" s="24">
        <f>G745/F745*((100-H745)/100)*((100-I745)/100)*100</f>
        <v>23.9464706050403</v>
      </c>
      <c r="K745" s="53">
        <v>4.5206766917293235</v>
      </c>
      <c r="L745" s="54">
        <f>J745*10000/K745</f>
        <v>52970.986951689978</v>
      </c>
      <c r="M745" s="55">
        <v>54.1</v>
      </c>
      <c r="N745" s="55">
        <v>18.100000000000001</v>
      </c>
      <c r="O745" s="56">
        <v>48.92</v>
      </c>
      <c r="P745" s="55">
        <v>48.9</v>
      </c>
      <c r="Q745" s="17" t="s">
        <v>424</v>
      </c>
      <c r="R745" s="17" t="s">
        <v>424</v>
      </c>
      <c r="S745" s="17" t="s">
        <v>424</v>
      </c>
      <c r="T745" s="17" t="s">
        <v>424</v>
      </c>
      <c r="U745" s="17" t="s">
        <v>424</v>
      </c>
      <c r="V745" s="17" t="s">
        <v>424</v>
      </c>
      <c r="W745" s="17" t="s">
        <v>424</v>
      </c>
    </row>
    <row r="746" spans="1:23" x14ac:dyDescent="0.25">
      <c r="A746" s="19" t="s">
        <v>382</v>
      </c>
      <c r="B746" s="20" t="s">
        <v>7</v>
      </c>
      <c r="C746" s="20" t="s">
        <v>13</v>
      </c>
      <c r="D746" s="18" t="s">
        <v>186</v>
      </c>
      <c r="E746" s="18" t="s">
        <v>1480</v>
      </c>
      <c r="F746" s="18">
        <v>5.94</v>
      </c>
      <c r="G746" s="23">
        <v>1.73</v>
      </c>
      <c r="H746" s="17">
        <v>6.92</v>
      </c>
      <c r="I746" s="25">
        <v>22.688946803617974</v>
      </c>
      <c r="J746" s="24">
        <f>G746/F746*((100-H746)/100)*((100-I746)/100)*100</f>
        <v>20.958375755098118</v>
      </c>
      <c r="K746" s="53">
        <v>4.6221786064769379</v>
      </c>
      <c r="L746" s="54">
        <f>J746*10000/K746</f>
        <v>45343.0677164437</v>
      </c>
      <c r="M746" s="55">
        <v>49.7</v>
      </c>
      <c r="N746" s="55">
        <v>19.899999999999999</v>
      </c>
      <c r="O746" s="56">
        <v>30.433</v>
      </c>
      <c r="P746" s="55">
        <v>51.7</v>
      </c>
      <c r="Q746" s="17" t="s">
        <v>424</v>
      </c>
      <c r="R746" s="17" t="s">
        <v>424</v>
      </c>
      <c r="S746" s="17" t="s">
        <v>424</v>
      </c>
      <c r="T746" s="17" t="s">
        <v>424</v>
      </c>
      <c r="U746" s="17" t="s">
        <v>424</v>
      </c>
      <c r="V746" s="17" t="s">
        <v>424</v>
      </c>
      <c r="W746" s="17" t="s">
        <v>424</v>
      </c>
    </row>
    <row r="747" spans="1:23" x14ac:dyDescent="0.25">
      <c r="A747" s="19" t="s">
        <v>383</v>
      </c>
      <c r="B747" s="20" t="s">
        <v>7</v>
      </c>
      <c r="C747" s="20" t="s">
        <v>13</v>
      </c>
      <c r="D747" s="18" t="s">
        <v>260</v>
      </c>
      <c r="E747" s="18" t="s">
        <v>1740</v>
      </c>
      <c r="F747" s="18">
        <v>5.94</v>
      </c>
      <c r="G747" s="23">
        <v>2.5099999999999998</v>
      </c>
      <c r="H747" s="17">
        <v>6.92</v>
      </c>
      <c r="I747" s="25">
        <v>7.1714066102997682</v>
      </c>
      <c r="J747" s="24">
        <f>G747/F747*((100-H747)/100)*((100-I747)/100)*100</f>
        <v>36.511142317357532</v>
      </c>
      <c r="K747" s="53">
        <v>4.2804766269477543</v>
      </c>
      <c r="L747" s="54">
        <f>J747*10000/K747</f>
        <v>85296.908497295648</v>
      </c>
      <c r="M747" s="55">
        <v>54.4</v>
      </c>
      <c r="N747" s="55">
        <v>16.2</v>
      </c>
      <c r="O747" s="56">
        <v>-0.60677999999999999</v>
      </c>
      <c r="P747" s="55">
        <v>12.8</v>
      </c>
      <c r="Q747" s="17" t="s">
        <v>424</v>
      </c>
      <c r="R747" s="17" t="s">
        <v>424</v>
      </c>
      <c r="S747" s="17" t="s">
        <v>424</v>
      </c>
      <c r="T747" s="17" t="s">
        <v>424</v>
      </c>
      <c r="U747" s="17" t="s">
        <v>424</v>
      </c>
      <c r="V747" s="17" t="s">
        <v>424</v>
      </c>
      <c r="W747" s="17" t="s">
        <v>424</v>
      </c>
    </row>
    <row r="748" spans="1:23" x14ac:dyDescent="0.25">
      <c r="A748" s="19" t="s">
        <v>384</v>
      </c>
      <c r="B748" s="20" t="s">
        <v>7</v>
      </c>
      <c r="C748" s="20" t="s">
        <v>13</v>
      </c>
      <c r="D748" s="18" t="s">
        <v>83</v>
      </c>
      <c r="E748" s="18" t="s">
        <v>1533</v>
      </c>
      <c r="F748" s="18">
        <v>5.94</v>
      </c>
      <c r="G748" s="23">
        <v>2.42</v>
      </c>
      <c r="H748" s="17">
        <v>6.92</v>
      </c>
      <c r="I748" s="25">
        <v>10.388960388960399</v>
      </c>
      <c r="J748" s="24">
        <f>G748/F748*((100-H748)/100)*((100-I748)/100)*100</f>
        <v>33.981833791463409</v>
      </c>
      <c r="K748" s="53">
        <v>5.2702702702702702</v>
      </c>
      <c r="L748" s="54">
        <f>J748*10000/K748</f>
        <v>64478.351296622881</v>
      </c>
      <c r="M748" s="55">
        <v>54.4</v>
      </c>
      <c r="N748" s="55">
        <v>16.2</v>
      </c>
      <c r="O748" s="56">
        <v>0.91488000000000003</v>
      </c>
      <c r="P748" s="55">
        <v>10.6</v>
      </c>
      <c r="Q748" s="17" t="s">
        <v>424</v>
      </c>
      <c r="R748" s="17" t="s">
        <v>424</v>
      </c>
      <c r="S748" s="17" t="s">
        <v>424</v>
      </c>
      <c r="T748" s="17" t="s">
        <v>424</v>
      </c>
      <c r="U748" s="17" t="s">
        <v>424</v>
      </c>
      <c r="V748" s="17" t="s">
        <v>424</v>
      </c>
      <c r="W748" s="17" t="s">
        <v>424</v>
      </c>
    </row>
    <row r="749" spans="1:23" x14ac:dyDescent="0.25">
      <c r="A749" s="19" t="s">
        <v>600</v>
      </c>
      <c r="B749" s="20" t="s">
        <v>7</v>
      </c>
      <c r="C749" s="20" t="s">
        <v>427</v>
      </c>
      <c r="D749" s="18" t="s">
        <v>62</v>
      </c>
      <c r="E749" s="18" t="s">
        <v>1600</v>
      </c>
      <c r="F749" s="18">
        <v>5.94</v>
      </c>
      <c r="G749" s="23">
        <v>1.88</v>
      </c>
      <c r="H749" s="20">
        <v>6.71</v>
      </c>
      <c r="I749" s="25">
        <v>8.646233440464048</v>
      </c>
      <c r="J749" s="24">
        <f>G749/F749*((100-H749)/100)*((100-I749)/100)*100</f>
        <v>26.973229997975629</v>
      </c>
      <c r="K749" s="53">
        <v>3.9396479463537299</v>
      </c>
      <c r="L749" s="54">
        <f>J749*10000/K749</f>
        <v>68466.092314010486</v>
      </c>
      <c r="M749" s="55">
        <v>52.1</v>
      </c>
      <c r="N749" s="55">
        <v>17.7</v>
      </c>
      <c r="O749" s="56">
        <v>0.66346000000000005</v>
      </c>
      <c r="P749" s="55">
        <v>15.6</v>
      </c>
      <c r="Q749" s="17" t="s">
        <v>424</v>
      </c>
      <c r="R749" s="17" t="s">
        <v>424</v>
      </c>
      <c r="S749" s="17" t="s">
        <v>424</v>
      </c>
      <c r="T749" s="17" t="s">
        <v>424</v>
      </c>
      <c r="U749" s="17" t="s">
        <v>424</v>
      </c>
      <c r="V749" s="17" t="s">
        <v>424</v>
      </c>
      <c r="W749" s="17" t="s">
        <v>424</v>
      </c>
    </row>
    <row r="750" spans="1:23" x14ac:dyDescent="0.25">
      <c r="A750" s="19" t="s">
        <v>599</v>
      </c>
      <c r="B750" s="20" t="s">
        <v>7</v>
      </c>
      <c r="C750" s="20" t="s">
        <v>427</v>
      </c>
      <c r="D750" s="18" t="s">
        <v>198</v>
      </c>
      <c r="E750" s="18" t="s">
        <v>1722</v>
      </c>
      <c r="F750" s="18">
        <v>5.94</v>
      </c>
      <c r="G750" s="23">
        <v>1.91</v>
      </c>
      <c r="H750" s="20">
        <v>6.71</v>
      </c>
      <c r="I750" s="25">
        <v>10.915593705293279</v>
      </c>
      <c r="J750" s="24">
        <f>G750/F750*((100-H750)/100)*((100-I750)/100)*100</f>
        <v>26.722907311069687</v>
      </c>
      <c r="K750" s="53">
        <v>5.371428571428571</v>
      </c>
      <c r="L750" s="54">
        <f>J750*10000/K750</f>
        <v>49750.093398268036</v>
      </c>
      <c r="M750" s="55">
        <v>50.1</v>
      </c>
      <c r="N750" s="55">
        <v>18</v>
      </c>
      <c r="O750" s="56">
        <v>0.26167000000000001</v>
      </c>
      <c r="P750" s="55">
        <v>13.5</v>
      </c>
      <c r="Q750" s="17" t="s">
        <v>424</v>
      </c>
      <c r="R750" s="17" t="s">
        <v>424</v>
      </c>
      <c r="S750" s="17" t="s">
        <v>424</v>
      </c>
      <c r="T750" s="17" t="s">
        <v>424</v>
      </c>
      <c r="U750" s="17" t="s">
        <v>424</v>
      </c>
      <c r="V750" s="17" t="s">
        <v>424</v>
      </c>
      <c r="W750" s="17" t="s">
        <v>424</v>
      </c>
    </row>
    <row r="751" spans="1:23" x14ac:dyDescent="0.25">
      <c r="A751" s="19" t="s">
        <v>598</v>
      </c>
      <c r="B751" s="20" t="s">
        <v>7</v>
      </c>
      <c r="C751" s="20" t="s">
        <v>427</v>
      </c>
      <c r="D751" s="18" t="s">
        <v>41</v>
      </c>
      <c r="E751" s="18" t="s">
        <v>1660</v>
      </c>
      <c r="F751" s="18">
        <v>5.94</v>
      </c>
      <c r="G751" s="23">
        <v>1.6</v>
      </c>
      <c r="H751" s="20">
        <v>6.71</v>
      </c>
      <c r="I751" s="25">
        <v>6.7543138866064085</v>
      </c>
      <c r="J751" s="24">
        <f>G751/F751*((100-H751)/100)*((100-I751)/100)*100</f>
        <v>23.431353690285491</v>
      </c>
      <c r="K751" s="53">
        <v>5.6599286563614744</v>
      </c>
      <c r="L751" s="54">
        <f>J751*10000/K751</f>
        <v>41398.673221701887</v>
      </c>
      <c r="M751" s="55">
        <v>52.1</v>
      </c>
      <c r="N751" s="55">
        <v>17.100000000000001</v>
      </c>
      <c r="O751" s="56">
        <v>3.4451000000000001</v>
      </c>
      <c r="P751" s="55">
        <v>22.1</v>
      </c>
      <c r="Q751" s="17" t="s">
        <v>424</v>
      </c>
      <c r="R751" s="17" t="s">
        <v>424</v>
      </c>
      <c r="S751" s="17" t="s">
        <v>424</v>
      </c>
      <c r="T751" s="17" t="s">
        <v>424</v>
      </c>
      <c r="U751" s="17" t="s">
        <v>424</v>
      </c>
      <c r="V751" s="17" t="s">
        <v>424</v>
      </c>
      <c r="W751" s="17" t="s">
        <v>424</v>
      </c>
    </row>
    <row r="752" spans="1:23" x14ac:dyDescent="0.25">
      <c r="A752" s="19" t="s">
        <v>597</v>
      </c>
      <c r="B752" s="20" t="s">
        <v>7</v>
      </c>
      <c r="C752" s="20" t="s">
        <v>427</v>
      </c>
      <c r="D752" s="18" t="s">
        <v>67</v>
      </c>
      <c r="E752" s="18" t="s">
        <v>1490</v>
      </c>
      <c r="F752" s="18">
        <v>5.94</v>
      </c>
      <c r="G752" s="23">
        <v>1.59</v>
      </c>
      <c r="H752" s="20">
        <v>6.71</v>
      </c>
      <c r="I752" s="25">
        <v>9.8580564654500087</v>
      </c>
      <c r="J752" s="24">
        <f>G752/F752*((100-H752)/100)*((100-I752)/100)*100</f>
        <v>22.509854613834495</v>
      </c>
      <c r="K752" s="53">
        <v>5.3837342497136316</v>
      </c>
      <c r="L752" s="54">
        <f>J752*10000/K752</f>
        <v>41810.857612505344</v>
      </c>
      <c r="M752" s="55">
        <v>49.6</v>
      </c>
      <c r="N752" s="55">
        <v>19.899999999999999</v>
      </c>
      <c r="O752" s="56">
        <v>10.311999999999999</v>
      </c>
      <c r="P752" s="55">
        <v>47.9</v>
      </c>
      <c r="Q752" s="17" t="s">
        <v>424</v>
      </c>
      <c r="R752" s="17" t="s">
        <v>424</v>
      </c>
      <c r="S752" s="17" t="s">
        <v>424</v>
      </c>
      <c r="T752" s="17" t="s">
        <v>424</v>
      </c>
      <c r="U752" s="17" t="s">
        <v>424</v>
      </c>
      <c r="V752" s="17" t="s">
        <v>424</v>
      </c>
      <c r="W752" s="17" t="s">
        <v>424</v>
      </c>
    </row>
    <row r="753" spans="1:23" x14ac:dyDescent="0.25">
      <c r="A753" s="19" t="s">
        <v>596</v>
      </c>
      <c r="B753" s="20" t="s">
        <v>7</v>
      </c>
      <c r="C753" s="20" t="s">
        <v>427</v>
      </c>
      <c r="D753" s="18" t="s">
        <v>263</v>
      </c>
      <c r="E753" s="18" t="s">
        <v>1774</v>
      </c>
      <c r="F753" s="18">
        <v>5.94</v>
      </c>
      <c r="G753" s="23">
        <v>2.2000000000000002</v>
      </c>
      <c r="H753" s="20">
        <v>6.71</v>
      </c>
      <c r="I753" s="25">
        <v>7.9963022879593213</v>
      </c>
      <c r="J753" s="24">
        <f>G753/F753*((100-H753)/100)*((100-I753)/100)*100</f>
        <v>31.788981331689904</v>
      </c>
      <c r="K753" s="53">
        <v>4.8020304568527923</v>
      </c>
      <c r="L753" s="54">
        <f>J753*10000/K753</f>
        <v>66199.041462398629</v>
      </c>
      <c r="M753" s="55">
        <v>51.9</v>
      </c>
      <c r="N753" s="55">
        <v>16.8</v>
      </c>
      <c r="O753" s="56">
        <v>0.48892999999999998</v>
      </c>
      <c r="P753" s="55">
        <v>13.8</v>
      </c>
      <c r="Q753" s="17" t="s">
        <v>424</v>
      </c>
      <c r="R753" s="17" t="s">
        <v>424</v>
      </c>
      <c r="S753" s="17" t="s">
        <v>424</v>
      </c>
      <c r="T753" s="17" t="s">
        <v>424</v>
      </c>
      <c r="U753" s="17" t="s">
        <v>424</v>
      </c>
      <c r="V753" s="17" t="s">
        <v>424</v>
      </c>
      <c r="W753" s="17" t="s">
        <v>424</v>
      </c>
    </row>
    <row r="754" spans="1:23" x14ac:dyDescent="0.25">
      <c r="A754" s="19" t="s">
        <v>595</v>
      </c>
      <c r="B754" s="20" t="s">
        <v>7</v>
      </c>
      <c r="C754" s="20" t="s">
        <v>427</v>
      </c>
      <c r="D754" s="18" t="s">
        <v>289</v>
      </c>
      <c r="E754" s="18" t="s">
        <v>1706</v>
      </c>
      <c r="F754" s="18">
        <v>5.94</v>
      </c>
      <c r="G754" s="23">
        <v>1.48</v>
      </c>
      <c r="H754" s="20">
        <v>6.71</v>
      </c>
      <c r="I754" s="25">
        <v>8.0643863179074415</v>
      </c>
      <c r="J754" s="24">
        <f>G754/F754*((100-H754)/100)*((100-I754)/100)*100</f>
        <v>21.369489280463931</v>
      </c>
      <c r="K754" s="53">
        <v>4.865702479338843</v>
      </c>
      <c r="L754" s="54">
        <f>J754*10000/K754</f>
        <v>43918.610665581917</v>
      </c>
      <c r="M754" s="55">
        <v>51.1</v>
      </c>
      <c r="N754" s="55">
        <v>17.899999999999999</v>
      </c>
      <c r="O754" s="56">
        <v>-1.0072000000000001</v>
      </c>
      <c r="P754" s="55">
        <v>16</v>
      </c>
      <c r="Q754" s="17" t="s">
        <v>424</v>
      </c>
      <c r="R754" s="17" t="s">
        <v>424</v>
      </c>
      <c r="S754" s="17" t="s">
        <v>424</v>
      </c>
      <c r="T754" s="17" t="s">
        <v>424</v>
      </c>
      <c r="U754" s="17" t="s">
        <v>424</v>
      </c>
      <c r="V754" s="17" t="s">
        <v>424</v>
      </c>
      <c r="W754" s="17" t="s">
        <v>424</v>
      </c>
    </row>
    <row r="755" spans="1:23" x14ac:dyDescent="0.25">
      <c r="A755" s="19" t="s">
        <v>385</v>
      </c>
      <c r="B755" s="20" t="s">
        <v>7</v>
      </c>
      <c r="C755" s="20" t="s">
        <v>13</v>
      </c>
      <c r="D755" s="18" t="s">
        <v>246</v>
      </c>
      <c r="E755" s="18" t="s">
        <v>1616</v>
      </c>
      <c r="F755" s="18">
        <v>5.94</v>
      </c>
      <c r="G755" s="23">
        <v>2.65</v>
      </c>
      <c r="H755" s="17">
        <v>6.92</v>
      </c>
      <c r="I755" s="25">
        <v>11.872181025915451</v>
      </c>
      <c r="J755" s="24">
        <f>G755/F755*((100-H755)/100)*((100-I755)/100)*100</f>
        <v>36.595596100649225</v>
      </c>
      <c r="K755" s="53">
        <v>4.0339531123686339</v>
      </c>
      <c r="L755" s="54">
        <f>J755*10000/K755</f>
        <v>90718.942638282751</v>
      </c>
      <c r="M755" s="55">
        <v>50.2</v>
      </c>
      <c r="N755" s="55">
        <v>16.899999999999999</v>
      </c>
      <c r="O755" s="56">
        <v>1.5770999999999999</v>
      </c>
      <c r="P755" s="55">
        <v>20.100000000000001</v>
      </c>
      <c r="Q755" s="17" t="s">
        <v>424</v>
      </c>
      <c r="R755" s="17" t="s">
        <v>424</v>
      </c>
      <c r="S755" s="17" t="s">
        <v>424</v>
      </c>
      <c r="T755" s="17" t="s">
        <v>424</v>
      </c>
      <c r="U755" s="17" t="s">
        <v>424</v>
      </c>
      <c r="V755" s="17" t="s">
        <v>424</v>
      </c>
      <c r="W755" s="17" t="s">
        <v>424</v>
      </c>
    </row>
    <row r="756" spans="1:23" x14ac:dyDescent="0.25">
      <c r="A756" s="19" t="s">
        <v>386</v>
      </c>
      <c r="B756" s="20" t="s">
        <v>7</v>
      </c>
      <c r="C756" s="20" t="s">
        <v>13</v>
      </c>
      <c r="D756" s="18" t="s">
        <v>37</v>
      </c>
      <c r="E756" s="18" t="s">
        <v>1736</v>
      </c>
      <c r="F756" s="18">
        <v>5.94</v>
      </c>
      <c r="G756" s="23">
        <v>2.48</v>
      </c>
      <c r="H756" s="17">
        <v>6.92</v>
      </c>
      <c r="I756" s="25">
        <v>11.476043276661521</v>
      </c>
      <c r="J756" s="24">
        <f>G756/F756*((100-H756)/100)*((100-I756)/100)*100</f>
        <v>34.401899884991067</v>
      </c>
      <c r="K756" s="53">
        <v>5.365579302587177</v>
      </c>
      <c r="L756" s="54">
        <f>J756*10000/K756</f>
        <v>64115.909848547293</v>
      </c>
      <c r="M756" s="55">
        <v>50.5</v>
      </c>
      <c r="N756" s="55">
        <v>17.100000000000001</v>
      </c>
      <c r="O756" s="56">
        <v>-0.62963999999999998</v>
      </c>
      <c r="P756" s="55">
        <v>13.5</v>
      </c>
      <c r="Q756" s="17" t="s">
        <v>424</v>
      </c>
      <c r="R756" s="17" t="s">
        <v>424</v>
      </c>
      <c r="S756" s="17" t="s">
        <v>424</v>
      </c>
      <c r="T756" s="17" t="s">
        <v>424</v>
      </c>
      <c r="U756" s="17" t="s">
        <v>424</v>
      </c>
      <c r="V756" s="17" t="s">
        <v>424</v>
      </c>
      <c r="W756" s="17" t="s">
        <v>424</v>
      </c>
    </row>
    <row r="757" spans="1:23" x14ac:dyDescent="0.25">
      <c r="A757" s="19" t="s">
        <v>387</v>
      </c>
      <c r="B757" s="20" t="s">
        <v>7</v>
      </c>
      <c r="C757" s="20" t="s">
        <v>13</v>
      </c>
      <c r="D757" s="18" t="s">
        <v>48</v>
      </c>
      <c r="E757" s="18" t="s">
        <v>1692</v>
      </c>
      <c r="F757" s="18">
        <v>5.94</v>
      </c>
      <c r="G757" s="23">
        <v>1.27</v>
      </c>
      <c r="H757" s="17">
        <v>6.92</v>
      </c>
      <c r="I757" s="25">
        <v>19.384141647421099</v>
      </c>
      <c r="J757" s="24">
        <f>G757/F757*((100-H757)/100)*((100-I757)/100)*100</f>
        <v>16.043315826989417</v>
      </c>
      <c r="K757" s="53">
        <v>3.8174273858921164</v>
      </c>
      <c r="L757" s="54">
        <f>J757*10000/K757</f>
        <v>42026.512112004879</v>
      </c>
      <c r="M757" s="55">
        <v>49.4</v>
      </c>
      <c r="N757" s="55">
        <v>19.399999999999999</v>
      </c>
      <c r="O757" s="56">
        <v>36.914000000000001</v>
      </c>
      <c r="P757" s="55">
        <v>48.9</v>
      </c>
      <c r="Q757" s="17" t="s">
        <v>424</v>
      </c>
      <c r="R757" s="17" t="s">
        <v>424</v>
      </c>
      <c r="S757" s="17" t="s">
        <v>424</v>
      </c>
      <c r="T757" s="17" t="s">
        <v>424</v>
      </c>
      <c r="U757" s="17" t="s">
        <v>424</v>
      </c>
      <c r="V757" s="17" t="s">
        <v>424</v>
      </c>
      <c r="W757" s="17" t="s">
        <v>424</v>
      </c>
    </row>
    <row r="758" spans="1:23" x14ac:dyDescent="0.25">
      <c r="A758" s="19" t="s">
        <v>388</v>
      </c>
      <c r="B758" s="20" t="s">
        <v>7</v>
      </c>
      <c r="C758" s="20" t="s">
        <v>13</v>
      </c>
      <c r="D758" s="18" t="s">
        <v>217</v>
      </c>
      <c r="E758" s="18" t="s">
        <v>1547</v>
      </c>
      <c r="F758" s="18">
        <v>5.94</v>
      </c>
      <c r="G758" s="23">
        <v>2.2000000000000002</v>
      </c>
      <c r="H758" s="17">
        <v>6.92</v>
      </c>
      <c r="I758" s="25">
        <v>23.218151900926649</v>
      </c>
      <c r="J758" s="24">
        <f>G758/F758*((100-H758)/100)*((100-I758)/100)*100</f>
        <v>26.469831189117581</v>
      </c>
      <c r="K758" s="53">
        <v>4.2268041237113403</v>
      </c>
      <c r="L758" s="54">
        <f>J758*10000/K758</f>
        <v>62623.746959619639</v>
      </c>
      <c r="M758" s="55">
        <v>51.7</v>
      </c>
      <c r="N758" s="55">
        <v>17.3</v>
      </c>
      <c r="O758" s="56">
        <v>0.98104000000000002</v>
      </c>
      <c r="P758" s="55">
        <v>13.8</v>
      </c>
      <c r="Q758" s="17" t="s">
        <v>424</v>
      </c>
      <c r="R758" s="17" t="s">
        <v>424</v>
      </c>
      <c r="S758" s="17" t="s">
        <v>424</v>
      </c>
      <c r="T758" s="17" t="s">
        <v>424</v>
      </c>
      <c r="U758" s="17" t="s">
        <v>424</v>
      </c>
      <c r="V758" s="17" t="s">
        <v>424</v>
      </c>
      <c r="W758" s="17" t="s">
        <v>424</v>
      </c>
    </row>
    <row r="759" spans="1:23" x14ac:dyDescent="0.25">
      <c r="A759" s="19" t="s">
        <v>389</v>
      </c>
      <c r="B759" s="20" t="s">
        <v>7</v>
      </c>
      <c r="C759" s="20" t="s">
        <v>13</v>
      </c>
      <c r="D759" s="18" t="s">
        <v>231</v>
      </c>
      <c r="E759" s="18" t="s">
        <v>1500</v>
      </c>
      <c r="F759" s="18">
        <v>5.94</v>
      </c>
      <c r="G759" s="23">
        <v>2.2599999999999998</v>
      </c>
      <c r="H759" s="17">
        <v>6.92</v>
      </c>
      <c r="I759" s="25">
        <v>11.727092128135096</v>
      </c>
      <c r="J759" s="24">
        <f>G759/F759*((100-H759)/100)*((100-I759)/100)*100</f>
        <v>31.261211310188209</v>
      </c>
      <c r="K759" s="53">
        <v>5</v>
      </c>
      <c r="L759" s="54">
        <f>J759*10000/K759</f>
        <v>62522.422620376419</v>
      </c>
      <c r="M759" s="55">
        <v>55.8</v>
      </c>
      <c r="N759" s="55">
        <v>17.8</v>
      </c>
      <c r="O759" s="56">
        <v>46.182000000000002</v>
      </c>
      <c r="P759" s="55">
        <v>47.4</v>
      </c>
      <c r="Q759" s="17" t="s">
        <v>424</v>
      </c>
      <c r="R759" s="17" t="s">
        <v>424</v>
      </c>
      <c r="S759" s="17" t="s">
        <v>424</v>
      </c>
      <c r="T759" s="17" t="s">
        <v>424</v>
      </c>
      <c r="U759" s="17" t="s">
        <v>424</v>
      </c>
      <c r="V759" s="17" t="s">
        <v>424</v>
      </c>
      <c r="W759" s="17" t="s">
        <v>424</v>
      </c>
    </row>
    <row r="760" spans="1:23" x14ac:dyDescent="0.25">
      <c r="A760" s="19" t="s">
        <v>390</v>
      </c>
      <c r="B760" s="20" t="s">
        <v>7</v>
      </c>
      <c r="C760" s="20" t="s">
        <v>13</v>
      </c>
      <c r="D760" s="18" t="s">
        <v>288</v>
      </c>
      <c r="E760" s="18" t="s">
        <v>1570</v>
      </c>
      <c r="F760" s="18">
        <v>5.94</v>
      </c>
      <c r="G760" s="23">
        <v>1.98</v>
      </c>
      <c r="H760" s="17">
        <v>6.92</v>
      </c>
      <c r="I760" s="25">
        <v>14.138158376675701</v>
      </c>
      <c r="J760" s="24">
        <f>G760/F760*((100-H760)/100)*((100-I760)/100)*100</f>
        <v>26.640067394330082</v>
      </c>
      <c r="K760" s="53">
        <v>5.133404482390608</v>
      </c>
      <c r="L760" s="54">
        <f>J760*10000/K760</f>
        <v>51895.51590122097</v>
      </c>
      <c r="M760" s="55">
        <v>49.1</v>
      </c>
      <c r="N760" s="55">
        <v>18.7</v>
      </c>
      <c r="O760" s="56">
        <v>4.4763000000000002</v>
      </c>
      <c r="P760" s="55">
        <v>20.9</v>
      </c>
      <c r="Q760" s="17" t="s">
        <v>424</v>
      </c>
      <c r="R760" s="17" t="s">
        <v>424</v>
      </c>
      <c r="S760" s="17" t="s">
        <v>424</v>
      </c>
      <c r="T760" s="17" t="s">
        <v>424</v>
      </c>
      <c r="U760" s="17" t="s">
        <v>424</v>
      </c>
      <c r="V760" s="17" t="s">
        <v>424</v>
      </c>
      <c r="W760" s="17" t="s">
        <v>424</v>
      </c>
    </row>
    <row r="761" spans="1:23" x14ac:dyDescent="0.25">
      <c r="A761" s="19" t="s">
        <v>606</v>
      </c>
      <c r="B761" s="20" t="s">
        <v>7</v>
      </c>
      <c r="C761" s="20" t="s">
        <v>427</v>
      </c>
      <c r="D761" s="18" t="s">
        <v>9</v>
      </c>
      <c r="E761" s="18" t="s">
        <v>1714</v>
      </c>
      <c r="F761" s="18">
        <v>5.94</v>
      </c>
      <c r="G761" s="23">
        <v>2.4500000000000002</v>
      </c>
      <c r="H761" s="20">
        <v>6.71</v>
      </c>
      <c r="I761" s="25">
        <v>9.2168025850130721</v>
      </c>
      <c r="J761" s="24">
        <f>G761/F761*((100-H761)/100)*((100-I761)/100)*100</f>
        <v>34.931739045064184</v>
      </c>
      <c r="K761" s="53">
        <v>5.7829839704069048</v>
      </c>
      <c r="L761" s="54">
        <f>J761*10000/K761</f>
        <v>60404.350459588604</v>
      </c>
      <c r="M761" s="55">
        <v>48.5</v>
      </c>
      <c r="N761" s="55">
        <v>18.100000000000001</v>
      </c>
      <c r="O761" s="56">
        <v>4.0929000000000002</v>
      </c>
      <c r="P761" s="55">
        <v>24</v>
      </c>
      <c r="Q761" s="17" t="s">
        <v>424</v>
      </c>
      <c r="R761" s="17" t="s">
        <v>424</v>
      </c>
      <c r="S761" s="17" t="s">
        <v>424</v>
      </c>
      <c r="T761" s="17" t="s">
        <v>424</v>
      </c>
      <c r="U761" s="17" t="s">
        <v>424</v>
      </c>
      <c r="V761" s="17" t="s">
        <v>424</v>
      </c>
      <c r="W761" s="17" t="s">
        <v>424</v>
      </c>
    </row>
    <row r="762" spans="1:23" x14ac:dyDescent="0.25">
      <c r="A762" s="19" t="s">
        <v>605</v>
      </c>
      <c r="B762" s="20" t="s">
        <v>7</v>
      </c>
      <c r="C762" s="20" t="s">
        <v>427</v>
      </c>
      <c r="D762" s="18" t="s">
        <v>248</v>
      </c>
      <c r="E762" s="18" t="s">
        <v>1816</v>
      </c>
      <c r="F762" s="18">
        <v>5.94</v>
      </c>
      <c r="G762" s="23">
        <v>2.68</v>
      </c>
      <c r="H762" s="20">
        <v>6.71</v>
      </c>
      <c r="I762" s="25">
        <v>7.7848257681851898</v>
      </c>
      <c r="J762" s="24">
        <f>G762/F762*((100-H762)/100)*((100-I762)/100)*100</f>
        <v>38.813770469613623</v>
      </c>
      <c r="K762" s="53">
        <v>4.7373637264618438</v>
      </c>
      <c r="L762" s="54">
        <f>J762*10000/K762</f>
        <v>81931.159840669759</v>
      </c>
      <c r="M762" s="55">
        <v>52.1</v>
      </c>
      <c r="N762" s="55">
        <v>16.100000000000001</v>
      </c>
      <c r="O762" s="56">
        <v>1.1487000000000001</v>
      </c>
      <c r="P762" s="55">
        <v>13.7</v>
      </c>
      <c r="Q762" s="17" t="s">
        <v>424</v>
      </c>
      <c r="R762" s="17" t="s">
        <v>424</v>
      </c>
      <c r="S762" s="17" t="s">
        <v>424</v>
      </c>
      <c r="T762" s="17" t="s">
        <v>424</v>
      </c>
      <c r="U762" s="17" t="s">
        <v>424</v>
      </c>
      <c r="V762" s="17" t="s">
        <v>424</v>
      </c>
      <c r="W762" s="17" t="s">
        <v>424</v>
      </c>
    </row>
    <row r="763" spans="1:23" x14ac:dyDescent="0.25">
      <c r="A763" s="19" t="s">
        <v>604</v>
      </c>
      <c r="B763" s="20" t="s">
        <v>7</v>
      </c>
      <c r="C763" s="20" t="s">
        <v>427</v>
      </c>
      <c r="D763" s="18" t="s">
        <v>49</v>
      </c>
      <c r="E763" s="18" t="s">
        <v>1554</v>
      </c>
      <c r="F763" s="18">
        <v>5.94</v>
      </c>
      <c r="G763" s="23">
        <v>1.8</v>
      </c>
      <c r="H763" s="20">
        <v>6.71</v>
      </c>
      <c r="I763" s="25">
        <v>6.802612713079502</v>
      </c>
      <c r="J763" s="24">
        <f>G763/F763*((100-H763)/100)*((100-I763)/100)*100</f>
        <v>26.34661896968732</v>
      </c>
      <c r="K763" s="53">
        <v>5.5216881594372804</v>
      </c>
      <c r="L763" s="54">
        <f>J763*10000/K763</f>
        <v>47714.789768881703</v>
      </c>
      <c r="M763" s="55">
        <v>51.7</v>
      </c>
      <c r="N763" s="55">
        <v>18.2</v>
      </c>
      <c r="O763" s="56">
        <v>5.9501999999999997</v>
      </c>
      <c r="P763" s="55">
        <v>21.2</v>
      </c>
      <c r="Q763" s="17" t="s">
        <v>424</v>
      </c>
      <c r="R763" s="17" t="s">
        <v>424</v>
      </c>
      <c r="S763" s="17" t="s">
        <v>424</v>
      </c>
      <c r="T763" s="17" t="s">
        <v>424</v>
      </c>
      <c r="U763" s="17" t="s">
        <v>424</v>
      </c>
      <c r="V763" s="17" t="s">
        <v>424</v>
      </c>
      <c r="W763" s="17" t="s">
        <v>424</v>
      </c>
    </row>
    <row r="764" spans="1:23" x14ac:dyDescent="0.25">
      <c r="A764" s="19" t="s">
        <v>603</v>
      </c>
      <c r="B764" s="20" t="s">
        <v>7</v>
      </c>
      <c r="C764" s="20" t="s">
        <v>427</v>
      </c>
      <c r="D764" s="18" t="s">
        <v>162</v>
      </c>
      <c r="E764" s="18" t="s">
        <v>1535</v>
      </c>
      <c r="F764" s="18">
        <v>5.94</v>
      </c>
      <c r="G764" s="23">
        <v>1.73</v>
      </c>
      <c r="H764" s="20">
        <v>6.71</v>
      </c>
      <c r="I764" s="25">
        <v>11.352746037596759</v>
      </c>
      <c r="J764" s="24">
        <f>G764/F764*((100-H764)/100)*((100-I764)/100)*100</f>
        <v>24.085742453407395</v>
      </c>
      <c r="K764" s="53">
        <v>4.661432777232581</v>
      </c>
      <c r="L764" s="54">
        <f>J764*10000/K764</f>
        <v>51670.255915836075</v>
      </c>
      <c r="M764" s="55">
        <v>51</v>
      </c>
      <c r="N764" s="55">
        <v>17.600000000000001</v>
      </c>
      <c r="O764" s="56">
        <v>20.454000000000001</v>
      </c>
      <c r="P764" s="55">
        <v>37.1</v>
      </c>
      <c r="Q764" s="17" t="s">
        <v>424</v>
      </c>
      <c r="R764" s="17" t="s">
        <v>424</v>
      </c>
      <c r="S764" s="17" t="s">
        <v>424</v>
      </c>
      <c r="T764" s="17" t="s">
        <v>424</v>
      </c>
      <c r="U764" s="17" t="s">
        <v>424</v>
      </c>
      <c r="V764" s="17" t="s">
        <v>424</v>
      </c>
      <c r="W764" s="17" t="s">
        <v>424</v>
      </c>
    </row>
    <row r="765" spans="1:23" x14ac:dyDescent="0.25">
      <c r="A765" s="19" t="s">
        <v>602</v>
      </c>
      <c r="B765" s="20" t="s">
        <v>7</v>
      </c>
      <c r="C765" s="20" t="s">
        <v>427</v>
      </c>
      <c r="D765" s="18" t="s">
        <v>274</v>
      </c>
      <c r="E765" s="18" t="s">
        <v>1580</v>
      </c>
      <c r="F765" s="18">
        <v>5.94</v>
      </c>
      <c r="G765" s="23">
        <v>2.74</v>
      </c>
      <c r="H765" s="20">
        <v>6.71</v>
      </c>
      <c r="I765" s="25">
        <v>6.7943273776139765</v>
      </c>
      <c r="J765" s="24">
        <f>G765/F765*((100-H765)/100)*((100-I765)/100)*100</f>
        <v>40.108974284683761</v>
      </c>
      <c r="K765" s="53">
        <v>5.3506787330316739</v>
      </c>
      <c r="L765" s="54">
        <f>J765*10000/K765</f>
        <v>74960.535449599251</v>
      </c>
      <c r="M765" s="55">
        <v>50.4</v>
      </c>
      <c r="N765" s="55">
        <v>17.399999999999999</v>
      </c>
      <c r="O765" s="56">
        <v>0.83594000000000002</v>
      </c>
      <c r="P765" s="55">
        <v>26</v>
      </c>
      <c r="Q765" s="17" t="s">
        <v>424</v>
      </c>
      <c r="R765" s="17" t="s">
        <v>424</v>
      </c>
      <c r="S765" s="17" t="s">
        <v>424</v>
      </c>
      <c r="T765" s="17" t="s">
        <v>424</v>
      </c>
      <c r="U765" s="17" t="s">
        <v>424</v>
      </c>
      <c r="V765" s="17" t="s">
        <v>424</v>
      </c>
      <c r="W765" s="17" t="s">
        <v>424</v>
      </c>
    </row>
    <row r="766" spans="1:23" x14ac:dyDescent="0.25">
      <c r="A766" s="19" t="s">
        <v>601</v>
      </c>
      <c r="B766" s="20" t="s">
        <v>7</v>
      </c>
      <c r="C766" s="20" t="s">
        <v>427</v>
      </c>
      <c r="D766" s="18" t="s">
        <v>28</v>
      </c>
      <c r="E766" s="18" t="s">
        <v>1636</v>
      </c>
      <c r="F766" s="18">
        <v>5.94</v>
      </c>
      <c r="G766" s="23">
        <v>2.0099999999999998</v>
      </c>
      <c r="H766" s="20">
        <v>6.71</v>
      </c>
      <c r="I766" s="25">
        <v>6.7123678948871799</v>
      </c>
      <c r="J766" s="24">
        <f>G766/F766*((100-H766)/100)*((100-I766)/100)*100</f>
        <v>29.4488795120586</v>
      </c>
      <c r="K766" s="53">
        <v>4.6900000000000004</v>
      </c>
      <c r="L766" s="54">
        <f>J766*10000/K766</f>
        <v>62790.78787219317</v>
      </c>
      <c r="M766" s="55">
        <v>50.9</v>
      </c>
      <c r="N766" s="55">
        <v>16.600000000000001</v>
      </c>
      <c r="O766" s="56">
        <v>-0.79330999999999996</v>
      </c>
      <c r="P766" s="55">
        <v>9.6</v>
      </c>
      <c r="Q766" s="17" t="s">
        <v>424</v>
      </c>
      <c r="R766" s="17" t="s">
        <v>424</v>
      </c>
      <c r="S766" s="17" t="s">
        <v>424</v>
      </c>
      <c r="T766" s="17" t="s">
        <v>424</v>
      </c>
      <c r="U766" s="17" t="s">
        <v>424</v>
      </c>
      <c r="V766" s="17" t="s">
        <v>424</v>
      </c>
      <c r="W766" s="17" t="s">
        <v>424</v>
      </c>
    </row>
    <row r="767" spans="1:23" x14ac:dyDescent="0.25">
      <c r="A767" s="19" t="s">
        <v>391</v>
      </c>
      <c r="B767" s="20" t="s">
        <v>7</v>
      </c>
      <c r="C767" s="20" t="s">
        <v>13</v>
      </c>
      <c r="D767" s="18" t="s">
        <v>31</v>
      </c>
      <c r="E767" s="18" t="s">
        <v>1668</v>
      </c>
      <c r="F767" s="18">
        <v>5.94</v>
      </c>
      <c r="G767" s="23">
        <v>3.05</v>
      </c>
      <c r="H767" s="17">
        <v>6.92</v>
      </c>
      <c r="I767" s="25">
        <v>9.2266666666666666</v>
      </c>
      <c r="J767" s="24">
        <f>G767/F767*((100-H767)/100)*((100-I767)/100)*100</f>
        <v>43.383846285072956</v>
      </c>
      <c r="K767" s="53">
        <v>4.5148895292987508</v>
      </c>
      <c r="L767" s="54">
        <f>J767*10000/K767</f>
        <v>96090.604218640321</v>
      </c>
      <c r="M767" s="55">
        <v>51</v>
      </c>
      <c r="N767" s="55">
        <v>16.899999999999999</v>
      </c>
      <c r="O767" s="56">
        <v>-0.57411999999999996</v>
      </c>
      <c r="P767" s="55">
        <v>16.100000000000001</v>
      </c>
      <c r="Q767" s="17" t="s">
        <v>424</v>
      </c>
      <c r="R767" s="17" t="s">
        <v>424</v>
      </c>
      <c r="S767" s="17" t="s">
        <v>424</v>
      </c>
      <c r="T767" s="17" t="s">
        <v>424</v>
      </c>
      <c r="U767" s="17" t="s">
        <v>424</v>
      </c>
      <c r="V767" s="17" t="s">
        <v>424</v>
      </c>
      <c r="W767" s="17" t="s">
        <v>424</v>
      </c>
    </row>
    <row r="768" spans="1:23" x14ac:dyDescent="0.25">
      <c r="A768" s="19" t="s">
        <v>392</v>
      </c>
      <c r="B768" s="20" t="s">
        <v>7</v>
      </c>
      <c r="C768" s="20" t="s">
        <v>13</v>
      </c>
      <c r="D768" s="18" t="s">
        <v>245</v>
      </c>
      <c r="E768" s="18" t="s">
        <v>1511</v>
      </c>
      <c r="F768" s="18">
        <v>5.94</v>
      </c>
      <c r="G768" s="23">
        <v>1.77</v>
      </c>
      <c r="H768" s="17">
        <v>6.92</v>
      </c>
      <c r="I768" s="25">
        <v>12.168108026096185</v>
      </c>
      <c r="J768" s="24">
        <f>G768/F768*((100-H768)/100)*((100-I768)/100)*100</f>
        <v>24.361018070248839</v>
      </c>
      <c r="K768" s="53">
        <v>4.8971193415637861</v>
      </c>
      <c r="L768" s="54">
        <f>J768*10000/K768</f>
        <v>49745.608328323258</v>
      </c>
      <c r="M768" s="55">
        <v>47.6</v>
      </c>
      <c r="N768" s="55">
        <v>18.600000000000001</v>
      </c>
      <c r="O768" s="56">
        <v>2.3883999999999999</v>
      </c>
      <c r="P768" s="55">
        <v>58.8</v>
      </c>
      <c r="Q768" s="17" t="s">
        <v>424</v>
      </c>
      <c r="R768" s="17" t="s">
        <v>424</v>
      </c>
      <c r="S768" s="17" t="s">
        <v>424</v>
      </c>
      <c r="T768" s="17" t="s">
        <v>424</v>
      </c>
      <c r="U768" s="17" t="s">
        <v>424</v>
      </c>
      <c r="V768" s="17" t="s">
        <v>424</v>
      </c>
      <c r="W768" s="17" t="s">
        <v>424</v>
      </c>
    </row>
    <row r="769" spans="1:23" x14ac:dyDescent="0.25">
      <c r="A769" s="19" t="s">
        <v>393</v>
      </c>
      <c r="B769" s="20" t="s">
        <v>7</v>
      </c>
      <c r="C769" s="20" t="s">
        <v>13</v>
      </c>
      <c r="D769" s="18" t="s">
        <v>84</v>
      </c>
      <c r="E769" s="18" t="s">
        <v>1672</v>
      </c>
      <c r="F769" s="18">
        <v>5.94</v>
      </c>
      <c r="G769" s="23">
        <v>2.2200000000000002</v>
      </c>
      <c r="H769" s="17">
        <v>6.92</v>
      </c>
      <c r="I769" s="25">
        <v>10.923474821238409</v>
      </c>
      <c r="J769" s="24">
        <f>G769/F769*((100-H769)/100)*((100-I769)/100)*100</f>
        <v>30.987473702489677</v>
      </c>
      <c r="K769" s="53">
        <v>4.7767393561786085</v>
      </c>
      <c r="L769" s="54">
        <f>J769*10000/K769</f>
        <v>64871.602555429476</v>
      </c>
      <c r="M769" s="55">
        <v>53.3</v>
      </c>
      <c r="N769" s="55">
        <v>17.2</v>
      </c>
      <c r="O769" s="56">
        <v>0.45263999999999999</v>
      </c>
      <c r="P769" s="55">
        <v>18.2</v>
      </c>
      <c r="Q769" s="17" t="s">
        <v>424</v>
      </c>
      <c r="R769" s="17" t="s">
        <v>424</v>
      </c>
      <c r="S769" s="17" t="s">
        <v>424</v>
      </c>
      <c r="T769" s="17" t="s">
        <v>424</v>
      </c>
      <c r="U769" s="17" t="s">
        <v>424</v>
      </c>
      <c r="V769" s="17" t="s">
        <v>424</v>
      </c>
      <c r="W769" s="17" t="s">
        <v>424</v>
      </c>
    </row>
    <row r="770" spans="1:23" x14ac:dyDescent="0.25">
      <c r="A770" s="19" t="s">
        <v>394</v>
      </c>
      <c r="B770" s="20" t="s">
        <v>7</v>
      </c>
      <c r="C770" s="20" t="s">
        <v>13</v>
      </c>
      <c r="D770" s="18" t="s">
        <v>76</v>
      </c>
      <c r="E770" s="18" t="s">
        <v>1818</v>
      </c>
      <c r="F770" s="18">
        <v>5.94</v>
      </c>
      <c r="G770" s="23">
        <v>2.76</v>
      </c>
      <c r="H770" s="17">
        <v>6.92</v>
      </c>
      <c r="I770" s="25">
        <v>10.749864854428925</v>
      </c>
      <c r="J770" s="24">
        <f>G770/F770*((100-H770)/100)*((100-I770)/100)*100</f>
        <v>38.600052388897851</v>
      </c>
      <c r="K770" s="53">
        <v>5.174291938997821</v>
      </c>
      <c r="L770" s="54">
        <f>J770*10000/K770</f>
        <v>74599.680195806795</v>
      </c>
      <c r="M770" s="55">
        <v>51.3</v>
      </c>
      <c r="N770" s="55">
        <v>15.6</v>
      </c>
      <c r="O770" s="56">
        <v>0.59060000000000001</v>
      </c>
      <c r="P770" s="55">
        <v>15.7</v>
      </c>
      <c r="Q770" s="17" t="s">
        <v>424</v>
      </c>
      <c r="R770" s="17" t="s">
        <v>424</v>
      </c>
      <c r="S770" s="17" t="s">
        <v>424</v>
      </c>
      <c r="T770" s="17" t="s">
        <v>424</v>
      </c>
      <c r="U770" s="17" t="s">
        <v>424</v>
      </c>
      <c r="V770" s="17" t="s">
        <v>424</v>
      </c>
      <c r="W770" s="17" t="s">
        <v>424</v>
      </c>
    </row>
    <row r="771" spans="1:23" x14ac:dyDescent="0.25">
      <c r="A771" s="19" t="s">
        <v>395</v>
      </c>
      <c r="B771" s="20" t="s">
        <v>7</v>
      </c>
      <c r="C771" s="20" t="s">
        <v>13</v>
      </c>
      <c r="D771" s="18" t="s">
        <v>216</v>
      </c>
      <c r="E771" s="18" t="s">
        <v>1624</v>
      </c>
      <c r="F771" s="18">
        <v>5.94</v>
      </c>
      <c r="G771" s="23">
        <v>2.54</v>
      </c>
      <c r="H771" s="17">
        <v>6.92</v>
      </c>
      <c r="I771" s="25">
        <v>10.759299108515217</v>
      </c>
      <c r="J771" s="24">
        <f>G771/F771*((100-H771)/100)*((100-I771)/100)*100</f>
        <v>35.519481607757051</v>
      </c>
      <c r="K771" s="53">
        <v>4.4206773618538326</v>
      </c>
      <c r="L771" s="54">
        <f>J771*10000/K771</f>
        <v>80348.504765934282</v>
      </c>
      <c r="M771" s="55">
        <v>50.1</v>
      </c>
      <c r="N771" s="55">
        <v>16.899999999999999</v>
      </c>
      <c r="O771" s="56">
        <v>-1.6032999999999999</v>
      </c>
      <c r="P771" s="55">
        <v>12</v>
      </c>
      <c r="Q771" s="17" t="s">
        <v>424</v>
      </c>
      <c r="R771" s="17" t="s">
        <v>424</v>
      </c>
      <c r="S771" s="17" t="s">
        <v>424</v>
      </c>
      <c r="T771" s="17" t="s">
        <v>424</v>
      </c>
      <c r="U771" s="17" t="s">
        <v>424</v>
      </c>
      <c r="V771" s="17" t="s">
        <v>424</v>
      </c>
      <c r="W771" s="17" t="s">
        <v>424</v>
      </c>
    </row>
    <row r="772" spans="1:23" x14ac:dyDescent="0.25">
      <c r="A772" s="19" t="s">
        <v>396</v>
      </c>
      <c r="B772" s="20" t="s">
        <v>7</v>
      </c>
      <c r="C772" s="20" t="s">
        <v>13</v>
      </c>
      <c r="D772" s="18" t="s">
        <v>275</v>
      </c>
      <c r="E772" s="18" t="s">
        <v>1762</v>
      </c>
      <c r="F772" s="18">
        <v>5.94</v>
      </c>
      <c r="G772" s="23">
        <v>2.2799999999999998</v>
      </c>
      <c r="H772" s="17">
        <v>6.92</v>
      </c>
      <c r="I772" s="25">
        <v>8.9746534956734809</v>
      </c>
      <c r="J772" s="24">
        <f>G772/F772*((100-H772)/100)*((100-I772)/100)*100</f>
        <v>32.521241575723536</v>
      </c>
      <c r="K772" s="53">
        <v>4.385796545105566</v>
      </c>
      <c r="L772" s="54">
        <f>J772*10000/K772</f>
        <v>74151.277290818223</v>
      </c>
      <c r="M772" s="55">
        <v>54</v>
      </c>
      <c r="N772" s="55">
        <v>15.9</v>
      </c>
      <c r="O772" s="56">
        <v>-1.4201999999999999</v>
      </c>
      <c r="P772" s="55">
        <v>15.1</v>
      </c>
      <c r="Q772" s="17" t="s">
        <v>424</v>
      </c>
      <c r="R772" s="17" t="s">
        <v>424</v>
      </c>
      <c r="S772" s="17" t="s">
        <v>424</v>
      </c>
      <c r="T772" s="17" t="s">
        <v>424</v>
      </c>
      <c r="U772" s="17" t="s">
        <v>424</v>
      </c>
      <c r="V772" s="17" t="s">
        <v>424</v>
      </c>
      <c r="W772" s="17" t="s">
        <v>424</v>
      </c>
    </row>
    <row r="773" spans="1:23" x14ac:dyDescent="0.25">
      <c r="A773" s="19" t="s">
        <v>612</v>
      </c>
      <c r="B773" s="20" t="s">
        <v>7</v>
      </c>
      <c r="C773" s="20" t="s">
        <v>427</v>
      </c>
      <c r="D773" s="18" t="s">
        <v>179</v>
      </c>
      <c r="E773" s="18" t="s">
        <v>1666</v>
      </c>
      <c r="F773" s="18">
        <v>5.94</v>
      </c>
      <c r="G773" s="23">
        <v>1.81</v>
      </c>
      <c r="H773" s="20">
        <v>6.71</v>
      </c>
      <c r="I773" s="25">
        <v>10.196048163013282</v>
      </c>
      <c r="J773" s="24">
        <f>G773/F773*((100-H773)/100)*((100-I773)/100)*100</f>
        <v>25.528345634746142</v>
      </c>
      <c r="K773" s="53">
        <v>5.820170109356015</v>
      </c>
      <c r="L773" s="54">
        <f>J773*10000/K773</f>
        <v>43861.854817110798</v>
      </c>
      <c r="M773" s="55">
        <v>48.9</v>
      </c>
      <c r="N773" s="55">
        <v>19</v>
      </c>
      <c r="O773" s="56">
        <v>-0.14388999999999999</v>
      </c>
      <c r="P773" s="55">
        <v>20.3</v>
      </c>
      <c r="Q773" s="17" t="s">
        <v>424</v>
      </c>
      <c r="R773" s="17" t="s">
        <v>424</v>
      </c>
      <c r="S773" s="17" t="s">
        <v>424</v>
      </c>
      <c r="T773" s="17" t="s">
        <v>424</v>
      </c>
      <c r="U773" s="17" t="s">
        <v>424</v>
      </c>
      <c r="V773" s="17" t="s">
        <v>424</v>
      </c>
      <c r="W773" s="17" t="s">
        <v>424</v>
      </c>
    </row>
    <row r="774" spans="1:23" x14ac:dyDescent="0.25">
      <c r="A774" s="19" t="s">
        <v>611</v>
      </c>
      <c r="B774" s="20" t="s">
        <v>7</v>
      </c>
      <c r="C774" s="20" t="s">
        <v>427</v>
      </c>
      <c r="D774" s="18" t="s">
        <v>213</v>
      </c>
      <c r="E774" s="18" t="s">
        <v>1566</v>
      </c>
      <c r="F774" s="18">
        <v>5.94</v>
      </c>
      <c r="G774" s="23">
        <v>1.91</v>
      </c>
      <c r="H774" s="20">
        <v>6.71</v>
      </c>
      <c r="I774" s="25">
        <v>7.5780889367594977</v>
      </c>
      <c r="J774" s="24">
        <f>G774/F774*((100-H774)/100)*((100-I774)/100)*100</f>
        <v>27.72406828064199</v>
      </c>
      <c r="K774" s="53">
        <v>5.1391862955032117</v>
      </c>
      <c r="L774" s="54">
        <f>J774*10000/K774</f>
        <v>53946.416196082544</v>
      </c>
      <c r="M774" s="55">
        <v>51.6</v>
      </c>
      <c r="N774" s="55">
        <v>17</v>
      </c>
      <c r="O774" s="56">
        <v>2.383</v>
      </c>
      <c r="P774" s="55">
        <v>17.7</v>
      </c>
      <c r="Q774" s="17" t="s">
        <v>424</v>
      </c>
      <c r="R774" s="17" t="s">
        <v>424</v>
      </c>
      <c r="S774" s="17" t="s">
        <v>424</v>
      </c>
      <c r="T774" s="17" t="s">
        <v>424</v>
      </c>
      <c r="U774" s="17" t="s">
        <v>424</v>
      </c>
      <c r="V774" s="17" t="s">
        <v>424</v>
      </c>
      <c r="W774" s="17" t="s">
        <v>424</v>
      </c>
    </row>
    <row r="775" spans="1:23" x14ac:dyDescent="0.25">
      <c r="A775" s="19" t="s">
        <v>610</v>
      </c>
      <c r="B775" s="20" t="s">
        <v>7</v>
      </c>
      <c r="C775" s="20" t="s">
        <v>427</v>
      </c>
      <c r="D775" s="18" t="s">
        <v>98</v>
      </c>
      <c r="E775" s="18" t="s">
        <v>1626</v>
      </c>
      <c r="F775" s="18">
        <v>5.94</v>
      </c>
      <c r="G775" s="23">
        <v>2.0699999999999998</v>
      </c>
      <c r="H775" s="20">
        <v>6.71</v>
      </c>
      <c r="I775" s="25">
        <v>4.0632921115292975</v>
      </c>
      <c r="J775" s="24">
        <f>G775/F775*((100-H775)/100)*((100-I775)/100)*100</f>
        <v>31.189169093190145</v>
      </c>
      <c r="K775" s="53">
        <v>5.7210401891252953</v>
      </c>
      <c r="L775" s="54">
        <f>J775*10000/K775</f>
        <v>54516.605481072031</v>
      </c>
      <c r="M775" s="55">
        <v>50.9</v>
      </c>
      <c r="N775" s="55">
        <v>19.8</v>
      </c>
      <c r="O775" s="56">
        <v>6.8255999999999997</v>
      </c>
      <c r="P775" s="55">
        <v>22.9</v>
      </c>
      <c r="Q775" s="17" t="s">
        <v>424</v>
      </c>
      <c r="R775" s="17" t="s">
        <v>424</v>
      </c>
      <c r="S775" s="17" t="s">
        <v>424</v>
      </c>
      <c r="T775" s="17" t="s">
        <v>424</v>
      </c>
      <c r="U775" s="17" t="s">
        <v>424</v>
      </c>
      <c r="V775" s="17" t="s">
        <v>424</v>
      </c>
      <c r="W775" s="17" t="s">
        <v>424</v>
      </c>
    </row>
    <row r="776" spans="1:23" x14ac:dyDescent="0.25">
      <c r="A776" s="19" t="s">
        <v>609</v>
      </c>
      <c r="B776" s="20" t="s">
        <v>7</v>
      </c>
      <c r="C776" s="20" t="s">
        <v>427</v>
      </c>
      <c r="D776" s="18" t="s">
        <v>277</v>
      </c>
      <c r="E776" s="18" t="s">
        <v>1460</v>
      </c>
      <c r="F776" s="18">
        <v>5.94</v>
      </c>
      <c r="G776" s="23">
        <v>1.71</v>
      </c>
      <c r="H776" s="20">
        <v>6.71</v>
      </c>
      <c r="I776" s="25">
        <v>5.420575119175763</v>
      </c>
      <c r="J776" s="24">
        <f>G776/F776*((100-H776)/100)*((100-I776)/100)*100</f>
        <v>25.400450969016632</v>
      </c>
      <c r="K776" s="53">
        <v>5.1470588235294121</v>
      </c>
      <c r="L776" s="54">
        <f>J776*10000/K776</f>
        <v>49349.447596946593</v>
      </c>
      <c r="M776" s="55">
        <v>49.8</v>
      </c>
      <c r="N776" s="55">
        <v>19.899999999999999</v>
      </c>
      <c r="O776" s="56">
        <v>48.125</v>
      </c>
      <c r="P776" s="55">
        <v>72.599999999999994</v>
      </c>
      <c r="Q776" s="17" t="s">
        <v>424</v>
      </c>
      <c r="R776" s="17" t="s">
        <v>424</v>
      </c>
      <c r="S776" s="17" t="s">
        <v>424</v>
      </c>
      <c r="T776" s="17" t="s">
        <v>424</v>
      </c>
      <c r="U776" s="17" t="s">
        <v>424</v>
      </c>
      <c r="V776" s="17" t="s">
        <v>424</v>
      </c>
      <c r="W776" s="17" t="s">
        <v>424</v>
      </c>
    </row>
    <row r="777" spans="1:23" x14ac:dyDescent="0.25">
      <c r="A777" s="19" t="s">
        <v>608</v>
      </c>
      <c r="B777" s="20" t="s">
        <v>7</v>
      </c>
      <c r="C777" s="20" t="s">
        <v>427</v>
      </c>
      <c r="D777" s="18" t="s">
        <v>171</v>
      </c>
      <c r="E777" s="18" t="s">
        <v>1484</v>
      </c>
      <c r="F777" s="18">
        <v>5.94</v>
      </c>
      <c r="G777" s="23">
        <v>1.29</v>
      </c>
      <c r="H777" s="20">
        <v>6.71</v>
      </c>
      <c r="I777" s="25">
        <v>11.686811917776577</v>
      </c>
      <c r="J777" s="24">
        <f>G777/F777*((100-H777)/100)*((100-I777)/100)*100</f>
        <v>17.892207302838219</v>
      </c>
      <c r="K777" s="53">
        <v>5.8002406738868837</v>
      </c>
      <c r="L777" s="54">
        <f>J777*10000/K777</f>
        <v>30847.353254478341</v>
      </c>
      <c r="M777" s="55">
        <v>49</v>
      </c>
      <c r="N777" s="55">
        <v>20.3</v>
      </c>
      <c r="O777" s="56">
        <v>25.716000000000001</v>
      </c>
      <c r="P777" s="55">
        <v>53.8</v>
      </c>
      <c r="Q777" s="17" t="s">
        <v>424</v>
      </c>
      <c r="R777" s="17" t="s">
        <v>424</v>
      </c>
      <c r="S777" s="17" t="s">
        <v>424</v>
      </c>
      <c r="T777" s="17" t="s">
        <v>424</v>
      </c>
      <c r="U777" s="17" t="s">
        <v>424</v>
      </c>
      <c r="V777" s="17" t="s">
        <v>424</v>
      </c>
      <c r="W777" s="17" t="s">
        <v>424</v>
      </c>
    </row>
    <row r="778" spans="1:23" x14ac:dyDescent="0.25">
      <c r="A778" s="19" t="s">
        <v>607</v>
      </c>
      <c r="B778" s="20" t="s">
        <v>7</v>
      </c>
      <c r="C778" s="20" t="s">
        <v>427</v>
      </c>
      <c r="D778" s="18" t="s">
        <v>77</v>
      </c>
      <c r="E778" s="18" t="s">
        <v>1630</v>
      </c>
      <c r="F778" s="18">
        <v>5.94</v>
      </c>
      <c r="G778" s="23">
        <v>1.46</v>
      </c>
      <c r="H778" s="20">
        <v>6.71</v>
      </c>
      <c r="I778" s="25">
        <v>5.0415001537042743</v>
      </c>
      <c r="J778" s="24">
        <f>G778/F778*((100-H778)/100)*((100-I778)/100)*100</f>
        <v>21.773856124520126</v>
      </c>
      <c r="K778" s="53">
        <v>5.0053475935828873</v>
      </c>
      <c r="L778" s="54">
        <f>J778*10000/K778</f>
        <v>43501.186915440856</v>
      </c>
      <c r="M778" s="55">
        <v>51.8</v>
      </c>
      <c r="N778" s="55">
        <v>19.5</v>
      </c>
      <c r="O778" s="56">
        <v>4.4164000000000003</v>
      </c>
      <c r="P778" s="55">
        <v>18.5</v>
      </c>
      <c r="Q778" s="17" t="s">
        <v>424</v>
      </c>
      <c r="R778" s="17" t="s">
        <v>424</v>
      </c>
      <c r="S778" s="17" t="s">
        <v>424</v>
      </c>
      <c r="T778" s="17" t="s">
        <v>424</v>
      </c>
      <c r="U778" s="17" t="s">
        <v>424</v>
      </c>
      <c r="V778" s="17" t="s">
        <v>424</v>
      </c>
      <c r="W778" s="17" t="s">
        <v>424</v>
      </c>
    </row>
    <row r="779" spans="1:23" x14ac:dyDescent="0.25">
      <c r="A779" s="19" t="s">
        <v>397</v>
      </c>
      <c r="B779" s="20" t="s">
        <v>7</v>
      </c>
      <c r="C779" s="20" t="s">
        <v>13</v>
      </c>
      <c r="D779" s="18" t="s">
        <v>68</v>
      </c>
      <c r="E779" s="18" t="s">
        <v>1788</v>
      </c>
      <c r="F779" s="18">
        <v>5.94</v>
      </c>
      <c r="G779" s="23">
        <v>2.4</v>
      </c>
      <c r="H779" s="17">
        <v>6.92</v>
      </c>
      <c r="I779" s="25">
        <v>8.2319925163704415</v>
      </c>
      <c r="J779" s="24">
        <f>G779/F779*((100-H779)/100)*((100-I779)/100)*100</f>
        <v>34.512186410409043</v>
      </c>
      <c r="K779" s="53">
        <v>4.9049049049049049</v>
      </c>
      <c r="L779" s="54">
        <f>J779*10000/K779</f>
        <v>70362.60045714007</v>
      </c>
      <c r="M779" s="55">
        <v>50.8</v>
      </c>
      <c r="N779" s="55">
        <v>17.5</v>
      </c>
      <c r="O779" s="56">
        <v>-2.1911</v>
      </c>
      <c r="P779" s="55">
        <v>11.3</v>
      </c>
      <c r="Q779" s="17" t="s">
        <v>424</v>
      </c>
      <c r="R779" s="17" t="s">
        <v>424</v>
      </c>
      <c r="S779" s="17" t="s">
        <v>424</v>
      </c>
      <c r="T779" s="17" t="s">
        <v>424</v>
      </c>
      <c r="U779" s="17" t="s">
        <v>424</v>
      </c>
      <c r="V779" s="17" t="s">
        <v>424</v>
      </c>
      <c r="W779" s="17" t="s">
        <v>424</v>
      </c>
    </row>
    <row r="780" spans="1:23" x14ac:dyDescent="0.25">
      <c r="A780" s="19" t="s">
        <v>398</v>
      </c>
      <c r="B780" s="20" t="s">
        <v>7</v>
      </c>
      <c r="C780" s="20" t="s">
        <v>13</v>
      </c>
      <c r="D780" s="18" t="s">
        <v>59</v>
      </c>
      <c r="E780" s="18" t="s">
        <v>1517</v>
      </c>
      <c r="F780" s="18">
        <v>5.94</v>
      </c>
      <c r="G780" s="23">
        <v>2.04</v>
      </c>
      <c r="H780" s="17">
        <v>6.92</v>
      </c>
      <c r="I780" s="25">
        <v>7.3444589710066888</v>
      </c>
      <c r="J780" s="24">
        <f>G780/F780*((100-H780)/100)*((100-I780)/100)*100</f>
        <v>29.619075131846028</v>
      </c>
      <c r="K780" s="53">
        <v>5.0816104461371054</v>
      </c>
      <c r="L780" s="54">
        <f>J780*10000/K780</f>
        <v>58286.788107422908</v>
      </c>
      <c r="M780" s="55">
        <v>49.3</v>
      </c>
      <c r="N780" s="55">
        <v>19.899999999999999</v>
      </c>
      <c r="O780" s="56">
        <v>3.8106</v>
      </c>
      <c r="P780" s="55">
        <v>53</v>
      </c>
      <c r="Q780" s="17" t="s">
        <v>424</v>
      </c>
      <c r="R780" s="17" t="s">
        <v>424</v>
      </c>
      <c r="S780" s="17" t="s">
        <v>424</v>
      </c>
      <c r="T780" s="17" t="s">
        <v>424</v>
      </c>
      <c r="U780" s="17" t="s">
        <v>424</v>
      </c>
      <c r="V780" s="17" t="s">
        <v>424</v>
      </c>
      <c r="W780" s="17" t="s">
        <v>424</v>
      </c>
    </row>
    <row r="781" spans="1:23" x14ac:dyDescent="0.25">
      <c r="A781" s="19" t="s">
        <v>399</v>
      </c>
      <c r="B781" s="20" t="s">
        <v>7</v>
      </c>
      <c r="C781" s="20" t="s">
        <v>13</v>
      </c>
      <c r="D781" s="18" t="s">
        <v>244</v>
      </c>
      <c r="E781" s="18" t="s">
        <v>1584</v>
      </c>
      <c r="F781" s="18">
        <v>5.94</v>
      </c>
      <c r="G781" s="23">
        <v>2.4</v>
      </c>
      <c r="H781" s="17">
        <v>6.92</v>
      </c>
      <c r="I781" s="25">
        <v>7.8768431507372521</v>
      </c>
      <c r="J781" s="24">
        <f>G781/F781*((100-H781)/100)*((100-I781)/100)*100</f>
        <v>34.645751270825755</v>
      </c>
      <c r="K781" s="53">
        <v>4.2429906542056077</v>
      </c>
      <c r="L781" s="54">
        <f>J781*10000/K781</f>
        <v>81654.083391593726</v>
      </c>
      <c r="M781" s="55">
        <v>55.1</v>
      </c>
      <c r="N781" s="55">
        <v>15.9</v>
      </c>
      <c r="O781" s="56">
        <v>-0.94088000000000005</v>
      </c>
      <c r="P781" s="55">
        <v>14.3</v>
      </c>
      <c r="Q781" s="17" t="s">
        <v>424</v>
      </c>
      <c r="R781" s="17" t="s">
        <v>424</v>
      </c>
      <c r="S781" s="17" t="s">
        <v>424</v>
      </c>
      <c r="T781" s="17" t="s">
        <v>424</v>
      </c>
      <c r="U781" s="17" t="s">
        <v>424</v>
      </c>
      <c r="V781" s="17" t="s">
        <v>424</v>
      </c>
      <c r="W781" s="17" t="s">
        <v>424</v>
      </c>
    </row>
    <row r="782" spans="1:23" x14ac:dyDescent="0.25">
      <c r="A782" s="19" t="s">
        <v>400</v>
      </c>
      <c r="B782" s="20" t="s">
        <v>7</v>
      </c>
      <c r="C782" s="20" t="s">
        <v>13</v>
      </c>
      <c r="D782" s="18" t="s">
        <v>276</v>
      </c>
      <c r="E782" s="74" t="s">
        <v>1742</v>
      </c>
      <c r="F782" s="18">
        <v>5.94</v>
      </c>
      <c r="G782" s="23">
        <v>2.1</v>
      </c>
      <c r="H782" s="17">
        <v>6.92</v>
      </c>
      <c r="I782" s="25">
        <v>11.147894372161053</v>
      </c>
      <c r="J782" s="24">
        <f>G782/F782*((100-H782)/100)*((100-I782)/100)*100</f>
        <v>29.238625223674113</v>
      </c>
      <c r="K782" s="53">
        <v>4.3240823634735897</v>
      </c>
      <c r="L782" s="54">
        <f>J782*10000/K782</f>
        <v>67618.104295743236</v>
      </c>
      <c r="M782" s="55">
        <v>52.9</v>
      </c>
      <c r="N782" s="55">
        <v>16.399999999999999</v>
      </c>
      <c r="O782" s="56">
        <v>0.85477000000000003</v>
      </c>
      <c r="P782" s="55">
        <v>15.6</v>
      </c>
      <c r="Q782" s="17" t="s">
        <v>424</v>
      </c>
      <c r="R782" s="17" t="s">
        <v>424</v>
      </c>
      <c r="S782" s="17" t="s">
        <v>424</v>
      </c>
      <c r="T782" s="17" t="s">
        <v>424</v>
      </c>
      <c r="U782" s="17" t="s">
        <v>424</v>
      </c>
      <c r="V782" s="17" t="s">
        <v>424</v>
      </c>
      <c r="W782" s="17" t="s">
        <v>424</v>
      </c>
    </row>
    <row r="783" spans="1:23" x14ac:dyDescent="0.25">
      <c r="A783" s="19" t="s">
        <v>401</v>
      </c>
      <c r="B783" s="20" t="s">
        <v>7</v>
      </c>
      <c r="C783" s="20" t="s">
        <v>13</v>
      </c>
      <c r="D783" s="18" t="s">
        <v>206</v>
      </c>
      <c r="E783" s="18" t="s">
        <v>1533</v>
      </c>
      <c r="F783" s="18">
        <v>5.94</v>
      </c>
      <c r="G783" s="23">
        <v>2.5299999999999998</v>
      </c>
      <c r="H783" s="17">
        <v>6.92</v>
      </c>
      <c r="I783" s="25">
        <v>7.2876670250345539</v>
      </c>
      <c r="J783" s="24">
        <f>G783/F783*((100-H783)/100)*((100-I783)/100)*100</f>
        <v>36.755976097430555</v>
      </c>
      <c r="K783" s="53">
        <v>5.15625</v>
      </c>
      <c r="L783" s="54">
        <f>J783*10000/K783</f>
        <v>71284.317279865325</v>
      </c>
      <c r="M783" s="55">
        <v>54.2</v>
      </c>
      <c r="N783" s="55">
        <v>16.7</v>
      </c>
      <c r="O783" s="56">
        <v>1.8903000000000001</v>
      </c>
      <c r="P783" s="55">
        <v>15.8</v>
      </c>
      <c r="Q783" s="17" t="s">
        <v>424</v>
      </c>
      <c r="R783" s="17" t="s">
        <v>424</v>
      </c>
      <c r="S783" s="17" t="s">
        <v>424</v>
      </c>
      <c r="T783" s="17" t="s">
        <v>424</v>
      </c>
      <c r="U783" s="17" t="s">
        <v>424</v>
      </c>
      <c r="V783" s="17" t="s">
        <v>424</v>
      </c>
      <c r="W783" s="17" t="s">
        <v>424</v>
      </c>
    </row>
    <row r="784" spans="1:23" x14ac:dyDescent="0.25">
      <c r="A784" s="19" t="s">
        <v>402</v>
      </c>
      <c r="B784" s="20" t="s">
        <v>7</v>
      </c>
      <c r="C784" s="20" t="s">
        <v>13</v>
      </c>
      <c r="D784" s="18" t="s">
        <v>74</v>
      </c>
      <c r="E784" s="18" t="s">
        <v>1678</v>
      </c>
      <c r="F784" s="18">
        <v>5.94</v>
      </c>
      <c r="G784" s="23">
        <v>2.12</v>
      </c>
      <c r="H784" s="17">
        <v>6.92</v>
      </c>
      <c r="I784" s="25">
        <v>15.742397137745975</v>
      </c>
      <c r="J784" s="24">
        <f>G784/F784*((100-H784)/100)*((100-I784)/100)*100</f>
        <v>27.990772844726337</v>
      </c>
      <c r="K784" s="53">
        <v>5.7142857142857144</v>
      </c>
      <c r="L784" s="54">
        <f>J784*10000/K784</f>
        <v>48983.852478271088</v>
      </c>
      <c r="M784" s="55">
        <v>50.9</v>
      </c>
      <c r="N784" s="55">
        <v>17.7</v>
      </c>
      <c r="O784" s="56">
        <v>-0.43480999999999997</v>
      </c>
      <c r="P784" s="55">
        <v>13.5</v>
      </c>
      <c r="Q784" s="17" t="s">
        <v>424</v>
      </c>
      <c r="R784" s="17" t="s">
        <v>424</v>
      </c>
      <c r="S784" s="17" t="s">
        <v>424</v>
      </c>
      <c r="T784" s="17" t="s">
        <v>424</v>
      </c>
      <c r="U784" s="17" t="s">
        <v>424</v>
      </c>
      <c r="V784" s="17" t="s">
        <v>424</v>
      </c>
      <c r="W784" s="17" t="s">
        <v>424</v>
      </c>
    </row>
    <row r="785" spans="1:23" x14ac:dyDescent="0.25">
      <c r="A785" s="19" t="s">
        <v>618</v>
      </c>
      <c r="B785" s="20" t="s">
        <v>7</v>
      </c>
      <c r="C785" s="20" t="s">
        <v>427</v>
      </c>
      <c r="D785" s="18" t="s">
        <v>86</v>
      </c>
      <c r="E785" s="18" t="s">
        <v>1478</v>
      </c>
      <c r="F785" s="18">
        <v>5.94</v>
      </c>
      <c r="G785" s="23">
        <v>1.25</v>
      </c>
      <c r="H785" s="20">
        <v>6.71</v>
      </c>
      <c r="I785" s="25">
        <v>7.1132596685082845</v>
      </c>
      <c r="J785" s="24">
        <f>G785/F785*((100-H785)/100)*((100-I785)/100)*100</f>
        <v>18.235277789404172</v>
      </c>
      <c r="K785" s="53">
        <v>4.8900523560209423</v>
      </c>
      <c r="L785" s="54">
        <f>J785*10000/K785</f>
        <v>37290.557363770844</v>
      </c>
      <c r="M785" s="55">
        <v>47.3</v>
      </c>
      <c r="N785" s="55">
        <v>20.8</v>
      </c>
      <c r="O785" s="56">
        <v>45.677</v>
      </c>
      <c r="P785" s="55">
        <v>63.7</v>
      </c>
      <c r="Q785" s="17" t="s">
        <v>424</v>
      </c>
      <c r="R785" s="17" t="s">
        <v>424</v>
      </c>
      <c r="S785" s="17" t="s">
        <v>424</v>
      </c>
      <c r="T785" s="17" t="s">
        <v>424</v>
      </c>
      <c r="U785" s="17" t="s">
        <v>424</v>
      </c>
      <c r="V785" s="17" t="s">
        <v>424</v>
      </c>
      <c r="W785" s="17" t="s">
        <v>424</v>
      </c>
    </row>
    <row r="786" spans="1:23" x14ac:dyDescent="0.25">
      <c r="A786" s="19" t="s">
        <v>617</v>
      </c>
      <c r="B786" s="20" t="s">
        <v>7</v>
      </c>
      <c r="C786" s="20" t="s">
        <v>427</v>
      </c>
      <c r="D786" s="18" t="s">
        <v>44</v>
      </c>
      <c r="E786" s="18" t="s">
        <v>1782</v>
      </c>
      <c r="F786" s="18">
        <v>5.94</v>
      </c>
      <c r="G786" s="23">
        <v>2.31</v>
      </c>
      <c r="H786" s="20">
        <v>6.71</v>
      </c>
      <c r="I786" s="25">
        <v>6.3682510383018114</v>
      </c>
      <c r="J786" s="24">
        <f>G786/F786*((100-H786)/100)*((100-I786)/100)*100</f>
        <v>33.96907834692098</v>
      </c>
      <c r="K786" s="53">
        <v>4.4847328244274811</v>
      </c>
      <c r="L786" s="54">
        <f>J786*10000/K786</f>
        <v>75743.817250155713</v>
      </c>
      <c r="M786" s="55">
        <v>53.6</v>
      </c>
      <c r="N786" s="55">
        <v>16.100000000000001</v>
      </c>
      <c r="O786" s="56">
        <v>1.4095</v>
      </c>
      <c r="P786" s="55">
        <v>16.399999999999999</v>
      </c>
      <c r="Q786" s="17" t="s">
        <v>424</v>
      </c>
      <c r="R786" s="17" t="s">
        <v>424</v>
      </c>
      <c r="S786" s="17" t="s">
        <v>424</v>
      </c>
      <c r="T786" s="17" t="s">
        <v>424</v>
      </c>
      <c r="U786" s="17" t="s">
        <v>424</v>
      </c>
      <c r="V786" s="17" t="s">
        <v>424</v>
      </c>
      <c r="W786" s="17" t="s">
        <v>424</v>
      </c>
    </row>
    <row r="787" spans="1:23" x14ac:dyDescent="0.25">
      <c r="A787" s="19" t="s">
        <v>616</v>
      </c>
      <c r="B787" s="20" t="s">
        <v>7</v>
      </c>
      <c r="C787" s="20" t="s">
        <v>427</v>
      </c>
      <c r="D787" s="18" t="s">
        <v>65</v>
      </c>
      <c r="E787" s="18" t="s">
        <v>1658</v>
      </c>
      <c r="F787" s="18">
        <v>5.94</v>
      </c>
      <c r="G787" s="23">
        <v>2.21</v>
      </c>
      <c r="H787" s="20">
        <v>6.71</v>
      </c>
      <c r="I787" s="25">
        <v>6.1078672403196084</v>
      </c>
      <c r="J787" s="24">
        <f>G787/F787*((100-H787)/100)*((100-I787)/100)*100</f>
        <v>32.588931841721866</v>
      </c>
      <c r="K787" s="53">
        <v>5.1708930540242557</v>
      </c>
      <c r="L787" s="54">
        <f>J787*10000/K787</f>
        <v>63023.797826101785</v>
      </c>
      <c r="M787" s="55">
        <v>51.5</v>
      </c>
      <c r="N787" s="55">
        <v>17.8</v>
      </c>
      <c r="O787" s="56">
        <v>-0.15720999999999999</v>
      </c>
      <c r="P787" s="55">
        <v>16.7</v>
      </c>
      <c r="Q787" s="17" t="s">
        <v>424</v>
      </c>
      <c r="R787" s="17" t="s">
        <v>424</v>
      </c>
      <c r="S787" s="17" t="s">
        <v>424</v>
      </c>
      <c r="T787" s="17" t="s">
        <v>424</v>
      </c>
      <c r="U787" s="17" t="s">
        <v>424</v>
      </c>
      <c r="V787" s="17" t="s">
        <v>424</v>
      </c>
      <c r="W787" s="17" t="s">
        <v>424</v>
      </c>
    </row>
    <row r="788" spans="1:23" x14ac:dyDescent="0.25">
      <c r="A788" s="19" t="s">
        <v>615</v>
      </c>
      <c r="B788" s="20" t="s">
        <v>7</v>
      </c>
      <c r="C788" s="20" t="s">
        <v>427</v>
      </c>
      <c r="D788" s="18" t="s">
        <v>64</v>
      </c>
      <c r="E788" s="18" t="s">
        <v>1798</v>
      </c>
      <c r="F788" s="18">
        <v>5.94</v>
      </c>
      <c r="G788" s="23">
        <v>1.97</v>
      </c>
      <c r="H788" s="20">
        <v>6.71</v>
      </c>
      <c r="I788" s="25">
        <v>8.07895340830847</v>
      </c>
      <c r="J788" s="24">
        <f>G788/F788*((100-H788)/100)*((100-I788)/100)*100</f>
        <v>28.440015892224984</v>
      </c>
      <c r="K788" s="53">
        <v>5.0912996777658428</v>
      </c>
      <c r="L788" s="54">
        <f>J788*10000/K788</f>
        <v>55860.031214475661</v>
      </c>
      <c r="M788" s="55">
        <v>53.4</v>
      </c>
      <c r="N788" s="55">
        <v>16</v>
      </c>
      <c r="O788" s="56">
        <v>0.73014999999999997</v>
      </c>
      <c r="P788" s="55">
        <v>12.8</v>
      </c>
      <c r="Q788" s="17" t="s">
        <v>424</v>
      </c>
      <c r="R788" s="17" t="s">
        <v>424</v>
      </c>
      <c r="S788" s="17" t="s">
        <v>424</v>
      </c>
      <c r="T788" s="17" t="s">
        <v>424</v>
      </c>
      <c r="U788" s="17" t="s">
        <v>424</v>
      </c>
      <c r="V788" s="17" t="s">
        <v>424</v>
      </c>
      <c r="W788" s="17" t="s">
        <v>424</v>
      </c>
    </row>
    <row r="789" spans="1:23" x14ac:dyDescent="0.25">
      <c r="A789" s="19" t="s">
        <v>614</v>
      </c>
      <c r="B789" s="20" t="s">
        <v>7</v>
      </c>
      <c r="C789" s="20" t="s">
        <v>427</v>
      </c>
      <c r="D789" s="18" t="s">
        <v>101</v>
      </c>
      <c r="E789" s="18" t="s">
        <v>1792</v>
      </c>
      <c r="F789" s="18">
        <v>5.94</v>
      </c>
      <c r="G789" s="23">
        <v>2.2400000000000002</v>
      </c>
      <c r="H789" s="20">
        <v>6.71</v>
      </c>
      <c r="I789" s="25">
        <v>4.5126076260762744</v>
      </c>
      <c r="J789" s="24">
        <f>G789/F789*((100-H789)/100)*((100-I789)/100)*100</f>
        <v>33.592528938420699</v>
      </c>
      <c r="K789" s="53">
        <v>5.0577124868835259</v>
      </c>
      <c r="L789" s="54">
        <f>J789*10000/K789</f>
        <v>66418.423398993618</v>
      </c>
      <c r="M789" s="55">
        <v>52.1</v>
      </c>
      <c r="N789" s="55">
        <v>17.100000000000001</v>
      </c>
      <c r="O789" s="56">
        <v>0.68996999999999997</v>
      </c>
      <c r="P789" s="55">
        <v>16.8</v>
      </c>
      <c r="Q789" s="17" t="s">
        <v>424</v>
      </c>
      <c r="R789" s="17" t="s">
        <v>424</v>
      </c>
      <c r="S789" s="17" t="s">
        <v>424</v>
      </c>
      <c r="T789" s="17" t="s">
        <v>424</v>
      </c>
      <c r="U789" s="17" t="s">
        <v>424</v>
      </c>
      <c r="V789" s="17" t="s">
        <v>424</v>
      </c>
      <c r="W789" s="17" t="s">
        <v>424</v>
      </c>
    </row>
    <row r="790" spans="1:23" x14ac:dyDescent="0.25">
      <c r="A790" s="19" t="s">
        <v>613</v>
      </c>
      <c r="B790" s="20" t="s">
        <v>7</v>
      </c>
      <c r="C790" s="20" t="s">
        <v>427</v>
      </c>
      <c r="D790" s="18" t="s">
        <v>183</v>
      </c>
      <c r="E790" s="18" t="s">
        <v>1564</v>
      </c>
      <c r="F790" s="18">
        <v>5.94</v>
      </c>
      <c r="G790" s="23">
        <v>1.69</v>
      </c>
      <c r="H790" s="20">
        <v>6.71</v>
      </c>
      <c r="I790" s="25">
        <v>10.008481764206959</v>
      </c>
      <c r="J790" s="24">
        <f>G790/F790*((100-H790)/100)*((100-I790)/100)*100</f>
        <v>23.885642700685107</v>
      </c>
      <c r="K790" s="53">
        <v>5.6279620853080567</v>
      </c>
      <c r="L790" s="54">
        <f>J790*10000/K790</f>
        <v>42441.015661848905</v>
      </c>
      <c r="M790" s="55">
        <v>51.2</v>
      </c>
      <c r="N790" s="55">
        <v>17.2</v>
      </c>
      <c r="O790" s="56">
        <v>2.8893</v>
      </c>
      <c r="P790" s="55">
        <v>21.5</v>
      </c>
      <c r="Q790" s="17" t="s">
        <v>424</v>
      </c>
      <c r="R790" s="17" t="s">
        <v>424</v>
      </c>
      <c r="S790" s="17" t="s">
        <v>424</v>
      </c>
      <c r="T790" s="17" t="s">
        <v>424</v>
      </c>
      <c r="U790" s="17" t="s">
        <v>424</v>
      </c>
      <c r="V790" s="17" t="s">
        <v>424</v>
      </c>
      <c r="W790" s="17" t="s">
        <v>424</v>
      </c>
    </row>
    <row r="791" spans="1:23" x14ac:dyDescent="0.25">
      <c r="A791" s="19" t="s">
        <v>403</v>
      </c>
      <c r="B791" s="20" t="s">
        <v>7</v>
      </c>
      <c r="C791" s="20" t="s">
        <v>13</v>
      </c>
      <c r="D791" s="18" t="s">
        <v>230</v>
      </c>
      <c r="E791" s="18" t="s">
        <v>1622</v>
      </c>
      <c r="F791" s="18">
        <v>5.94</v>
      </c>
      <c r="G791" s="23">
        <v>2.4900000000000002</v>
      </c>
      <c r="H791" s="17">
        <v>6.92</v>
      </c>
      <c r="I791" s="25">
        <v>6.987933404612793</v>
      </c>
      <c r="J791" s="24">
        <f>G791/F791*((100-H791)/100)*((100-I791)/100)*100</f>
        <v>36.291805160201378</v>
      </c>
      <c r="K791" s="53">
        <v>5.0716648291069459</v>
      </c>
      <c r="L791" s="54">
        <f>J791*10000/K791</f>
        <v>71557.972348484021</v>
      </c>
      <c r="M791" s="55">
        <v>49.3</v>
      </c>
      <c r="N791" s="55">
        <v>18.100000000000001</v>
      </c>
      <c r="O791" s="56">
        <v>3.6301999999999999</v>
      </c>
      <c r="P791" s="55">
        <v>20.9</v>
      </c>
      <c r="Q791" s="17" t="s">
        <v>424</v>
      </c>
      <c r="R791" s="17" t="s">
        <v>424</v>
      </c>
      <c r="S791" s="17" t="s">
        <v>424</v>
      </c>
      <c r="T791" s="17" t="s">
        <v>424</v>
      </c>
      <c r="U791" s="17" t="s">
        <v>424</v>
      </c>
      <c r="V791" s="17" t="s">
        <v>424</v>
      </c>
      <c r="W791" s="17" t="s">
        <v>424</v>
      </c>
    </row>
    <row r="792" spans="1:23" x14ac:dyDescent="0.25">
      <c r="A792" s="19" t="s">
        <v>404</v>
      </c>
      <c r="B792" s="20" t="s">
        <v>7</v>
      </c>
      <c r="C792" s="20" t="s">
        <v>13</v>
      </c>
      <c r="D792" s="18" t="s">
        <v>290</v>
      </c>
      <c r="E792" s="18" t="s">
        <v>1814</v>
      </c>
      <c r="F792" s="18">
        <v>5.94</v>
      </c>
      <c r="G792" s="23">
        <v>2.92</v>
      </c>
      <c r="H792" s="17">
        <v>6.92</v>
      </c>
      <c r="I792" s="25">
        <v>10.195808474835561</v>
      </c>
      <c r="J792" s="24">
        <f>G792/F792*((100-H792)/100)*((100-I792)/100)*100</f>
        <v>41.091253383356793</v>
      </c>
      <c r="K792" s="53">
        <v>4.3797709923664119</v>
      </c>
      <c r="L792" s="54">
        <f>J792*10000/K792</f>
        <v>93820.552387272168</v>
      </c>
      <c r="M792" s="55">
        <v>52.1</v>
      </c>
      <c r="N792" s="55">
        <v>16.399999999999999</v>
      </c>
      <c r="O792" s="56">
        <v>6.0788000000000002E-2</v>
      </c>
      <c r="P792" s="55">
        <v>13.6</v>
      </c>
      <c r="Q792" s="17" t="s">
        <v>424</v>
      </c>
      <c r="R792" s="17" t="s">
        <v>424</v>
      </c>
      <c r="S792" s="17" t="s">
        <v>424</v>
      </c>
      <c r="T792" s="17" t="s">
        <v>424</v>
      </c>
      <c r="U792" s="17" t="s">
        <v>424</v>
      </c>
      <c r="V792" s="17" t="s">
        <v>424</v>
      </c>
      <c r="W792" s="17" t="s">
        <v>424</v>
      </c>
    </row>
    <row r="793" spans="1:23" x14ac:dyDescent="0.25">
      <c r="A793" s="19" t="s">
        <v>405</v>
      </c>
      <c r="B793" s="20" t="s">
        <v>7</v>
      </c>
      <c r="C793" s="20" t="s">
        <v>13</v>
      </c>
      <c r="D793" s="18" t="s">
        <v>172</v>
      </c>
      <c r="E793" s="18" t="s">
        <v>1476</v>
      </c>
      <c r="F793" s="18">
        <v>5.94</v>
      </c>
      <c r="G793" s="23">
        <v>1.42</v>
      </c>
      <c r="H793" s="17">
        <v>6.92</v>
      </c>
      <c r="I793" s="25">
        <v>23.246259979846521</v>
      </c>
      <c r="J793" s="24">
        <f>G793/F793*((100-H793)/100)*((100-I793)/100)*100</f>
        <v>17.078818403918781</v>
      </c>
      <c r="K793" s="53">
        <v>3.8936535162950259</v>
      </c>
      <c r="L793" s="54">
        <f>J793*10000/K793</f>
        <v>43863.220834734137</v>
      </c>
      <c r="M793" s="55">
        <v>49.1</v>
      </c>
      <c r="N793" s="55">
        <v>22.7</v>
      </c>
      <c r="O793" s="56">
        <v>40.850999999999999</v>
      </c>
      <c r="P793" s="55">
        <v>58.2</v>
      </c>
      <c r="Q793" s="17" t="s">
        <v>424</v>
      </c>
      <c r="R793" s="17" t="s">
        <v>424</v>
      </c>
      <c r="S793" s="17" t="s">
        <v>424</v>
      </c>
      <c r="T793" s="17" t="s">
        <v>424</v>
      </c>
      <c r="U793" s="17" t="s">
        <v>424</v>
      </c>
      <c r="V793" s="17" t="s">
        <v>424</v>
      </c>
      <c r="W793" s="17" t="s">
        <v>424</v>
      </c>
    </row>
    <row r="794" spans="1:23" x14ac:dyDescent="0.25">
      <c r="A794" s="19" t="s">
        <v>406</v>
      </c>
      <c r="B794" s="20" t="s">
        <v>7</v>
      </c>
      <c r="C794" s="20" t="s">
        <v>13</v>
      </c>
      <c r="D794" s="18" t="s">
        <v>258</v>
      </c>
      <c r="E794" s="18" t="s">
        <v>1664</v>
      </c>
      <c r="F794" s="18">
        <v>5.94</v>
      </c>
      <c r="G794" s="23">
        <v>2.37</v>
      </c>
      <c r="H794" s="17">
        <v>6.92</v>
      </c>
      <c r="I794" s="25">
        <v>8.8647910821263345</v>
      </c>
      <c r="J794" s="24">
        <f>G794/F794*((100-H794)/100)*((100-I794)/100)*100</f>
        <v>33.845775476766605</v>
      </c>
      <c r="K794" s="53">
        <v>4.324569356300997</v>
      </c>
      <c r="L794" s="54">
        <f>J794*10000/K794</f>
        <v>78263.92107101377</v>
      </c>
      <c r="M794" s="55">
        <v>50.2</v>
      </c>
      <c r="N794" s="55">
        <v>18.5</v>
      </c>
      <c r="O794" s="56">
        <v>3.33</v>
      </c>
      <c r="P794" s="55">
        <v>21.6</v>
      </c>
      <c r="Q794" s="17" t="s">
        <v>424</v>
      </c>
      <c r="R794" s="17" t="s">
        <v>424</v>
      </c>
      <c r="S794" s="17" t="s">
        <v>424</v>
      </c>
      <c r="T794" s="17" t="s">
        <v>424</v>
      </c>
      <c r="U794" s="17" t="s">
        <v>424</v>
      </c>
      <c r="V794" s="17" t="s">
        <v>424</v>
      </c>
      <c r="W794" s="17" t="s">
        <v>424</v>
      </c>
    </row>
    <row r="795" spans="1:23" x14ac:dyDescent="0.25">
      <c r="A795" s="19" t="s">
        <v>407</v>
      </c>
      <c r="B795" s="20" t="s">
        <v>7</v>
      </c>
      <c r="C795" s="20" t="s">
        <v>13</v>
      </c>
      <c r="D795" s="18" t="s">
        <v>220</v>
      </c>
      <c r="E795" s="18" t="s">
        <v>1642</v>
      </c>
      <c r="F795" s="18">
        <v>5.94</v>
      </c>
      <c r="G795" s="23">
        <v>1.85</v>
      </c>
      <c r="H795" s="17">
        <v>6.92</v>
      </c>
      <c r="I795" s="25">
        <v>10.010698456365587</v>
      </c>
      <c r="J795" s="24">
        <f>G795/F795*((100-H795)/100)*((100-I795)/100)*100</f>
        <v>26.087504624933938</v>
      </c>
      <c r="K795" s="53">
        <v>3.9477848101265822</v>
      </c>
      <c r="L795" s="54">
        <f>J795*10000/K795</f>
        <v>66081.374440714426</v>
      </c>
      <c r="M795" s="55">
        <v>49.9</v>
      </c>
      <c r="N795" s="55">
        <v>17.3</v>
      </c>
      <c r="O795" s="56">
        <v>0.75295000000000001</v>
      </c>
      <c r="P795" s="55">
        <v>8.6</v>
      </c>
      <c r="Q795" s="17" t="s">
        <v>424</v>
      </c>
      <c r="R795" s="17" t="s">
        <v>424</v>
      </c>
      <c r="S795" s="17" t="s">
        <v>424</v>
      </c>
      <c r="T795" s="17" t="s">
        <v>424</v>
      </c>
      <c r="U795" s="17" t="s">
        <v>424</v>
      </c>
      <c r="V795" s="17" t="s">
        <v>424</v>
      </c>
      <c r="W795" s="17" t="s">
        <v>424</v>
      </c>
    </row>
    <row r="796" spans="1:23" x14ac:dyDescent="0.25">
      <c r="A796" s="19" t="s">
        <v>408</v>
      </c>
      <c r="B796" s="20" t="s">
        <v>7</v>
      </c>
      <c r="C796" s="20" t="s">
        <v>13</v>
      </c>
      <c r="D796" s="18" t="s">
        <v>187</v>
      </c>
      <c r="E796" s="18" t="s">
        <v>1726</v>
      </c>
      <c r="F796" s="18">
        <v>5.94</v>
      </c>
      <c r="G796" s="23">
        <v>2.2799999999999998</v>
      </c>
      <c r="H796" s="17">
        <v>6.92</v>
      </c>
      <c r="I796" s="25">
        <v>7.7762409712617115</v>
      </c>
      <c r="J796" s="24">
        <f>G796/F796*((100-H796)/100)*((100-I796)/100)*100</f>
        <v>32.949406528788721</v>
      </c>
      <c r="K796" s="53">
        <v>4.983922829581994</v>
      </c>
      <c r="L796" s="54">
        <f>J796*10000/K796</f>
        <v>66111.389873892214</v>
      </c>
      <c r="M796" s="55">
        <v>51.1</v>
      </c>
      <c r="N796" s="55">
        <v>18.2</v>
      </c>
      <c r="O796" s="56">
        <v>-0.13519</v>
      </c>
      <c r="P796" s="55">
        <v>12.3</v>
      </c>
      <c r="Q796" s="17" t="s">
        <v>424</v>
      </c>
      <c r="R796" s="17" t="s">
        <v>424</v>
      </c>
      <c r="S796" s="17" t="s">
        <v>424</v>
      </c>
      <c r="T796" s="17" t="s">
        <v>424</v>
      </c>
      <c r="U796" s="17" t="s">
        <v>424</v>
      </c>
      <c r="V796" s="17" t="s">
        <v>424</v>
      </c>
      <c r="W796" s="17" t="s">
        <v>424</v>
      </c>
    </row>
    <row r="797" spans="1:23" x14ac:dyDescent="0.25">
      <c r="A797" s="19" t="s">
        <v>624</v>
      </c>
      <c r="B797" s="20" t="s">
        <v>7</v>
      </c>
      <c r="C797" s="20" t="s">
        <v>427</v>
      </c>
      <c r="D797" s="18" t="s">
        <v>96</v>
      </c>
      <c r="E797" s="18" t="s">
        <v>1527</v>
      </c>
      <c r="F797" s="18">
        <v>5.94</v>
      </c>
      <c r="G797" s="23">
        <v>1.58</v>
      </c>
      <c r="H797" s="20">
        <v>6.71</v>
      </c>
      <c r="I797" s="25">
        <v>8.0835324034830922</v>
      </c>
      <c r="J797" s="24">
        <f>G797/F797*((100-H797)/100)*((100-I797)/100)*100</f>
        <v>22.808622683644643</v>
      </c>
      <c r="K797" s="53">
        <v>5.3819444444444446</v>
      </c>
      <c r="L797" s="54">
        <f>J797*10000/K797</f>
        <v>42379.892470255851</v>
      </c>
      <c r="M797" s="55">
        <v>45.6</v>
      </c>
      <c r="N797" s="55">
        <v>20.100000000000001</v>
      </c>
      <c r="O797" s="56">
        <v>8.0774000000000008</v>
      </c>
      <c r="P797" s="55">
        <v>61.7</v>
      </c>
      <c r="Q797" s="17" t="s">
        <v>424</v>
      </c>
      <c r="R797" s="17" t="s">
        <v>424</v>
      </c>
      <c r="S797" s="17" t="s">
        <v>424</v>
      </c>
      <c r="T797" s="17" t="s">
        <v>424</v>
      </c>
      <c r="U797" s="17" t="s">
        <v>424</v>
      </c>
      <c r="V797" s="17" t="s">
        <v>424</v>
      </c>
      <c r="W797" s="17" t="s">
        <v>424</v>
      </c>
    </row>
    <row r="798" spans="1:23" x14ac:dyDescent="0.25">
      <c r="A798" s="19" t="s">
        <v>623</v>
      </c>
      <c r="B798" s="20" t="s">
        <v>7</v>
      </c>
      <c r="C798" s="20" t="s">
        <v>427</v>
      </c>
      <c r="D798" s="18" t="s">
        <v>71</v>
      </c>
      <c r="E798" s="18" t="s">
        <v>1604</v>
      </c>
      <c r="F798" s="18">
        <v>5.94</v>
      </c>
      <c r="G798" s="23">
        <v>2.09</v>
      </c>
      <c r="H798" s="20">
        <v>6.71</v>
      </c>
      <c r="I798" s="25">
        <v>3.8062283737024347</v>
      </c>
      <c r="J798" s="24">
        <f>G798/F798*((100-H798)/100)*((100-I798)/100)*100</f>
        <v>31.574892989875686</v>
      </c>
      <c r="K798" s="53">
        <v>5.7434052757793763</v>
      </c>
      <c r="L798" s="54">
        <f>J798*10000/K798</f>
        <v>54975.909715148897</v>
      </c>
      <c r="M798" s="55">
        <v>50.6</v>
      </c>
      <c r="N798" s="55">
        <v>18</v>
      </c>
      <c r="O798" s="56">
        <v>0.86680000000000001</v>
      </c>
      <c r="P798" s="55">
        <v>15.2</v>
      </c>
      <c r="Q798" s="17" t="s">
        <v>424</v>
      </c>
      <c r="R798" s="17" t="s">
        <v>424</v>
      </c>
      <c r="S798" s="17" t="s">
        <v>424</v>
      </c>
      <c r="T798" s="17" t="s">
        <v>424</v>
      </c>
      <c r="U798" s="17" t="s">
        <v>424</v>
      </c>
      <c r="V798" s="17" t="s">
        <v>424</v>
      </c>
      <c r="W798" s="17" t="s">
        <v>424</v>
      </c>
    </row>
    <row r="799" spans="1:23" x14ac:dyDescent="0.25">
      <c r="A799" s="19" t="s">
        <v>622</v>
      </c>
      <c r="B799" s="20" t="s">
        <v>7</v>
      </c>
      <c r="C799" s="20" t="s">
        <v>427</v>
      </c>
      <c r="D799" s="18" t="s">
        <v>18</v>
      </c>
      <c r="E799" s="18" t="s">
        <v>1806</v>
      </c>
      <c r="F799" s="18">
        <v>5.94</v>
      </c>
      <c r="G799" s="23">
        <v>2.69</v>
      </c>
      <c r="H799" s="20">
        <v>6.71</v>
      </c>
      <c r="I799" s="25">
        <v>5.2453468697123569</v>
      </c>
      <c r="J799" s="24">
        <f>G799/F799*((100-H799)/100)*((100-I799)/100)*100</f>
        <v>40.031464105237362</v>
      </c>
      <c r="K799" s="53">
        <v>4.4183864915572233</v>
      </c>
      <c r="L799" s="54">
        <f>J799*10000/K799</f>
        <v>90601.997316736786</v>
      </c>
      <c r="M799" s="55">
        <v>54.2</v>
      </c>
      <c r="N799" s="55">
        <v>15.4</v>
      </c>
      <c r="O799" s="56">
        <v>0.45548</v>
      </c>
      <c r="P799" s="55">
        <v>13.2</v>
      </c>
      <c r="Q799" s="17" t="s">
        <v>424</v>
      </c>
      <c r="R799" s="17" t="s">
        <v>424</v>
      </c>
      <c r="S799" s="17" t="s">
        <v>424</v>
      </c>
      <c r="T799" s="17" t="s">
        <v>424</v>
      </c>
      <c r="U799" s="17" t="s">
        <v>424</v>
      </c>
      <c r="V799" s="17" t="s">
        <v>424</v>
      </c>
      <c r="W799" s="17" t="s">
        <v>424</v>
      </c>
    </row>
    <row r="800" spans="1:23" x14ac:dyDescent="0.25">
      <c r="A800" s="19" t="s">
        <v>621</v>
      </c>
      <c r="B800" s="20" t="s">
        <v>7</v>
      </c>
      <c r="C800" s="20" t="s">
        <v>427</v>
      </c>
      <c r="D800" s="18" t="s">
        <v>173</v>
      </c>
      <c r="E800" s="18" t="s">
        <v>1720</v>
      </c>
      <c r="F800" s="18">
        <v>5.94</v>
      </c>
      <c r="G800" s="23">
        <v>2.0699999999999998</v>
      </c>
      <c r="H800" s="20">
        <v>6.71</v>
      </c>
      <c r="I800" s="25">
        <v>4.1923076923076943</v>
      </c>
      <c r="J800" s="24">
        <f>G800/F800*((100-H800)/100)*((100-I800)/100)*100</f>
        <v>31.147225932400929</v>
      </c>
      <c r="K800" s="53">
        <v>4.5339805825242721</v>
      </c>
      <c r="L800" s="54">
        <f>J800*10000/K800</f>
        <v>68697.307730991335</v>
      </c>
      <c r="M800" s="55">
        <v>53.1</v>
      </c>
      <c r="N800" s="55">
        <v>17</v>
      </c>
      <c r="O800" s="56">
        <v>1.163</v>
      </c>
      <c r="P800" s="55">
        <v>13.5</v>
      </c>
      <c r="Q800" s="17" t="s">
        <v>424</v>
      </c>
      <c r="R800" s="17" t="s">
        <v>424</v>
      </c>
      <c r="S800" s="17" t="s">
        <v>424</v>
      </c>
      <c r="T800" s="17" t="s">
        <v>424</v>
      </c>
      <c r="U800" s="17" t="s">
        <v>424</v>
      </c>
      <c r="V800" s="17" t="s">
        <v>424</v>
      </c>
      <c r="W800" s="17" t="s">
        <v>424</v>
      </c>
    </row>
    <row r="801" spans="1:23" x14ac:dyDescent="0.25">
      <c r="A801" s="19" t="s">
        <v>620</v>
      </c>
      <c r="B801" s="20" t="s">
        <v>7</v>
      </c>
      <c r="C801" s="20" t="s">
        <v>427</v>
      </c>
      <c r="D801" s="18" t="s">
        <v>103</v>
      </c>
      <c r="E801" s="18" t="s">
        <v>1710</v>
      </c>
      <c r="F801" s="18">
        <v>5.94</v>
      </c>
      <c r="G801" s="23">
        <v>1.79</v>
      </c>
      <c r="H801" s="20">
        <v>6.71</v>
      </c>
      <c r="I801" s="25">
        <v>6.0790039963111058</v>
      </c>
      <c r="J801" s="24">
        <f>G801/F801*((100-H801)/100)*((100-I801)/100)*100</f>
        <v>26.403674400268695</v>
      </c>
      <c r="K801" s="53">
        <v>5.3090507726269314</v>
      </c>
      <c r="L801" s="54">
        <f>J801*10000/K801</f>
        <v>49733.324338136044</v>
      </c>
      <c r="M801" s="55">
        <v>49.1</v>
      </c>
      <c r="N801" s="55">
        <v>18.5</v>
      </c>
      <c r="O801" s="56">
        <v>6.6395</v>
      </c>
      <c r="P801" s="55">
        <v>63.3</v>
      </c>
      <c r="Q801" s="17" t="s">
        <v>424</v>
      </c>
      <c r="R801" s="17" t="s">
        <v>424</v>
      </c>
      <c r="S801" s="17" t="s">
        <v>424</v>
      </c>
      <c r="T801" s="17" t="s">
        <v>424</v>
      </c>
      <c r="U801" s="17" t="s">
        <v>424</v>
      </c>
      <c r="V801" s="17" t="s">
        <v>424</v>
      </c>
      <c r="W801" s="17" t="s">
        <v>424</v>
      </c>
    </row>
    <row r="802" spans="1:23" x14ac:dyDescent="0.25">
      <c r="A802" s="19" t="s">
        <v>619</v>
      </c>
      <c r="B802" s="20" t="s">
        <v>7</v>
      </c>
      <c r="C802" s="20" t="s">
        <v>427</v>
      </c>
      <c r="D802" s="18" t="s">
        <v>192</v>
      </c>
      <c r="E802" s="18" t="s">
        <v>1744</v>
      </c>
      <c r="F802" s="18">
        <v>5.94</v>
      </c>
      <c r="G802" s="23">
        <v>2.02</v>
      </c>
      <c r="H802" s="20">
        <v>6.71</v>
      </c>
      <c r="I802" s="25">
        <v>5.3962641248366596</v>
      </c>
      <c r="J802" s="24">
        <f>G802/F802*((100-H802)/100)*((100-I802)/100)*100</f>
        <v>30.012923720511541</v>
      </c>
      <c r="K802" s="53">
        <v>5.126234906695939</v>
      </c>
      <c r="L802" s="54">
        <f>J802*10000/K802</f>
        <v>58547.694880912233</v>
      </c>
      <c r="M802" s="55">
        <v>52.3</v>
      </c>
      <c r="N802" s="55">
        <v>17.899999999999999</v>
      </c>
      <c r="O802" s="56">
        <v>3.0787</v>
      </c>
      <c r="P802" s="55">
        <v>14.5</v>
      </c>
      <c r="Q802" s="17" t="s">
        <v>424</v>
      </c>
      <c r="R802" s="17" t="s">
        <v>424</v>
      </c>
      <c r="S802" s="17" t="s">
        <v>424</v>
      </c>
      <c r="T802" s="17" t="s">
        <v>424</v>
      </c>
      <c r="U802" s="17" t="s">
        <v>424</v>
      </c>
      <c r="V802" s="17" t="s">
        <v>424</v>
      </c>
      <c r="W802" s="17" t="s">
        <v>424</v>
      </c>
    </row>
    <row r="803" spans="1:23" x14ac:dyDescent="0.25">
      <c r="A803" s="19" t="s">
        <v>409</v>
      </c>
      <c r="B803" s="20" t="s">
        <v>7</v>
      </c>
      <c r="C803" s="20" t="s">
        <v>13</v>
      </c>
      <c r="D803" s="18" t="s">
        <v>229</v>
      </c>
      <c r="E803" s="18" t="s">
        <v>1770</v>
      </c>
      <c r="F803" s="18">
        <v>5.94</v>
      </c>
      <c r="G803" s="23">
        <v>2.96</v>
      </c>
      <c r="H803" s="17">
        <v>6.92</v>
      </c>
      <c r="I803" s="25">
        <v>9.1699861799853668</v>
      </c>
      <c r="J803" s="24">
        <f>G803/F803*((100-H803)/100)*((100-I803)/100)*100</f>
        <v>42.129957494353874</v>
      </c>
      <c r="K803" s="53">
        <v>4.7263681592039797</v>
      </c>
      <c r="L803" s="54">
        <f>J803*10000/K803</f>
        <v>89138.120593317159</v>
      </c>
      <c r="M803" s="55">
        <v>54.1</v>
      </c>
      <c r="N803" s="55">
        <v>17.399999999999999</v>
      </c>
      <c r="O803" s="56">
        <v>0.97428000000000003</v>
      </c>
      <c r="P803" s="55">
        <v>12.8</v>
      </c>
      <c r="Q803" s="17" t="s">
        <v>424</v>
      </c>
      <c r="R803" s="17" t="s">
        <v>424</v>
      </c>
      <c r="S803" s="17" t="s">
        <v>424</v>
      </c>
      <c r="T803" s="17" t="s">
        <v>424</v>
      </c>
      <c r="U803" s="17" t="s">
        <v>424</v>
      </c>
      <c r="V803" s="17" t="s">
        <v>424</v>
      </c>
      <c r="W803" s="17" t="s">
        <v>424</v>
      </c>
    </row>
    <row r="804" spans="1:23" x14ac:dyDescent="0.25">
      <c r="A804" s="19" t="s">
        <v>410</v>
      </c>
      <c r="B804" s="20" t="s">
        <v>7</v>
      </c>
      <c r="C804" s="20" t="s">
        <v>13</v>
      </c>
      <c r="D804" s="18" t="s">
        <v>21</v>
      </c>
      <c r="E804" s="18" t="s">
        <v>1578</v>
      </c>
      <c r="F804" s="18">
        <v>5.94</v>
      </c>
      <c r="G804" s="23">
        <v>2.64</v>
      </c>
      <c r="H804" s="17">
        <v>6.92</v>
      </c>
      <c r="I804" s="25">
        <v>9.1008311644698221</v>
      </c>
      <c r="J804" s="24">
        <f>G804/F804*((100-H804)/100)*((100-I804)/100)*100</f>
        <v>37.603976156493992</v>
      </c>
      <c r="K804" s="53">
        <v>4.376181474480151</v>
      </c>
      <c r="L804" s="54">
        <f>J804*10000/K804</f>
        <v>85928.740331686058</v>
      </c>
      <c r="M804" s="55">
        <v>54.5</v>
      </c>
      <c r="N804" s="55">
        <v>15.9</v>
      </c>
      <c r="O804" s="56">
        <v>0.1424</v>
      </c>
      <c r="P804" s="55">
        <v>16</v>
      </c>
      <c r="Q804" s="17" t="s">
        <v>424</v>
      </c>
      <c r="R804" s="17" t="s">
        <v>424</v>
      </c>
      <c r="S804" s="17" t="s">
        <v>424</v>
      </c>
      <c r="T804" s="17" t="s">
        <v>424</v>
      </c>
      <c r="U804" s="17" t="s">
        <v>424</v>
      </c>
      <c r="V804" s="17" t="s">
        <v>424</v>
      </c>
      <c r="W804" s="17" t="s">
        <v>424</v>
      </c>
    </row>
    <row r="805" spans="1:23" x14ac:dyDescent="0.25">
      <c r="A805" s="19" t="s">
        <v>411</v>
      </c>
      <c r="B805" s="20" t="s">
        <v>7</v>
      </c>
      <c r="C805" s="20" t="s">
        <v>13</v>
      </c>
      <c r="D805" s="18" t="s">
        <v>247</v>
      </c>
      <c r="E805" s="18" t="s">
        <v>1704</v>
      </c>
      <c r="F805" s="18">
        <v>5.94</v>
      </c>
      <c r="G805" s="23">
        <v>2.1800000000000002</v>
      </c>
      <c r="H805" s="17">
        <v>6.92</v>
      </c>
      <c r="I805" s="25">
        <v>8.0705767031530762</v>
      </c>
      <c r="J805" s="24">
        <f>G805/F805*((100-H805)/100)*((100-I805)/100)*100</f>
        <v>31.403710051558441</v>
      </c>
      <c r="K805" s="53">
        <v>4.7321428571428568</v>
      </c>
      <c r="L805" s="54">
        <f>J805*10000/K805</f>
        <v>66362.557090085771</v>
      </c>
      <c r="M805" s="55">
        <v>54.1</v>
      </c>
      <c r="N805" s="55">
        <v>16.3</v>
      </c>
      <c r="O805" s="56">
        <v>0.26934000000000002</v>
      </c>
      <c r="P805" s="55">
        <v>12.6</v>
      </c>
      <c r="Q805" s="17" t="s">
        <v>424</v>
      </c>
      <c r="R805" s="17" t="s">
        <v>424</v>
      </c>
      <c r="S805" s="17" t="s">
        <v>424</v>
      </c>
      <c r="T805" s="17" t="s">
        <v>424</v>
      </c>
      <c r="U805" s="17" t="s">
        <v>424</v>
      </c>
      <c r="V805" s="17" t="s">
        <v>424</v>
      </c>
      <c r="W805" s="17" t="s">
        <v>424</v>
      </c>
    </row>
    <row r="806" spans="1:23" x14ac:dyDescent="0.25">
      <c r="A806" s="19" t="s">
        <v>412</v>
      </c>
      <c r="B806" s="20" t="s">
        <v>7</v>
      </c>
      <c r="C806" s="20" t="s">
        <v>13</v>
      </c>
      <c r="D806" s="18" t="s">
        <v>219</v>
      </c>
      <c r="E806" s="18" t="s">
        <v>1560</v>
      </c>
      <c r="F806" s="18">
        <v>5.94</v>
      </c>
      <c r="G806" s="23">
        <v>2.62</v>
      </c>
      <c r="H806" s="17">
        <v>6.92</v>
      </c>
      <c r="I806" s="25">
        <v>7.2222648163766019</v>
      </c>
      <c r="J806" s="24">
        <f>G806/F806*((100-H806)/100)*((100-I806)/100)*100</f>
        <v>38.090352134909359</v>
      </c>
      <c r="K806" s="53">
        <v>4.2960288808664258</v>
      </c>
      <c r="L806" s="54">
        <f>J806*10000/K806</f>
        <v>88664.096986301622</v>
      </c>
      <c r="M806" s="55">
        <v>51.6</v>
      </c>
      <c r="N806" s="55">
        <v>16.399999999999999</v>
      </c>
      <c r="O806" s="56">
        <v>0.17405000000000001</v>
      </c>
      <c r="P806" s="55">
        <v>11.5</v>
      </c>
      <c r="Q806" s="17" t="s">
        <v>424</v>
      </c>
      <c r="R806" s="17" t="s">
        <v>424</v>
      </c>
      <c r="S806" s="17" t="s">
        <v>424</v>
      </c>
      <c r="T806" s="17" t="s">
        <v>424</v>
      </c>
      <c r="U806" s="17" t="s">
        <v>424</v>
      </c>
      <c r="V806" s="17" t="s">
        <v>424</v>
      </c>
      <c r="W806" s="17" t="s">
        <v>424</v>
      </c>
    </row>
    <row r="807" spans="1:23" x14ac:dyDescent="0.25">
      <c r="A807" s="19" t="s">
        <v>413</v>
      </c>
      <c r="B807" s="20" t="s">
        <v>7</v>
      </c>
      <c r="C807" s="20" t="s">
        <v>13</v>
      </c>
      <c r="D807" s="18" t="s">
        <v>29</v>
      </c>
      <c r="E807" s="18" t="s">
        <v>1638</v>
      </c>
      <c r="F807" s="18">
        <v>5.94</v>
      </c>
      <c r="G807" s="23">
        <v>2.04</v>
      </c>
      <c r="H807" s="17">
        <v>6.92</v>
      </c>
      <c r="I807" s="25">
        <v>9.3972436771164585</v>
      </c>
      <c r="J807" s="24">
        <f>G807/F807*((100-H807)/100)*((100-I807)/100)*100</f>
        <v>28.962864140419793</v>
      </c>
      <c r="K807" s="53">
        <v>4.5289855072463769</v>
      </c>
      <c r="L807" s="54">
        <f>J807*10000/K807</f>
        <v>63950.004022046895</v>
      </c>
      <c r="M807" s="55">
        <v>46.6</v>
      </c>
      <c r="N807" s="55">
        <v>19</v>
      </c>
      <c r="O807" s="56">
        <v>-4.2225999999999999</v>
      </c>
      <c r="P807" s="55">
        <v>22.6</v>
      </c>
      <c r="Q807" s="17" t="s">
        <v>424</v>
      </c>
      <c r="R807" s="17" t="s">
        <v>424</v>
      </c>
      <c r="S807" s="17" t="s">
        <v>424</v>
      </c>
      <c r="T807" s="17" t="s">
        <v>424</v>
      </c>
      <c r="U807" s="17" t="s">
        <v>424</v>
      </c>
      <c r="V807" s="17" t="s">
        <v>424</v>
      </c>
      <c r="W807" s="17" t="s">
        <v>424</v>
      </c>
    </row>
    <row r="808" spans="1:23" x14ac:dyDescent="0.25">
      <c r="A808" s="19" t="s">
        <v>414</v>
      </c>
      <c r="B808" s="20" t="s">
        <v>7</v>
      </c>
      <c r="C808" s="20" t="s">
        <v>13</v>
      </c>
      <c r="D808" s="18" t="s">
        <v>42</v>
      </c>
      <c r="E808" s="18" t="s">
        <v>1656</v>
      </c>
      <c r="F808" s="18">
        <v>5.94</v>
      </c>
      <c r="G808" s="23">
        <v>2.34</v>
      </c>
      <c r="H808" s="17">
        <v>6.92</v>
      </c>
      <c r="I808" s="25">
        <v>7.9981327316579787</v>
      </c>
      <c r="J808" s="24">
        <f>G808/F808*((100-H808)/100)*((100-I808)/100)*100</f>
        <v>33.735133172540777</v>
      </c>
      <c r="K808" s="53">
        <v>5.4753722794959909</v>
      </c>
      <c r="L808" s="54">
        <f>J808*10000/K808</f>
        <v>61612.492174954183</v>
      </c>
      <c r="M808" s="55">
        <v>48.6</v>
      </c>
      <c r="N808" s="55">
        <v>18.5</v>
      </c>
      <c r="O808" s="56">
        <v>2.6732</v>
      </c>
      <c r="P808" s="55">
        <v>14.2</v>
      </c>
      <c r="Q808" s="17" t="s">
        <v>424</v>
      </c>
      <c r="R808" s="17" t="s">
        <v>424</v>
      </c>
      <c r="S808" s="17" t="s">
        <v>424</v>
      </c>
      <c r="T808" s="17" t="s">
        <v>424</v>
      </c>
      <c r="U808" s="17" t="s">
        <v>424</v>
      </c>
      <c r="V808" s="17" t="s">
        <v>424</v>
      </c>
      <c r="W808" s="17" t="s">
        <v>424</v>
      </c>
    </row>
    <row r="809" spans="1:23" x14ac:dyDescent="0.25">
      <c r="A809" s="19" t="s">
        <v>630</v>
      </c>
      <c r="B809" s="20" t="s">
        <v>7</v>
      </c>
      <c r="C809" s="20" t="s">
        <v>427</v>
      </c>
      <c r="D809" s="18" t="s">
        <v>23</v>
      </c>
      <c r="E809" s="74" t="s">
        <v>1620</v>
      </c>
      <c r="F809" s="18">
        <v>5.94</v>
      </c>
      <c r="G809" s="23">
        <v>1.96</v>
      </c>
      <c r="H809" s="20">
        <v>6.71</v>
      </c>
      <c r="I809" s="25">
        <v>5.6706568446899839</v>
      </c>
      <c r="J809" s="24">
        <f>G809/F809*((100-H809)/100)*((100-I809)/100)*100</f>
        <v>29.036985638046104</v>
      </c>
      <c r="K809" s="53">
        <v>5.0160085378868731</v>
      </c>
      <c r="L809" s="54">
        <f>J809*10000/K809</f>
        <v>57888.628814572759</v>
      </c>
      <c r="M809" s="55">
        <v>51.4</v>
      </c>
      <c r="N809" s="55">
        <v>18.600000000000001</v>
      </c>
      <c r="O809" s="56">
        <v>3.4222000000000001</v>
      </c>
      <c r="P809" s="55">
        <v>18.2</v>
      </c>
      <c r="Q809" s="17" t="s">
        <v>424</v>
      </c>
      <c r="R809" s="17" t="s">
        <v>424</v>
      </c>
      <c r="S809" s="17" t="s">
        <v>424</v>
      </c>
      <c r="T809" s="17" t="s">
        <v>424</v>
      </c>
      <c r="U809" s="17" t="s">
        <v>424</v>
      </c>
      <c r="V809" s="17" t="s">
        <v>424</v>
      </c>
      <c r="W809" s="17" t="s">
        <v>424</v>
      </c>
    </row>
    <row r="810" spans="1:23" x14ac:dyDescent="0.25">
      <c r="A810" s="19" t="s">
        <v>629</v>
      </c>
      <c r="B810" s="20" t="s">
        <v>7</v>
      </c>
      <c r="C810" s="20" t="s">
        <v>427</v>
      </c>
      <c r="D810" s="18" t="s">
        <v>8</v>
      </c>
      <c r="E810" s="18" t="s">
        <v>1634</v>
      </c>
      <c r="F810" s="18">
        <v>5.94</v>
      </c>
      <c r="G810" s="23">
        <v>2.09</v>
      </c>
      <c r="H810" s="20">
        <v>6.71</v>
      </c>
      <c r="I810" s="25">
        <v>5.6672618585513526</v>
      </c>
      <c r="J810" s="24">
        <f>G810/F810*((100-H810)/100)*((100-I810)/100)*100</f>
        <v>30.964022533907247</v>
      </c>
      <c r="K810" s="53">
        <v>4.6518375241779495</v>
      </c>
      <c r="L810" s="54">
        <f>J810*10000/K810</f>
        <v>66562.992307817243</v>
      </c>
      <c r="M810" s="55">
        <v>52.3</v>
      </c>
      <c r="N810" s="55">
        <v>17.399999999999999</v>
      </c>
      <c r="O810" s="56">
        <v>7.2167000000000004E-3</v>
      </c>
      <c r="P810" s="55">
        <v>11.2</v>
      </c>
      <c r="Q810" s="17" t="s">
        <v>424</v>
      </c>
      <c r="R810" s="17" t="s">
        <v>424</v>
      </c>
      <c r="S810" s="17" t="s">
        <v>424</v>
      </c>
      <c r="T810" s="17" t="s">
        <v>424</v>
      </c>
      <c r="U810" s="17" t="s">
        <v>424</v>
      </c>
      <c r="V810" s="17" t="s">
        <v>424</v>
      </c>
      <c r="W810" s="17" t="s">
        <v>424</v>
      </c>
    </row>
    <row r="811" spans="1:23" x14ac:dyDescent="0.25">
      <c r="A811" s="19" t="s">
        <v>628</v>
      </c>
      <c r="B811" s="20" t="s">
        <v>7</v>
      </c>
      <c r="C811" s="20" t="s">
        <v>427</v>
      </c>
      <c r="D811" s="18" t="s">
        <v>46</v>
      </c>
      <c r="E811" s="18" t="s">
        <v>1531</v>
      </c>
      <c r="F811" s="18">
        <v>5.94</v>
      </c>
      <c r="G811" s="23">
        <v>2.14</v>
      </c>
      <c r="H811" s="20">
        <v>6.71</v>
      </c>
      <c r="I811" s="25">
        <v>9.3155310006138627</v>
      </c>
      <c r="J811" s="24">
        <f>G811/F811*((100-H811)/100)*((100-I811)/100)*100</f>
        <v>30.478622561816238</v>
      </c>
      <c r="K811" s="53">
        <v>5.6526946107784433</v>
      </c>
      <c r="L811" s="54">
        <f>J811*10000/K811</f>
        <v>53918.749659145251</v>
      </c>
      <c r="M811" s="55">
        <v>49.9</v>
      </c>
      <c r="N811" s="55">
        <v>18.7</v>
      </c>
      <c r="O811" s="56">
        <v>3.0377999999999998</v>
      </c>
      <c r="P811" s="55">
        <v>54.5</v>
      </c>
      <c r="Q811" s="17" t="s">
        <v>424</v>
      </c>
      <c r="R811" s="17" t="s">
        <v>424</v>
      </c>
      <c r="S811" s="17" t="s">
        <v>424</v>
      </c>
      <c r="T811" s="17" t="s">
        <v>424</v>
      </c>
      <c r="U811" s="17" t="s">
        <v>424</v>
      </c>
      <c r="V811" s="17" t="s">
        <v>424</v>
      </c>
      <c r="W811" s="17" t="s">
        <v>424</v>
      </c>
    </row>
    <row r="812" spans="1:23" x14ac:dyDescent="0.25">
      <c r="A812" s="19" t="s">
        <v>627</v>
      </c>
      <c r="B812" s="20" t="s">
        <v>7</v>
      </c>
      <c r="C812" s="20" t="s">
        <v>427</v>
      </c>
      <c r="D812" s="18" t="s">
        <v>56</v>
      </c>
      <c r="E812" s="18" t="s">
        <v>1515</v>
      </c>
      <c r="F812" s="18">
        <v>5.94</v>
      </c>
      <c r="G812" s="23">
        <v>1.43</v>
      </c>
      <c r="H812" s="20">
        <v>6.71</v>
      </c>
      <c r="I812" s="25">
        <v>6.4105513380875703</v>
      </c>
      <c r="J812" s="24">
        <f>G812/F812*((100-H812)/100)*((100-I812)/100)*100</f>
        <v>21.018976972908803</v>
      </c>
      <c r="K812" s="53">
        <v>5.4450867052023124</v>
      </c>
      <c r="L812" s="54">
        <f>J812*10000/K812</f>
        <v>38601.730534110648</v>
      </c>
      <c r="M812" s="55">
        <v>47</v>
      </c>
      <c r="N812" s="55">
        <v>20</v>
      </c>
      <c r="O812" s="56">
        <v>6.9191000000000003</v>
      </c>
      <c r="P812" s="55">
        <v>63.7</v>
      </c>
      <c r="Q812" s="17" t="s">
        <v>424</v>
      </c>
      <c r="R812" s="17" t="s">
        <v>424</v>
      </c>
      <c r="S812" s="17" t="s">
        <v>424</v>
      </c>
      <c r="T812" s="17" t="s">
        <v>424</v>
      </c>
      <c r="U812" s="17" t="s">
        <v>424</v>
      </c>
      <c r="V812" s="17" t="s">
        <v>424</v>
      </c>
      <c r="W812" s="17" t="s">
        <v>424</v>
      </c>
    </row>
    <row r="813" spans="1:23" x14ac:dyDescent="0.25">
      <c r="A813" s="19" t="s">
        <v>626</v>
      </c>
      <c r="B813" s="20" t="s">
        <v>7</v>
      </c>
      <c r="C813" s="20" t="s">
        <v>427</v>
      </c>
      <c r="D813" s="18" t="s">
        <v>160</v>
      </c>
      <c r="E813" s="18" t="s">
        <v>1610</v>
      </c>
      <c r="F813" s="18">
        <v>5.94</v>
      </c>
      <c r="G813" s="23">
        <v>2.21</v>
      </c>
      <c r="H813" s="20">
        <v>6.71</v>
      </c>
      <c r="I813" s="25">
        <v>5.1487590565746926</v>
      </c>
      <c r="J813" s="24">
        <f>G813/F813*((100-H813)/100)*((100-I813)/100)*100</f>
        <v>32.921827797008156</v>
      </c>
      <c r="K813" s="53">
        <v>4.4985673352435533</v>
      </c>
      <c r="L813" s="54">
        <f>J813*10000/K813</f>
        <v>73182.916567871624</v>
      </c>
      <c r="M813" s="55">
        <v>52.8</v>
      </c>
      <c r="N813" s="55">
        <v>17.100000000000001</v>
      </c>
      <c r="O813" s="56">
        <v>1.88</v>
      </c>
      <c r="P813" s="55">
        <v>16.2</v>
      </c>
      <c r="Q813" s="17" t="s">
        <v>424</v>
      </c>
      <c r="R813" s="17" t="s">
        <v>424</v>
      </c>
      <c r="S813" s="17" t="s">
        <v>424</v>
      </c>
      <c r="T813" s="17" t="s">
        <v>424</v>
      </c>
      <c r="U813" s="17" t="s">
        <v>424</v>
      </c>
      <c r="V813" s="17" t="s">
        <v>424</v>
      </c>
      <c r="W813" s="17" t="s">
        <v>424</v>
      </c>
    </row>
    <row r="814" spans="1:23" x14ac:dyDescent="0.25">
      <c r="A814" s="19" t="s">
        <v>625</v>
      </c>
      <c r="B814" s="20" t="s">
        <v>7</v>
      </c>
      <c r="C814" s="20" t="s">
        <v>427</v>
      </c>
      <c r="D814" s="18" t="s">
        <v>255</v>
      </c>
      <c r="E814" s="18" t="s">
        <v>1558</v>
      </c>
      <c r="F814" s="18">
        <v>5.94</v>
      </c>
      <c r="G814" s="23">
        <v>1.66</v>
      </c>
      <c r="H814" s="20">
        <v>6.71</v>
      </c>
      <c r="I814" s="25">
        <v>8.0662475080508997</v>
      </c>
      <c r="J814" s="24">
        <f>G814/F814*((100-H814)/100)*((100-I814)/100)*100</f>
        <v>23.967995990162834</v>
      </c>
      <c r="K814" s="53">
        <v>5.0571131879543092</v>
      </c>
      <c r="L814" s="54">
        <f>J814*10000/K814</f>
        <v>47394.62040765259</v>
      </c>
      <c r="M814" s="55">
        <v>51.9</v>
      </c>
      <c r="N814" s="55">
        <v>17.899999999999999</v>
      </c>
      <c r="O814" s="56">
        <v>4.0248999999999997</v>
      </c>
      <c r="P814" s="55">
        <v>17</v>
      </c>
      <c r="Q814" s="17" t="s">
        <v>424</v>
      </c>
      <c r="R814" s="17" t="s">
        <v>424</v>
      </c>
      <c r="S814" s="17" t="s">
        <v>424</v>
      </c>
      <c r="T814" s="17" t="s">
        <v>424</v>
      </c>
      <c r="U814" s="17" t="s">
        <v>424</v>
      </c>
      <c r="V814" s="17" t="s">
        <v>424</v>
      </c>
      <c r="W814" s="17" t="s">
        <v>424</v>
      </c>
    </row>
    <row r="815" spans="1:23" x14ac:dyDescent="0.25">
      <c r="A815" s="16" t="s">
        <v>415</v>
      </c>
      <c r="B815" s="17" t="s">
        <v>7</v>
      </c>
      <c r="C815" s="17" t="s">
        <v>13</v>
      </c>
      <c r="D815" s="18" t="s">
        <v>87</v>
      </c>
      <c r="E815" s="18" t="s">
        <v>1545</v>
      </c>
      <c r="F815" s="18">
        <v>5.94</v>
      </c>
      <c r="G815" s="22">
        <v>2.4</v>
      </c>
      <c r="H815" s="17">
        <v>6.92</v>
      </c>
      <c r="I815" s="25">
        <v>14.482654143311622</v>
      </c>
      <c r="J815" s="24">
        <f>G815/F815*((100-H815)/100)*((100-I815)/100)*100</f>
        <v>32.161432534709306</v>
      </c>
      <c r="K815" s="53">
        <v>4.9945711183496204</v>
      </c>
      <c r="L815" s="54">
        <f>J815*10000/K815</f>
        <v>64392.781227102758</v>
      </c>
      <c r="M815" s="55">
        <v>51</v>
      </c>
      <c r="N815" s="55">
        <v>18.600000000000001</v>
      </c>
      <c r="O815" s="56">
        <v>4.9288999999999996</v>
      </c>
      <c r="P815" s="55">
        <v>22.9</v>
      </c>
      <c r="Q815" s="17" t="s">
        <v>424</v>
      </c>
      <c r="R815" s="17" t="s">
        <v>424</v>
      </c>
      <c r="S815" s="17" t="s">
        <v>424</v>
      </c>
      <c r="T815" s="17" t="s">
        <v>424</v>
      </c>
      <c r="U815" s="17" t="s">
        <v>424</v>
      </c>
      <c r="V815" s="17" t="s">
        <v>424</v>
      </c>
      <c r="W815" s="17" t="s">
        <v>424</v>
      </c>
    </row>
    <row r="816" spans="1:23" x14ac:dyDescent="0.25">
      <c r="A816" s="19" t="s">
        <v>416</v>
      </c>
      <c r="B816" s="20" t="s">
        <v>7</v>
      </c>
      <c r="C816" s="20" t="s">
        <v>13</v>
      </c>
      <c r="D816" s="18" t="s">
        <v>63</v>
      </c>
      <c r="E816" s="18" t="s">
        <v>1462</v>
      </c>
      <c r="F816" s="18">
        <v>5.94</v>
      </c>
      <c r="G816" s="23">
        <v>1.49</v>
      </c>
      <c r="H816" s="17">
        <v>6.92</v>
      </c>
      <c r="I816" s="25">
        <v>26.190274123737588</v>
      </c>
      <c r="J816" s="24">
        <f>G816/F816*((100-H816)/100)*((100-I816)/100)*100</f>
        <v>17.23335325588911</v>
      </c>
      <c r="K816" s="53">
        <v>4.90234375</v>
      </c>
      <c r="L816" s="54">
        <f>J816*10000/K816</f>
        <v>35153.294290897313</v>
      </c>
      <c r="M816" s="55">
        <v>50.6</v>
      </c>
      <c r="N816" s="55">
        <v>21.2</v>
      </c>
      <c r="O816" s="56">
        <v>48.78</v>
      </c>
      <c r="P816" s="55">
        <v>65.599999999999994</v>
      </c>
      <c r="Q816" s="17" t="s">
        <v>424</v>
      </c>
      <c r="R816" s="17" t="s">
        <v>424</v>
      </c>
      <c r="S816" s="17" t="s">
        <v>424</v>
      </c>
      <c r="T816" s="17" t="s">
        <v>424</v>
      </c>
      <c r="U816" s="17" t="s">
        <v>424</v>
      </c>
      <c r="V816" s="17" t="s">
        <v>424</v>
      </c>
      <c r="W816" s="17" t="s">
        <v>424</v>
      </c>
    </row>
    <row r="817" spans="1:23" x14ac:dyDescent="0.25">
      <c r="A817" s="19" t="s">
        <v>417</v>
      </c>
      <c r="B817" s="20" t="s">
        <v>7</v>
      </c>
      <c r="C817" s="20" t="s">
        <v>13</v>
      </c>
      <c r="D817" s="18" t="s">
        <v>191</v>
      </c>
      <c r="E817" s="18" t="s">
        <v>1702</v>
      </c>
      <c r="F817" s="18">
        <v>5.94</v>
      </c>
      <c r="G817" s="23">
        <v>1.7</v>
      </c>
      <c r="H817" s="17">
        <v>6.92</v>
      </c>
      <c r="I817" s="25">
        <v>13.647434282354919</v>
      </c>
      <c r="J817" s="24">
        <f>G817/F817*((100-H817)/100)*((100-I817)/100)*100</f>
        <v>23.003509408917989</v>
      </c>
      <c r="K817" s="53">
        <v>4.8472505091649696</v>
      </c>
      <c r="L817" s="54">
        <f>J817*10000/K817</f>
        <v>47456.819831003078</v>
      </c>
      <c r="M817" s="55">
        <v>51.2</v>
      </c>
      <c r="N817" s="55">
        <v>20.2</v>
      </c>
      <c r="O817" s="56">
        <v>41.444000000000003</v>
      </c>
      <c r="P817" s="55">
        <v>42.7</v>
      </c>
      <c r="Q817" s="17" t="s">
        <v>424</v>
      </c>
      <c r="R817" s="17" t="s">
        <v>424</v>
      </c>
      <c r="S817" s="17" t="s">
        <v>424</v>
      </c>
      <c r="T817" s="17" t="s">
        <v>424</v>
      </c>
      <c r="U817" s="17" t="s">
        <v>424</v>
      </c>
      <c r="V817" s="17" t="s">
        <v>424</v>
      </c>
      <c r="W817" s="17" t="s">
        <v>424</v>
      </c>
    </row>
    <row r="818" spans="1:23" x14ac:dyDescent="0.25">
      <c r="A818" s="19" t="s">
        <v>418</v>
      </c>
      <c r="B818" s="20" t="s">
        <v>7</v>
      </c>
      <c r="C818" s="20" t="s">
        <v>13</v>
      </c>
      <c r="D818" s="18" t="s">
        <v>57</v>
      </c>
      <c r="E818" s="18" t="s">
        <v>1632</v>
      </c>
      <c r="F818" s="18">
        <v>5.94</v>
      </c>
      <c r="G818" s="23">
        <v>2.04</v>
      </c>
      <c r="H818" s="17">
        <v>6.92</v>
      </c>
      <c r="I818" s="25">
        <v>13.46670247046187</v>
      </c>
      <c r="J818" s="24">
        <f>G818/F818*((100-H818)/100)*((100-I818)/100)*100</f>
        <v>27.661985591684836</v>
      </c>
      <c r="K818" s="53">
        <v>4.9514563106796112</v>
      </c>
      <c r="L818" s="54">
        <f>J818*10000/K818</f>
        <v>55866.363057716437</v>
      </c>
      <c r="M818" s="55">
        <v>50.3</v>
      </c>
      <c r="N818" s="55">
        <v>17.600000000000001</v>
      </c>
      <c r="O818" s="56">
        <v>1.0161</v>
      </c>
      <c r="P818" s="55">
        <v>19.7</v>
      </c>
      <c r="Q818" s="17" t="s">
        <v>424</v>
      </c>
      <c r="R818" s="17" t="s">
        <v>424</v>
      </c>
      <c r="S818" s="17" t="s">
        <v>424</v>
      </c>
      <c r="T818" s="17" t="s">
        <v>424</v>
      </c>
      <c r="U818" s="17" t="s">
        <v>424</v>
      </c>
      <c r="V818" s="17" t="s">
        <v>424</v>
      </c>
      <c r="W818" s="17" t="s">
        <v>424</v>
      </c>
    </row>
    <row r="819" spans="1:23" x14ac:dyDescent="0.25">
      <c r="A819" s="19" t="s">
        <v>419</v>
      </c>
      <c r="B819" s="20" t="s">
        <v>7</v>
      </c>
      <c r="C819" s="20" t="s">
        <v>13</v>
      </c>
      <c r="D819" s="18" t="s">
        <v>202</v>
      </c>
      <c r="E819" s="18" t="s">
        <v>1504</v>
      </c>
      <c r="F819" s="18">
        <v>5.94</v>
      </c>
      <c r="G819" s="23">
        <v>1.88</v>
      </c>
      <c r="H819" s="17">
        <v>6.92</v>
      </c>
      <c r="I819" s="25">
        <v>13.677099131393909</v>
      </c>
      <c r="J819" s="24">
        <f>G819/F819*((100-H819)/100)*((100-I819)/100)*100</f>
        <v>25.430435946393477</v>
      </c>
      <c r="K819" s="53">
        <v>5.118279569892473</v>
      </c>
      <c r="L819" s="54">
        <f>J819*10000/K819</f>
        <v>49685.515609550283</v>
      </c>
      <c r="M819" s="55">
        <v>47.2</v>
      </c>
      <c r="N819" s="55">
        <v>20.9</v>
      </c>
      <c r="O819" s="56">
        <v>8.4853000000000005</v>
      </c>
      <c r="P819" s="55">
        <v>65.599999999999994</v>
      </c>
      <c r="Q819" s="17" t="s">
        <v>424</v>
      </c>
      <c r="R819" s="17" t="s">
        <v>424</v>
      </c>
      <c r="S819" s="17" t="s">
        <v>424</v>
      </c>
      <c r="T819" s="17" t="s">
        <v>424</v>
      </c>
      <c r="U819" s="17" t="s">
        <v>424</v>
      </c>
      <c r="V819" s="17" t="s">
        <v>424</v>
      </c>
      <c r="W819" s="17" t="s">
        <v>424</v>
      </c>
    </row>
    <row r="820" spans="1:23" x14ac:dyDescent="0.25">
      <c r="A820" s="19" t="s">
        <v>420</v>
      </c>
      <c r="B820" s="20" t="s">
        <v>7</v>
      </c>
      <c r="C820" s="20" t="s">
        <v>13</v>
      </c>
      <c r="D820" s="18" t="s">
        <v>233</v>
      </c>
      <c r="E820" s="18" t="s">
        <v>1694</v>
      </c>
      <c r="F820" s="18">
        <v>5.94</v>
      </c>
      <c r="G820" s="23">
        <v>1.52</v>
      </c>
      <c r="H820" s="17">
        <v>6.92</v>
      </c>
      <c r="I820" s="25">
        <v>14.270635423263679</v>
      </c>
      <c r="J820" s="24">
        <f>G820/F820*((100-H820)/100)*((100-I820)/100)*100</f>
        <v>20.419406847306355</v>
      </c>
      <c r="K820" s="53">
        <v>4.755244755244755</v>
      </c>
      <c r="L820" s="54">
        <f>J820*10000/K820</f>
        <v>42940.811458306016</v>
      </c>
      <c r="M820" s="55">
        <v>49.3</v>
      </c>
      <c r="N820" s="55">
        <v>20.5</v>
      </c>
      <c r="O820" s="56">
        <v>46.826999999999998</v>
      </c>
      <c r="P820" s="55">
        <v>57.2</v>
      </c>
      <c r="Q820" s="17" t="s">
        <v>424</v>
      </c>
      <c r="R820" s="17" t="s">
        <v>424</v>
      </c>
      <c r="S820" s="17" t="s">
        <v>424</v>
      </c>
      <c r="T820" s="17" t="s">
        <v>424</v>
      </c>
      <c r="U820" s="17" t="s">
        <v>424</v>
      </c>
      <c r="V820" s="17" t="s">
        <v>424</v>
      </c>
      <c r="W820" s="17" t="s">
        <v>424</v>
      </c>
    </row>
    <row r="821" spans="1:23" x14ac:dyDescent="0.25">
      <c r="A821" s="16" t="s">
        <v>1045</v>
      </c>
      <c r="B821" s="17" t="s">
        <v>10</v>
      </c>
      <c r="C821" s="17" t="s">
        <v>427</v>
      </c>
      <c r="D821" s="18" t="s">
        <v>216</v>
      </c>
      <c r="E821" s="18" t="s">
        <v>1624</v>
      </c>
      <c r="F821" s="18">
        <v>5.94</v>
      </c>
      <c r="G821" s="26">
        <v>1.93</v>
      </c>
      <c r="H821" s="17">
        <v>7.26</v>
      </c>
      <c r="I821" s="25">
        <v>10.012959552554399</v>
      </c>
      <c r="J821" s="24">
        <f>G821/F821*((100-H821)/100)*((100-I821)/100)*100</f>
        <v>27.115519180160742</v>
      </c>
      <c r="K821" s="53">
        <v>4.5586808923375362</v>
      </c>
      <c r="L821" s="54">
        <f>J821*10000/K821</f>
        <v>59481.064414352615</v>
      </c>
      <c r="M821" s="55">
        <v>49.2</v>
      </c>
      <c r="N821" s="55">
        <v>16.8</v>
      </c>
      <c r="O821" s="56">
        <v>2.0162</v>
      </c>
      <c r="P821" s="55">
        <v>16.8</v>
      </c>
      <c r="Q821" s="17" t="s">
        <v>424</v>
      </c>
      <c r="R821" s="17" t="s">
        <v>424</v>
      </c>
      <c r="S821" s="17" t="s">
        <v>424</v>
      </c>
      <c r="T821" s="17" t="s">
        <v>424</v>
      </c>
      <c r="U821" s="17" t="s">
        <v>424</v>
      </c>
      <c r="V821" s="17" t="s">
        <v>424</v>
      </c>
      <c r="W821" s="17" t="s">
        <v>424</v>
      </c>
    </row>
    <row r="822" spans="1:23" x14ac:dyDescent="0.25">
      <c r="A822" s="16" t="s">
        <v>1044</v>
      </c>
      <c r="B822" s="17" t="s">
        <v>10</v>
      </c>
      <c r="C822" s="17" t="s">
        <v>427</v>
      </c>
      <c r="D822" s="18" t="s">
        <v>157</v>
      </c>
      <c r="E822" s="18" t="s">
        <v>1800</v>
      </c>
      <c r="F822" s="18">
        <v>5.94</v>
      </c>
      <c r="G822" s="26">
        <v>2.1800000000000002</v>
      </c>
      <c r="H822" s="17">
        <v>7.26</v>
      </c>
      <c r="I822" s="25">
        <v>6.5120221948212</v>
      </c>
      <c r="J822" s="24">
        <f>G822/F822*((100-H822)/100)*((100-I822)/100)*100</f>
        <v>31.819467397983122</v>
      </c>
      <c r="K822" s="53">
        <v>5.8170731707317076</v>
      </c>
      <c r="L822" s="54">
        <f>J822*10000/K822</f>
        <v>54700.132633849389</v>
      </c>
      <c r="M822" s="55">
        <v>53.7</v>
      </c>
      <c r="N822" s="55">
        <v>17.2</v>
      </c>
      <c r="O822" s="56">
        <v>3.1991000000000001</v>
      </c>
      <c r="P822" s="55">
        <v>14.9</v>
      </c>
      <c r="Q822" s="17" t="s">
        <v>424</v>
      </c>
      <c r="R822" s="17" t="s">
        <v>424</v>
      </c>
      <c r="S822" s="17" t="s">
        <v>424</v>
      </c>
      <c r="T822" s="17" t="s">
        <v>424</v>
      </c>
      <c r="U822" s="17" t="s">
        <v>424</v>
      </c>
      <c r="V822" s="17" t="s">
        <v>424</v>
      </c>
      <c r="W822" s="17" t="s">
        <v>424</v>
      </c>
    </row>
    <row r="823" spans="1:23" x14ac:dyDescent="0.25">
      <c r="A823" s="16" t="s">
        <v>1043</v>
      </c>
      <c r="B823" s="17" t="s">
        <v>10</v>
      </c>
      <c r="C823" s="17" t="s">
        <v>427</v>
      </c>
      <c r="D823" s="18" t="s">
        <v>52</v>
      </c>
      <c r="E823" s="18" t="s">
        <v>1576</v>
      </c>
      <c r="F823" s="18">
        <v>5.94</v>
      </c>
      <c r="G823" s="26">
        <v>1.9</v>
      </c>
      <c r="H823" s="17">
        <v>7.26</v>
      </c>
      <c r="I823" s="25">
        <v>8.495110202890098</v>
      </c>
      <c r="J823" s="24">
        <f>G823/F823*((100-H823)/100)*((100-I823)/100)*100</f>
        <v>27.144293958904964</v>
      </c>
      <c r="K823" s="53">
        <v>5.3303471444568871</v>
      </c>
      <c r="L823" s="54">
        <f>J823*10000/K823</f>
        <v>50924.064086769176</v>
      </c>
      <c r="M823" s="55">
        <v>50.7</v>
      </c>
      <c r="N823" s="55">
        <v>18.7</v>
      </c>
      <c r="O823" s="56">
        <v>8.0205000000000002</v>
      </c>
      <c r="P823" s="55">
        <v>19.2</v>
      </c>
      <c r="Q823" s="17" t="s">
        <v>424</v>
      </c>
      <c r="R823" s="17" t="s">
        <v>424</v>
      </c>
      <c r="S823" s="17" t="s">
        <v>424</v>
      </c>
      <c r="T823" s="17" t="s">
        <v>424</v>
      </c>
      <c r="U823" s="17" t="s">
        <v>424</v>
      </c>
      <c r="V823" s="17" t="s">
        <v>424</v>
      </c>
      <c r="W823" s="17" t="s">
        <v>424</v>
      </c>
    </row>
    <row r="824" spans="1:23" x14ac:dyDescent="0.25">
      <c r="A824" s="16" t="s">
        <v>1042</v>
      </c>
      <c r="B824" s="17" t="s">
        <v>10</v>
      </c>
      <c r="C824" s="17" t="s">
        <v>427</v>
      </c>
      <c r="D824" s="18" t="s">
        <v>9</v>
      </c>
      <c r="E824" s="18" t="s">
        <v>1714</v>
      </c>
      <c r="F824" s="18">
        <v>5.94</v>
      </c>
      <c r="G824" s="26">
        <v>2.2599999999999998</v>
      </c>
      <c r="H824" s="17">
        <v>7.26</v>
      </c>
      <c r="I824" s="25">
        <v>7.8875009820095894</v>
      </c>
      <c r="J824" s="24">
        <f>G824/F824*((100-H824)/100)*((100-I824)/100)*100</f>
        <v>32.501817742724327</v>
      </c>
      <c r="K824" s="53">
        <v>5.7583230579531444</v>
      </c>
      <c r="L824" s="54">
        <f>J824*10000/K824</f>
        <v>56443.199548928111</v>
      </c>
      <c r="M824" s="55">
        <v>48.4</v>
      </c>
      <c r="N824" s="55">
        <v>18.3</v>
      </c>
      <c r="O824" s="56">
        <v>2.7631000000000001</v>
      </c>
      <c r="P824" s="55">
        <v>20.9</v>
      </c>
      <c r="Q824" s="17" t="s">
        <v>424</v>
      </c>
      <c r="R824" s="17" t="s">
        <v>424</v>
      </c>
      <c r="S824" s="17" t="s">
        <v>424</v>
      </c>
      <c r="T824" s="17" t="s">
        <v>424</v>
      </c>
      <c r="U824" s="17" t="s">
        <v>424</v>
      </c>
      <c r="V824" s="17" t="s">
        <v>424</v>
      </c>
      <c r="W824" s="17" t="s">
        <v>424</v>
      </c>
    </row>
    <row r="825" spans="1:23" x14ac:dyDescent="0.25">
      <c r="A825" s="16" t="s">
        <v>1041</v>
      </c>
      <c r="B825" s="17" t="s">
        <v>10</v>
      </c>
      <c r="C825" s="17" t="s">
        <v>427</v>
      </c>
      <c r="D825" s="18" t="s">
        <v>255</v>
      </c>
      <c r="E825" s="18" t="s">
        <v>1558</v>
      </c>
      <c r="F825" s="18">
        <v>5.94</v>
      </c>
      <c r="G825" s="26">
        <v>1.75</v>
      </c>
      <c r="H825" s="17">
        <v>7.26</v>
      </c>
      <c r="I825" s="25">
        <v>6.6128381106176812</v>
      </c>
      <c r="J825" s="24">
        <f>G825/F825*((100-H825)/100)*((100-I825)/100)*100</f>
        <v>25.515605115887713</v>
      </c>
      <c r="K825" s="53">
        <v>5.0154798761609909</v>
      </c>
      <c r="L825" s="54">
        <f>J825*10000/K825</f>
        <v>50873.706496492166</v>
      </c>
      <c r="M825" s="55">
        <v>53.1</v>
      </c>
      <c r="N825" s="55">
        <v>17.100000000000001</v>
      </c>
      <c r="O825" s="56">
        <v>3.9803000000000002</v>
      </c>
      <c r="P825" s="55">
        <v>15.2</v>
      </c>
      <c r="Q825" s="17" t="s">
        <v>424</v>
      </c>
      <c r="R825" s="17" t="s">
        <v>424</v>
      </c>
      <c r="S825" s="17" t="s">
        <v>424</v>
      </c>
      <c r="T825" s="17" t="s">
        <v>424</v>
      </c>
      <c r="U825" s="17" t="s">
        <v>424</v>
      </c>
      <c r="V825" s="17" t="s">
        <v>424</v>
      </c>
      <c r="W825" s="17" t="s">
        <v>424</v>
      </c>
    </row>
    <row r="826" spans="1:23" x14ac:dyDescent="0.25">
      <c r="A826" s="16" t="s">
        <v>1040</v>
      </c>
      <c r="B826" s="17" t="s">
        <v>10</v>
      </c>
      <c r="C826" s="17" t="s">
        <v>427</v>
      </c>
      <c r="D826" s="18" t="s">
        <v>169</v>
      </c>
      <c r="E826" s="18" t="s">
        <v>1728</v>
      </c>
      <c r="F826" s="18">
        <v>5.94</v>
      </c>
      <c r="G826" s="26">
        <v>2.2799999999999998</v>
      </c>
      <c r="H826" s="17">
        <v>7.26</v>
      </c>
      <c r="I826" s="25">
        <v>6.026564928642081</v>
      </c>
      <c r="J826" s="24">
        <f>G826/F826*((100-H826)/100)*((100-I826)/100)*100</f>
        <v>33.451885050876143</v>
      </c>
      <c r="K826" s="53">
        <v>4.930278884462151</v>
      </c>
      <c r="L826" s="54">
        <f>J826*10000/K826</f>
        <v>67849.884022383136</v>
      </c>
      <c r="M826" s="55">
        <v>53.9</v>
      </c>
      <c r="N826" s="55">
        <v>15.4</v>
      </c>
      <c r="O826" s="56">
        <v>3.0834999999999999</v>
      </c>
      <c r="P826" s="55">
        <v>18.5</v>
      </c>
      <c r="Q826" s="17" t="s">
        <v>424</v>
      </c>
      <c r="R826" s="17" t="s">
        <v>424</v>
      </c>
      <c r="S826" s="17" t="s">
        <v>424</v>
      </c>
      <c r="T826" s="17" t="s">
        <v>424</v>
      </c>
      <c r="U826" s="17" t="s">
        <v>424</v>
      </c>
      <c r="V826" s="17" t="s">
        <v>424</v>
      </c>
      <c r="W826" s="17" t="s">
        <v>424</v>
      </c>
    </row>
    <row r="827" spans="1:23" x14ac:dyDescent="0.25">
      <c r="A827" s="16" t="s">
        <v>636</v>
      </c>
      <c r="B827" s="17" t="s">
        <v>10</v>
      </c>
      <c r="C827" s="17" t="s">
        <v>13</v>
      </c>
      <c r="D827" s="18" t="s">
        <v>187</v>
      </c>
      <c r="E827" s="18" t="s">
        <v>1726</v>
      </c>
      <c r="F827" s="18">
        <v>5.94</v>
      </c>
      <c r="G827" s="23">
        <v>2.86</v>
      </c>
      <c r="H827" s="20">
        <v>6.89</v>
      </c>
      <c r="I827" s="25">
        <v>5.1745931426765663</v>
      </c>
      <c r="J827" s="24">
        <f>G827/F827*((100-H827)/100)*((100-I827)/100)*100</f>
        <v>42.510932304559255</v>
      </c>
      <c r="K827" s="53">
        <v>5.0260145681581685</v>
      </c>
      <c r="L827" s="54">
        <f>J827*10000/K827</f>
        <v>84581.792846131357</v>
      </c>
      <c r="M827" s="55">
        <v>52.1</v>
      </c>
      <c r="N827" s="55">
        <v>17.399999999999999</v>
      </c>
      <c r="O827" s="56">
        <v>1.9624999999999999</v>
      </c>
      <c r="P827" s="55">
        <v>11.8</v>
      </c>
      <c r="Q827" s="17" t="s">
        <v>424</v>
      </c>
      <c r="R827" s="17" t="s">
        <v>424</v>
      </c>
      <c r="S827" s="17" t="s">
        <v>424</v>
      </c>
      <c r="T827" s="17" t="s">
        <v>424</v>
      </c>
      <c r="U827" s="17" t="s">
        <v>424</v>
      </c>
      <c r="V827" s="17" t="s">
        <v>424</v>
      </c>
      <c r="W827" s="17" t="s">
        <v>424</v>
      </c>
    </row>
    <row r="828" spans="1:23" x14ac:dyDescent="0.25">
      <c r="A828" s="16" t="s">
        <v>635</v>
      </c>
      <c r="B828" s="17" t="s">
        <v>10</v>
      </c>
      <c r="C828" s="17" t="s">
        <v>13</v>
      </c>
      <c r="D828" s="18" t="s">
        <v>206</v>
      </c>
      <c r="E828" s="18" t="s">
        <v>1533</v>
      </c>
      <c r="F828" s="18">
        <v>5.94</v>
      </c>
      <c r="G828" s="23">
        <v>2.12</v>
      </c>
      <c r="H828" s="20">
        <v>6.89</v>
      </c>
      <c r="I828" s="25">
        <v>7.085592120332902</v>
      </c>
      <c r="J828" s="24">
        <f>G828/F828*((100-H828)/100)*((100-I828)/100)*100</f>
        <v>30.876552689347985</v>
      </c>
      <c r="K828" s="53">
        <v>5.193370165745856</v>
      </c>
      <c r="L828" s="54">
        <f>J828*10000/K828</f>
        <v>59453.78762523389</v>
      </c>
      <c r="M828" s="55">
        <v>54.2</v>
      </c>
      <c r="N828" s="55">
        <v>16.7</v>
      </c>
      <c r="O828" s="56">
        <v>1.1516</v>
      </c>
      <c r="P828" s="55">
        <v>14.3</v>
      </c>
      <c r="Q828" s="17" t="s">
        <v>424</v>
      </c>
      <c r="R828" s="17" t="s">
        <v>424</v>
      </c>
      <c r="S828" s="17" t="s">
        <v>424</v>
      </c>
      <c r="T828" s="17" t="s">
        <v>424</v>
      </c>
      <c r="U828" s="17" t="s">
        <v>424</v>
      </c>
      <c r="V828" s="17" t="s">
        <v>424</v>
      </c>
      <c r="W828" s="17" t="s">
        <v>424</v>
      </c>
    </row>
    <row r="829" spans="1:23" x14ac:dyDescent="0.25">
      <c r="A829" s="16" t="s">
        <v>634</v>
      </c>
      <c r="B829" s="17" t="s">
        <v>10</v>
      </c>
      <c r="C829" s="17" t="s">
        <v>13</v>
      </c>
      <c r="D829" s="18" t="s">
        <v>65</v>
      </c>
      <c r="E829" s="18" t="s">
        <v>1658</v>
      </c>
      <c r="F829" s="18">
        <v>5.94</v>
      </c>
      <c r="G829" s="23">
        <v>2.0499999999999998</v>
      </c>
      <c r="H829" s="20">
        <v>6.89</v>
      </c>
      <c r="I829" s="25">
        <v>6.2051709758131866</v>
      </c>
      <c r="J829" s="24">
        <f>G829/F829*((100-H829)/100)*((100-I829)/100)*100</f>
        <v>30.139957722906001</v>
      </c>
      <c r="K829" s="53">
        <v>5.185995623632385</v>
      </c>
      <c r="L829" s="54">
        <f>J829*10000/K829</f>
        <v>58117.977550076132</v>
      </c>
      <c r="M829" s="55">
        <v>50.9</v>
      </c>
      <c r="N829" s="55">
        <v>17.5</v>
      </c>
      <c r="O829" s="56">
        <v>0.86636999999999997</v>
      </c>
      <c r="P829" s="55">
        <v>14.7</v>
      </c>
      <c r="Q829" s="17" t="s">
        <v>424</v>
      </c>
      <c r="R829" s="17" t="s">
        <v>424</v>
      </c>
      <c r="S829" s="17" t="s">
        <v>424</v>
      </c>
      <c r="T829" s="17" t="s">
        <v>424</v>
      </c>
      <c r="U829" s="17" t="s">
        <v>424</v>
      </c>
      <c r="V829" s="17" t="s">
        <v>424</v>
      </c>
      <c r="W829" s="17" t="s">
        <v>424</v>
      </c>
    </row>
    <row r="830" spans="1:23" x14ac:dyDescent="0.25">
      <c r="A830" s="16" t="s">
        <v>633</v>
      </c>
      <c r="B830" s="17" t="s">
        <v>10</v>
      </c>
      <c r="C830" s="17" t="s">
        <v>13</v>
      </c>
      <c r="D830" s="18" t="s">
        <v>73</v>
      </c>
      <c r="E830" s="18" t="s">
        <v>1640</v>
      </c>
      <c r="F830" s="18">
        <v>5.94</v>
      </c>
      <c r="G830" s="23">
        <v>2.4700000000000002</v>
      </c>
      <c r="H830" s="20">
        <v>6.89</v>
      </c>
      <c r="I830" s="25">
        <v>6.8540202966432489</v>
      </c>
      <c r="J830" s="24">
        <f>G830/F830*((100-H830)/100)*((100-I830)/100)*100</f>
        <v>36.063755488793738</v>
      </c>
      <c r="K830" s="53">
        <v>4.7482014388489207</v>
      </c>
      <c r="L830" s="54">
        <f>J830*10000/K830</f>
        <v>75952.454741550449</v>
      </c>
      <c r="M830" s="55">
        <v>55.9</v>
      </c>
      <c r="N830" s="55">
        <v>16.600000000000001</v>
      </c>
      <c r="O830" s="56">
        <v>1.0153000000000001</v>
      </c>
      <c r="P830" s="55">
        <v>14.4</v>
      </c>
      <c r="Q830" s="17" t="s">
        <v>424</v>
      </c>
      <c r="R830" s="17" t="s">
        <v>424</v>
      </c>
      <c r="S830" s="17" t="s">
        <v>424</v>
      </c>
      <c r="T830" s="17" t="s">
        <v>424</v>
      </c>
      <c r="U830" s="17" t="s">
        <v>424</v>
      </c>
      <c r="V830" s="17" t="s">
        <v>424</v>
      </c>
      <c r="W830" s="17" t="s">
        <v>424</v>
      </c>
    </row>
    <row r="831" spans="1:23" x14ac:dyDescent="0.25">
      <c r="A831" s="16" t="s">
        <v>632</v>
      </c>
      <c r="B831" s="17" t="s">
        <v>10</v>
      </c>
      <c r="C831" s="17" t="s">
        <v>13</v>
      </c>
      <c r="D831" s="18" t="s">
        <v>98</v>
      </c>
      <c r="E831" s="18" t="s">
        <v>1626</v>
      </c>
      <c r="F831" s="18">
        <v>5.94</v>
      </c>
      <c r="G831" s="23">
        <v>1.93</v>
      </c>
      <c r="H831" s="20">
        <v>6.89</v>
      </c>
      <c r="I831" s="25">
        <v>8.2311590649011013</v>
      </c>
      <c r="J831" s="24">
        <f>G831/F831*((100-H831)/100)*((100-I831)/100)*100</f>
        <v>27.762747111736395</v>
      </c>
      <c r="K831" s="53">
        <v>5.4736842105263159</v>
      </c>
      <c r="L831" s="54">
        <f>J831*10000/K831</f>
        <v>50720.403377210721</v>
      </c>
      <c r="M831" s="55">
        <v>50.6</v>
      </c>
      <c r="N831" s="55">
        <v>19.2</v>
      </c>
      <c r="O831" s="56">
        <v>3.8975</v>
      </c>
      <c r="P831" s="55">
        <v>18.399999999999999</v>
      </c>
      <c r="Q831" s="17" t="s">
        <v>424</v>
      </c>
      <c r="R831" s="17" t="s">
        <v>424</v>
      </c>
      <c r="S831" s="17" t="s">
        <v>424</v>
      </c>
      <c r="T831" s="17" t="s">
        <v>424</v>
      </c>
      <c r="U831" s="17" t="s">
        <v>424</v>
      </c>
      <c r="V831" s="17" t="s">
        <v>424</v>
      </c>
      <c r="W831" s="17" t="s">
        <v>424</v>
      </c>
    </row>
    <row r="832" spans="1:23" x14ac:dyDescent="0.25">
      <c r="A832" s="16" t="s">
        <v>631</v>
      </c>
      <c r="B832" s="17" t="s">
        <v>10</v>
      </c>
      <c r="C832" s="17" t="s">
        <v>13</v>
      </c>
      <c r="D832" s="18" t="s">
        <v>59</v>
      </c>
      <c r="E832" s="18" t="s">
        <v>1517</v>
      </c>
      <c r="F832" s="18">
        <v>5.94</v>
      </c>
      <c r="G832" s="23">
        <v>1.77</v>
      </c>
      <c r="H832" s="20">
        <v>6.89</v>
      </c>
      <c r="I832" s="25">
        <v>8.7261458163431751</v>
      </c>
      <c r="J832" s="24">
        <f>G832/F832*((100-H832)/100)*((100-I832)/100)*100</f>
        <v>25.323838647443274</v>
      </c>
      <c r="K832" s="53">
        <v>5.1515151515151514</v>
      </c>
      <c r="L832" s="54">
        <f>J832*10000/K832</f>
        <v>49158.039727389885</v>
      </c>
      <c r="M832" s="55">
        <v>48.9</v>
      </c>
      <c r="N832" s="55">
        <v>20</v>
      </c>
      <c r="O832" s="56">
        <v>5.0848000000000004</v>
      </c>
      <c r="P832" s="55">
        <v>50.1</v>
      </c>
      <c r="Q832" s="17" t="s">
        <v>424</v>
      </c>
      <c r="R832" s="17" t="s">
        <v>424</v>
      </c>
      <c r="S832" s="17" t="s">
        <v>424</v>
      </c>
      <c r="T832" s="17" t="s">
        <v>424</v>
      </c>
      <c r="U832" s="17" t="s">
        <v>424</v>
      </c>
      <c r="V832" s="17" t="s">
        <v>424</v>
      </c>
      <c r="W832" s="17" t="s">
        <v>424</v>
      </c>
    </row>
    <row r="833" spans="1:23" x14ac:dyDescent="0.25">
      <c r="A833" s="16" t="s">
        <v>1051</v>
      </c>
      <c r="B833" s="17" t="s">
        <v>10</v>
      </c>
      <c r="C833" s="17" t="s">
        <v>427</v>
      </c>
      <c r="D833" s="18" t="s">
        <v>198</v>
      </c>
      <c r="E833" s="18" t="s">
        <v>1722</v>
      </c>
      <c r="F833" s="18">
        <v>5.94</v>
      </c>
      <c r="G833" s="26">
        <v>1.78</v>
      </c>
      <c r="H833" s="17">
        <v>7.26</v>
      </c>
      <c r="I833" s="25">
        <v>8.2604622111180603</v>
      </c>
      <c r="J833" s="24">
        <f>G833/F833*((100-H833)/100)*((100-I833)/100)*100</f>
        <v>25.495127992395322</v>
      </c>
      <c r="K833" s="53">
        <v>5.1909184726522186</v>
      </c>
      <c r="L833" s="54">
        <f>J833*10000/K833</f>
        <v>49114.868836244663</v>
      </c>
      <c r="M833" s="55">
        <v>50.6</v>
      </c>
      <c r="N833" s="55">
        <v>17.100000000000001</v>
      </c>
      <c r="O833" s="56">
        <v>3.3243999999999998</v>
      </c>
      <c r="P833" s="55">
        <v>11.7</v>
      </c>
      <c r="Q833" s="17" t="s">
        <v>424</v>
      </c>
      <c r="R833" s="17" t="s">
        <v>424</v>
      </c>
      <c r="S833" s="17" t="s">
        <v>424</v>
      </c>
      <c r="T833" s="17" t="s">
        <v>424</v>
      </c>
      <c r="U833" s="17" t="s">
        <v>424</v>
      </c>
      <c r="V833" s="17" t="s">
        <v>424</v>
      </c>
      <c r="W833" s="17" t="s">
        <v>424</v>
      </c>
    </row>
    <row r="834" spans="1:23" x14ac:dyDescent="0.25">
      <c r="A834" s="16" t="s">
        <v>1050</v>
      </c>
      <c r="B834" s="17" t="s">
        <v>10</v>
      </c>
      <c r="C834" s="17" t="s">
        <v>427</v>
      </c>
      <c r="D834" s="18" t="s">
        <v>89</v>
      </c>
      <c r="E834" s="18" t="s">
        <v>1752</v>
      </c>
      <c r="F834" s="18">
        <v>5.94</v>
      </c>
      <c r="G834" s="26">
        <v>1.6</v>
      </c>
      <c r="H834" s="17">
        <v>7.26</v>
      </c>
      <c r="I834" s="25">
        <v>8.5028446730574352</v>
      </c>
      <c r="J834" s="24">
        <f>G834/F834*((100-H834)/100)*((100-I834)/100)*100</f>
        <v>22.856420700392334</v>
      </c>
      <c r="K834" s="53">
        <v>5.0157728706624605</v>
      </c>
      <c r="L834" s="54">
        <f>J834*10000/K834</f>
        <v>45569.090327197293</v>
      </c>
      <c r="M834" s="55">
        <v>51.1</v>
      </c>
      <c r="N834" s="55">
        <v>17.2</v>
      </c>
      <c r="O834" s="56">
        <v>5.7495000000000003</v>
      </c>
      <c r="P834" s="55">
        <v>17.100000000000001</v>
      </c>
      <c r="Q834" s="17" t="s">
        <v>424</v>
      </c>
      <c r="R834" s="17" t="s">
        <v>424</v>
      </c>
      <c r="S834" s="17" t="s">
        <v>424</v>
      </c>
      <c r="T834" s="17" t="s">
        <v>424</v>
      </c>
      <c r="U834" s="17" t="s">
        <v>424</v>
      </c>
      <c r="V834" s="17" t="s">
        <v>424</v>
      </c>
      <c r="W834" s="17" t="s">
        <v>424</v>
      </c>
    </row>
    <row r="835" spans="1:23" x14ac:dyDescent="0.25">
      <c r="A835" s="16" t="s">
        <v>1049</v>
      </c>
      <c r="B835" s="17" t="s">
        <v>10</v>
      </c>
      <c r="C835" s="17" t="s">
        <v>427</v>
      </c>
      <c r="D835" s="18" t="s">
        <v>54</v>
      </c>
      <c r="E835" s="18" t="s">
        <v>1730</v>
      </c>
      <c r="F835" s="18">
        <v>5.94</v>
      </c>
      <c r="G835" s="26">
        <v>2.23</v>
      </c>
      <c r="H835" s="17">
        <v>7.26</v>
      </c>
      <c r="I835" s="25">
        <v>6.4881866725184727</v>
      </c>
      <c r="J835" s="24">
        <f>G835/F835*((100-H835)/100)*((100-I835)/100)*100</f>
        <v>32.557570398348687</v>
      </c>
      <c r="K835" s="53">
        <v>4.7967479674796749</v>
      </c>
      <c r="L835" s="54">
        <f>J835*10000/K835</f>
        <v>67874.256932150645</v>
      </c>
      <c r="M835" s="55">
        <v>54.1</v>
      </c>
      <c r="N835" s="55">
        <v>15.5</v>
      </c>
      <c r="O835" s="56">
        <v>1.329</v>
      </c>
      <c r="P835" s="55">
        <v>9.8000000000000007</v>
      </c>
      <c r="Q835" s="17" t="s">
        <v>424</v>
      </c>
      <c r="R835" s="17" t="s">
        <v>424</v>
      </c>
      <c r="S835" s="17" t="s">
        <v>424</v>
      </c>
      <c r="T835" s="17" t="s">
        <v>424</v>
      </c>
      <c r="U835" s="17" t="s">
        <v>424</v>
      </c>
      <c r="V835" s="17" t="s">
        <v>424</v>
      </c>
      <c r="W835" s="17" t="s">
        <v>424</v>
      </c>
    </row>
    <row r="836" spans="1:23" x14ac:dyDescent="0.25">
      <c r="A836" s="16" t="s">
        <v>1048</v>
      </c>
      <c r="B836" s="17" t="s">
        <v>10</v>
      </c>
      <c r="C836" s="17" t="s">
        <v>427</v>
      </c>
      <c r="D836" s="18" t="s">
        <v>281</v>
      </c>
      <c r="E836" s="18" t="s">
        <v>1612</v>
      </c>
      <c r="F836" s="18">
        <v>5.94</v>
      </c>
      <c r="G836" s="26">
        <v>2.2000000000000002</v>
      </c>
      <c r="H836" s="17">
        <v>7.26</v>
      </c>
      <c r="I836" s="25">
        <v>7.9443141408791611</v>
      </c>
      <c r="J836" s="24">
        <f>G836/F836*((100-H836)/100)*((100-I836)/100)*100</f>
        <v>31.619423357684688</v>
      </c>
      <c r="K836" s="53">
        <v>4.7029204431017124</v>
      </c>
      <c r="L836" s="54">
        <f>J836*10000/K836</f>
        <v>67233.591850494413</v>
      </c>
      <c r="M836" s="55">
        <v>50</v>
      </c>
      <c r="N836" s="55">
        <v>15.2</v>
      </c>
      <c r="O836" s="56">
        <v>4.6033999999999997</v>
      </c>
      <c r="P836" s="55">
        <v>16.8</v>
      </c>
      <c r="Q836" s="17" t="s">
        <v>424</v>
      </c>
      <c r="R836" s="17" t="s">
        <v>424</v>
      </c>
      <c r="S836" s="17" t="s">
        <v>424</v>
      </c>
      <c r="T836" s="17" t="s">
        <v>424</v>
      </c>
      <c r="U836" s="17" t="s">
        <v>424</v>
      </c>
      <c r="V836" s="17" t="s">
        <v>424</v>
      </c>
      <c r="W836" s="17" t="s">
        <v>424</v>
      </c>
    </row>
    <row r="837" spans="1:23" x14ac:dyDescent="0.25">
      <c r="A837" s="16" t="s">
        <v>1047</v>
      </c>
      <c r="B837" s="17" t="s">
        <v>10</v>
      </c>
      <c r="C837" s="17" t="s">
        <v>427</v>
      </c>
      <c r="D837" s="18" t="s">
        <v>36</v>
      </c>
      <c r="E837" s="18" t="s">
        <v>1523</v>
      </c>
      <c r="F837" s="18">
        <v>5.94</v>
      </c>
      <c r="G837" s="26">
        <v>1.29</v>
      </c>
      <c r="H837" s="17">
        <v>7.26</v>
      </c>
      <c r="I837" s="25">
        <v>9.8629148629148542</v>
      </c>
      <c r="J837" s="24">
        <f>G837/F837*((100-H837)/100)*((100-I837)/100)*100</f>
        <v>18.154064184412668</v>
      </c>
      <c r="K837" s="53">
        <v>4.7756729810568297</v>
      </c>
      <c r="L837" s="54">
        <f>J837*10000/K837</f>
        <v>38013.625004104186</v>
      </c>
      <c r="M837" s="55">
        <v>49.1</v>
      </c>
      <c r="N837" s="55">
        <v>19.100000000000001</v>
      </c>
      <c r="O837" s="56">
        <v>9.7482000000000006</v>
      </c>
      <c r="P837" s="55">
        <v>62.8</v>
      </c>
      <c r="Q837" s="17" t="s">
        <v>424</v>
      </c>
      <c r="R837" s="17" t="s">
        <v>424</v>
      </c>
      <c r="S837" s="17" t="s">
        <v>424</v>
      </c>
      <c r="T837" s="17" t="s">
        <v>424</v>
      </c>
      <c r="U837" s="17" t="s">
        <v>424</v>
      </c>
      <c r="V837" s="17" t="s">
        <v>424</v>
      </c>
      <c r="W837" s="17" t="s">
        <v>424</v>
      </c>
    </row>
    <row r="838" spans="1:23" x14ac:dyDescent="0.25">
      <c r="A838" s="16" t="s">
        <v>1046</v>
      </c>
      <c r="B838" s="17" t="s">
        <v>10</v>
      </c>
      <c r="C838" s="17" t="s">
        <v>427</v>
      </c>
      <c r="D838" s="18" t="s">
        <v>231</v>
      </c>
      <c r="E838" s="18" t="s">
        <v>1500</v>
      </c>
      <c r="F838" s="18">
        <v>5.94</v>
      </c>
      <c r="G838" s="26">
        <v>1.94</v>
      </c>
      <c r="H838" s="17">
        <v>7.26</v>
      </c>
      <c r="I838" s="25">
        <v>6.0930062248260866</v>
      </c>
      <c r="J838" s="24">
        <f>G838/F838*((100-H838)/100)*((100-I838)/100)*100</f>
        <v>28.443321766425385</v>
      </c>
      <c r="K838" s="53">
        <v>5.0152905198776763</v>
      </c>
      <c r="L838" s="54">
        <f>J838*10000/K838</f>
        <v>56713.208644031096</v>
      </c>
      <c r="M838" s="55">
        <v>56</v>
      </c>
      <c r="N838" s="55">
        <v>17.100000000000001</v>
      </c>
      <c r="O838" s="56">
        <v>47.954999999999998</v>
      </c>
      <c r="P838" s="55">
        <v>46.8</v>
      </c>
      <c r="Q838" s="17" t="s">
        <v>424</v>
      </c>
      <c r="R838" s="17" t="s">
        <v>424</v>
      </c>
      <c r="S838" s="17" t="s">
        <v>424</v>
      </c>
      <c r="T838" s="17" t="s">
        <v>424</v>
      </c>
      <c r="U838" s="17" t="s">
        <v>424</v>
      </c>
      <c r="V838" s="17" t="s">
        <v>424</v>
      </c>
      <c r="W838" s="17" t="s">
        <v>424</v>
      </c>
    </row>
    <row r="839" spans="1:23" x14ac:dyDescent="0.25">
      <c r="A839" s="16" t="s">
        <v>642</v>
      </c>
      <c r="B839" s="17" t="s">
        <v>10</v>
      </c>
      <c r="C839" s="17" t="s">
        <v>13</v>
      </c>
      <c r="D839" s="18" t="s">
        <v>252</v>
      </c>
      <c r="E839" s="18" t="s">
        <v>1652</v>
      </c>
      <c r="F839" s="18">
        <v>5.94</v>
      </c>
      <c r="G839" s="23">
        <v>1.76</v>
      </c>
      <c r="H839" s="20">
        <v>6.89</v>
      </c>
      <c r="I839" s="25">
        <v>6.4220183486238573</v>
      </c>
      <c r="J839" s="24">
        <f>G839/F839*((100-H839)/100)*((100-I839)/100)*100</f>
        <v>25.816432212028545</v>
      </c>
      <c r="K839" s="53">
        <v>4.3927893738140416</v>
      </c>
      <c r="L839" s="54">
        <f>J839*10000/K839</f>
        <v>58770.020629542305</v>
      </c>
      <c r="M839" s="55">
        <v>53.2</v>
      </c>
      <c r="N839" s="55">
        <v>16.8</v>
      </c>
      <c r="O839" s="56">
        <v>1.244</v>
      </c>
      <c r="P839" s="55">
        <v>12.8</v>
      </c>
      <c r="Q839" s="17" t="s">
        <v>424</v>
      </c>
      <c r="R839" s="17" t="s">
        <v>424</v>
      </c>
      <c r="S839" s="17" t="s">
        <v>424</v>
      </c>
      <c r="T839" s="17" t="s">
        <v>424</v>
      </c>
      <c r="U839" s="17" t="s">
        <v>424</v>
      </c>
      <c r="V839" s="17" t="s">
        <v>424</v>
      </c>
      <c r="W839" s="17" t="s">
        <v>424</v>
      </c>
    </row>
    <row r="840" spans="1:23" x14ac:dyDescent="0.25">
      <c r="A840" s="16" t="s">
        <v>641</v>
      </c>
      <c r="B840" s="17" t="s">
        <v>10</v>
      </c>
      <c r="C840" s="17" t="s">
        <v>13</v>
      </c>
      <c r="D840" s="18" t="s">
        <v>8</v>
      </c>
      <c r="E840" s="18" t="s">
        <v>1634</v>
      </c>
      <c r="F840" s="18">
        <v>5.94</v>
      </c>
      <c r="G840" s="23">
        <v>2.23</v>
      </c>
      <c r="H840" s="20">
        <v>6.89</v>
      </c>
      <c r="I840" s="25">
        <v>6.9622181596587449</v>
      </c>
      <c r="J840" s="24">
        <f>G840/F840*((100-H840)/100)*((100-I840)/100)*100</f>
        <v>32.521763878373413</v>
      </c>
      <c r="K840" s="53">
        <v>4.6619576185671043</v>
      </c>
      <c r="L840" s="54">
        <f>J840*10000/K840</f>
        <v>69759.88745339404</v>
      </c>
      <c r="M840" s="55">
        <v>51.1</v>
      </c>
      <c r="N840" s="55">
        <v>17.8</v>
      </c>
      <c r="O840" s="56">
        <v>0.18994</v>
      </c>
      <c r="P840" s="55">
        <v>12.8</v>
      </c>
      <c r="Q840" s="17" t="s">
        <v>424</v>
      </c>
      <c r="R840" s="17" t="s">
        <v>424</v>
      </c>
      <c r="S840" s="17" t="s">
        <v>424</v>
      </c>
      <c r="T840" s="17" t="s">
        <v>424</v>
      </c>
      <c r="U840" s="17" t="s">
        <v>424</v>
      </c>
      <c r="V840" s="17" t="s">
        <v>424</v>
      </c>
      <c r="W840" s="17" t="s">
        <v>424</v>
      </c>
    </row>
    <row r="841" spans="1:23" x14ac:dyDescent="0.25">
      <c r="A841" s="16" t="s">
        <v>640</v>
      </c>
      <c r="B841" s="17" t="s">
        <v>10</v>
      </c>
      <c r="C841" s="17" t="s">
        <v>13</v>
      </c>
      <c r="D841" s="18" t="s">
        <v>78</v>
      </c>
      <c r="E841" s="18" t="s">
        <v>1588</v>
      </c>
      <c r="F841" s="18">
        <v>5.94</v>
      </c>
      <c r="G841" s="23">
        <v>1.82</v>
      </c>
      <c r="H841" s="20">
        <v>6.89</v>
      </c>
      <c r="I841" s="25">
        <v>6.7707920399587662</v>
      </c>
      <c r="J841" s="24">
        <f>G841/F841*((100-H841)/100)*((100-I841)/100)*100</f>
        <v>26.597037418771347</v>
      </c>
      <c r="K841" s="53">
        <v>5.9625000000000004</v>
      </c>
      <c r="L841" s="54">
        <f>J841*10000/K841</f>
        <v>44607.190639448803</v>
      </c>
      <c r="M841" s="55">
        <v>49.9</v>
      </c>
      <c r="N841" s="55">
        <v>17.899999999999999</v>
      </c>
      <c r="O841" s="56">
        <v>2.8285</v>
      </c>
      <c r="P841" s="55">
        <v>16.8</v>
      </c>
      <c r="Q841" s="17" t="s">
        <v>424</v>
      </c>
      <c r="R841" s="17" t="s">
        <v>424</v>
      </c>
      <c r="S841" s="17" t="s">
        <v>424</v>
      </c>
      <c r="T841" s="17" t="s">
        <v>424</v>
      </c>
      <c r="U841" s="17" t="s">
        <v>424</v>
      </c>
      <c r="V841" s="17" t="s">
        <v>424</v>
      </c>
      <c r="W841" s="17" t="s">
        <v>424</v>
      </c>
    </row>
    <row r="842" spans="1:23" x14ac:dyDescent="0.25">
      <c r="A842" s="16" t="s">
        <v>639</v>
      </c>
      <c r="B842" s="17" t="s">
        <v>10</v>
      </c>
      <c r="C842" s="17" t="s">
        <v>13</v>
      </c>
      <c r="D842" s="18" t="s">
        <v>179</v>
      </c>
      <c r="E842" s="18" t="s">
        <v>1666</v>
      </c>
      <c r="F842" s="18">
        <v>5.94</v>
      </c>
      <c r="G842" s="23">
        <v>1.94</v>
      </c>
      <c r="H842" s="20">
        <v>6.89</v>
      </c>
      <c r="I842" s="25">
        <v>6.9058165710551291</v>
      </c>
      <c r="J842" s="24">
        <f>G842/F842*((100-H842)/100)*((100-I842)/100)*100</f>
        <v>28.309627732313082</v>
      </c>
      <c r="K842" s="53">
        <v>5.7125748502994016</v>
      </c>
      <c r="L842" s="54">
        <f>J842*10000/K842</f>
        <v>49556.685862644488</v>
      </c>
      <c r="M842" s="55">
        <v>49.5</v>
      </c>
      <c r="N842" s="55">
        <v>18.899999999999999</v>
      </c>
      <c r="O842" s="56">
        <v>1.8170999999999999</v>
      </c>
      <c r="P842" s="55">
        <v>20.7</v>
      </c>
      <c r="Q842" s="17" t="s">
        <v>424</v>
      </c>
      <c r="R842" s="17" t="s">
        <v>424</v>
      </c>
      <c r="S842" s="17" t="s">
        <v>424</v>
      </c>
      <c r="T842" s="17" t="s">
        <v>424</v>
      </c>
      <c r="U842" s="17" t="s">
        <v>424</v>
      </c>
      <c r="V842" s="17" t="s">
        <v>424</v>
      </c>
      <c r="W842" s="17" t="s">
        <v>424</v>
      </c>
    </row>
    <row r="843" spans="1:23" x14ac:dyDescent="0.25">
      <c r="A843" s="16" t="s">
        <v>638</v>
      </c>
      <c r="B843" s="17" t="s">
        <v>10</v>
      </c>
      <c r="C843" s="17" t="s">
        <v>13</v>
      </c>
      <c r="D843" s="18" t="s">
        <v>43</v>
      </c>
      <c r="E843" s="18" t="s">
        <v>1502</v>
      </c>
      <c r="F843" s="18">
        <v>5.94</v>
      </c>
      <c r="G843" s="23">
        <v>1.62</v>
      </c>
      <c r="H843" s="20">
        <v>6.89</v>
      </c>
      <c r="I843" s="25">
        <v>7.6675446297922187</v>
      </c>
      <c r="J843" s="24">
        <f>G843/F843*((100-H843)/100)*((100-I843)/100)*100</f>
        <v>23.446567962327396</v>
      </c>
      <c r="K843" s="53">
        <v>5</v>
      </c>
      <c r="L843" s="54">
        <f>J843*10000/K843</f>
        <v>46893.135924654795</v>
      </c>
      <c r="M843" s="55">
        <v>47.8</v>
      </c>
      <c r="N843" s="55">
        <v>20.5</v>
      </c>
      <c r="O843" s="56">
        <v>6.5423</v>
      </c>
      <c r="P843" s="55">
        <v>43.3</v>
      </c>
      <c r="Q843" s="17" t="s">
        <v>424</v>
      </c>
      <c r="R843" s="17" t="s">
        <v>424</v>
      </c>
      <c r="S843" s="17" t="s">
        <v>424</v>
      </c>
      <c r="T843" s="17" t="s">
        <v>424</v>
      </c>
      <c r="U843" s="17" t="s">
        <v>424</v>
      </c>
      <c r="V843" s="17" t="s">
        <v>424</v>
      </c>
      <c r="W843" s="17" t="s">
        <v>424</v>
      </c>
    </row>
    <row r="844" spans="1:23" x14ac:dyDescent="0.25">
      <c r="A844" s="16" t="s">
        <v>637</v>
      </c>
      <c r="B844" s="17" t="s">
        <v>10</v>
      </c>
      <c r="C844" s="17" t="s">
        <v>13</v>
      </c>
      <c r="D844" s="18" t="s">
        <v>289</v>
      </c>
      <c r="E844" s="18" t="s">
        <v>1706</v>
      </c>
      <c r="F844" s="18">
        <v>5.94</v>
      </c>
      <c r="G844" s="23">
        <v>1.92</v>
      </c>
      <c r="H844" s="20">
        <v>6.89</v>
      </c>
      <c r="I844" s="25">
        <v>10.035576638007702</v>
      </c>
      <c r="J844" s="24">
        <f>G844/F844*((100-H844)/100)*((100-I844)/100)*100</f>
        <v>27.075838252073066</v>
      </c>
      <c r="K844" s="53">
        <v>4.9161425576519919</v>
      </c>
      <c r="L844" s="54">
        <f>J844*10000/K844</f>
        <v>55075.372478630496</v>
      </c>
      <c r="M844" s="55">
        <v>49.5</v>
      </c>
      <c r="N844" s="55">
        <v>18.600000000000001</v>
      </c>
      <c r="O844" s="56">
        <v>1.1017999999999999</v>
      </c>
      <c r="P844" s="55">
        <v>11.4</v>
      </c>
      <c r="Q844" s="17" t="s">
        <v>424</v>
      </c>
      <c r="R844" s="17" t="s">
        <v>424</v>
      </c>
      <c r="S844" s="17" t="s">
        <v>424</v>
      </c>
      <c r="T844" s="17" t="s">
        <v>424</v>
      </c>
      <c r="U844" s="17" t="s">
        <v>424</v>
      </c>
      <c r="V844" s="17" t="s">
        <v>424</v>
      </c>
      <c r="W844" s="17" t="s">
        <v>424</v>
      </c>
    </row>
    <row r="845" spans="1:23" x14ac:dyDescent="0.25">
      <c r="A845" s="16" t="s">
        <v>1057</v>
      </c>
      <c r="B845" s="17" t="s">
        <v>10</v>
      </c>
      <c r="C845" s="17" t="s">
        <v>427</v>
      </c>
      <c r="D845" s="18" t="s">
        <v>158</v>
      </c>
      <c r="E845" s="18" t="s">
        <v>1670</v>
      </c>
      <c r="F845" s="18">
        <v>5.94</v>
      </c>
      <c r="G845" s="26">
        <v>1.54</v>
      </c>
      <c r="H845" s="17">
        <v>7.26</v>
      </c>
      <c r="I845" s="25">
        <v>6.0192501077431375</v>
      </c>
      <c r="J845" s="24">
        <f>G845/F845*((100-H845)/100)*((100-I845)/100)*100</f>
        <v>22.596453042613078</v>
      </c>
      <c r="K845" s="53">
        <v>5.3837719298245617</v>
      </c>
      <c r="L845" s="54">
        <f>J845*10000/K845</f>
        <v>41971.41583475178</v>
      </c>
      <c r="M845" s="55">
        <v>51</v>
      </c>
      <c r="N845" s="55">
        <v>18.600000000000001</v>
      </c>
      <c r="O845" s="56">
        <v>6.4348999999999998</v>
      </c>
      <c r="P845" s="55">
        <v>14.2</v>
      </c>
      <c r="Q845" s="17" t="s">
        <v>424</v>
      </c>
      <c r="R845" s="17" t="s">
        <v>424</v>
      </c>
      <c r="S845" s="17" t="s">
        <v>424</v>
      </c>
      <c r="T845" s="17" t="s">
        <v>424</v>
      </c>
      <c r="U845" s="17" t="s">
        <v>424</v>
      </c>
      <c r="V845" s="17" t="s">
        <v>424</v>
      </c>
      <c r="W845" s="17" t="s">
        <v>424</v>
      </c>
    </row>
    <row r="846" spans="1:23" x14ac:dyDescent="0.25">
      <c r="A846" s="58" t="s">
        <v>1056</v>
      </c>
      <c r="B846" s="59" t="s">
        <v>10</v>
      </c>
      <c r="C846" s="59" t="s">
        <v>427</v>
      </c>
      <c r="D846" s="60" t="s">
        <v>159</v>
      </c>
      <c r="E846" s="18" t="s">
        <v>1496</v>
      </c>
      <c r="F846" s="60">
        <v>5.94</v>
      </c>
      <c r="G846" s="61" t="s">
        <v>424</v>
      </c>
      <c r="H846" s="61" t="s">
        <v>424</v>
      </c>
      <c r="I846" s="61" t="s">
        <v>424</v>
      </c>
      <c r="J846" s="61" t="s">
        <v>424</v>
      </c>
      <c r="K846" s="61" t="s">
        <v>424</v>
      </c>
      <c r="L846" s="61" t="s">
        <v>424</v>
      </c>
      <c r="M846" s="61" t="s">
        <v>424</v>
      </c>
      <c r="N846" s="61" t="s">
        <v>424</v>
      </c>
      <c r="O846" s="61" t="s">
        <v>424</v>
      </c>
      <c r="P846" s="61" t="s">
        <v>424</v>
      </c>
      <c r="Q846" s="17" t="s">
        <v>424</v>
      </c>
      <c r="R846" s="17" t="s">
        <v>424</v>
      </c>
      <c r="S846" s="17" t="s">
        <v>424</v>
      </c>
      <c r="T846" s="17" t="s">
        <v>424</v>
      </c>
      <c r="U846" s="17" t="s">
        <v>424</v>
      </c>
      <c r="V846" s="17" t="s">
        <v>424</v>
      </c>
      <c r="W846" s="17" t="s">
        <v>424</v>
      </c>
    </row>
    <row r="847" spans="1:23" x14ac:dyDescent="0.25">
      <c r="A847" s="16" t="s">
        <v>1055</v>
      </c>
      <c r="B847" s="17" t="s">
        <v>10</v>
      </c>
      <c r="C847" s="17" t="s">
        <v>427</v>
      </c>
      <c r="D847" s="18" t="s">
        <v>30</v>
      </c>
      <c r="E847" s="18" t="s">
        <v>1606</v>
      </c>
      <c r="F847" s="18">
        <v>5.94</v>
      </c>
      <c r="G847" s="26">
        <v>1.47</v>
      </c>
      <c r="H847" s="17">
        <v>7.26</v>
      </c>
      <c r="I847" s="25">
        <v>5.3843979649519529</v>
      </c>
      <c r="J847" s="24">
        <f>G847/F847*((100-H847)/100)*((100-I847)/100)*100</f>
        <v>21.715045237565018</v>
      </c>
      <c r="K847" s="53">
        <v>4.71976401179941</v>
      </c>
      <c r="L847" s="54">
        <f>J847*10000/K847</f>
        <v>46008.752097090881</v>
      </c>
      <c r="M847" s="55">
        <v>50.9</v>
      </c>
      <c r="N847" s="55">
        <v>18.600000000000001</v>
      </c>
      <c r="O847" s="56">
        <v>1.9737</v>
      </c>
      <c r="P847" s="55">
        <v>16.399999999999999</v>
      </c>
      <c r="Q847" s="17" t="s">
        <v>424</v>
      </c>
      <c r="R847" s="17" t="s">
        <v>424</v>
      </c>
      <c r="S847" s="17" t="s">
        <v>424</v>
      </c>
      <c r="T847" s="17" t="s">
        <v>424</v>
      </c>
      <c r="U847" s="17" t="s">
        <v>424</v>
      </c>
      <c r="V847" s="17" t="s">
        <v>424</v>
      </c>
      <c r="W847" s="17" t="s">
        <v>424</v>
      </c>
    </row>
    <row r="848" spans="1:23" x14ac:dyDescent="0.25">
      <c r="A848" s="16" t="s">
        <v>1054</v>
      </c>
      <c r="B848" s="17" t="s">
        <v>10</v>
      </c>
      <c r="C848" s="17" t="s">
        <v>427</v>
      </c>
      <c r="D848" s="18" t="s">
        <v>292</v>
      </c>
      <c r="E848" s="18" t="s">
        <v>1602</v>
      </c>
      <c r="F848" s="18">
        <v>5.94</v>
      </c>
      <c r="G848" s="26">
        <v>1.99</v>
      </c>
      <c r="H848" s="17">
        <v>7.26</v>
      </c>
      <c r="I848" s="25">
        <v>11.2876126470139</v>
      </c>
      <c r="J848" s="24">
        <f>G848/F848*((100-H848)/100)*((100-I848)/100)*100</f>
        <v>27.562460838721719</v>
      </c>
      <c r="K848" s="53">
        <v>4.0987654320987659</v>
      </c>
      <c r="L848" s="54">
        <f>J848*10000/K848</f>
        <v>67245.762889652382</v>
      </c>
      <c r="M848" s="55">
        <v>52.8</v>
      </c>
      <c r="N848" s="55">
        <v>17.899999999999999</v>
      </c>
      <c r="O848" s="56">
        <v>25.184999999999999</v>
      </c>
      <c r="P848" s="55">
        <v>14.6</v>
      </c>
      <c r="Q848" s="17" t="s">
        <v>424</v>
      </c>
      <c r="R848" s="17" t="s">
        <v>424</v>
      </c>
      <c r="S848" s="17" t="s">
        <v>424</v>
      </c>
      <c r="T848" s="17" t="s">
        <v>424</v>
      </c>
      <c r="U848" s="17" t="s">
        <v>424</v>
      </c>
      <c r="V848" s="17" t="s">
        <v>424</v>
      </c>
      <c r="W848" s="17" t="s">
        <v>424</v>
      </c>
    </row>
    <row r="849" spans="1:23" x14ac:dyDescent="0.25">
      <c r="A849" s="16" t="s">
        <v>1053</v>
      </c>
      <c r="B849" s="17" t="s">
        <v>10</v>
      </c>
      <c r="C849" s="17" t="s">
        <v>427</v>
      </c>
      <c r="D849" s="18" t="s">
        <v>51</v>
      </c>
      <c r="E849" s="18" t="s">
        <v>1519</v>
      </c>
      <c r="F849" s="18">
        <v>5.94</v>
      </c>
      <c r="G849" s="26">
        <v>1.44</v>
      </c>
      <c r="H849" s="17">
        <v>7.26</v>
      </c>
      <c r="I849" s="25">
        <v>12.462562396006659</v>
      </c>
      <c r="J849" s="24">
        <f>G849/F849*((100-H849)/100)*((100-I849)/100)*100</f>
        <v>19.680538093077189</v>
      </c>
      <c r="K849" s="53">
        <v>5.954106280193237</v>
      </c>
      <c r="L849" s="54">
        <f>J849*10000/K849</f>
        <v>33053.723207034302</v>
      </c>
      <c r="M849" s="55">
        <v>45.7</v>
      </c>
      <c r="N849" s="55">
        <v>20.6</v>
      </c>
      <c r="O849" s="56">
        <v>1.673</v>
      </c>
      <c r="P849" s="55">
        <v>23.5</v>
      </c>
      <c r="Q849" s="17" t="s">
        <v>424</v>
      </c>
      <c r="R849" s="17" t="s">
        <v>424</v>
      </c>
      <c r="S849" s="17" t="s">
        <v>424</v>
      </c>
      <c r="T849" s="17" t="s">
        <v>424</v>
      </c>
      <c r="U849" s="17" t="s">
        <v>424</v>
      </c>
      <c r="V849" s="17" t="s">
        <v>424</v>
      </c>
      <c r="W849" s="17" t="s">
        <v>424</v>
      </c>
    </row>
    <row r="850" spans="1:23" x14ac:dyDescent="0.25">
      <c r="A850" s="16" t="s">
        <v>1052</v>
      </c>
      <c r="B850" s="17" t="s">
        <v>10</v>
      </c>
      <c r="C850" s="17" t="s">
        <v>427</v>
      </c>
      <c r="D850" s="18" t="s">
        <v>17</v>
      </c>
      <c r="E850" s="18" t="s">
        <v>1716</v>
      </c>
      <c r="F850" s="18">
        <v>5.94</v>
      </c>
      <c r="G850" s="26">
        <v>1.75</v>
      </c>
      <c r="H850" s="17">
        <v>7.26</v>
      </c>
      <c r="I850" s="25">
        <v>5.3355414746543754</v>
      </c>
      <c r="J850" s="24">
        <f>G850/F850*((100-H850)/100)*((100-I850)/100)*100</f>
        <v>25.86459309153361</v>
      </c>
      <c r="K850" s="53">
        <v>5.5928143712574849</v>
      </c>
      <c r="L850" s="54">
        <f>J850*10000/K850</f>
        <v>46246.113985932687</v>
      </c>
      <c r="M850" s="55">
        <v>52.2</v>
      </c>
      <c r="N850" s="55">
        <v>17.2</v>
      </c>
      <c r="O850" s="56">
        <v>2.806</v>
      </c>
      <c r="P850" s="55">
        <v>20.100000000000001</v>
      </c>
      <c r="Q850" s="17" t="s">
        <v>424</v>
      </c>
      <c r="R850" s="17" t="s">
        <v>424</v>
      </c>
      <c r="S850" s="17" t="s">
        <v>424</v>
      </c>
      <c r="T850" s="17" t="s">
        <v>424</v>
      </c>
      <c r="U850" s="17" t="s">
        <v>424</v>
      </c>
      <c r="V850" s="17" t="s">
        <v>424</v>
      </c>
      <c r="W850" s="17" t="s">
        <v>424</v>
      </c>
    </row>
    <row r="851" spans="1:23" x14ac:dyDescent="0.25">
      <c r="A851" s="16" t="s">
        <v>648</v>
      </c>
      <c r="B851" s="17" t="s">
        <v>10</v>
      </c>
      <c r="C851" s="17" t="s">
        <v>13</v>
      </c>
      <c r="D851" s="18" t="s">
        <v>200</v>
      </c>
      <c r="E851" s="18" t="s">
        <v>1608</v>
      </c>
      <c r="F851" s="18">
        <v>5.94</v>
      </c>
      <c r="G851" s="23">
        <v>1.98</v>
      </c>
      <c r="H851" s="20">
        <v>6.89</v>
      </c>
      <c r="I851" s="25">
        <v>4.259900038446756</v>
      </c>
      <c r="J851" s="24">
        <f>G851/F851*((100-H851)/100)*((100-I851)/100)*100</f>
        <v>29.714535691400741</v>
      </c>
      <c r="K851" s="53">
        <v>5.236559139784946</v>
      </c>
      <c r="L851" s="54">
        <f>J851*10000/K851</f>
        <v>56744.390540046588</v>
      </c>
      <c r="M851" s="55">
        <v>49.3</v>
      </c>
      <c r="N851" s="55">
        <v>18.399999999999999</v>
      </c>
      <c r="O851" s="56">
        <v>1.6348</v>
      </c>
      <c r="P851" s="55">
        <v>20.3</v>
      </c>
      <c r="Q851" s="17" t="s">
        <v>424</v>
      </c>
      <c r="R851" s="17" t="s">
        <v>424</v>
      </c>
      <c r="S851" s="17" t="s">
        <v>424</v>
      </c>
      <c r="T851" s="17" t="s">
        <v>424</v>
      </c>
      <c r="U851" s="17" t="s">
        <v>424</v>
      </c>
      <c r="V851" s="17" t="s">
        <v>424</v>
      </c>
      <c r="W851" s="17" t="s">
        <v>424</v>
      </c>
    </row>
    <row r="852" spans="1:23" x14ac:dyDescent="0.25">
      <c r="A852" s="16" t="s">
        <v>647</v>
      </c>
      <c r="B852" s="17" t="s">
        <v>10</v>
      </c>
      <c r="C852" s="17" t="s">
        <v>13</v>
      </c>
      <c r="D852" s="18" t="s">
        <v>15</v>
      </c>
      <c r="E852" s="18" t="s">
        <v>1648</v>
      </c>
      <c r="F852" s="18">
        <v>5.94</v>
      </c>
      <c r="G852" s="23">
        <v>2.13</v>
      </c>
      <c r="H852" s="20">
        <v>6.89</v>
      </c>
      <c r="I852" s="25">
        <v>4.0774015203869993</v>
      </c>
      <c r="J852" s="24">
        <f>G852/F852*((100-H852)/100)*((100-I852)/100)*100</f>
        <v>32.026569356313658</v>
      </c>
      <c r="K852" s="53">
        <v>4.7489959839357434</v>
      </c>
      <c r="L852" s="54">
        <f>J852*10000/K852</f>
        <v>67438.611160440589</v>
      </c>
      <c r="M852" s="55">
        <v>51.3</v>
      </c>
      <c r="N852" s="55">
        <v>17.100000000000001</v>
      </c>
      <c r="O852" s="56">
        <v>2.7785000000000002</v>
      </c>
      <c r="P852" s="55">
        <v>20.5</v>
      </c>
      <c r="Q852" s="17" t="s">
        <v>424</v>
      </c>
      <c r="R852" s="17" t="s">
        <v>424</v>
      </c>
      <c r="S852" s="17" t="s">
        <v>424</v>
      </c>
      <c r="T852" s="17" t="s">
        <v>424</v>
      </c>
      <c r="U852" s="17" t="s">
        <v>424</v>
      </c>
      <c r="V852" s="17" t="s">
        <v>424</v>
      </c>
      <c r="W852" s="17" t="s">
        <v>424</v>
      </c>
    </row>
    <row r="853" spans="1:23" x14ac:dyDescent="0.25">
      <c r="A853" s="16" t="s">
        <v>646</v>
      </c>
      <c r="B853" s="17" t="s">
        <v>10</v>
      </c>
      <c r="C853" s="17" t="s">
        <v>13</v>
      </c>
      <c r="D853" s="18" t="s">
        <v>207</v>
      </c>
      <c r="E853" s="18" t="s">
        <v>1628</v>
      </c>
      <c r="F853" s="18">
        <v>5.94</v>
      </c>
      <c r="G853" s="23">
        <v>1.78</v>
      </c>
      <c r="H853" s="20">
        <v>6.89</v>
      </c>
      <c r="I853" s="25">
        <v>8.5422188564937631</v>
      </c>
      <c r="J853" s="24">
        <f>G853/F853*((100-H853)/100)*((100-I853)/100)*100</f>
        <v>25.518229838457774</v>
      </c>
      <c r="K853" s="53">
        <v>4.2791970802919712</v>
      </c>
      <c r="L853" s="54">
        <f>J853*10000/K853</f>
        <v>59633.219409274447</v>
      </c>
      <c r="M853" s="55">
        <v>51.5</v>
      </c>
      <c r="N853" s="55">
        <v>17.2</v>
      </c>
      <c r="O853" s="56">
        <v>1.3416999999999999</v>
      </c>
      <c r="P853" s="55">
        <v>19.7</v>
      </c>
      <c r="Q853" s="17" t="s">
        <v>424</v>
      </c>
      <c r="R853" s="17" t="s">
        <v>424</v>
      </c>
      <c r="S853" s="17" t="s">
        <v>424</v>
      </c>
      <c r="T853" s="17" t="s">
        <v>424</v>
      </c>
      <c r="U853" s="17" t="s">
        <v>424</v>
      </c>
      <c r="V853" s="17" t="s">
        <v>424</v>
      </c>
      <c r="W853" s="17" t="s">
        <v>424</v>
      </c>
    </row>
    <row r="854" spans="1:23" x14ac:dyDescent="0.25">
      <c r="A854" s="16" t="s">
        <v>645</v>
      </c>
      <c r="B854" s="17" t="s">
        <v>10</v>
      </c>
      <c r="C854" s="17" t="s">
        <v>13</v>
      </c>
      <c r="D854" s="18" t="s">
        <v>16</v>
      </c>
      <c r="E854" s="18" t="s">
        <v>1541</v>
      </c>
      <c r="F854" s="18">
        <v>5.94</v>
      </c>
      <c r="G854" s="23">
        <v>1.83</v>
      </c>
      <c r="H854" s="20">
        <v>6.89</v>
      </c>
      <c r="I854" s="25">
        <v>8.7638878098049879</v>
      </c>
      <c r="J854" s="24">
        <f>G854/F854*((100-H854)/100)*((100-I854)/100)*100</f>
        <v>26.171447412513764</v>
      </c>
      <c r="K854" s="53">
        <v>5.1312910284463893</v>
      </c>
      <c r="L854" s="54">
        <f>J854*10000/K854</f>
        <v>51003.630991551348</v>
      </c>
      <c r="M854" s="55">
        <v>51.3</v>
      </c>
      <c r="N854" s="55">
        <v>16.399999999999999</v>
      </c>
      <c r="O854" s="56">
        <v>1.3136000000000001</v>
      </c>
      <c r="P854" s="55">
        <v>13.9</v>
      </c>
      <c r="Q854" s="17" t="s">
        <v>424</v>
      </c>
      <c r="R854" s="17" t="s">
        <v>424</v>
      </c>
      <c r="S854" s="17" t="s">
        <v>424</v>
      </c>
      <c r="T854" s="17" t="s">
        <v>424</v>
      </c>
      <c r="U854" s="17" t="s">
        <v>424</v>
      </c>
      <c r="V854" s="17" t="s">
        <v>424</v>
      </c>
      <c r="W854" s="17" t="s">
        <v>424</v>
      </c>
    </row>
    <row r="855" spans="1:23" x14ac:dyDescent="0.25">
      <c r="A855" s="16" t="s">
        <v>644</v>
      </c>
      <c r="B855" s="17" t="s">
        <v>10</v>
      </c>
      <c r="C855" s="17" t="s">
        <v>13</v>
      </c>
      <c r="D855" s="18" t="s">
        <v>101</v>
      </c>
      <c r="E855" s="18" t="s">
        <v>1792</v>
      </c>
      <c r="F855" s="18">
        <v>5.94</v>
      </c>
      <c r="G855" s="23">
        <v>2.2200000000000002</v>
      </c>
      <c r="H855" s="20">
        <v>6.89</v>
      </c>
      <c r="I855" s="25">
        <v>5.8748880262765031</v>
      </c>
      <c r="J855" s="24">
        <f>G855/F855*((100-H855)/100)*((100-I855)/100)*100</f>
        <v>32.754302980536934</v>
      </c>
      <c r="K855" s="53">
        <v>5.15625</v>
      </c>
      <c r="L855" s="54">
        <f>J855*10000/K855</f>
        <v>63523.496689526175</v>
      </c>
      <c r="M855" s="55">
        <v>52</v>
      </c>
      <c r="N855" s="55">
        <v>16.7</v>
      </c>
      <c r="O855" s="56">
        <v>0.69677999999999995</v>
      </c>
      <c r="P855" s="55">
        <v>14.8</v>
      </c>
      <c r="Q855" s="17" t="s">
        <v>424</v>
      </c>
      <c r="R855" s="17" t="s">
        <v>424</v>
      </c>
      <c r="S855" s="17" t="s">
        <v>424</v>
      </c>
      <c r="T855" s="17" t="s">
        <v>424</v>
      </c>
      <c r="U855" s="17" t="s">
        <v>424</v>
      </c>
      <c r="V855" s="17" t="s">
        <v>424</v>
      </c>
      <c r="W855" s="17" t="s">
        <v>424</v>
      </c>
    </row>
    <row r="856" spans="1:23" s="63" customFormat="1" x14ac:dyDescent="0.25">
      <c r="A856" s="16" t="s">
        <v>643</v>
      </c>
      <c r="B856" s="17" t="s">
        <v>10</v>
      </c>
      <c r="C856" s="17" t="s">
        <v>13</v>
      </c>
      <c r="D856" s="18" t="s">
        <v>40</v>
      </c>
      <c r="E856" s="18" t="s">
        <v>1590</v>
      </c>
      <c r="F856" s="18">
        <v>5.94</v>
      </c>
      <c r="G856" s="23">
        <v>1.83</v>
      </c>
      <c r="H856" s="20">
        <v>6.89</v>
      </c>
      <c r="I856" s="25">
        <v>6.8167098445595879</v>
      </c>
      <c r="J856" s="24">
        <f>G856/F856*((100-H856)/100)*((100-I856)/100)*100</f>
        <v>26.730003279230125</v>
      </c>
      <c r="K856" s="53">
        <v>5.057232049947971</v>
      </c>
      <c r="L856" s="54">
        <f>J856*10000/K856</f>
        <v>52855.006484238991</v>
      </c>
      <c r="M856" s="55">
        <v>50.1</v>
      </c>
      <c r="N856" s="55">
        <v>17.899999999999999</v>
      </c>
      <c r="O856" s="56">
        <v>1.0620000000000001</v>
      </c>
      <c r="P856" s="55">
        <v>17</v>
      </c>
      <c r="Q856" s="17" t="s">
        <v>424</v>
      </c>
      <c r="R856" s="17" t="s">
        <v>424</v>
      </c>
      <c r="S856" s="17" t="s">
        <v>424</v>
      </c>
      <c r="T856" s="17" t="s">
        <v>424</v>
      </c>
      <c r="U856" s="17" t="s">
        <v>424</v>
      </c>
      <c r="V856" s="17" t="s">
        <v>424</v>
      </c>
      <c r="W856" s="17" t="s">
        <v>424</v>
      </c>
    </row>
    <row r="857" spans="1:23" x14ac:dyDescent="0.25">
      <c r="A857" s="16" t="s">
        <v>1063</v>
      </c>
      <c r="B857" s="17" t="s">
        <v>10</v>
      </c>
      <c r="C857" s="17" t="s">
        <v>427</v>
      </c>
      <c r="D857" s="18" t="s">
        <v>34</v>
      </c>
      <c r="E857" s="18" t="s">
        <v>1684</v>
      </c>
      <c r="F857" s="18">
        <v>5.94</v>
      </c>
      <c r="G857" s="26">
        <v>1.45</v>
      </c>
      <c r="H857" s="17">
        <v>7.26</v>
      </c>
      <c r="I857" s="25">
        <v>8.6273252084669689</v>
      </c>
      <c r="J857" s="24">
        <f>G857/F857*((100-H857)/100)*((100-I857)/100)*100</f>
        <v>20.685450668757273</v>
      </c>
      <c r="K857" s="53">
        <v>5.3571428571428568</v>
      </c>
      <c r="L857" s="54">
        <f>J857*10000/K857</f>
        <v>38612.841248346907</v>
      </c>
      <c r="M857" s="55">
        <v>49.4</v>
      </c>
      <c r="N857" s="55">
        <v>16.899999999999999</v>
      </c>
      <c r="O857" s="56">
        <v>4.0419999999999998</v>
      </c>
      <c r="P857" s="55">
        <v>17.3</v>
      </c>
      <c r="Q857" s="17" t="s">
        <v>424</v>
      </c>
      <c r="R857" s="17" t="s">
        <v>424</v>
      </c>
      <c r="S857" s="17" t="s">
        <v>424</v>
      </c>
      <c r="T857" s="17" t="s">
        <v>424</v>
      </c>
      <c r="U857" s="17" t="s">
        <v>424</v>
      </c>
      <c r="V857" s="17" t="s">
        <v>424</v>
      </c>
      <c r="W857" s="17" t="s">
        <v>424</v>
      </c>
    </row>
    <row r="858" spans="1:23" x14ac:dyDescent="0.25">
      <c r="A858" s="16" t="s">
        <v>1062</v>
      </c>
      <c r="B858" s="17" t="s">
        <v>10</v>
      </c>
      <c r="C858" s="17" t="s">
        <v>427</v>
      </c>
      <c r="D858" s="18" t="s">
        <v>96</v>
      </c>
      <c r="E858" s="18" t="s">
        <v>1527</v>
      </c>
      <c r="F858" s="18">
        <v>5.94</v>
      </c>
      <c r="G858" s="26">
        <v>1.51</v>
      </c>
      <c r="H858" s="17">
        <v>7.26</v>
      </c>
      <c r="I858" s="25">
        <v>8.1061055127445254</v>
      </c>
      <c r="J858" s="24">
        <f>G858/F858*((100-H858)/100)*((100-I858)/100)*100</f>
        <v>21.664279562070018</v>
      </c>
      <c r="K858" s="53">
        <v>5.0821355236139629</v>
      </c>
      <c r="L858" s="54">
        <f>J858*10000/K858</f>
        <v>42628.29958273979</v>
      </c>
      <c r="M858" s="55">
        <v>47.7</v>
      </c>
      <c r="N858" s="55">
        <v>19</v>
      </c>
      <c r="O858" s="56">
        <v>6.7718999999999996</v>
      </c>
      <c r="P858" s="55">
        <v>45.6</v>
      </c>
      <c r="Q858" s="17" t="s">
        <v>424</v>
      </c>
      <c r="R858" s="17" t="s">
        <v>424</v>
      </c>
      <c r="S858" s="17" t="s">
        <v>424</v>
      </c>
      <c r="T858" s="17" t="s">
        <v>424</v>
      </c>
      <c r="U858" s="17" t="s">
        <v>424</v>
      </c>
      <c r="V858" s="17" t="s">
        <v>424</v>
      </c>
      <c r="W858" s="17" t="s">
        <v>424</v>
      </c>
    </row>
    <row r="859" spans="1:23" x14ac:dyDescent="0.25">
      <c r="A859" s="16" t="s">
        <v>1061</v>
      </c>
      <c r="B859" s="17" t="s">
        <v>10</v>
      </c>
      <c r="C859" s="17" t="s">
        <v>427</v>
      </c>
      <c r="D859" s="18" t="s">
        <v>61</v>
      </c>
      <c r="E859" s="18" t="s">
        <v>1676</v>
      </c>
      <c r="F859" s="18">
        <v>5.94</v>
      </c>
      <c r="G859" s="26">
        <v>2.2799999999999998</v>
      </c>
      <c r="H859" s="17">
        <v>7.26</v>
      </c>
      <c r="I859" s="25">
        <v>6.5670048051254772</v>
      </c>
      <c r="J859" s="24">
        <f>G859/F859*((100-H859)/100)*((100-I859)/100)*100</f>
        <v>33.259503740016278</v>
      </c>
      <c r="K859" s="53">
        <v>4.6284101599247416</v>
      </c>
      <c r="L859" s="54">
        <f>J859*10000/K859</f>
        <v>71859.456251295327</v>
      </c>
      <c r="M859" s="55">
        <v>53</v>
      </c>
      <c r="N859" s="55">
        <v>16</v>
      </c>
      <c r="O859" s="56">
        <v>2.6374</v>
      </c>
      <c r="P859" s="55">
        <v>18.5</v>
      </c>
      <c r="Q859" s="17" t="s">
        <v>424</v>
      </c>
      <c r="R859" s="17" t="s">
        <v>424</v>
      </c>
      <c r="S859" s="17" t="s">
        <v>424</v>
      </c>
      <c r="T859" s="17" t="s">
        <v>424</v>
      </c>
      <c r="U859" s="17" t="s">
        <v>424</v>
      </c>
      <c r="V859" s="17" t="s">
        <v>424</v>
      </c>
      <c r="W859" s="17" t="s">
        <v>424</v>
      </c>
    </row>
    <row r="860" spans="1:23" x14ac:dyDescent="0.25">
      <c r="A860" s="16" t="s">
        <v>1060</v>
      </c>
      <c r="B860" s="17" t="s">
        <v>10</v>
      </c>
      <c r="C860" s="17" t="s">
        <v>427</v>
      </c>
      <c r="D860" s="18" t="s">
        <v>12</v>
      </c>
      <c r="E860" s="18" t="s">
        <v>1708</v>
      </c>
      <c r="F860" s="18">
        <v>5.94</v>
      </c>
      <c r="G860" s="26">
        <v>2.15</v>
      </c>
      <c r="H860" s="17">
        <v>7.26</v>
      </c>
      <c r="I860" s="25">
        <v>8.6528261857857149</v>
      </c>
      <c r="J860" s="24">
        <f>G860/F860*((100-H860)/100)*((100-I860)/100)*100</f>
        <v>30.662970259242421</v>
      </c>
      <c r="K860" s="53">
        <v>5.1914893617021276</v>
      </c>
      <c r="L860" s="54">
        <f>J860*10000/K860</f>
        <v>59063.918122311225</v>
      </c>
      <c r="M860" s="55">
        <v>50.3</v>
      </c>
      <c r="N860" s="55">
        <v>17.8</v>
      </c>
      <c r="O860" s="56">
        <v>4.3677999999999999</v>
      </c>
      <c r="P860" s="55">
        <v>16.899999999999999</v>
      </c>
      <c r="Q860" s="17" t="s">
        <v>424</v>
      </c>
      <c r="R860" s="17" t="s">
        <v>424</v>
      </c>
      <c r="S860" s="17" t="s">
        <v>424</v>
      </c>
      <c r="T860" s="17" t="s">
        <v>424</v>
      </c>
      <c r="U860" s="17" t="s">
        <v>424</v>
      </c>
      <c r="V860" s="17" t="s">
        <v>424</v>
      </c>
      <c r="W860" s="17" t="s">
        <v>424</v>
      </c>
    </row>
    <row r="861" spans="1:23" x14ac:dyDescent="0.25">
      <c r="A861" s="16" t="s">
        <v>1059</v>
      </c>
      <c r="B861" s="17" t="s">
        <v>10</v>
      </c>
      <c r="C861" s="17" t="s">
        <v>427</v>
      </c>
      <c r="D861" s="18" t="s">
        <v>38</v>
      </c>
      <c r="E861" s="18" t="s">
        <v>1549</v>
      </c>
      <c r="F861" s="18">
        <v>5.94</v>
      </c>
      <c r="G861" s="26">
        <v>2.0099999999999998</v>
      </c>
      <c r="H861" s="17">
        <v>7.26</v>
      </c>
      <c r="I861" s="25">
        <v>6.0025542784163539</v>
      </c>
      <c r="J861" s="24">
        <f>G861/F861*((100-H861)/100)*((100-I861)/100)*100</f>
        <v>29.498012564985736</v>
      </c>
      <c r="K861" s="53">
        <v>4.66796875</v>
      </c>
      <c r="L861" s="54">
        <f>J861*10000/K861</f>
        <v>63192.395118295797</v>
      </c>
      <c r="M861" s="55">
        <v>51.4</v>
      </c>
      <c r="N861" s="55">
        <v>17.600000000000001</v>
      </c>
      <c r="O861" s="56">
        <v>5.3318000000000003</v>
      </c>
      <c r="P861" s="55">
        <v>19.3</v>
      </c>
      <c r="Q861" s="17" t="s">
        <v>424</v>
      </c>
      <c r="R861" s="17" t="s">
        <v>424</v>
      </c>
      <c r="S861" s="17" t="s">
        <v>424</v>
      </c>
      <c r="T861" s="17" t="s">
        <v>424</v>
      </c>
      <c r="U861" s="17" t="s">
        <v>424</v>
      </c>
      <c r="V861" s="17" t="s">
        <v>424</v>
      </c>
      <c r="W861" s="17" t="s">
        <v>424</v>
      </c>
    </row>
    <row r="862" spans="1:23" x14ac:dyDescent="0.25">
      <c r="A862" s="16" t="s">
        <v>1058</v>
      </c>
      <c r="B862" s="17" t="s">
        <v>10</v>
      </c>
      <c r="C862" s="17" t="s">
        <v>427</v>
      </c>
      <c r="D862" s="18" t="s">
        <v>92</v>
      </c>
      <c r="E862" s="18" t="s">
        <v>1748</v>
      </c>
      <c r="F862" s="18">
        <v>5.94</v>
      </c>
      <c r="G862" s="26">
        <v>2.13</v>
      </c>
      <c r="H862" s="17">
        <v>7.26</v>
      </c>
      <c r="I862" s="25">
        <v>6.1522419186652701</v>
      </c>
      <c r="J862" s="24">
        <f>G862/F862*((100-H862)/100)*((100-I862)/100)*100</f>
        <v>31.209308939235946</v>
      </c>
      <c r="K862" s="53">
        <v>5.1815181518151814</v>
      </c>
      <c r="L862" s="54">
        <f>J862*10000/K862</f>
        <v>60231.97839865282</v>
      </c>
      <c r="M862" s="55">
        <v>52.1</v>
      </c>
      <c r="N862" s="55">
        <v>16.5</v>
      </c>
      <c r="O862" s="56">
        <v>4.0187999999999997</v>
      </c>
      <c r="P862" s="55">
        <v>15.3</v>
      </c>
      <c r="Q862" s="17" t="s">
        <v>424</v>
      </c>
      <c r="R862" s="17" t="s">
        <v>424</v>
      </c>
      <c r="S862" s="17" t="s">
        <v>424</v>
      </c>
      <c r="T862" s="17" t="s">
        <v>424</v>
      </c>
      <c r="U862" s="17" t="s">
        <v>424</v>
      </c>
      <c r="V862" s="17" t="s">
        <v>424</v>
      </c>
      <c r="W862" s="17" t="s">
        <v>424</v>
      </c>
    </row>
    <row r="863" spans="1:23" x14ac:dyDescent="0.25">
      <c r="A863" s="16" t="s">
        <v>654</v>
      </c>
      <c r="B863" s="17" t="s">
        <v>10</v>
      </c>
      <c r="C863" s="17" t="s">
        <v>13</v>
      </c>
      <c r="D863" s="18" t="s">
        <v>173</v>
      </c>
      <c r="E863" s="18" t="s">
        <v>1720</v>
      </c>
      <c r="F863" s="18">
        <v>5.94</v>
      </c>
      <c r="G863" s="23">
        <v>2.57</v>
      </c>
      <c r="H863" s="20">
        <v>6.89</v>
      </c>
      <c r="I863" s="25">
        <v>5.2072917467887052</v>
      </c>
      <c r="J863" s="24">
        <f>G863/F863*((100-H863)/100)*((100-I863)/100)*100</f>
        <v>38.187210603069374</v>
      </c>
      <c r="K863" s="53">
        <v>4.5761078998073215</v>
      </c>
      <c r="L863" s="54">
        <f>J863*10000/K863</f>
        <v>83449.104433654764</v>
      </c>
      <c r="M863" s="55">
        <v>52.9</v>
      </c>
      <c r="N863" s="55">
        <v>17.100000000000001</v>
      </c>
      <c r="O863" s="56">
        <v>3.331</v>
      </c>
      <c r="P863" s="55">
        <v>12.8</v>
      </c>
      <c r="Q863" s="17" t="s">
        <v>424</v>
      </c>
      <c r="R863" s="17" t="s">
        <v>424</v>
      </c>
      <c r="S863" s="17" t="s">
        <v>424</v>
      </c>
      <c r="T863" s="17" t="s">
        <v>424</v>
      </c>
      <c r="U863" s="17" t="s">
        <v>424</v>
      </c>
      <c r="V863" s="17" t="s">
        <v>424</v>
      </c>
      <c r="W863" s="17" t="s">
        <v>424</v>
      </c>
    </row>
    <row r="864" spans="1:23" x14ac:dyDescent="0.25">
      <c r="A864" s="16" t="s">
        <v>653</v>
      </c>
      <c r="B864" s="17" t="s">
        <v>10</v>
      </c>
      <c r="C864" s="17" t="s">
        <v>13</v>
      </c>
      <c r="D864" s="18" t="s">
        <v>195</v>
      </c>
      <c r="E864" s="18" t="s">
        <v>1750</v>
      </c>
      <c r="F864" s="18">
        <v>5.94</v>
      </c>
      <c r="G864" s="23">
        <v>2.11</v>
      </c>
      <c r="H864" s="20">
        <v>6.89</v>
      </c>
      <c r="I864" s="25">
        <v>11.304214087972923</v>
      </c>
      <c r="J864" s="24">
        <f>G864/F864*((100-H864)/100)*((100-I864)/100)*100</f>
        <v>29.335623504086282</v>
      </c>
      <c r="K864" s="53">
        <v>4.7857889237199585</v>
      </c>
      <c r="L864" s="54">
        <f>J864*10000/K864</f>
        <v>61297.361776005608</v>
      </c>
      <c r="M864" s="55">
        <v>51.4</v>
      </c>
      <c r="N864" s="55">
        <v>16.7</v>
      </c>
      <c r="O864" s="56">
        <v>1.9378</v>
      </c>
      <c r="P864" s="55">
        <v>13.3</v>
      </c>
      <c r="Q864" s="17" t="s">
        <v>424</v>
      </c>
      <c r="R864" s="17" t="s">
        <v>424</v>
      </c>
      <c r="S864" s="17" t="s">
        <v>424</v>
      </c>
      <c r="T864" s="17" t="s">
        <v>424</v>
      </c>
      <c r="U864" s="17" t="s">
        <v>424</v>
      </c>
      <c r="V864" s="17" t="s">
        <v>424</v>
      </c>
      <c r="W864" s="17" t="s">
        <v>424</v>
      </c>
    </row>
    <row r="865" spans="1:23" x14ac:dyDescent="0.25">
      <c r="A865" s="16" t="s">
        <v>652</v>
      </c>
      <c r="B865" s="17" t="s">
        <v>10</v>
      </c>
      <c r="C865" s="17" t="s">
        <v>13</v>
      </c>
      <c r="D865" s="18" t="s">
        <v>68</v>
      </c>
      <c r="E865" s="18" t="s">
        <v>1788</v>
      </c>
      <c r="F865" s="18">
        <v>5.94</v>
      </c>
      <c r="G865" s="23">
        <v>1.95</v>
      </c>
      <c r="H865" s="20">
        <v>6.89</v>
      </c>
      <c r="I865" s="25">
        <v>7.0209166410335246</v>
      </c>
      <c r="J865" s="24">
        <f>G865/F865*((100-H865)/100)*((100-I865)/100)*100</f>
        <v>28.420371684392371</v>
      </c>
      <c r="K865" s="53">
        <v>4.4646271510516256</v>
      </c>
      <c r="L865" s="54">
        <f>J865*10000/K865</f>
        <v>63656.763986883125</v>
      </c>
      <c r="M865" s="55">
        <v>52.7</v>
      </c>
      <c r="N865" s="55">
        <v>16.5</v>
      </c>
      <c r="O865" s="56">
        <v>3.4218999999999999</v>
      </c>
      <c r="P865" s="55">
        <v>13</v>
      </c>
      <c r="Q865" s="17" t="s">
        <v>424</v>
      </c>
      <c r="R865" s="17" t="s">
        <v>424</v>
      </c>
      <c r="S865" s="17" t="s">
        <v>424</v>
      </c>
      <c r="T865" s="17" t="s">
        <v>424</v>
      </c>
      <c r="U865" s="17" t="s">
        <v>424</v>
      </c>
      <c r="V865" s="17" t="s">
        <v>424</v>
      </c>
      <c r="W865" s="17" t="s">
        <v>424</v>
      </c>
    </row>
    <row r="866" spans="1:23" x14ac:dyDescent="0.25">
      <c r="A866" s="16" t="s">
        <v>651</v>
      </c>
      <c r="B866" s="17" t="s">
        <v>10</v>
      </c>
      <c r="C866" s="17" t="s">
        <v>13</v>
      </c>
      <c r="D866" s="18" t="s">
        <v>172</v>
      </c>
      <c r="E866" s="18" t="s">
        <v>1476</v>
      </c>
      <c r="F866" s="18">
        <v>5.94</v>
      </c>
      <c r="G866" s="23">
        <v>1.43</v>
      </c>
      <c r="H866" s="20">
        <v>6.89</v>
      </c>
      <c r="I866" s="25">
        <v>21.863468634686356</v>
      </c>
      <c r="J866" s="24">
        <f>G866/F866*((100-H866)/100)*((100-I866)/100)*100</f>
        <v>17.514592900095664</v>
      </c>
      <c r="K866" s="53">
        <v>3.9913793103448274</v>
      </c>
      <c r="L866" s="54">
        <f>J866*10000/K866</f>
        <v>43881.053486200806</v>
      </c>
      <c r="M866" s="55">
        <v>48.4</v>
      </c>
      <c r="N866" s="55">
        <v>21.8</v>
      </c>
      <c r="O866" s="56">
        <v>41.027999999999999</v>
      </c>
      <c r="P866" s="55">
        <v>57</v>
      </c>
      <c r="Q866" s="17" t="s">
        <v>424</v>
      </c>
      <c r="R866" s="17" t="s">
        <v>424</v>
      </c>
      <c r="S866" s="17" t="s">
        <v>424</v>
      </c>
      <c r="T866" s="17" t="s">
        <v>424</v>
      </c>
      <c r="U866" s="17" t="s">
        <v>424</v>
      </c>
      <c r="V866" s="17" t="s">
        <v>424</v>
      </c>
      <c r="W866" s="17" t="s">
        <v>424</v>
      </c>
    </row>
    <row r="867" spans="1:23" x14ac:dyDescent="0.25">
      <c r="A867" s="16" t="s">
        <v>650</v>
      </c>
      <c r="B867" s="17" t="s">
        <v>10</v>
      </c>
      <c r="C867" s="17" t="s">
        <v>13</v>
      </c>
      <c r="D867" s="18" t="s">
        <v>186</v>
      </c>
      <c r="E867" s="18" t="s">
        <v>1480</v>
      </c>
      <c r="F867" s="18">
        <v>5.94</v>
      </c>
      <c r="G867" s="23">
        <v>1.78</v>
      </c>
      <c r="H867" s="20">
        <v>6.89</v>
      </c>
      <c r="I867" s="25">
        <v>9.3401950994700016</v>
      </c>
      <c r="J867" s="24">
        <f>G867/F867*((100-H867)/100)*((100-I867)/100)*100</f>
        <v>25.295581301402787</v>
      </c>
      <c r="K867" s="53">
        <v>4.9176954732510287</v>
      </c>
      <c r="L867" s="54">
        <f>J867*10000/K867</f>
        <v>51437.876621262571</v>
      </c>
      <c r="M867" s="55">
        <v>50.4</v>
      </c>
      <c r="N867" s="55">
        <v>19.399999999999999</v>
      </c>
      <c r="O867" s="56">
        <v>29.597999999999999</v>
      </c>
      <c r="P867" s="55">
        <v>46.6</v>
      </c>
      <c r="Q867" s="17" t="s">
        <v>424</v>
      </c>
      <c r="R867" s="17" t="s">
        <v>424</v>
      </c>
      <c r="S867" s="17" t="s">
        <v>424</v>
      </c>
      <c r="T867" s="17" t="s">
        <v>424</v>
      </c>
      <c r="U867" s="17" t="s">
        <v>424</v>
      </c>
      <c r="V867" s="17" t="s">
        <v>424</v>
      </c>
      <c r="W867" s="17" t="s">
        <v>424</v>
      </c>
    </row>
    <row r="868" spans="1:23" x14ac:dyDescent="0.25">
      <c r="A868" s="16" t="s">
        <v>649</v>
      </c>
      <c r="B868" s="17" t="s">
        <v>10</v>
      </c>
      <c r="C868" s="17" t="s">
        <v>13</v>
      </c>
      <c r="D868" s="18" t="s">
        <v>53</v>
      </c>
      <c r="E868" s="18" t="s">
        <v>1686</v>
      </c>
      <c r="F868" s="18">
        <v>5.94</v>
      </c>
      <c r="G868" s="23">
        <v>1.54</v>
      </c>
      <c r="H868" s="20">
        <v>6.89</v>
      </c>
      <c r="I868" s="25">
        <v>5.7588805166846138</v>
      </c>
      <c r="J868" s="24">
        <f>G868/F868*((100-H868)/100)*((100-I868)/100)*100</f>
        <v>22.749457202089062</v>
      </c>
      <c r="K868" s="53">
        <v>5.0701186623516721</v>
      </c>
      <c r="L868" s="54">
        <f>J868*10000/K868</f>
        <v>44869.674098588424</v>
      </c>
      <c r="M868" s="55">
        <v>50.9</v>
      </c>
      <c r="N868" s="55">
        <v>19</v>
      </c>
      <c r="O868" s="56">
        <v>37.972999999999999</v>
      </c>
      <c r="P868" s="55">
        <v>41.9</v>
      </c>
      <c r="Q868" s="17" t="s">
        <v>424</v>
      </c>
      <c r="R868" s="17" t="s">
        <v>424</v>
      </c>
      <c r="S868" s="17" t="s">
        <v>424</v>
      </c>
      <c r="T868" s="17" t="s">
        <v>424</v>
      </c>
      <c r="U868" s="17" t="s">
        <v>424</v>
      </c>
      <c r="V868" s="17" t="s">
        <v>424</v>
      </c>
      <c r="W868" s="17" t="s">
        <v>424</v>
      </c>
    </row>
    <row r="869" spans="1:23" x14ac:dyDescent="0.25">
      <c r="A869" s="16" t="s">
        <v>1069</v>
      </c>
      <c r="B869" s="17" t="s">
        <v>10</v>
      </c>
      <c r="C869" s="17" t="s">
        <v>427</v>
      </c>
      <c r="D869" s="18" t="s">
        <v>31</v>
      </c>
      <c r="E869" s="18" t="s">
        <v>1668</v>
      </c>
      <c r="F869" s="18">
        <v>5.94</v>
      </c>
      <c r="G869" s="26">
        <v>2.04</v>
      </c>
      <c r="H869" s="17">
        <v>7.26</v>
      </c>
      <c r="I869" s="25">
        <v>6.6411813207405741</v>
      </c>
      <c r="J869" s="24">
        <f>G869/F869*((100-H869)/100)*((100-I869)/100)*100</f>
        <v>29.73487805118118</v>
      </c>
      <c r="K869" s="53">
        <v>4.7711088504577823</v>
      </c>
      <c r="L869" s="54">
        <f>J869*10000/K869</f>
        <v>62322.782781047121</v>
      </c>
      <c r="M869" s="55">
        <v>51.9</v>
      </c>
      <c r="N869" s="55">
        <v>16.7</v>
      </c>
      <c r="O869" s="56">
        <v>2.6305999999999998</v>
      </c>
      <c r="P869" s="55">
        <v>22.8</v>
      </c>
      <c r="Q869" s="17" t="s">
        <v>424</v>
      </c>
      <c r="R869" s="17" t="s">
        <v>424</v>
      </c>
      <c r="S869" s="17" t="s">
        <v>424</v>
      </c>
      <c r="T869" s="17" t="s">
        <v>424</v>
      </c>
      <c r="U869" s="17" t="s">
        <v>424</v>
      </c>
      <c r="V869" s="17" t="s">
        <v>424</v>
      </c>
      <c r="W869" s="17" t="s">
        <v>424</v>
      </c>
    </row>
    <row r="870" spans="1:23" x14ac:dyDescent="0.25">
      <c r="A870" s="16" t="s">
        <v>1068</v>
      </c>
      <c r="B870" s="17" t="s">
        <v>10</v>
      </c>
      <c r="C870" s="17" t="s">
        <v>427</v>
      </c>
      <c r="D870" s="18" t="s">
        <v>294</v>
      </c>
      <c r="E870" s="18" t="s">
        <v>1513</v>
      </c>
      <c r="F870" s="18">
        <v>5.94</v>
      </c>
      <c r="G870" s="26">
        <v>1.56</v>
      </c>
      <c r="H870" s="17">
        <v>7.26</v>
      </c>
      <c r="I870" s="25">
        <v>12.742980561555067</v>
      </c>
      <c r="J870" s="24">
        <f>G870/F870*((100-H870)/100)*((100-I870)/100)*100</f>
        <v>21.252284399066255</v>
      </c>
      <c r="K870" s="53">
        <v>5.3532008830022075</v>
      </c>
      <c r="L870" s="54">
        <f>J870*10000/K870</f>
        <v>39700.143640317583</v>
      </c>
      <c r="M870" s="55">
        <v>49.4</v>
      </c>
      <c r="N870" s="55">
        <v>19.399999999999999</v>
      </c>
      <c r="O870" s="56">
        <v>5.0692000000000004</v>
      </c>
      <c r="P870" s="55">
        <v>61.8</v>
      </c>
      <c r="Q870" s="17" t="s">
        <v>424</v>
      </c>
      <c r="R870" s="17" t="s">
        <v>424</v>
      </c>
      <c r="S870" s="17" t="s">
        <v>424</v>
      </c>
      <c r="T870" s="17" t="s">
        <v>424</v>
      </c>
      <c r="U870" s="17" t="s">
        <v>424</v>
      </c>
      <c r="V870" s="17" t="s">
        <v>424</v>
      </c>
      <c r="W870" s="17" t="s">
        <v>424</v>
      </c>
    </row>
    <row r="871" spans="1:23" x14ac:dyDescent="0.25">
      <c r="A871" s="16" t="s">
        <v>1067</v>
      </c>
      <c r="B871" s="17" t="s">
        <v>10</v>
      </c>
      <c r="C871" s="17" t="s">
        <v>427</v>
      </c>
      <c r="D871" s="18" t="s">
        <v>28</v>
      </c>
      <c r="E871" s="18" t="s">
        <v>1636</v>
      </c>
      <c r="F871" s="18">
        <v>5.94</v>
      </c>
      <c r="G871" s="26">
        <v>2.04</v>
      </c>
      <c r="H871" s="17">
        <v>7.26</v>
      </c>
      <c r="I871" s="25">
        <v>5.7853010499250015</v>
      </c>
      <c r="J871" s="24">
        <f>G871/F871*((100-H871)/100)*((100-I871)/100)*100</f>
        <v>30.007476781961469</v>
      </c>
      <c r="K871" s="53">
        <v>5.108225108225108</v>
      </c>
      <c r="L871" s="54">
        <f>J871*10000/K871</f>
        <v>58743.450310449996</v>
      </c>
      <c r="M871" s="55">
        <v>50.4</v>
      </c>
      <c r="N871" s="55">
        <v>16</v>
      </c>
      <c r="O871" s="56">
        <v>2.0693999999999999</v>
      </c>
      <c r="P871" s="55">
        <v>11</v>
      </c>
      <c r="Q871" s="17" t="s">
        <v>424</v>
      </c>
      <c r="R871" s="17" t="s">
        <v>424</v>
      </c>
      <c r="S871" s="17" t="s">
        <v>424</v>
      </c>
      <c r="T871" s="17" t="s">
        <v>424</v>
      </c>
      <c r="U871" s="17" t="s">
        <v>424</v>
      </c>
      <c r="V871" s="17" t="s">
        <v>424</v>
      </c>
      <c r="W871" s="17" t="s">
        <v>424</v>
      </c>
    </row>
    <row r="872" spans="1:23" x14ac:dyDescent="0.25">
      <c r="A872" s="16" t="s">
        <v>1066</v>
      </c>
      <c r="B872" s="17" t="s">
        <v>10</v>
      </c>
      <c r="C872" s="17" t="s">
        <v>427</v>
      </c>
      <c r="D872" s="18" t="s">
        <v>189</v>
      </c>
      <c r="E872" s="18" t="s">
        <v>1508</v>
      </c>
      <c r="F872" s="18">
        <v>5.94</v>
      </c>
      <c r="G872" s="26">
        <v>2.1800000000000002</v>
      </c>
      <c r="H872" s="17">
        <v>7.26</v>
      </c>
      <c r="I872" s="25">
        <v>7.1716814159291999</v>
      </c>
      <c r="J872" s="24">
        <f>G872/F872*((100-H872)/100)*((100-I872)/100)*100</f>
        <v>31.59494649623074</v>
      </c>
      <c r="K872" s="53">
        <v>4.2001787310098306</v>
      </c>
      <c r="L872" s="54">
        <f>J872*10000/K872</f>
        <v>75222.861977196168</v>
      </c>
      <c r="M872" s="55">
        <v>53.5</v>
      </c>
      <c r="N872" s="55">
        <v>16.3</v>
      </c>
      <c r="O872" s="56">
        <v>4.6369999999999996</v>
      </c>
      <c r="P872" s="55">
        <v>46.3</v>
      </c>
      <c r="Q872" s="17" t="s">
        <v>424</v>
      </c>
      <c r="R872" s="17" t="s">
        <v>424</v>
      </c>
      <c r="S872" s="17" t="s">
        <v>424</v>
      </c>
      <c r="T872" s="17" t="s">
        <v>424</v>
      </c>
      <c r="U872" s="17" t="s">
        <v>424</v>
      </c>
      <c r="V872" s="17" t="s">
        <v>424</v>
      </c>
      <c r="W872" s="17" t="s">
        <v>424</v>
      </c>
    </row>
    <row r="873" spans="1:23" x14ac:dyDescent="0.25">
      <c r="A873" s="16" t="s">
        <v>1065</v>
      </c>
      <c r="B873" s="17" t="s">
        <v>10</v>
      </c>
      <c r="C873" s="17" t="s">
        <v>427</v>
      </c>
      <c r="D873" s="18" t="s">
        <v>274</v>
      </c>
      <c r="E873" s="18" t="s">
        <v>1580</v>
      </c>
      <c r="F873" s="18">
        <v>5.94</v>
      </c>
      <c r="G873" s="26">
        <v>2.1</v>
      </c>
      <c r="H873" s="17">
        <v>7.26</v>
      </c>
      <c r="I873" s="25">
        <v>5.0671314226697621</v>
      </c>
      <c r="J873" s="24">
        <f>G873/F873*((100-H873)/100)*((100-I873)/100)*100</f>
        <v>31.125514961126893</v>
      </c>
      <c r="K873" s="53">
        <v>5.1961823966065745</v>
      </c>
      <c r="L873" s="54">
        <f>J873*10000/K873</f>
        <v>59900.73593539319</v>
      </c>
      <c r="M873" s="55">
        <v>49.6</v>
      </c>
      <c r="N873" s="55">
        <v>17.8</v>
      </c>
      <c r="O873" s="56">
        <v>5.3849999999999998</v>
      </c>
      <c r="P873" s="55">
        <v>30.9</v>
      </c>
      <c r="Q873" s="17" t="s">
        <v>424</v>
      </c>
      <c r="R873" s="17" t="s">
        <v>424</v>
      </c>
      <c r="S873" s="17" t="s">
        <v>424</v>
      </c>
      <c r="T873" s="17" t="s">
        <v>424</v>
      </c>
      <c r="U873" s="17" t="s">
        <v>424</v>
      </c>
      <c r="V873" s="17" t="s">
        <v>424</v>
      </c>
      <c r="W873" s="17" t="s">
        <v>424</v>
      </c>
    </row>
    <row r="874" spans="1:23" x14ac:dyDescent="0.25">
      <c r="A874" s="16" t="s">
        <v>1064</v>
      </c>
      <c r="B874" s="17" t="s">
        <v>10</v>
      </c>
      <c r="C874" s="17" t="s">
        <v>427</v>
      </c>
      <c r="D874" s="18" t="s">
        <v>171</v>
      </c>
      <c r="E874" s="18" t="s">
        <v>1484</v>
      </c>
      <c r="F874" s="18">
        <v>5.94</v>
      </c>
      <c r="G874" s="26">
        <v>1.52</v>
      </c>
      <c r="H874" s="17">
        <v>7.26</v>
      </c>
      <c r="I874" s="25">
        <v>11.544385893798133</v>
      </c>
      <c r="J874" s="24">
        <f>G874/F874*((100-H874)/100)*((100-I874)/100)*100</f>
        <v>20.991797897908963</v>
      </c>
      <c r="K874" s="53">
        <v>5.9553349875930524</v>
      </c>
      <c r="L874" s="54">
        <f>J874*10000/K874</f>
        <v>35248.727303572137</v>
      </c>
      <c r="M874" s="55">
        <v>48.3</v>
      </c>
      <c r="N874" s="55">
        <v>20.399999999999999</v>
      </c>
      <c r="O874" s="56">
        <v>30.094999999999999</v>
      </c>
      <c r="P874" s="55">
        <v>51.6</v>
      </c>
      <c r="Q874" s="17" t="s">
        <v>424</v>
      </c>
      <c r="R874" s="17" t="s">
        <v>424</v>
      </c>
      <c r="S874" s="17" t="s">
        <v>424</v>
      </c>
      <c r="T874" s="17" t="s">
        <v>424</v>
      </c>
      <c r="U874" s="17" t="s">
        <v>424</v>
      </c>
      <c r="V874" s="17" t="s">
        <v>424</v>
      </c>
      <c r="W874" s="17" t="s">
        <v>424</v>
      </c>
    </row>
    <row r="875" spans="1:23" x14ac:dyDescent="0.25">
      <c r="A875" s="16" t="s">
        <v>660</v>
      </c>
      <c r="B875" s="17" t="s">
        <v>10</v>
      </c>
      <c r="C875" s="17" t="s">
        <v>13</v>
      </c>
      <c r="D875" s="18" t="s">
        <v>248</v>
      </c>
      <c r="E875" s="18" t="s">
        <v>1816</v>
      </c>
      <c r="F875" s="18">
        <v>5.94</v>
      </c>
      <c r="G875" s="23">
        <v>3.3</v>
      </c>
      <c r="H875" s="20">
        <v>6.89</v>
      </c>
      <c r="I875" s="25">
        <v>5.4616684590567006</v>
      </c>
      <c r="J875" s="24">
        <f>G875/F875*((100-H875)/100)*((100-I875)/100)*100</f>
        <v>48.902578054317942</v>
      </c>
      <c r="K875" s="53">
        <v>4.7662601626016263</v>
      </c>
      <c r="L875" s="54">
        <f>J875*10000/K875</f>
        <v>102601.57101375022</v>
      </c>
      <c r="M875" s="55">
        <v>51</v>
      </c>
      <c r="N875" s="55">
        <v>17</v>
      </c>
      <c r="O875" s="56">
        <v>3.4786000000000001</v>
      </c>
      <c r="P875" s="55">
        <v>15.7</v>
      </c>
      <c r="Q875" s="17" t="s">
        <v>424</v>
      </c>
      <c r="R875" s="17" t="s">
        <v>424</v>
      </c>
      <c r="S875" s="17" t="s">
        <v>424</v>
      </c>
      <c r="T875" s="17" t="s">
        <v>424</v>
      </c>
      <c r="U875" s="17" t="s">
        <v>424</v>
      </c>
      <c r="V875" s="17" t="s">
        <v>424</v>
      </c>
      <c r="W875" s="17" t="s">
        <v>424</v>
      </c>
    </row>
    <row r="876" spans="1:23" x14ac:dyDescent="0.25">
      <c r="A876" s="16" t="s">
        <v>659</v>
      </c>
      <c r="B876" s="17" t="s">
        <v>10</v>
      </c>
      <c r="C876" s="17" t="s">
        <v>13</v>
      </c>
      <c r="D876" s="18" t="s">
        <v>192</v>
      </c>
      <c r="E876" s="18" t="s">
        <v>1744</v>
      </c>
      <c r="F876" s="18">
        <v>5.94</v>
      </c>
      <c r="G876" s="23">
        <v>1.71</v>
      </c>
      <c r="H876" s="20">
        <v>6.89</v>
      </c>
      <c r="I876" s="25">
        <v>7.6834244360612756</v>
      </c>
      <c r="J876" s="24">
        <f>G876/F876*((100-H876)/100)*((100-I876)/100)*100</f>
        <v>24.74489858551642</v>
      </c>
      <c r="K876" s="53">
        <v>5.1620111731843572</v>
      </c>
      <c r="L876" s="54">
        <f>J876*10000/K876</f>
        <v>47936.545961119475</v>
      </c>
      <c r="M876" s="55">
        <v>52.2</v>
      </c>
      <c r="N876" s="55">
        <v>16.899999999999999</v>
      </c>
      <c r="O876" s="56">
        <v>0.90685000000000004</v>
      </c>
      <c r="P876" s="55">
        <v>10.9</v>
      </c>
      <c r="Q876" s="17" t="s">
        <v>424</v>
      </c>
      <c r="R876" s="17" t="s">
        <v>424</v>
      </c>
      <c r="S876" s="17" t="s">
        <v>424</v>
      </c>
      <c r="T876" s="17" t="s">
        <v>424</v>
      </c>
      <c r="U876" s="17" t="s">
        <v>424</v>
      </c>
      <c r="V876" s="17" t="s">
        <v>424</v>
      </c>
      <c r="W876" s="17" t="s">
        <v>424</v>
      </c>
    </row>
    <row r="877" spans="1:23" x14ac:dyDescent="0.25">
      <c r="A877" s="16" t="s">
        <v>658</v>
      </c>
      <c r="B877" s="17" t="s">
        <v>10</v>
      </c>
      <c r="C877" s="17" t="s">
        <v>13</v>
      </c>
      <c r="D877" s="18" t="s">
        <v>24</v>
      </c>
      <c r="E877" s="18" t="s">
        <v>1784</v>
      </c>
      <c r="F877" s="18">
        <v>5.94</v>
      </c>
      <c r="G877" s="23">
        <v>1.89</v>
      </c>
      <c r="H877" s="20">
        <v>6.89</v>
      </c>
      <c r="I877" s="25">
        <v>4.5063718716413259</v>
      </c>
      <c r="J877" s="24">
        <f>G877/F877*((100-H877)/100)*((100-I877)/100)*100</f>
        <v>28.290855456918329</v>
      </c>
      <c r="K877" s="53">
        <v>4.9416755037115587</v>
      </c>
      <c r="L877" s="54">
        <f>J877*10000/K877</f>
        <v>57249.520806596527</v>
      </c>
      <c r="M877" s="55">
        <v>51.7</v>
      </c>
      <c r="N877" s="55">
        <v>16.399999999999999</v>
      </c>
      <c r="O877" s="56">
        <v>6.5702999999999996</v>
      </c>
      <c r="P877" s="55">
        <v>16.100000000000001</v>
      </c>
      <c r="Q877" s="17" t="s">
        <v>424</v>
      </c>
      <c r="R877" s="17" t="s">
        <v>424</v>
      </c>
      <c r="S877" s="17" t="s">
        <v>424</v>
      </c>
      <c r="T877" s="17" t="s">
        <v>424</v>
      </c>
      <c r="U877" s="17" t="s">
        <v>424</v>
      </c>
      <c r="V877" s="17" t="s">
        <v>424</v>
      </c>
      <c r="W877" s="17" t="s">
        <v>424</v>
      </c>
    </row>
    <row r="878" spans="1:23" x14ac:dyDescent="0.25">
      <c r="A878" s="16" t="s">
        <v>657</v>
      </c>
      <c r="B878" s="17" t="s">
        <v>10</v>
      </c>
      <c r="C878" s="17" t="s">
        <v>13</v>
      </c>
      <c r="D878" s="18" t="s">
        <v>48</v>
      </c>
      <c r="E878" s="18" t="s">
        <v>1692</v>
      </c>
      <c r="F878" s="18">
        <v>5.94</v>
      </c>
      <c r="G878" s="23">
        <v>1.33</v>
      </c>
      <c r="H878" s="20">
        <v>6.89</v>
      </c>
      <c r="I878" s="25">
        <v>8.3839704638104688</v>
      </c>
      <c r="J878" s="24">
        <f>G878/F878*((100-H878)/100)*((100-I878)/100)*100</f>
        <v>19.099983364398028</v>
      </c>
      <c r="K878" s="53">
        <v>4.0341419586702605</v>
      </c>
      <c r="L878" s="54">
        <f>J878*10000/K878</f>
        <v>47345.838495712713</v>
      </c>
      <c r="M878" s="55">
        <v>49.6</v>
      </c>
      <c r="N878" s="55">
        <v>18.3</v>
      </c>
      <c r="O878" s="56">
        <v>31.114999999999998</v>
      </c>
      <c r="P878" s="55">
        <v>42.4</v>
      </c>
      <c r="Q878" s="17" t="s">
        <v>424</v>
      </c>
      <c r="R878" s="17" t="s">
        <v>424</v>
      </c>
      <c r="S878" s="17" t="s">
        <v>424</v>
      </c>
      <c r="T878" s="17" t="s">
        <v>424</v>
      </c>
      <c r="U878" s="17" t="s">
        <v>424</v>
      </c>
      <c r="V878" s="17" t="s">
        <v>424</v>
      </c>
      <c r="W878" s="17" t="s">
        <v>424</v>
      </c>
    </row>
    <row r="879" spans="1:23" x14ac:dyDescent="0.25">
      <c r="A879" s="16" t="s">
        <v>656</v>
      </c>
      <c r="B879" s="17" t="s">
        <v>10</v>
      </c>
      <c r="C879" s="17" t="s">
        <v>13</v>
      </c>
      <c r="D879" s="18" t="s">
        <v>228</v>
      </c>
      <c r="E879" s="18" t="s">
        <v>1537</v>
      </c>
      <c r="F879" s="18">
        <v>5.94</v>
      </c>
      <c r="G879" s="23">
        <v>2.35</v>
      </c>
      <c r="H879" s="20">
        <v>6.89</v>
      </c>
      <c r="I879" s="25">
        <v>8.0665024630541815</v>
      </c>
      <c r="J879" s="24">
        <f>G879/F879*((100-H879)/100)*((100-I879)/100)*100</f>
        <v>33.865034841435701</v>
      </c>
      <c r="K879" s="53">
        <v>4.2714025500910751</v>
      </c>
      <c r="L879" s="54">
        <f>J879*10000/K879</f>
        <v>79283.173253510438</v>
      </c>
      <c r="M879" s="55">
        <v>48.4</v>
      </c>
      <c r="N879" s="55">
        <v>17.600000000000001</v>
      </c>
      <c r="O879" s="56">
        <v>0.77339000000000002</v>
      </c>
      <c r="P879" s="55">
        <v>14.2</v>
      </c>
      <c r="Q879" s="17" t="s">
        <v>424</v>
      </c>
      <c r="R879" s="17" t="s">
        <v>424</v>
      </c>
      <c r="S879" s="17" t="s">
        <v>424</v>
      </c>
      <c r="T879" s="17" t="s">
        <v>424</v>
      </c>
      <c r="U879" s="17" t="s">
        <v>424</v>
      </c>
      <c r="V879" s="17" t="s">
        <v>424</v>
      </c>
      <c r="W879" s="17" t="s">
        <v>424</v>
      </c>
    </row>
    <row r="880" spans="1:23" x14ac:dyDescent="0.25">
      <c r="A880" s="16" t="s">
        <v>655</v>
      </c>
      <c r="B880" s="17" t="s">
        <v>10</v>
      </c>
      <c r="C880" s="17" t="s">
        <v>13</v>
      </c>
      <c r="D880" s="18" t="s">
        <v>32</v>
      </c>
      <c r="E880" s="18" t="s">
        <v>1810</v>
      </c>
      <c r="F880" s="18">
        <v>5.94</v>
      </c>
      <c r="G880" s="23">
        <v>2.0699999999999998</v>
      </c>
      <c r="H880" s="20">
        <v>6.89</v>
      </c>
      <c r="I880" s="25">
        <v>6.0750905866934</v>
      </c>
      <c r="J880" s="24">
        <f>G880/F880*((100-H880)/100)*((100-I880)/100)*100</f>
        <v>30.476213826648248</v>
      </c>
      <c r="K880" s="53">
        <v>4.2671614100185531</v>
      </c>
      <c r="L880" s="54">
        <f>J880*10000/K880</f>
        <v>71420.344576362637</v>
      </c>
      <c r="M880" s="55">
        <v>51.1</v>
      </c>
      <c r="N880" s="55">
        <v>16.8</v>
      </c>
      <c r="O880" s="56">
        <v>1.8306</v>
      </c>
      <c r="P880" s="55">
        <v>11.7</v>
      </c>
      <c r="Q880" s="17" t="s">
        <v>424</v>
      </c>
      <c r="R880" s="17" t="s">
        <v>424</v>
      </c>
      <c r="S880" s="17" t="s">
        <v>424</v>
      </c>
      <c r="T880" s="17" t="s">
        <v>424</v>
      </c>
      <c r="U880" s="17" t="s">
        <v>424</v>
      </c>
      <c r="V880" s="17" t="s">
        <v>424</v>
      </c>
      <c r="W880" s="17" t="s">
        <v>424</v>
      </c>
    </row>
    <row r="881" spans="1:23" x14ac:dyDescent="0.25">
      <c r="A881" s="16" t="s">
        <v>1075</v>
      </c>
      <c r="B881" s="17" t="s">
        <v>10</v>
      </c>
      <c r="C881" s="17" t="s">
        <v>427</v>
      </c>
      <c r="D881" s="18" t="s">
        <v>266</v>
      </c>
      <c r="E881" s="18" t="s">
        <v>1486</v>
      </c>
      <c r="F881" s="18">
        <v>5.94</v>
      </c>
      <c r="G881" s="26">
        <v>1.69</v>
      </c>
      <c r="H881" s="17">
        <v>7.26</v>
      </c>
      <c r="I881" s="25">
        <v>9.7394343819510585</v>
      </c>
      <c r="J881" s="24">
        <f>G881/F881*((100-H881)/100)*((100-I881)/100)*100</f>
        <v>23.815812467434647</v>
      </c>
      <c r="K881" s="53">
        <v>5.5967555040556203</v>
      </c>
      <c r="L881" s="54">
        <f>J881*10000/K881</f>
        <v>42552.890599163766</v>
      </c>
      <c r="M881" s="55">
        <v>50.5</v>
      </c>
      <c r="N881" s="55">
        <v>18.600000000000001</v>
      </c>
      <c r="O881" s="56">
        <v>30.099</v>
      </c>
      <c r="P881" s="55">
        <v>52</v>
      </c>
      <c r="Q881" s="17" t="s">
        <v>424</v>
      </c>
      <c r="R881" s="17" t="s">
        <v>424</v>
      </c>
      <c r="S881" s="17" t="s">
        <v>424</v>
      </c>
      <c r="T881" s="17" t="s">
        <v>424</v>
      </c>
      <c r="U881" s="17" t="s">
        <v>424</v>
      </c>
      <c r="V881" s="17" t="s">
        <v>424</v>
      </c>
      <c r="W881" s="17" t="s">
        <v>424</v>
      </c>
    </row>
    <row r="882" spans="1:23" x14ac:dyDescent="0.25">
      <c r="A882" s="16" t="s">
        <v>1074</v>
      </c>
      <c r="B882" s="17" t="s">
        <v>10</v>
      </c>
      <c r="C882" s="17" t="s">
        <v>427</v>
      </c>
      <c r="D882" s="18" t="s">
        <v>297</v>
      </c>
      <c r="E882" s="18" t="s">
        <v>1794</v>
      </c>
      <c r="F882" s="18">
        <v>5.94</v>
      </c>
      <c r="G882" s="26">
        <v>1.77</v>
      </c>
      <c r="H882" s="17">
        <v>7.26</v>
      </c>
      <c r="I882" s="25">
        <v>8.818949266453572</v>
      </c>
      <c r="J882" s="24">
        <f>G882/F882*((100-H882)/100)*((100-I882)/100)*100</f>
        <v>25.197561012965487</v>
      </c>
      <c r="K882" s="53">
        <v>5.2192066805845512</v>
      </c>
      <c r="L882" s="54">
        <f>J882*10000/K882</f>
        <v>48278.526900841876</v>
      </c>
      <c r="M882" s="55">
        <v>52.4</v>
      </c>
      <c r="N882" s="55">
        <v>15.8</v>
      </c>
      <c r="O882" s="56">
        <v>2.2610999999999999</v>
      </c>
      <c r="P882" s="55">
        <v>17.8</v>
      </c>
      <c r="Q882" s="17" t="s">
        <v>424</v>
      </c>
      <c r="R882" s="17" t="s">
        <v>424</v>
      </c>
      <c r="S882" s="17" t="s">
        <v>424</v>
      </c>
      <c r="T882" s="17" t="s">
        <v>424</v>
      </c>
      <c r="U882" s="17" t="s">
        <v>424</v>
      </c>
      <c r="V882" s="17" t="s">
        <v>424</v>
      </c>
      <c r="W882" s="17" t="s">
        <v>424</v>
      </c>
    </row>
    <row r="883" spans="1:23" x14ac:dyDescent="0.25">
      <c r="A883" s="16" t="s">
        <v>1073</v>
      </c>
      <c r="B883" s="17" t="s">
        <v>10</v>
      </c>
      <c r="C883" s="17" t="s">
        <v>427</v>
      </c>
      <c r="D883" s="18" t="s">
        <v>66</v>
      </c>
      <c r="E883" s="18" t="s">
        <v>1766</v>
      </c>
      <c r="F883" s="18">
        <v>5.94</v>
      </c>
      <c r="G883" s="26">
        <v>2.71</v>
      </c>
      <c r="H883" s="17">
        <v>7.26</v>
      </c>
      <c r="I883" s="25">
        <v>7.7950664136622354</v>
      </c>
      <c r="J883" s="24">
        <f>G883/F883*((100-H883)/100)*((100-I883)/100)*100</f>
        <v>39.012528309023182</v>
      </c>
      <c r="K883" s="53">
        <v>5.0756143667296785</v>
      </c>
      <c r="L883" s="54">
        <f>J883*10000/K883</f>
        <v>76862.6721619116</v>
      </c>
      <c r="M883" s="55">
        <v>53.3</v>
      </c>
      <c r="N883" s="55">
        <v>16.399999999999999</v>
      </c>
      <c r="O883" s="56">
        <v>2.2462</v>
      </c>
      <c r="P883" s="55">
        <v>16.5</v>
      </c>
      <c r="Q883" s="17" t="s">
        <v>424</v>
      </c>
      <c r="R883" s="17" t="s">
        <v>424</v>
      </c>
      <c r="S883" s="17" t="s">
        <v>424</v>
      </c>
      <c r="T883" s="17" t="s">
        <v>424</v>
      </c>
      <c r="U883" s="17" t="s">
        <v>424</v>
      </c>
      <c r="V883" s="17" t="s">
        <v>424</v>
      </c>
      <c r="W883" s="17" t="s">
        <v>424</v>
      </c>
    </row>
    <row r="884" spans="1:23" x14ac:dyDescent="0.25">
      <c r="A884" s="16" t="s">
        <v>1072</v>
      </c>
      <c r="B884" s="17" t="s">
        <v>10</v>
      </c>
      <c r="C884" s="17" t="s">
        <v>427</v>
      </c>
      <c r="D884" s="18" t="s">
        <v>83</v>
      </c>
      <c r="E884" s="18" t="s">
        <v>1533</v>
      </c>
      <c r="F884" s="18">
        <v>5.94</v>
      </c>
      <c r="G884" s="17">
        <v>2.14</v>
      </c>
      <c r="H884" s="17">
        <v>7.26</v>
      </c>
      <c r="I884" s="25">
        <v>7.9440342013214131</v>
      </c>
      <c r="J884" s="24">
        <f>G884/F884*((100-H884)/100)*((100-I884)/100)*100</f>
        <v>30.75716897960038</v>
      </c>
      <c r="K884" s="53">
        <v>5.5707762557077629</v>
      </c>
      <c r="L884" s="54">
        <f>J884*10000/K884</f>
        <v>55211.639397807237</v>
      </c>
      <c r="M884" s="55">
        <v>53.9</v>
      </c>
      <c r="N884" s="55">
        <v>16.399999999999999</v>
      </c>
      <c r="O884" s="56">
        <v>2.8752</v>
      </c>
      <c r="P884" s="55">
        <v>14.6</v>
      </c>
      <c r="Q884" s="17" t="s">
        <v>424</v>
      </c>
      <c r="R884" s="17" t="s">
        <v>424</v>
      </c>
      <c r="S884" s="17" t="s">
        <v>424</v>
      </c>
      <c r="T884" s="17" t="s">
        <v>424</v>
      </c>
      <c r="U884" s="17" t="s">
        <v>424</v>
      </c>
      <c r="V884" s="17" t="s">
        <v>424</v>
      </c>
      <c r="W884" s="17" t="s">
        <v>424</v>
      </c>
    </row>
    <row r="885" spans="1:23" x14ac:dyDescent="0.25">
      <c r="A885" s="16" t="s">
        <v>1071</v>
      </c>
      <c r="B885" s="17" t="s">
        <v>10</v>
      </c>
      <c r="C885" s="17" t="s">
        <v>427</v>
      </c>
      <c r="D885" s="18" t="s">
        <v>299</v>
      </c>
      <c r="E885" s="18" t="s">
        <v>1674</v>
      </c>
      <c r="F885" s="18">
        <v>5.94</v>
      </c>
      <c r="G885" s="26">
        <v>1.98</v>
      </c>
      <c r="H885" s="17">
        <v>7.26</v>
      </c>
      <c r="I885" s="25">
        <v>5.8286051138457085</v>
      </c>
      <c r="J885" s="24">
        <f>G885/F885*((100-H885)/100)*((100-I885)/100)*100</f>
        <v>29.111517205806496</v>
      </c>
      <c r="K885" s="53">
        <v>4.7628458498023711</v>
      </c>
      <c r="L885" s="54">
        <f>J885*10000/K885</f>
        <v>61122.106664473395</v>
      </c>
      <c r="M885" s="55">
        <v>50.2</v>
      </c>
      <c r="N885" s="55">
        <v>18.3</v>
      </c>
      <c r="O885" s="56">
        <v>3.9119999999999999</v>
      </c>
      <c r="P885" s="55">
        <v>13.2</v>
      </c>
      <c r="Q885" s="17" t="s">
        <v>424</v>
      </c>
      <c r="R885" s="17" t="s">
        <v>424</v>
      </c>
      <c r="S885" s="17" t="s">
        <v>424</v>
      </c>
      <c r="T885" s="17" t="s">
        <v>424</v>
      </c>
      <c r="U885" s="17" t="s">
        <v>424</v>
      </c>
      <c r="V885" s="17" t="s">
        <v>424</v>
      </c>
      <c r="W885" s="17" t="s">
        <v>424</v>
      </c>
    </row>
    <row r="886" spans="1:23" x14ac:dyDescent="0.25">
      <c r="A886" s="16" t="s">
        <v>1070</v>
      </c>
      <c r="B886" s="17" t="s">
        <v>10</v>
      </c>
      <c r="C886" s="17" t="s">
        <v>427</v>
      </c>
      <c r="D886" s="18" t="s">
        <v>60</v>
      </c>
      <c r="E886" s="18" t="s">
        <v>1776</v>
      </c>
      <c r="F886" s="18">
        <v>5.94</v>
      </c>
      <c r="G886" s="26">
        <v>1.91</v>
      </c>
      <c r="H886" s="17">
        <v>7.26</v>
      </c>
      <c r="I886" s="25">
        <v>6.6837658418829209</v>
      </c>
      <c r="J886" s="24">
        <f>G886/F886*((100-H886)/100)*((100-I886)/100)*100</f>
        <v>27.8273094808475</v>
      </c>
      <c r="K886" s="53">
        <v>5.3693495038588752</v>
      </c>
      <c r="L886" s="54">
        <f>J886*10000/K886</f>
        <v>51826.221148108176</v>
      </c>
      <c r="M886" s="55">
        <v>53</v>
      </c>
      <c r="N886" s="55">
        <v>16.399999999999999</v>
      </c>
      <c r="O886" s="56">
        <v>0.99399999999999999</v>
      </c>
      <c r="P886" s="55">
        <v>12.7</v>
      </c>
      <c r="Q886" s="17" t="s">
        <v>424</v>
      </c>
      <c r="R886" s="17" t="s">
        <v>424</v>
      </c>
      <c r="S886" s="17" t="s">
        <v>424</v>
      </c>
      <c r="T886" s="17" t="s">
        <v>424</v>
      </c>
      <c r="U886" s="17" t="s">
        <v>424</v>
      </c>
      <c r="V886" s="17" t="s">
        <v>424</v>
      </c>
      <c r="W886" s="17" t="s">
        <v>424</v>
      </c>
    </row>
    <row r="887" spans="1:23" x14ac:dyDescent="0.25">
      <c r="A887" s="16" t="s">
        <v>666</v>
      </c>
      <c r="B887" s="17" t="s">
        <v>10</v>
      </c>
      <c r="C887" s="17" t="s">
        <v>13</v>
      </c>
      <c r="D887" s="18" t="s">
        <v>22</v>
      </c>
      <c r="E887" s="18" t="s">
        <v>1812</v>
      </c>
      <c r="F887" s="18">
        <v>5.94</v>
      </c>
      <c r="G887" s="23">
        <v>2.76</v>
      </c>
      <c r="H887" s="20">
        <v>6.89</v>
      </c>
      <c r="I887" s="25">
        <v>7.1972318339100445</v>
      </c>
      <c r="J887" s="24">
        <f>G887/F887*((100-H887)/100)*((100-I887)/100)*100</f>
        <v>40.149477194086188</v>
      </c>
      <c r="K887" s="53">
        <v>5.7739557739557741</v>
      </c>
      <c r="L887" s="54">
        <f>J887*10000/K887</f>
        <v>69535.477523374808</v>
      </c>
      <c r="M887" s="55">
        <v>52.5</v>
      </c>
      <c r="N887" s="55">
        <v>16.7</v>
      </c>
      <c r="O887" s="56">
        <v>3.5880999999999998</v>
      </c>
      <c r="P887" s="55">
        <v>22.7</v>
      </c>
      <c r="Q887" s="17" t="s">
        <v>424</v>
      </c>
      <c r="R887" s="17" t="s">
        <v>424</v>
      </c>
      <c r="S887" s="17" t="s">
        <v>424</v>
      </c>
      <c r="T887" s="17" t="s">
        <v>424</v>
      </c>
      <c r="U887" s="17" t="s">
        <v>424</v>
      </c>
      <c r="V887" s="17" t="s">
        <v>424</v>
      </c>
      <c r="W887" s="17" t="s">
        <v>424</v>
      </c>
    </row>
    <row r="888" spans="1:23" x14ac:dyDescent="0.25">
      <c r="A888" s="16" t="s">
        <v>665</v>
      </c>
      <c r="B888" s="17" t="s">
        <v>10</v>
      </c>
      <c r="C888" s="17" t="s">
        <v>13</v>
      </c>
      <c r="D888" s="18" t="s">
        <v>247</v>
      </c>
      <c r="E888" s="18" t="s">
        <v>1704</v>
      </c>
      <c r="F888" s="18">
        <v>5.94</v>
      </c>
      <c r="G888" s="23">
        <v>1.86</v>
      </c>
      <c r="H888" s="20">
        <v>6.89</v>
      </c>
      <c r="I888" s="25">
        <v>6.9370822770223457</v>
      </c>
      <c r="J888" s="24">
        <f>G888/F888*((100-H888)/100)*((100-I888)/100)*100</f>
        <v>27.133104681290902</v>
      </c>
      <c r="K888" s="53">
        <v>4.6680080482897388</v>
      </c>
      <c r="L888" s="54">
        <f>J888*10000/K888</f>
        <v>58125.659597420592</v>
      </c>
      <c r="M888" s="55">
        <v>53.6</v>
      </c>
      <c r="N888" s="55">
        <v>16.100000000000001</v>
      </c>
      <c r="O888" s="56">
        <v>10.228</v>
      </c>
      <c r="P888" s="55">
        <v>18.600000000000001</v>
      </c>
      <c r="Q888" s="17" t="s">
        <v>424</v>
      </c>
      <c r="R888" s="17" t="s">
        <v>424</v>
      </c>
      <c r="S888" s="17" t="s">
        <v>424</v>
      </c>
      <c r="T888" s="17" t="s">
        <v>424</v>
      </c>
      <c r="U888" s="17" t="s">
        <v>424</v>
      </c>
      <c r="V888" s="17" t="s">
        <v>424</v>
      </c>
      <c r="W888" s="17" t="s">
        <v>424</v>
      </c>
    </row>
    <row r="889" spans="1:23" x14ac:dyDescent="0.25">
      <c r="A889" s="16" t="s">
        <v>664</v>
      </c>
      <c r="B889" s="17" t="s">
        <v>10</v>
      </c>
      <c r="C889" s="17" t="s">
        <v>13</v>
      </c>
      <c r="D889" s="18" t="s">
        <v>191</v>
      </c>
      <c r="E889" s="18" t="s">
        <v>1702</v>
      </c>
      <c r="F889" s="18">
        <v>5.94</v>
      </c>
      <c r="G889" s="23">
        <v>1.44</v>
      </c>
      <c r="H889" s="20">
        <v>6.89</v>
      </c>
      <c r="I889" s="25">
        <v>8.717319635053288</v>
      </c>
      <c r="J889" s="24">
        <f>G889/F889*((100-H889)/100)*((100-I889)/100)*100</f>
        <v>20.604437257648939</v>
      </c>
      <c r="K889" s="53">
        <v>4.6336633663366333</v>
      </c>
      <c r="L889" s="54">
        <f>J889*10000/K889</f>
        <v>44466.84109022528</v>
      </c>
      <c r="M889" s="55">
        <v>51.2</v>
      </c>
      <c r="N889" s="55">
        <v>19.2</v>
      </c>
      <c r="O889" s="56">
        <v>46.311999999999998</v>
      </c>
      <c r="P889" s="55">
        <v>41</v>
      </c>
      <c r="Q889" s="17" t="s">
        <v>424</v>
      </c>
      <c r="R889" s="17" t="s">
        <v>424</v>
      </c>
      <c r="S889" s="17" t="s">
        <v>424</v>
      </c>
      <c r="T889" s="17" t="s">
        <v>424</v>
      </c>
      <c r="U889" s="17" t="s">
        <v>424</v>
      </c>
      <c r="V889" s="17" t="s">
        <v>424</v>
      </c>
      <c r="W889" s="17" t="s">
        <v>424</v>
      </c>
    </row>
    <row r="890" spans="1:23" x14ac:dyDescent="0.25">
      <c r="A890" s="16" t="s">
        <v>663</v>
      </c>
      <c r="B890" s="17" t="s">
        <v>10</v>
      </c>
      <c r="C890" s="17" t="s">
        <v>13</v>
      </c>
      <c r="D890" s="18" t="s">
        <v>249</v>
      </c>
      <c r="E890" s="18" t="s">
        <v>1688</v>
      </c>
      <c r="F890" s="18">
        <v>5.94</v>
      </c>
      <c r="G890" s="23">
        <v>1.73</v>
      </c>
      <c r="H890" s="20">
        <v>6.89</v>
      </c>
      <c r="I890" s="25">
        <v>5.0672711319098998</v>
      </c>
      <c r="J890" s="24">
        <f>G890/F890*((100-H890)/100)*((100-I890)/100)*100</f>
        <v>25.743758326415172</v>
      </c>
      <c r="K890" s="53">
        <v>4.8704663212435237</v>
      </c>
      <c r="L890" s="54">
        <f>J890*10000/K890</f>
        <v>52856.865499980086</v>
      </c>
      <c r="M890" s="55">
        <v>49.9</v>
      </c>
      <c r="N890" s="55">
        <v>18</v>
      </c>
      <c r="O890" s="56">
        <v>29.524000000000001</v>
      </c>
      <c r="P890" s="55">
        <v>41.9</v>
      </c>
      <c r="Q890" s="17" t="s">
        <v>424</v>
      </c>
      <c r="R890" s="17" t="s">
        <v>424</v>
      </c>
      <c r="S890" s="17" t="s">
        <v>424</v>
      </c>
      <c r="T890" s="17" t="s">
        <v>424</v>
      </c>
      <c r="U890" s="17" t="s">
        <v>424</v>
      </c>
      <c r="V890" s="17" t="s">
        <v>424</v>
      </c>
      <c r="W890" s="17" t="s">
        <v>424</v>
      </c>
    </row>
    <row r="891" spans="1:23" x14ac:dyDescent="0.25">
      <c r="A891" s="16" t="s">
        <v>662</v>
      </c>
      <c r="B891" s="17" t="s">
        <v>10</v>
      </c>
      <c r="C891" s="17" t="s">
        <v>13</v>
      </c>
      <c r="D891" s="18" t="s">
        <v>243</v>
      </c>
      <c r="E891" s="18" t="s">
        <v>1746</v>
      </c>
      <c r="F891" s="18">
        <v>5.94</v>
      </c>
      <c r="G891" s="23">
        <v>1.82</v>
      </c>
      <c r="H891" s="20">
        <v>6.89</v>
      </c>
      <c r="I891" s="25">
        <v>9.4911116197451726</v>
      </c>
      <c r="J891" s="24">
        <f>G891/F891*((100-H891)/100)*((100-I891)/100)*100</f>
        <v>25.820966879959023</v>
      </c>
      <c r="K891" s="53">
        <v>5.6308411214953269</v>
      </c>
      <c r="L891" s="54">
        <f>J891*10000/K891</f>
        <v>45856.322923744658</v>
      </c>
      <c r="M891" s="55">
        <v>51.8</v>
      </c>
      <c r="N891" s="55">
        <v>16</v>
      </c>
      <c r="O891" s="56">
        <v>1.8275999999999999</v>
      </c>
      <c r="P891" s="55">
        <v>16.5</v>
      </c>
      <c r="Q891" s="17" t="s">
        <v>424</v>
      </c>
      <c r="R891" s="17" t="s">
        <v>424</v>
      </c>
      <c r="S891" s="17" t="s">
        <v>424</v>
      </c>
      <c r="T891" s="17" t="s">
        <v>424</v>
      </c>
      <c r="U891" s="17" t="s">
        <v>424</v>
      </c>
      <c r="V891" s="17" t="s">
        <v>424</v>
      </c>
      <c r="W891" s="17" t="s">
        <v>424</v>
      </c>
    </row>
    <row r="892" spans="1:23" x14ac:dyDescent="0.25">
      <c r="A892" s="16" t="s">
        <v>661</v>
      </c>
      <c r="B892" s="17" t="s">
        <v>10</v>
      </c>
      <c r="C892" s="17" t="s">
        <v>13</v>
      </c>
      <c r="D892" s="18" t="s">
        <v>76</v>
      </c>
      <c r="E892" s="18" t="s">
        <v>1818</v>
      </c>
      <c r="F892" s="18">
        <v>5.94</v>
      </c>
      <c r="G892" s="23">
        <v>2.0499999999999998</v>
      </c>
      <c r="H892" s="20">
        <v>6.89</v>
      </c>
      <c r="I892" s="25">
        <v>5.922568750960215</v>
      </c>
      <c r="J892" s="24">
        <f>G892/F892*((100-H892)/100)*((100-I892)/100)*100</f>
        <v>30.23076890299005</v>
      </c>
      <c r="K892" s="53">
        <v>5.1098901098901095</v>
      </c>
      <c r="L892" s="54">
        <f>J892*10000/K892</f>
        <v>59161.28968112031</v>
      </c>
      <c r="M892" s="55">
        <v>51.8</v>
      </c>
      <c r="N892" s="55">
        <v>15.1</v>
      </c>
      <c r="O892" s="56">
        <v>2.2635999999999998</v>
      </c>
      <c r="P892" s="55">
        <v>17.2</v>
      </c>
      <c r="Q892" s="17" t="s">
        <v>424</v>
      </c>
      <c r="R892" s="17" t="s">
        <v>424</v>
      </c>
      <c r="S892" s="17" t="s">
        <v>424</v>
      </c>
      <c r="T892" s="17" t="s">
        <v>424</v>
      </c>
      <c r="U892" s="17" t="s">
        <v>424</v>
      </c>
      <c r="V892" s="17" t="s">
        <v>424</v>
      </c>
      <c r="W892" s="17" t="s">
        <v>424</v>
      </c>
    </row>
    <row r="893" spans="1:23" x14ac:dyDescent="0.25">
      <c r="A893" s="16" t="s">
        <v>1081</v>
      </c>
      <c r="B893" s="17" t="s">
        <v>10</v>
      </c>
      <c r="C893" s="17" t="s">
        <v>427</v>
      </c>
      <c r="D893" s="18" t="s">
        <v>268</v>
      </c>
      <c r="E893" s="18" t="s">
        <v>1734</v>
      </c>
      <c r="F893" s="18">
        <v>5.94</v>
      </c>
      <c r="G893" s="26">
        <v>2.0499999999999998</v>
      </c>
      <c r="H893" s="17">
        <v>7.26</v>
      </c>
      <c r="I893" s="25">
        <v>9.3396160067515304</v>
      </c>
      <c r="J893" s="24">
        <f>G893/F893*((100-H893)/100)*((100-I893)/100)*100</f>
        <v>29.016970073475445</v>
      </c>
      <c r="K893" s="53">
        <v>5.0961538461538458</v>
      </c>
      <c r="L893" s="54">
        <f>J893*10000/K893</f>
        <v>56938.960144178236</v>
      </c>
      <c r="M893" s="55">
        <v>52.2</v>
      </c>
      <c r="N893" s="55">
        <v>16.899999999999999</v>
      </c>
      <c r="O893" s="56">
        <v>1.1891</v>
      </c>
      <c r="P893" s="55">
        <v>19.5</v>
      </c>
      <c r="Q893" s="17" t="s">
        <v>424</v>
      </c>
      <c r="R893" s="17" t="s">
        <v>424</v>
      </c>
      <c r="S893" s="17" t="s">
        <v>424</v>
      </c>
      <c r="T893" s="17" t="s">
        <v>424</v>
      </c>
      <c r="U893" s="17" t="s">
        <v>424</v>
      </c>
      <c r="V893" s="17" t="s">
        <v>424</v>
      </c>
      <c r="W893" s="17" t="s">
        <v>424</v>
      </c>
    </row>
    <row r="894" spans="1:23" x14ac:dyDescent="0.25">
      <c r="A894" s="16" t="s">
        <v>1080</v>
      </c>
      <c r="B894" s="17" t="s">
        <v>10</v>
      </c>
      <c r="C894" s="17" t="s">
        <v>427</v>
      </c>
      <c r="D894" s="18" t="s">
        <v>102</v>
      </c>
      <c r="E894" s="18" t="s">
        <v>1790</v>
      </c>
      <c r="F894" s="18">
        <v>5.94</v>
      </c>
      <c r="G894" s="26">
        <v>2.39</v>
      </c>
      <c r="H894" s="17">
        <v>7.26</v>
      </c>
      <c r="I894" s="25">
        <v>6.8485981308411192</v>
      </c>
      <c r="J894" s="24">
        <f>G894/F894*((100-H894)/100)*((100-I894)/100)*100</f>
        <v>34.75905355612197</v>
      </c>
      <c r="K894" s="53">
        <v>5.2354874041621029</v>
      </c>
      <c r="L894" s="54">
        <f>J894*10000/K894</f>
        <v>66391.246645898238</v>
      </c>
      <c r="M894" s="55">
        <v>54.5</v>
      </c>
      <c r="N894" s="55">
        <v>15.4</v>
      </c>
      <c r="O894" s="56">
        <v>-0.25245000000000001</v>
      </c>
      <c r="P894" s="55">
        <v>14.4</v>
      </c>
      <c r="Q894" s="17" t="s">
        <v>424</v>
      </c>
      <c r="R894" s="17" t="s">
        <v>424</v>
      </c>
      <c r="S894" s="17" t="s">
        <v>424</v>
      </c>
      <c r="T894" s="17" t="s">
        <v>424</v>
      </c>
      <c r="U894" s="17" t="s">
        <v>424</v>
      </c>
      <c r="V894" s="17" t="s">
        <v>424</v>
      </c>
      <c r="W894" s="17" t="s">
        <v>424</v>
      </c>
    </row>
    <row r="895" spans="1:23" x14ac:dyDescent="0.25">
      <c r="A895" s="16" t="s">
        <v>1079</v>
      </c>
      <c r="B895" s="17" t="s">
        <v>10</v>
      </c>
      <c r="C895" s="17" t="s">
        <v>427</v>
      </c>
      <c r="D895" s="18" t="s">
        <v>46</v>
      </c>
      <c r="E895" s="18" t="s">
        <v>1531</v>
      </c>
      <c r="F895" s="18">
        <v>5.94</v>
      </c>
      <c r="G895" s="26">
        <v>1.41</v>
      </c>
      <c r="H895" s="17">
        <v>7.26</v>
      </c>
      <c r="I895" s="25">
        <v>7.0507240642557658</v>
      </c>
      <c r="J895" s="24">
        <f>G895/F895*((100-H895)/100)*((100-I895)/100)*100</f>
        <v>20.461891159757741</v>
      </c>
      <c r="K895" s="53">
        <v>5.7728337236533962</v>
      </c>
      <c r="L895" s="54">
        <f>J895*10000/K895</f>
        <v>35445.142090128014</v>
      </c>
      <c r="M895" s="55">
        <v>50.9</v>
      </c>
      <c r="N895" s="55">
        <v>17.2</v>
      </c>
      <c r="O895" s="56">
        <v>4.3883000000000001</v>
      </c>
      <c r="P895" s="55">
        <v>53.9</v>
      </c>
      <c r="Q895" s="17" t="s">
        <v>424</v>
      </c>
      <c r="R895" s="17" t="s">
        <v>424</v>
      </c>
      <c r="S895" s="17" t="s">
        <v>424</v>
      </c>
      <c r="T895" s="17" t="s">
        <v>424</v>
      </c>
      <c r="U895" s="17" t="s">
        <v>424</v>
      </c>
      <c r="V895" s="17" t="s">
        <v>424</v>
      </c>
      <c r="W895" s="17" t="s">
        <v>424</v>
      </c>
    </row>
    <row r="896" spans="1:23" x14ac:dyDescent="0.25">
      <c r="A896" s="16" t="s">
        <v>1078</v>
      </c>
      <c r="B896" s="17" t="s">
        <v>10</v>
      </c>
      <c r="C896" s="17" t="s">
        <v>427</v>
      </c>
      <c r="D896" s="18" t="s">
        <v>217</v>
      </c>
      <c r="E896" s="18" t="s">
        <v>1547</v>
      </c>
      <c r="F896" s="18">
        <v>5.94</v>
      </c>
      <c r="G896" s="26">
        <v>1.87</v>
      </c>
      <c r="H896" s="17">
        <v>7.26</v>
      </c>
      <c r="I896" s="25">
        <v>8.4094151212553445</v>
      </c>
      <c r="J896" s="24">
        <f>G896/F896*((100-H896)/100)*((100-I896)/100)*100</f>
        <v>26.7407193163206</v>
      </c>
      <c r="K896" s="53">
        <v>4.230430958663149</v>
      </c>
      <c r="L896" s="54">
        <f>J896*10000/K896</f>
        <v>63210.390566853464</v>
      </c>
      <c r="M896" s="55">
        <v>50.9</v>
      </c>
      <c r="N896" s="55">
        <v>17.8</v>
      </c>
      <c r="O896" s="56">
        <v>2.4419</v>
      </c>
      <c r="P896" s="55">
        <v>13.6</v>
      </c>
      <c r="Q896" s="17" t="s">
        <v>424</v>
      </c>
      <c r="R896" s="17" t="s">
        <v>424</v>
      </c>
      <c r="S896" s="17" t="s">
        <v>424</v>
      </c>
      <c r="T896" s="17" t="s">
        <v>424</v>
      </c>
      <c r="U896" s="17" t="s">
        <v>424</v>
      </c>
      <c r="V896" s="17" t="s">
        <v>424</v>
      </c>
      <c r="W896" s="17" t="s">
        <v>424</v>
      </c>
    </row>
    <row r="897" spans="1:23" x14ac:dyDescent="0.25">
      <c r="A897" s="16" t="s">
        <v>1077</v>
      </c>
      <c r="B897" s="17" t="s">
        <v>10</v>
      </c>
      <c r="C897" s="17" t="s">
        <v>427</v>
      </c>
      <c r="D897" s="18" t="s">
        <v>215</v>
      </c>
      <c r="E897" s="18" t="s">
        <v>1474</v>
      </c>
      <c r="F897" s="18">
        <v>5.94</v>
      </c>
      <c r="G897" s="26">
        <v>1.58</v>
      </c>
      <c r="H897" s="17">
        <v>7.26</v>
      </c>
      <c r="I897" s="25">
        <v>10.609084377744066</v>
      </c>
      <c r="J897" s="24">
        <f>G897/F897*((100-H897)/100)*((100-I897)/100)*100</f>
        <v>22.051143692586976</v>
      </c>
      <c r="K897" s="53">
        <v>4.1115879828326181</v>
      </c>
      <c r="L897" s="54">
        <f>J897*10000/K897</f>
        <v>53631.696037294001</v>
      </c>
      <c r="M897" s="55">
        <v>51.8</v>
      </c>
      <c r="N897" s="55">
        <v>20.3</v>
      </c>
      <c r="O897" s="56">
        <v>47.575000000000003</v>
      </c>
      <c r="P897" s="55">
        <v>58.8</v>
      </c>
      <c r="Q897" s="17" t="s">
        <v>424</v>
      </c>
      <c r="R897" s="17" t="s">
        <v>424</v>
      </c>
      <c r="S897" s="17" t="s">
        <v>424</v>
      </c>
      <c r="T897" s="17" t="s">
        <v>424</v>
      </c>
      <c r="U897" s="17" t="s">
        <v>424</v>
      </c>
      <c r="V897" s="17" t="s">
        <v>424</v>
      </c>
      <c r="W897" s="17" t="s">
        <v>424</v>
      </c>
    </row>
    <row r="898" spans="1:23" x14ac:dyDescent="0.25">
      <c r="A898" s="16" t="s">
        <v>1076</v>
      </c>
      <c r="B898" s="17" t="s">
        <v>10</v>
      </c>
      <c r="C898" s="17" t="s">
        <v>427</v>
      </c>
      <c r="D898" s="18" t="s">
        <v>276</v>
      </c>
      <c r="E898" s="18" t="s">
        <v>1742</v>
      </c>
      <c r="F898" s="18">
        <v>5.94</v>
      </c>
      <c r="G898" s="26">
        <v>2.0299999999999998</v>
      </c>
      <c r="H898" s="17">
        <v>7.26</v>
      </c>
      <c r="I898" s="25">
        <v>8.0521781141798865</v>
      </c>
      <c r="J898" s="24">
        <f>G898/F898*((100-H898)/100)*((100-I898)/100)*100</f>
        <v>29.141917901401747</v>
      </c>
      <c r="K898" s="53">
        <v>4.588122605363985</v>
      </c>
      <c r="L898" s="54">
        <f>J898*10000/K898</f>
        <v>63515.996428107348</v>
      </c>
      <c r="M898" s="55">
        <v>53.2</v>
      </c>
      <c r="N898" s="55">
        <v>16.3</v>
      </c>
      <c r="O898" s="56">
        <v>5.4260000000000002</v>
      </c>
      <c r="P898" s="55">
        <v>16.600000000000001</v>
      </c>
      <c r="Q898" s="17" t="s">
        <v>424</v>
      </c>
      <c r="R898" s="17" t="s">
        <v>424</v>
      </c>
      <c r="S898" s="17" t="s">
        <v>424</v>
      </c>
      <c r="T898" s="17" t="s">
        <v>424</v>
      </c>
      <c r="U898" s="17" t="s">
        <v>424</v>
      </c>
      <c r="V898" s="17" t="s">
        <v>424</v>
      </c>
      <c r="W898" s="17" t="s">
        <v>424</v>
      </c>
    </row>
    <row r="899" spans="1:23" x14ac:dyDescent="0.25">
      <c r="A899" s="16" t="s">
        <v>672</v>
      </c>
      <c r="B899" s="17" t="s">
        <v>10</v>
      </c>
      <c r="C899" s="17" t="s">
        <v>13</v>
      </c>
      <c r="D899" s="18" t="s">
        <v>271</v>
      </c>
      <c r="E899" s="18" t="s">
        <v>1521</v>
      </c>
      <c r="F899" s="18">
        <v>5.94</v>
      </c>
      <c r="G899" s="23">
        <v>1.7</v>
      </c>
      <c r="H899" s="20">
        <v>6.89</v>
      </c>
      <c r="I899" s="25">
        <v>9.1316094172134417</v>
      </c>
      <c r="J899" s="24">
        <f>G899/F899*((100-H899)/100)*((100-I899)/100)*100</f>
        <v>24.214284411073294</v>
      </c>
      <c r="K899" s="53">
        <v>4.9540347293156284</v>
      </c>
      <c r="L899" s="54">
        <f>J899*10000/K899</f>
        <v>48877.906058640729</v>
      </c>
      <c r="M899" s="55">
        <v>47</v>
      </c>
      <c r="N899" s="55">
        <v>19.5</v>
      </c>
      <c r="O899" s="56">
        <v>4.5320999999999998</v>
      </c>
      <c r="P899" s="55">
        <v>52.4</v>
      </c>
      <c r="Q899" s="17" t="s">
        <v>424</v>
      </c>
      <c r="R899" s="17" t="s">
        <v>424</v>
      </c>
      <c r="S899" s="17" t="s">
        <v>424</v>
      </c>
      <c r="T899" s="17" t="s">
        <v>424</v>
      </c>
      <c r="U899" s="17" t="s">
        <v>424</v>
      </c>
      <c r="V899" s="17" t="s">
        <v>424</v>
      </c>
      <c r="W899" s="17" t="s">
        <v>424</v>
      </c>
    </row>
    <row r="900" spans="1:23" x14ac:dyDescent="0.25">
      <c r="A900" s="16" t="s">
        <v>671</v>
      </c>
      <c r="B900" s="17" t="s">
        <v>10</v>
      </c>
      <c r="C900" s="17" t="s">
        <v>13</v>
      </c>
      <c r="D900" s="18" t="s">
        <v>273</v>
      </c>
      <c r="E900" s="18" t="s">
        <v>1539</v>
      </c>
      <c r="F900" s="18">
        <v>5.94</v>
      </c>
      <c r="G900" s="23">
        <v>2.17</v>
      </c>
      <c r="H900" s="20">
        <v>6.89</v>
      </c>
      <c r="I900" s="25">
        <v>5.0879695672848371</v>
      </c>
      <c r="J900" s="24">
        <f>G900/F900*((100-H900)/100)*((100-I900)/100)*100</f>
        <v>32.284263237862852</v>
      </c>
      <c r="K900" s="53">
        <v>5.0210084033613445</v>
      </c>
      <c r="L900" s="54">
        <f>J900*10000/K900</f>
        <v>64298.365277082507</v>
      </c>
      <c r="M900" s="55">
        <v>51.8</v>
      </c>
      <c r="N900" s="55">
        <v>16.7</v>
      </c>
      <c r="O900" s="56">
        <v>2.1069</v>
      </c>
      <c r="P900" s="55">
        <v>10.8</v>
      </c>
      <c r="Q900" s="17" t="s">
        <v>424</v>
      </c>
      <c r="R900" s="17" t="s">
        <v>424</v>
      </c>
      <c r="S900" s="17" t="s">
        <v>424</v>
      </c>
      <c r="T900" s="17" t="s">
        <v>424</v>
      </c>
      <c r="U900" s="17" t="s">
        <v>424</v>
      </c>
      <c r="V900" s="17" t="s">
        <v>424</v>
      </c>
      <c r="W900" s="17" t="s">
        <v>424</v>
      </c>
    </row>
    <row r="901" spans="1:23" x14ac:dyDescent="0.25">
      <c r="A901" s="16" t="s">
        <v>670</v>
      </c>
      <c r="B901" s="17" t="s">
        <v>10</v>
      </c>
      <c r="C901" s="17" t="s">
        <v>13</v>
      </c>
      <c r="D901" s="18" t="s">
        <v>69</v>
      </c>
      <c r="E901" s="18" t="s">
        <v>1724</v>
      </c>
      <c r="F901" s="18">
        <v>5.94</v>
      </c>
      <c r="G901" s="23">
        <v>2.16</v>
      </c>
      <c r="H901" s="20">
        <v>6.89</v>
      </c>
      <c r="I901" s="25">
        <v>6.0106461629454353</v>
      </c>
      <c r="J901" s="24">
        <f>G901/F901*((100-H901)/100)*((100-I901)/100)*100</f>
        <v>31.823086311884186</v>
      </c>
      <c r="K901" s="53">
        <v>4.8121085594989559</v>
      </c>
      <c r="L901" s="54">
        <f>J901*10000/K901</f>
        <v>66131.272639446965</v>
      </c>
      <c r="M901" s="55">
        <v>53.1</v>
      </c>
      <c r="N901" s="55">
        <v>16</v>
      </c>
      <c r="O901" s="56">
        <v>2.3113000000000001</v>
      </c>
      <c r="P901" s="55">
        <v>17.3</v>
      </c>
      <c r="Q901" s="17" t="s">
        <v>424</v>
      </c>
      <c r="R901" s="17" t="s">
        <v>424</v>
      </c>
      <c r="S901" s="17" t="s">
        <v>424</v>
      </c>
      <c r="T901" s="17" t="s">
        <v>424</v>
      </c>
      <c r="U901" s="17" t="s">
        <v>424</v>
      </c>
      <c r="V901" s="17" t="s">
        <v>424</v>
      </c>
      <c r="W901" s="17" t="s">
        <v>424</v>
      </c>
    </row>
    <row r="902" spans="1:23" x14ac:dyDescent="0.25">
      <c r="A902" s="16" t="s">
        <v>669</v>
      </c>
      <c r="B902" s="17" t="s">
        <v>10</v>
      </c>
      <c r="C902" s="17" t="s">
        <v>13</v>
      </c>
      <c r="D902" s="18" t="s">
        <v>246</v>
      </c>
      <c r="E902" s="18" t="s">
        <v>1616</v>
      </c>
      <c r="F902" s="18">
        <v>5.94</v>
      </c>
      <c r="G902" s="23">
        <v>1.68</v>
      </c>
      <c r="H902" s="20">
        <v>6.89</v>
      </c>
      <c r="I902" s="25">
        <v>10.776891071550379</v>
      </c>
      <c r="J902" s="24">
        <f>G902/F902*((100-H902)/100)*((100-I902)/100)*100</f>
        <v>23.496139679311359</v>
      </c>
      <c r="K902" s="53">
        <v>4.1630529054640073</v>
      </c>
      <c r="L902" s="54">
        <f>J902*10000/K902</f>
        <v>56439.685521345818</v>
      </c>
      <c r="M902" s="55">
        <v>52.1</v>
      </c>
      <c r="N902" s="55">
        <v>16.899999999999999</v>
      </c>
      <c r="O902" s="56">
        <v>2.4794</v>
      </c>
      <c r="P902" s="55">
        <v>17.399999999999999</v>
      </c>
      <c r="Q902" s="17" t="s">
        <v>424</v>
      </c>
      <c r="R902" s="17" t="s">
        <v>424</v>
      </c>
      <c r="S902" s="17" t="s">
        <v>424</v>
      </c>
      <c r="T902" s="17" t="s">
        <v>424</v>
      </c>
      <c r="U902" s="17" t="s">
        <v>424</v>
      </c>
      <c r="V902" s="17" t="s">
        <v>424</v>
      </c>
      <c r="W902" s="17" t="s">
        <v>424</v>
      </c>
    </row>
    <row r="903" spans="1:23" x14ac:dyDescent="0.25">
      <c r="A903" s="16" t="s">
        <v>668</v>
      </c>
      <c r="B903" s="17" t="s">
        <v>10</v>
      </c>
      <c r="C903" s="17" t="s">
        <v>13</v>
      </c>
      <c r="D903" s="18" t="s">
        <v>263</v>
      </c>
      <c r="E903" s="18" t="s">
        <v>1774</v>
      </c>
      <c r="F903" s="18">
        <v>5.94</v>
      </c>
      <c r="G903" s="23">
        <v>1.85</v>
      </c>
      <c r="H903" s="20">
        <v>6.89</v>
      </c>
      <c r="I903" s="25">
        <v>4.6563534210728941</v>
      </c>
      <c r="J903" s="24">
        <f>G903/F903*((100-H903)/100)*((100-I903)/100)*100</f>
        <v>27.648614185156934</v>
      </c>
      <c r="K903" s="53">
        <v>4.8136645962732922</v>
      </c>
      <c r="L903" s="54">
        <f>J903*10000/K903</f>
        <v>57437.766242713114</v>
      </c>
      <c r="M903" s="55">
        <v>50.8</v>
      </c>
      <c r="N903" s="55">
        <v>16.7</v>
      </c>
      <c r="O903" s="56">
        <v>1.9873000000000001</v>
      </c>
      <c r="P903" s="55">
        <v>11.9</v>
      </c>
      <c r="Q903" s="17" t="s">
        <v>424</v>
      </c>
      <c r="R903" s="17" t="s">
        <v>424</v>
      </c>
      <c r="S903" s="17" t="s">
        <v>424</v>
      </c>
      <c r="T903" s="17" t="s">
        <v>424</v>
      </c>
      <c r="U903" s="17" t="s">
        <v>424</v>
      </c>
      <c r="V903" s="17" t="s">
        <v>424</v>
      </c>
      <c r="W903" s="17" t="s">
        <v>424</v>
      </c>
    </row>
    <row r="904" spans="1:23" x14ac:dyDescent="0.25">
      <c r="A904" s="16" t="s">
        <v>667</v>
      </c>
      <c r="B904" s="17" t="s">
        <v>10</v>
      </c>
      <c r="C904" s="17" t="s">
        <v>13</v>
      </c>
      <c r="D904" s="18" t="s">
        <v>14</v>
      </c>
      <c r="E904" s="18" t="s">
        <v>1551</v>
      </c>
      <c r="F904" s="18">
        <v>5.94</v>
      </c>
      <c r="G904" s="23">
        <v>1.68</v>
      </c>
      <c r="H904" s="20">
        <v>6.89</v>
      </c>
      <c r="I904" s="25">
        <v>7.1833793314934109</v>
      </c>
      <c r="J904" s="24">
        <f>G904/F904*((100-H904)/100)*((100-I904)/100)*100</f>
        <v>24.442460142671735</v>
      </c>
      <c r="K904" s="53">
        <v>4.8190279214064118</v>
      </c>
      <c r="L904" s="54">
        <f>J904*10000/K904</f>
        <v>50720.72737760422</v>
      </c>
      <c r="M904" s="55">
        <v>49</v>
      </c>
      <c r="N904" s="55">
        <v>17.7</v>
      </c>
      <c r="O904" s="56">
        <v>3.1448</v>
      </c>
      <c r="P904" s="55">
        <v>15.4</v>
      </c>
      <c r="Q904" s="17" t="s">
        <v>424</v>
      </c>
      <c r="R904" s="17" t="s">
        <v>424</v>
      </c>
      <c r="S904" s="17" t="s">
        <v>424</v>
      </c>
      <c r="T904" s="17" t="s">
        <v>424</v>
      </c>
      <c r="U904" s="17" t="s">
        <v>424</v>
      </c>
      <c r="V904" s="17" t="s">
        <v>424</v>
      </c>
      <c r="W904" s="17" t="s">
        <v>424</v>
      </c>
    </row>
    <row r="905" spans="1:23" x14ac:dyDescent="0.25">
      <c r="A905" s="16" t="s">
        <v>1087</v>
      </c>
      <c r="B905" s="17" t="s">
        <v>10</v>
      </c>
      <c r="C905" s="17" t="s">
        <v>427</v>
      </c>
      <c r="D905" s="18" t="s">
        <v>77</v>
      </c>
      <c r="E905" s="18" t="s">
        <v>1630</v>
      </c>
      <c r="F905" s="18">
        <v>5.94</v>
      </c>
      <c r="G905" s="26">
        <v>1.43</v>
      </c>
      <c r="H905" s="17">
        <v>7.26</v>
      </c>
      <c r="I905" s="25">
        <v>8.9682475559505495</v>
      </c>
      <c r="J905" s="24">
        <f>G905/F905*((100-H905)/100)*((100-I905)/100)*100</f>
        <v>20.324018774369421</v>
      </c>
      <c r="K905" s="53">
        <v>4.8648648648648649</v>
      </c>
      <c r="L905" s="54">
        <f>J905*10000/K905</f>
        <v>41777.149702870476</v>
      </c>
      <c r="M905" s="55">
        <v>51.3</v>
      </c>
      <c r="N905" s="55">
        <v>19.3</v>
      </c>
      <c r="O905" s="56">
        <v>7.0677000000000003</v>
      </c>
      <c r="P905" s="55">
        <v>14</v>
      </c>
      <c r="Q905" s="17" t="s">
        <v>424</v>
      </c>
      <c r="R905" s="17" t="s">
        <v>424</v>
      </c>
      <c r="S905" s="17" t="s">
        <v>424</v>
      </c>
      <c r="T905" s="17" t="s">
        <v>424</v>
      </c>
      <c r="U905" s="17" t="s">
        <v>424</v>
      </c>
      <c r="V905" s="17" t="s">
        <v>424</v>
      </c>
      <c r="W905" s="17" t="s">
        <v>424</v>
      </c>
    </row>
    <row r="906" spans="1:23" x14ac:dyDescent="0.25">
      <c r="A906" s="16" t="s">
        <v>1086</v>
      </c>
      <c r="B906" s="17" t="s">
        <v>10</v>
      </c>
      <c r="C906" s="17" t="s">
        <v>427</v>
      </c>
      <c r="D906" s="18" t="s">
        <v>49</v>
      </c>
      <c r="E906" s="18" t="s">
        <v>1554</v>
      </c>
      <c r="F906" s="18">
        <v>5.94</v>
      </c>
      <c r="G906" s="26">
        <v>1.71</v>
      </c>
      <c r="H906" s="17">
        <v>7.26</v>
      </c>
      <c r="I906" s="25">
        <v>7.5457374933576142</v>
      </c>
      <c r="J906" s="24">
        <f>G906/F906*((100-H906)/100)*((100-I906)/100)*100</f>
        <v>24.683326938250648</v>
      </c>
      <c r="K906" s="53">
        <v>5.5517633674630265</v>
      </c>
      <c r="L906" s="54">
        <f>J906*10000/K906</f>
        <v>44460.336841644101</v>
      </c>
      <c r="M906" s="55">
        <v>53</v>
      </c>
      <c r="N906" s="55">
        <v>17.600000000000001</v>
      </c>
      <c r="O906" s="56">
        <v>6.8044000000000002</v>
      </c>
      <c r="P906" s="55">
        <v>17.600000000000001</v>
      </c>
      <c r="Q906" s="17" t="s">
        <v>424</v>
      </c>
      <c r="R906" s="17" t="s">
        <v>424</v>
      </c>
      <c r="S906" s="17" t="s">
        <v>424</v>
      </c>
      <c r="T906" s="17" t="s">
        <v>424</v>
      </c>
      <c r="U906" s="17" t="s">
        <v>424</v>
      </c>
      <c r="V906" s="17" t="s">
        <v>424</v>
      </c>
      <c r="W906" s="17" t="s">
        <v>424</v>
      </c>
    </row>
    <row r="907" spans="1:23" x14ac:dyDescent="0.25">
      <c r="A907" s="16" t="s">
        <v>1085</v>
      </c>
      <c r="B907" s="17" t="s">
        <v>10</v>
      </c>
      <c r="C907" s="17" t="s">
        <v>427</v>
      </c>
      <c r="D907" s="18" t="s">
        <v>64</v>
      </c>
      <c r="E907" s="18" t="s">
        <v>1798</v>
      </c>
      <c r="F907" s="18">
        <v>5.94</v>
      </c>
      <c r="G907" s="26">
        <v>1.97</v>
      </c>
      <c r="H907" s="17">
        <v>7.26</v>
      </c>
      <c r="I907" s="25">
        <v>9.3483748816661478</v>
      </c>
      <c r="J907" s="24">
        <f>G907/F907*((100-H907)/100)*((100-I907)/100)*100</f>
        <v>27.881906524485412</v>
      </c>
      <c r="K907" s="53">
        <v>5.0159066808059389</v>
      </c>
      <c r="L907" s="54">
        <f>J907*10000/K907</f>
        <v>55586.972204206642</v>
      </c>
      <c r="M907" s="55">
        <v>53.6</v>
      </c>
      <c r="N907" s="55">
        <v>15.7</v>
      </c>
      <c r="O907" s="56">
        <v>1.2729999999999999</v>
      </c>
      <c r="P907" s="55">
        <v>11.1</v>
      </c>
      <c r="Q907" s="17" t="s">
        <v>424</v>
      </c>
      <c r="R907" s="17" t="s">
        <v>424</v>
      </c>
      <c r="S907" s="17" t="s">
        <v>424</v>
      </c>
      <c r="T907" s="17" t="s">
        <v>424</v>
      </c>
      <c r="U907" s="17" t="s">
        <v>424</v>
      </c>
      <c r="V907" s="17" t="s">
        <v>424</v>
      </c>
      <c r="W907" s="17" t="s">
        <v>424</v>
      </c>
    </row>
    <row r="908" spans="1:23" x14ac:dyDescent="0.25">
      <c r="A908" s="16" t="s">
        <v>1084</v>
      </c>
      <c r="B908" s="17" t="s">
        <v>10</v>
      </c>
      <c r="C908" s="17" t="s">
        <v>427</v>
      </c>
      <c r="D908" s="18" t="s">
        <v>88</v>
      </c>
      <c r="E908" s="18" t="s">
        <v>1506</v>
      </c>
      <c r="F908" s="18">
        <v>5.94</v>
      </c>
      <c r="G908" s="26">
        <v>1.7</v>
      </c>
      <c r="H908" s="17">
        <v>7.26</v>
      </c>
      <c r="I908" s="25">
        <v>10.255227552275535</v>
      </c>
      <c r="J908" s="24">
        <f>G908/F908*((100-H908)/100)*((100-I908)/100)*100</f>
        <v>23.819833896571286</v>
      </c>
      <c r="K908" s="53">
        <v>6.1538461538461542</v>
      </c>
      <c r="L908" s="54">
        <f>J908*10000/K908</f>
        <v>38707.230081928334</v>
      </c>
      <c r="M908" s="55">
        <v>48.3</v>
      </c>
      <c r="N908" s="55">
        <v>20.2</v>
      </c>
      <c r="O908" s="56">
        <v>6.8246000000000002</v>
      </c>
      <c r="P908" s="55">
        <v>58.7</v>
      </c>
      <c r="Q908" s="17" t="s">
        <v>424</v>
      </c>
      <c r="R908" s="17" t="s">
        <v>424</v>
      </c>
      <c r="S908" s="17" t="s">
        <v>424</v>
      </c>
      <c r="T908" s="17" t="s">
        <v>424</v>
      </c>
      <c r="U908" s="17" t="s">
        <v>424</v>
      </c>
      <c r="V908" s="17" t="s">
        <v>424</v>
      </c>
      <c r="W908" s="17" t="s">
        <v>424</v>
      </c>
    </row>
    <row r="909" spans="1:23" x14ac:dyDescent="0.25">
      <c r="A909" s="16" t="s">
        <v>1083</v>
      </c>
      <c r="B909" s="17" t="s">
        <v>10</v>
      </c>
      <c r="C909" s="17" t="s">
        <v>427</v>
      </c>
      <c r="D909" s="18" t="s">
        <v>183</v>
      </c>
      <c r="E909" s="18" t="s">
        <v>1564</v>
      </c>
      <c r="F909" s="18">
        <v>5.94</v>
      </c>
      <c r="G909" s="26">
        <v>1.66</v>
      </c>
      <c r="H909" s="17">
        <v>7.26</v>
      </c>
      <c r="I909" s="25">
        <v>8.3876452252762856</v>
      </c>
      <c r="J909" s="24">
        <f>G909/F909*((100-H909)/100)*((100-I909)/100)*100</f>
        <v>23.743392992931099</v>
      </c>
      <c r="K909" s="53">
        <v>5.7701711491442547</v>
      </c>
      <c r="L909" s="54">
        <f>J909*10000/K909</f>
        <v>41148.507347918719</v>
      </c>
      <c r="M909" s="55">
        <v>50.6</v>
      </c>
      <c r="N909" s="55">
        <v>17.8</v>
      </c>
      <c r="O909" s="56">
        <v>4.3303000000000003</v>
      </c>
      <c r="P909" s="55">
        <v>19.100000000000001</v>
      </c>
      <c r="Q909" s="17" t="s">
        <v>424</v>
      </c>
      <c r="R909" s="17" t="s">
        <v>424</v>
      </c>
      <c r="S909" s="17" t="s">
        <v>424</v>
      </c>
      <c r="T909" s="17" t="s">
        <v>424</v>
      </c>
      <c r="U909" s="17" t="s">
        <v>424</v>
      </c>
      <c r="V909" s="17" t="s">
        <v>424</v>
      </c>
      <c r="W909" s="17" t="s">
        <v>424</v>
      </c>
    </row>
    <row r="910" spans="1:23" x14ac:dyDescent="0.25">
      <c r="A910" s="16" t="s">
        <v>1082</v>
      </c>
      <c r="B910" s="17" t="s">
        <v>10</v>
      </c>
      <c r="C910" s="17" t="s">
        <v>427</v>
      </c>
      <c r="D910" s="18" t="s">
        <v>177</v>
      </c>
      <c r="E910" s="18" t="s">
        <v>1698</v>
      </c>
      <c r="F910" s="18">
        <v>5.94</v>
      </c>
      <c r="G910" s="26">
        <v>1.46</v>
      </c>
      <c r="H910" s="17">
        <v>7.26</v>
      </c>
      <c r="I910" s="25">
        <v>10.293398533007343</v>
      </c>
      <c r="J910" s="24">
        <f>G910/F910*((100-H910)/100)*((100-I910)/100)*100</f>
        <v>20.448332864093253</v>
      </c>
      <c r="K910" s="53">
        <v>4.7047244094488185</v>
      </c>
      <c r="L910" s="54">
        <f>J910*10000/K910</f>
        <v>43463.402070959724</v>
      </c>
      <c r="M910" s="55">
        <v>51.1</v>
      </c>
      <c r="N910" s="55">
        <v>19.600000000000001</v>
      </c>
      <c r="O910" s="56">
        <v>46.99</v>
      </c>
      <c r="P910" s="55">
        <v>67.599999999999994</v>
      </c>
      <c r="Q910" s="17" t="s">
        <v>424</v>
      </c>
      <c r="R910" s="17" t="s">
        <v>424</v>
      </c>
      <c r="S910" s="17" t="s">
        <v>424</v>
      </c>
      <c r="T910" s="17" t="s">
        <v>424</v>
      </c>
      <c r="U910" s="17" t="s">
        <v>424</v>
      </c>
      <c r="V910" s="17" t="s">
        <v>424</v>
      </c>
      <c r="W910" s="17" t="s">
        <v>424</v>
      </c>
    </row>
    <row r="911" spans="1:23" x14ac:dyDescent="0.25">
      <c r="A911" s="16" t="s">
        <v>678</v>
      </c>
      <c r="B911" s="17" t="s">
        <v>10</v>
      </c>
      <c r="C911" s="17" t="s">
        <v>13</v>
      </c>
      <c r="D911" s="18" t="s">
        <v>286</v>
      </c>
      <c r="E911" s="18" t="s">
        <v>1556</v>
      </c>
      <c r="F911" s="18">
        <v>5.94</v>
      </c>
      <c r="G911" s="23">
        <v>1.97</v>
      </c>
      <c r="H911" s="20">
        <v>6.89</v>
      </c>
      <c r="I911" s="25">
        <v>9.4545454545454568</v>
      </c>
      <c r="J911" s="24">
        <f>G911/F911*((100-H911)/100)*((100-I911)/100)*100</f>
        <v>27.960360146923787</v>
      </c>
      <c r="K911" s="53">
        <v>4.9464668094218416</v>
      </c>
      <c r="L911" s="54">
        <f>J911*10000/K911</f>
        <v>56525.92289443034</v>
      </c>
      <c r="M911" s="55">
        <v>50.6</v>
      </c>
      <c r="N911" s="55">
        <v>17.8</v>
      </c>
      <c r="O911" s="56">
        <v>1.7789999999999999</v>
      </c>
      <c r="P911" s="55">
        <v>15.7</v>
      </c>
      <c r="Q911" s="17" t="s">
        <v>424</v>
      </c>
      <c r="R911" s="17" t="s">
        <v>424</v>
      </c>
      <c r="S911" s="17" t="s">
        <v>424</v>
      </c>
      <c r="T911" s="17" t="s">
        <v>424</v>
      </c>
      <c r="U911" s="17" t="s">
        <v>424</v>
      </c>
      <c r="V911" s="17" t="s">
        <v>424</v>
      </c>
      <c r="W911" s="17" t="s">
        <v>424</v>
      </c>
    </row>
    <row r="912" spans="1:23" x14ac:dyDescent="0.25">
      <c r="A912" s="16" t="s">
        <v>677</v>
      </c>
      <c r="B912" s="17" t="s">
        <v>10</v>
      </c>
      <c r="C912" s="17" t="s">
        <v>13</v>
      </c>
      <c r="D912" s="18" t="s">
        <v>35</v>
      </c>
      <c r="E912" s="18" t="s">
        <v>1662</v>
      </c>
      <c r="F912" s="18">
        <v>5.94</v>
      </c>
      <c r="G912" s="23">
        <v>2.19</v>
      </c>
      <c r="H912" s="20">
        <v>6.89</v>
      </c>
      <c r="I912" s="25">
        <v>6.0185185185185208</v>
      </c>
      <c r="J912" s="24">
        <f>G912/F912*((100-H912)/100)*((100-I912)/100)*100</f>
        <v>32.262371165357273</v>
      </c>
      <c r="K912" s="53">
        <v>5.4249126891734578</v>
      </c>
      <c r="L912" s="54">
        <f>J912*10000/K912</f>
        <v>59470.765731849562</v>
      </c>
      <c r="M912" s="55">
        <v>50.7</v>
      </c>
      <c r="N912" s="55">
        <v>16.2</v>
      </c>
      <c r="O912" s="56">
        <v>1.1293</v>
      </c>
      <c r="P912" s="55">
        <v>10.9</v>
      </c>
      <c r="Q912" s="17" t="s">
        <v>424</v>
      </c>
      <c r="R912" s="17" t="s">
        <v>424</v>
      </c>
      <c r="S912" s="17" t="s">
        <v>424</v>
      </c>
      <c r="T912" s="17" t="s">
        <v>424</v>
      </c>
      <c r="U912" s="17" t="s">
        <v>424</v>
      </c>
      <c r="V912" s="17" t="s">
        <v>424</v>
      </c>
      <c r="W912" s="17" t="s">
        <v>424</v>
      </c>
    </row>
    <row r="913" spans="1:23" x14ac:dyDescent="0.25">
      <c r="A913" s="16" t="s">
        <v>676</v>
      </c>
      <c r="B913" s="17" t="s">
        <v>10</v>
      </c>
      <c r="C913" s="17" t="s">
        <v>13</v>
      </c>
      <c r="D913" s="18" t="s">
        <v>37</v>
      </c>
      <c r="E913" s="18" t="s">
        <v>1736</v>
      </c>
      <c r="F913" s="18">
        <v>5.94</v>
      </c>
      <c r="G913" s="23">
        <v>1.84</v>
      </c>
      <c r="H913" s="20">
        <v>6.89</v>
      </c>
      <c r="I913" s="25">
        <v>7.7536408754373127</v>
      </c>
      <c r="J913" s="24">
        <f>G913/F913*((100-H913)/100)*((100-I913)/100)*100</f>
        <v>26.605837771855178</v>
      </c>
      <c r="K913" s="53">
        <v>5.5864570737605801</v>
      </c>
      <c r="L913" s="54">
        <f>J913*10000/K913</f>
        <v>47625.601379489686</v>
      </c>
      <c r="M913" s="55">
        <v>50.6</v>
      </c>
      <c r="N913" s="55">
        <v>17.3</v>
      </c>
      <c r="O913" s="56">
        <v>1.3649</v>
      </c>
      <c r="P913" s="55">
        <v>12.6</v>
      </c>
      <c r="Q913" s="17" t="s">
        <v>424</v>
      </c>
      <c r="R913" s="17" t="s">
        <v>424</v>
      </c>
      <c r="S913" s="17" t="s">
        <v>424</v>
      </c>
      <c r="T913" s="17" t="s">
        <v>424</v>
      </c>
      <c r="U913" s="17" t="s">
        <v>424</v>
      </c>
      <c r="V913" s="17" t="s">
        <v>424</v>
      </c>
      <c r="W913" s="17" t="s">
        <v>424</v>
      </c>
    </row>
    <row r="914" spans="1:23" x14ac:dyDescent="0.25">
      <c r="A914" s="16" t="s">
        <v>675</v>
      </c>
      <c r="B914" s="17" t="s">
        <v>10</v>
      </c>
      <c r="C914" s="17" t="s">
        <v>13</v>
      </c>
      <c r="D914" s="18" t="s">
        <v>156</v>
      </c>
      <c r="E914" s="18" t="s">
        <v>1525</v>
      </c>
      <c r="F914" s="18">
        <v>5.94</v>
      </c>
      <c r="G914" s="23">
        <v>1.84</v>
      </c>
      <c r="H914" s="20">
        <v>6.89</v>
      </c>
      <c r="I914" s="25">
        <v>8.3644451505282387</v>
      </c>
      <c r="J914" s="24">
        <f>G914/F914*((100-H914)/100)*((100-I914)/100)*100</f>
        <v>26.429668656806633</v>
      </c>
      <c r="K914" s="53">
        <v>4.0210711150131697</v>
      </c>
      <c r="L914" s="54">
        <f>J914*10000/K914</f>
        <v>65727.931441272391</v>
      </c>
      <c r="M914" s="55">
        <v>54.5</v>
      </c>
      <c r="N914" s="55">
        <v>17.5</v>
      </c>
      <c r="O914" s="56">
        <v>0.86909000000000003</v>
      </c>
      <c r="P914" s="55">
        <v>41.9</v>
      </c>
      <c r="Q914" s="17" t="s">
        <v>424</v>
      </c>
      <c r="R914" s="17" t="s">
        <v>424</v>
      </c>
      <c r="S914" s="17" t="s">
        <v>424</v>
      </c>
      <c r="T914" s="17" t="s">
        <v>424</v>
      </c>
      <c r="U914" s="17" t="s">
        <v>424</v>
      </c>
      <c r="V914" s="17" t="s">
        <v>424</v>
      </c>
      <c r="W914" s="17" t="s">
        <v>424</v>
      </c>
    </row>
    <row r="915" spans="1:23" x14ac:dyDescent="0.25">
      <c r="A915" s="16" t="s">
        <v>674</v>
      </c>
      <c r="B915" s="17" t="s">
        <v>10</v>
      </c>
      <c r="C915" s="17" t="s">
        <v>13</v>
      </c>
      <c r="D915" s="18" t="s">
        <v>244</v>
      </c>
      <c r="E915" s="18" t="s">
        <v>1584</v>
      </c>
      <c r="F915" s="18">
        <v>5.94</v>
      </c>
      <c r="G915" s="23">
        <v>2.4</v>
      </c>
      <c r="H915" s="20">
        <v>6.89</v>
      </c>
      <c r="I915" s="25">
        <v>9.0613307304376125</v>
      </c>
      <c r="J915" s="24">
        <f>G915/F915*((100-H915)/100)*((100-I915)/100)*100</f>
        <v>34.211311093692736</v>
      </c>
      <c r="K915" s="53">
        <v>4.1858325666973322</v>
      </c>
      <c r="L915" s="54">
        <f>J915*10000/K915</f>
        <v>81731.198151305507</v>
      </c>
      <c r="M915" s="55">
        <v>55.7</v>
      </c>
      <c r="N915" s="55">
        <v>15.3</v>
      </c>
      <c r="O915" s="56">
        <v>-0.57952999999999999</v>
      </c>
      <c r="P915" s="55">
        <v>15.9</v>
      </c>
      <c r="Q915" s="17" t="s">
        <v>424</v>
      </c>
      <c r="R915" s="17" t="s">
        <v>424</v>
      </c>
      <c r="S915" s="17" t="s">
        <v>424</v>
      </c>
      <c r="T915" s="17" t="s">
        <v>424</v>
      </c>
      <c r="U915" s="17" t="s">
        <v>424</v>
      </c>
      <c r="V915" s="17" t="s">
        <v>424</v>
      </c>
      <c r="W915" s="17" t="s">
        <v>424</v>
      </c>
    </row>
    <row r="916" spans="1:23" x14ac:dyDescent="0.25">
      <c r="A916" s="16" t="s">
        <v>673</v>
      </c>
      <c r="B916" s="17" t="s">
        <v>10</v>
      </c>
      <c r="C916" s="17" t="s">
        <v>13</v>
      </c>
      <c r="D916" s="18" t="s">
        <v>290</v>
      </c>
      <c r="E916" s="18" t="s">
        <v>1814</v>
      </c>
      <c r="F916" s="18">
        <v>5.94</v>
      </c>
      <c r="G916" s="23">
        <v>2.36</v>
      </c>
      <c r="H916" s="20">
        <v>6.89</v>
      </c>
      <c r="I916" s="25">
        <v>9.0582079790712875</v>
      </c>
      <c r="J916" s="24">
        <f>G916/F916*((100-H916)/100)*((100-I916)/100)*100</f>
        <v>33.642277781080921</v>
      </c>
      <c r="K916" s="53">
        <v>4.5903257650542946</v>
      </c>
      <c r="L916" s="54">
        <f>J916*10000/K916</f>
        <v>73289.521273623584</v>
      </c>
      <c r="M916" s="55">
        <v>53</v>
      </c>
      <c r="N916" s="55">
        <v>15.2</v>
      </c>
      <c r="O916" s="56">
        <v>1.3519000000000001</v>
      </c>
      <c r="P916" s="55">
        <v>8.6</v>
      </c>
      <c r="Q916" s="17" t="s">
        <v>424</v>
      </c>
      <c r="R916" s="17" t="s">
        <v>424</v>
      </c>
      <c r="S916" s="17" t="s">
        <v>424</v>
      </c>
      <c r="T916" s="17" t="s">
        <v>424</v>
      </c>
      <c r="U916" s="17" t="s">
        <v>424</v>
      </c>
      <c r="V916" s="17" t="s">
        <v>424</v>
      </c>
      <c r="W916" s="17" t="s">
        <v>424</v>
      </c>
    </row>
    <row r="917" spans="1:23" x14ac:dyDescent="0.25">
      <c r="A917" s="16" t="s">
        <v>1093</v>
      </c>
      <c r="B917" s="17" t="s">
        <v>10</v>
      </c>
      <c r="C917" s="17" t="s">
        <v>427</v>
      </c>
      <c r="D917" s="18" t="s">
        <v>218</v>
      </c>
      <c r="E917" s="18" t="s">
        <v>1466</v>
      </c>
      <c r="F917" s="18">
        <v>5.94</v>
      </c>
      <c r="G917" s="26">
        <v>1.44</v>
      </c>
      <c r="H917" s="17">
        <v>7.26</v>
      </c>
      <c r="I917" s="25">
        <v>10.656540911317981</v>
      </c>
      <c r="J917" s="24">
        <f>G917/F917*((100-H917)/100)*((100-I917)/100)*100</f>
        <v>20.086575505174228</v>
      </c>
      <c r="K917" s="53">
        <v>4.336363636363636</v>
      </c>
      <c r="L917" s="54">
        <f>J917*10000/K917</f>
        <v>46321.2433033368</v>
      </c>
      <c r="M917" s="55">
        <v>54.7</v>
      </c>
      <c r="N917" s="55">
        <v>18.100000000000001</v>
      </c>
      <c r="O917" s="56">
        <v>47.252000000000002</v>
      </c>
      <c r="P917" s="55">
        <v>52.4</v>
      </c>
      <c r="Q917" s="17" t="s">
        <v>424</v>
      </c>
      <c r="R917" s="17" t="s">
        <v>424</v>
      </c>
      <c r="S917" s="17" t="s">
        <v>424</v>
      </c>
      <c r="T917" s="17" t="s">
        <v>424</v>
      </c>
      <c r="U917" s="17" t="s">
        <v>424</v>
      </c>
      <c r="V917" s="17" t="s">
        <v>424</v>
      </c>
      <c r="W917" s="17" t="s">
        <v>424</v>
      </c>
    </row>
    <row r="918" spans="1:23" x14ac:dyDescent="0.25">
      <c r="A918" s="16" t="s">
        <v>1092</v>
      </c>
      <c r="B918" s="17" t="s">
        <v>10</v>
      </c>
      <c r="C918" s="17" t="s">
        <v>427</v>
      </c>
      <c r="D918" s="18" t="s">
        <v>181</v>
      </c>
      <c r="E918" s="18" t="s">
        <v>1494</v>
      </c>
      <c r="F918" s="18">
        <v>5.94</v>
      </c>
      <c r="G918" s="26">
        <v>1.81</v>
      </c>
      <c r="H918" s="17">
        <v>7.26</v>
      </c>
      <c r="I918" s="25">
        <v>11.841806197439206</v>
      </c>
      <c r="J918" s="24">
        <f>G918/F918*((100-H918)/100)*((100-I918)/100)*100</f>
        <v>24.912763496265274</v>
      </c>
      <c r="K918" s="53">
        <v>4.8813209494324044</v>
      </c>
      <c r="L918" s="54">
        <f>J918*10000/K918</f>
        <v>51036.929868670304</v>
      </c>
      <c r="M918" s="55">
        <v>49.3</v>
      </c>
      <c r="N918" s="55">
        <v>19.3</v>
      </c>
      <c r="O918" s="56">
        <v>24.096</v>
      </c>
      <c r="P918" s="55">
        <v>50</v>
      </c>
      <c r="Q918" s="17" t="s">
        <v>424</v>
      </c>
      <c r="R918" s="17" t="s">
        <v>424</v>
      </c>
      <c r="S918" s="17" t="s">
        <v>424</v>
      </c>
      <c r="T918" s="17" t="s">
        <v>424</v>
      </c>
      <c r="U918" s="17" t="s">
        <v>424</v>
      </c>
      <c r="V918" s="17" t="s">
        <v>424</v>
      </c>
      <c r="W918" s="17" t="s">
        <v>424</v>
      </c>
    </row>
    <row r="919" spans="1:23" x14ac:dyDescent="0.25">
      <c r="A919" s="16" t="s">
        <v>1091</v>
      </c>
      <c r="B919" s="17" t="s">
        <v>10</v>
      </c>
      <c r="C919" s="17" t="s">
        <v>427</v>
      </c>
      <c r="D919" s="18" t="s">
        <v>272</v>
      </c>
      <c r="E919" s="18" t="s">
        <v>1470</v>
      </c>
      <c r="F919" s="18">
        <v>5.94</v>
      </c>
      <c r="G919" s="26">
        <v>1.78</v>
      </c>
      <c r="H919" s="17">
        <v>7.26</v>
      </c>
      <c r="I919" s="25">
        <v>10.712514465200867</v>
      </c>
      <c r="J919" s="24">
        <f>G919/F919*((100-H919)/100)*((100-I919)/100)*100</f>
        <v>24.813683682028859</v>
      </c>
      <c r="K919" s="53">
        <v>4.6242774566473992</v>
      </c>
      <c r="L919" s="54">
        <f>J919*10000/K919</f>
        <v>53659.590962387403</v>
      </c>
      <c r="M919" s="55">
        <v>54.3</v>
      </c>
      <c r="N919" s="55">
        <v>18</v>
      </c>
      <c r="O919" s="56">
        <v>41.649000000000001</v>
      </c>
      <c r="P919" s="55">
        <v>46.2</v>
      </c>
      <c r="Q919" s="17" t="s">
        <v>424</v>
      </c>
      <c r="R919" s="17" t="s">
        <v>424</v>
      </c>
      <c r="S919" s="17" t="s">
        <v>424</v>
      </c>
      <c r="T919" s="17" t="s">
        <v>424</v>
      </c>
      <c r="U919" s="17" t="s">
        <v>424</v>
      </c>
      <c r="V919" s="17" t="s">
        <v>424</v>
      </c>
      <c r="W919" s="17" t="s">
        <v>424</v>
      </c>
    </row>
    <row r="920" spans="1:23" x14ac:dyDescent="0.25">
      <c r="A920" s="16" t="s">
        <v>1090</v>
      </c>
      <c r="B920" s="17" t="s">
        <v>10</v>
      </c>
      <c r="C920" s="17" t="s">
        <v>427</v>
      </c>
      <c r="D920" s="18" t="s">
        <v>62</v>
      </c>
      <c r="E920" s="18" t="s">
        <v>1600</v>
      </c>
      <c r="F920" s="18">
        <v>5.94</v>
      </c>
      <c r="G920" s="26">
        <v>1.56</v>
      </c>
      <c r="H920" s="17">
        <v>7.26</v>
      </c>
      <c r="I920" s="25">
        <v>7.5671585319712449</v>
      </c>
      <c r="J920" s="24">
        <f>G920/F920*((100-H920)/100)*((100-I920)/100)*100</f>
        <v>22.512905521350469</v>
      </c>
      <c r="K920" s="53">
        <v>3.7169517884914463</v>
      </c>
      <c r="L920" s="54">
        <f>J920*10000/K920</f>
        <v>60568.193515599793</v>
      </c>
      <c r="M920" s="55">
        <v>53.5</v>
      </c>
      <c r="N920" s="55">
        <v>16.8</v>
      </c>
      <c r="O920" s="56">
        <v>2.4801000000000002</v>
      </c>
      <c r="P920" s="55">
        <v>14.7</v>
      </c>
      <c r="Q920" s="17" t="s">
        <v>424</v>
      </c>
      <c r="R920" s="17" t="s">
        <v>424</v>
      </c>
      <c r="S920" s="17" t="s">
        <v>424</v>
      </c>
      <c r="T920" s="17" t="s">
        <v>424</v>
      </c>
      <c r="U920" s="17" t="s">
        <v>424</v>
      </c>
      <c r="V920" s="17" t="s">
        <v>424</v>
      </c>
      <c r="W920" s="17" t="s">
        <v>424</v>
      </c>
    </row>
    <row r="921" spans="1:23" x14ac:dyDescent="0.25">
      <c r="A921" s="16" t="s">
        <v>1089</v>
      </c>
      <c r="B921" s="17" t="s">
        <v>10</v>
      </c>
      <c r="C921" s="17" t="s">
        <v>427</v>
      </c>
      <c r="D921" s="18" t="s">
        <v>42</v>
      </c>
      <c r="E921" s="18" t="s">
        <v>1656</v>
      </c>
      <c r="F921" s="18">
        <v>5.94</v>
      </c>
      <c r="G921" s="26">
        <v>1.78</v>
      </c>
      <c r="H921" s="17">
        <v>7.26</v>
      </c>
      <c r="I921" s="25">
        <v>5.0911907612139924</v>
      </c>
      <c r="J921" s="24">
        <f>G921/F921*((100-H921)/100)*((100-I921)/100)*100</f>
        <v>26.375893071503242</v>
      </c>
      <c r="K921" s="53">
        <v>5.3243847874720354</v>
      </c>
      <c r="L921" s="54">
        <f>J921*10000/K921</f>
        <v>49537.916819167862</v>
      </c>
      <c r="M921" s="55">
        <v>49.3</v>
      </c>
      <c r="N921" s="55">
        <v>17.899999999999999</v>
      </c>
      <c r="O921" s="56">
        <v>5.1501000000000001</v>
      </c>
      <c r="P921" s="55">
        <v>12.1</v>
      </c>
      <c r="Q921" s="17" t="s">
        <v>424</v>
      </c>
      <c r="R921" s="17" t="s">
        <v>424</v>
      </c>
      <c r="S921" s="17" t="s">
        <v>424</v>
      </c>
      <c r="T921" s="17" t="s">
        <v>424</v>
      </c>
      <c r="U921" s="17" t="s">
        <v>424</v>
      </c>
      <c r="V921" s="17" t="s">
        <v>424</v>
      </c>
      <c r="W921" s="17" t="s">
        <v>424</v>
      </c>
    </row>
    <row r="922" spans="1:23" x14ac:dyDescent="0.25">
      <c r="A922" s="16" t="s">
        <v>1088</v>
      </c>
      <c r="B922" s="17" t="s">
        <v>10</v>
      </c>
      <c r="C922" s="17" t="s">
        <v>427</v>
      </c>
      <c r="D922" s="18" t="s">
        <v>232</v>
      </c>
      <c r="E922" s="18" t="s">
        <v>1598</v>
      </c>
      <c r="F922" s="18">
        <v>5.94</v>
      </c>
      <c r="G922" s="26">
        <v>1.99</v>
      </c>
      <c r="H922" s="17">
        <v>7.26</v>
      </c>
      <c r="I922" s="25">
        <v>6.4727482180142424</v>
      </c>
      <c r="J922" s="24">
        <f>G922/F922*((100-H922)/100)*((100-I922)/100)*100</f>
        <v>29.058413278148322</v>
      </c>
      <c r="K922" s="53">
        <v>4.4592030360531307</v>
      </c>
      <c r="L922" s="54">
        <f>J922*10000/K922</f>
        <v>65165.037436528371</v>
      </c>
      <c r="M922" s="55">
        <v>50.7</v>
      </c>
      <c r="N922" s="55">
        <v>17.399999999999999</v>
      </c>
      <c r="O922" s="56">
        <v>2.1063999999999998</v>
      </c>
      <c r="P922" s="55">
        <v>16.600000000000001</v>
      </c>
      <c r="Q922" s="17" t="s">
        <v>424</v>
      </c>
      <c r="R922" s="17" t="s">
        <v>424</v>
      </c>
      <c r="S922" s="17" t="s">
        <v>424</v>
      </c>
      <c r="T922" s="17" t="s">
        <v>424</v>
      </c>
      <c r="U922" s="17" t="s">
        <v>424</v>
      </c>
      <c r="V922" s="17" t="s">
        <v>424</v>
      </c>
      <c r="W922" s="17" t="s">
        <v>424</v>
      </c>
    </row>
    <row r="923" spans="1:23" x14ac:dyDescent="0.25">
      <c r="A923" s="16" t="s">
        <v>684</v>
      </c>
      <c r="B923" s="17" t="s">
        <v>10</v>
      </c>
      <c r="C923" s="17" t="s">
        <v>13</v>
      </c>
      <c r="D923" s="18" t="s">
        <v>190</v>
      </c>
      <c r="E923" s="18" t="s">
        <v>1456</v>
      </c>
      <c r="F923" s="18">
        <v>5.94</v>
      </c>
      <c r="G923" s="23">
        <v>1.45</v>
      </c>
      <c r="H923" s="20">
        <v>6.89</v>
      </c>
      <c r="I923" s="25">
        <v>10.783182192910138</v>
      </c>
      <c r="J923" s="24">
        <f>G923/F923*((100-H923)/100)*((100-I923)/100)*100</f>
        <v>20.277976369909592</v>
      </c>
      <c r="K923" s="53">
        <v>5.2123995407577501</v>
      </c>
      <c r="L923" s="54">
        <f>J923*10000/K923</f>
        <v>38903.342330817737</v>
      </c>
      <c r="M923" s="55">
        <v>48.1</v>
      </c>
      <c r="N923" s="55">
        <v>20.6</v>
      </c>
      <c r="O923" s="56">
        <v>38.442</v>
      </c>
      <c r="P923" s="55">
        <v>47.7</v>
      </c>
      <c r="Q923" s="17" t="s">
        <v>424</v>
      </c>
      <c r="R923" s="17" t="s">
        <v>424</v>
      </c>
      <c r="S923" s="17" t="s">
        <v>424</v>
      </c>
      <c r="T923" s="17" t="s">
        <v>424</v>
      </c>
      <c r="U923" s="17" t="s">
        <v>424</v>
      </c>
      <c r="V923" s="17" t="s">
        <v>424</v>
      </c>
      <c r="W923" s="17" t="s">
        <v>424</v>
      </c>
    </row>
    <row r="924" spans="1:23" x14ac:dyDescent="0.25">
      <c r="A924" s="16" t="s">
        <v>683</v>
      </c>
      <c r="B924" s="17" t="s">
        <v>10</v>
      </c>
      <c r="C924" s="17" t="s">
        <v>13</v>
      </c>
      <c r="D924" s="18" t="s">
        <v>97</v>
      </c>
      <c r="E924" s="18" t="s">
        <v>1529</v>
      </c>
      <c r="F924" s="18">
        <v>5.94</v>
      </c>
      <c r="G924" s="23">
        <v>1.22</v>
      </c>
      <c r="H924" s="20">
        <v>6.89</v>
      </c>
      <c r="I924" s="25">
        <v>14.172447968285427</v>
      </c>
      <c r="J924" s="24">
        <f>G924/F924*((100-H924)/100)*((100-I924)/100)*100</f>
        <v>16.413320052190219</v>
      </c>
      <c r="K924" s="53">
        <v>6.3093622795115332</v>
      </c>
      <c r="L924" s="54">
        <f>J924*10000/K924</f>
        <v>26014.229846159549</v>
      </c>
      <c r="M924" s="55">
        <v>45.7</v>
      </c>
      <c r="N924" s="55">
        <v>21.1</v>
      </c>
      <c r="O924" s="56">
        <v>6.5507</v>
      </c>
      <c r="P924" s="55">
        <v>25.7</v>
      </c>
      <c r="Q924" s="17" t="s">
        <v>424</v>
      </c>
      <c r="R924" s="17" t="s">
        <v>424</v>
      </c>
      <c r="S924" s="17" t="s">
        <v>424</v>
      </c>
      <c r="T924" s="17" t="s">
        <v>424</v>
      </c>
      <c r="U924" s="17" t="s">
        <v>424</v>
      </c>
      <c r="V924" s="17" t="s">
        <v>424</v>
      </c>
      <c r="W924" s="17" t="s">
        <v>424</v>
      </c>
    </row>
    <row r="925" spans="1:23" x14ac:dyDescent="0.25">
      <c r="A925" s="16" t="s">
        <v>682</v>
      </c>
      <c r="B925" s="17" t="s">
        <v>10</v>
      </c>
      <c r="C925" s="17" t="s">
        <v>13</v>
      </c>
      <c r="D925" s="18" t="s">
        <v>91</v>
      </c>
      <c r="E925" s="18" t="s">
        <v>1498</v>
      </c>
      <c r="F925" s="18">
        <v>5.94</v>
      </c>
      <c r="G925" s="23">
        <v>2.2999999999999998</v>
      </c>
      <c r="H925" s="20">
        <v>6.89</v>
      </c>
      <c r="I925" s="25">
        <v>11.017830015191482</v>
      </c>
      <c r="J925" s="24">
        <f>G925/F925*((100-H925)/100)*((100-I925)/100)*100</f>
        <v>32.080469105651012</v>
      </c>
      <c r="K925" s="53">
        <v>5.2272727272727275</v>
      </c>
      <c r="L925" s="54">
        <f>J925*10000/K925</f>
        <v>61371.33220211498</v>
      </c>
      <c r="M925" s="55">
        <v>56.1</v>
      </c>
      <c r="N925" s="55">
        <v>17.3</v>
      </c>
      <c r="O925" s="56">
        <v>40.85</v>
      </c>
      <c r="P925" s="55">
        <v>14.5</v>
      </c>
      <c r="Q925" s="17" t="s">
        <v>424</v>
      </c>
      <c r="R925" s="17" t="s">
        <v>424</v>
      </c>
      <c r="S925" s="17" t="s">
        <v>424</v>
      </c>
      <c r="T925" s="17" t="s">
        <v>424</v>
      </c>
      <c r="U925" s="17" t="s">
        <v>424</v>
      </c>
      <c r="V925" s="17" t="s">
        <v>424</v>
      </c>
      <c r="W925" s="17" t="s">
        <v>424</v>
      </c>
    </row>
    <row r="926" spans="1:23" x14ac:dyDescent="0.25">
      <c r="A926" s="16" t="s">
        <v>681</v>
      </c>
      <c r="B926" s="17" t="s">
        <v>10</v>
      </c>
      <c r="C926" s="17" t="s">
        <v>13</v>
      </c>
      <c r="D926" s="18" t="s">
        <v>41</v>
      </c>
      <c r="E926" s="18" t="s">
        <v>1660</v>
      </c>
      <c r="F926" s="18">
        <v>5.94</v>
      </c>
      <c r="G926" s="23">
        <v>1.93</v>
      </c>
      <c r="H926" s="20">
        <v>6.89</v>
      </c>
      <c r="I926" s="25">
        <v>6.7285945072697881</v>
      </c>
      <c r="J926" s="24">
        <f>G926/F926*((100-H926)/100)*((100-I926)/100)*100</f>
        <v>28.217316651980219</v>
      </c>
      <c r="K926" s="53">
        <v>5.3720930232558137</v>
      </c>
      <c r="L926" s="54">
        <f>J926*10000/K926</f>
        <v>52525.740953902576</v>
      </c>
      <c r="M926" s="55">
        <v>52.8</v>
      </c>
      <c r="N926" s="55">
        <v>16.7</v>
      </c>
      <c r="O926" s="56">
        <v>4.0122999999999998</v>
      </c>
      <c r="P926" s="55">
        <v>17.5</v>
      </c>
      <c r="Q926" s="17" t="s">
        <v>424</v>
      </c>
      <c r="R926" s="17" t="s">
        <v>424</v>
      </c>
      <c r="S926" s="17" t="s">
        <v>424</v>
      </c>
      <c r="T926" s="17" t="s">
        <v>424</v>
      </c>
      <c r="U926" s="17" t="s">
        <v>424</v>
      </c>
      <c r="V926" s="17" t="s">
        <v>424</v>
      </c>
      <c r="W926" s="17" t="s">
        <v>424</v>
      </c>
    </row>
    <row r="927" spans="1:23" x14ac:dyDescent="0.25">
      <c r="A927" s="16" t="s">
        <v>680</v>
      </c>
      <c r="B927" s="17" t="s">
        <v>10</v>
      </c>
      <c r="C927" s="17" t="s">
        <v>13</v>
      </c>
      <c r="D927" s="18" t="s">
        <v>93</v>
      </c>
      <c r="E927" s="18" t="s">
        <v>1562</v>
      </c>
      <c r="F927" s="18">
        <v>5.94</v>
      </c>
      <c r="G927" s="23">
        <v>2.19</v>
      </c>
      <c r="H927" s="20">
        <v>6.89</v>
      </c>
      <c r="I927" s="25">
        <v>6.7502021018593439</v>
      </c>
      <c r="J927" s="24">
        <f>G927/F927*((100-H927)/100)*((100-I927)/100)*100</f>
        <v>32.011195646848435</v>
      </c>
      <c r="K927" s="53">
        <v>4.6875</v>
      </c>
      <c r="L927" s="54">
        <f>J927*10000/K927</f>
        <v>68290.550713276665</v>
      </c>
      <c r="M927" s="55">
        <v>52.1</v>
      </c>
      <c r="N927" s="55">
        <v>16.399999999999999</v>
      </c>
      <c r="O927" s="56">
        <v>8.0850000000000009</v>
      </c>
      <c r="P927" s="55">
        <v>19.5</v>
      </c>
      <c r="Q927" s="17" t="s">
        <v>424</v>
      </c>
      <c r="R927" s="17" t="s">
        <v>424</v>
      </c>
      <c r="S927" s="17" t="s">
        <v>424</v>
      </c>
      <c r="T927" s="17" t="s">
        <v>424</v>
      </c>
      <c r="U927" s="17" t="s">
        <v>424</v>
      </c>
      <c r="V927" s="17" t="s">
        <v>424</v>
      </c>
      <c r="W927" s="17" t="s">
        <v>424</v>
      </c>
    </row>
    <row r="928" spans="1:23" x14ac:dyDescent="0.25">
      <c r="A928" s="16" t="s">
        <v>679</v>
      </c>
      <c r="B928" s="17" t="s">
        <v>10</v>
      </c>
      <c r="C928" s="17" t="s">
        <v>13</v>
      </c>
      <c r="D928" s="18" t="s">
        <v>218</v>
      </c>
      <c r="E928" s="18" t="s">
        <v>1466</v>
      </c>
      <c r="F928" s="18">
        <v>5.94</v>
      </c>
      <c r="G928" s="23">
        <v>1.33</v>
      </c>
      <c r="H928" s="20">
        <v>6.89</v>
      </c>
      <c r="I928" s="25">
        <v>11.589455623147716</v>
      </c>
      <c r="J928" s="24">
        <f>G928/F928*((100-H928)/100)*((100-I928)/100)*100</f>
        <v>18.431708243459923</v>
      </c>
      <c r="K928" s="53">
        <v>5.133404482390608</v>
      </c>
      <c r="L928" s="54">
        <f>J928*10000/K928</f>
        <v>35905.427492977025</v>
      </c>
      <c r="M928" s="55">
        <v>49.9</v>
      </c>
      <c r="N928" s="55">
        <v>19.3</v>
      </c>
      <c r="O928" s="56">
        <v>35.142000000000003</v>
      </c>
      <c r="P928" s="55">
        <v>47.1</v>
      </c>
      <c r="Q928" s="17" t="s">
        <v>424</v>
      </c>
      <c r="R928" s="17" t="s">
        <v>424</v>
      </c>
      <c r="S928" s="17" t="s">
        <v>424</v>
      </c>
      <c r="T928" s="17" t="s">
        <v>424</v>
      </c>
      <c r="U928" s="17" t="s">
        <v>424</v>
      </c>
      <c r="V928" s="17" t="s">
        <v>424</v>
      </c>
      <c r="W928" s="17" t="s">
        <v>424</v>
      </c>
    </row>
    <row r="929" spans="1:23" x14ac:dyDescent="0.25">
      <c r="A929" s="16" t="s">
        <v>1099</v>
      </c>
      <c r="B929" s="17" t="s">
        <v>10</v>
      </c>
      <c r="C929" s="17" t="s">
        <v>427</v>
      </c>
      <c r="D929" s="18" t="s">
        <v>87</v>
      </c>
      <c r="E929" s="18" t="s">
        <v>1545</v>
      </c>
      <c r="F929" s="18">
        <v>5.94</v>
      </c>
      <c r="G929" s="26">
        <v>1.48</v>
      </c>
      <c r="H929" s="17">
        <v>7.26</v>
      </c>
      <c r="I929" s="25">
        <v>9.7643641058747654</v>
      </c>
      <c r="J929" s="24">
        <f>G929/F929*((100-H929)/100)*((100-I929)/100)*100</f>
        <v>20.850690659554441</v>
      </c>
      <c r="K929" s="53">
        <v>4.9422875131164741</v>
      </c>
      <c r="L929" s="54">
        <f>J929*10000/K929</f>
        <v>42188.34012432141</v>
      </c>
      <c r="M929" s="55">
        <v>52.2</v>
      </c>
      <c r="N929" s="55">
        <v>17.399999999999999</v>
      </c>
      <c r="O929" s="56">
        <v>4.4214000000000002</v>
      </c>
      <c r="P929" s="55">
        <v>17.2</v>
      </c>
      <c r="Q929" s="17" t="s">
        <v>424</v>
      </c>
      <c r="R929" s="17" t="s">
        <v>424</v>
      </c>
      <c r="S929" s="17" t="s">
        <v>424</v>
      </c>
      <c r="T929" s="17" t="s">
        <v>424</v>
      </c>
      <c r="U929" s="17" t="s">
        <v>424</v>
      </c>
      <c r="V929" s="17" t="s">
        <v>424</v>
      </c>
      <c r="W929" s="17" t="s">
        <v>424</v>
      </c>
    </row>
    <row r="930" spans="1:23" x14ac:dyDescent="0.25">
      <c r="A930" s="16" t="s">
        <v>1098</v>
      </c>
      <c r="B930" s="17" t="s">
        <v>10</v>
      </c>
      <c r="C930" s="17" t="s">
        <v>427</v>
      </c>
      <c r="D930" s="18" t="s">
        <v>260</v>
      </c>
      <c r="E930" s="18" t="s">
        <v>1740</v>
      </c>
      <c r="F930" s="18">
        <v>5.94</v>
      </c>
      <c r="G930" s="26">
        <v>2.14</v>
      </c>
      <c r="H930" s="17">
        <v>7.26</v>
      </c>
      <c r="I930" s="25">
        <v>7.2281823023662781</v>
      </c>
      <c r="J930" s="24">
        <f>G930/F930*((100-H930)/100)*((100-I930)/100)*100</f>
        <v>30.99634498117188</v>
      </c>
      <c r="K930" s="53">
        <v>4.3988816402609503</v>
      </c>
      <c r="L930" s="54">
        <f>J930*10000/K930</f>
        <v>70464.148654231831</v>
      </c>
      <c r="M930" s="55">
        <v>55.2</v>
      </c>
      <c r="N930" s="55">
        <v>16.100000000000001</v>
      </c>
      <c r="O930" s="56">
        <v>0.77536000000000005</v>
      </c>
      <c r="P930" s="55">
        <v>12.9</v>
      </c>
      <c r="Q930" s="17" t="s">
        <v>424</v>
      </c>
      <c r="R930" s="17" t="s">
        <v>424</v>
      </c>
      <c r="S930" s="17" t="s">
        <v>424</v>
      </c>
      <c r="T930" s="17" t="s">
        <v>424</v>
      </c>
      <c r="U930" s="17" t="s">
        <v>424</v>
      </c>
      <c r="V930" s="17" t="s">
        <v>424</v>
      </c>
      <c r="W930" s="17" t="s">
        <v>424</v>
      </c>
    </row>
    <row r="931" spans="1:23" x14ac:dyDescent="0.25">
      <c r="A931" s="16" t="s">
        <v>1097</v>
      </c>
      <c r="B931" s="17" t="s">
        <v>10</v>
      </c>
      <c r="C931" s="17" t="s">
        <v>427</v>
      </c>
      <c r="D931" s="18" t="s">
        <v>170</v>
      </c>
      <c r="E931" s="73" t="s">
        <v>1803</v>
      </c>
      <c r="F931" s="18">
        <v>5.94</v>
      </c>
      <c r="G931" s="26">
        <v>2.56</v>
      </c>
      <c r="H931" s="17">
        <v>7.26</v>
      </c>
      <c r="I931" s="25">
        <v>5.8232639394380552</v>
      </c>
      <c r="J931" s="24">
        <f>G931/F931*((100-H931)/100)*((100-I931)/100)*100</f>
        <v>37.641268157873199</v>
      </c>
      <c r="K931" s="53">
        <v>5.182795698924731</v>
      </c>
      <c r="L931" s="54">
        <f>J931*10000/K931</f>
        <v>72627.343126186883</v>
      </c>
      <c r="M931" s="55">
        <v>52.3</v>
      </c>
      <c r="N931" s="55">
        <v>16.3</v>
      </c>
      <c r="O931" s="56">
        <v>2.1987000000000001</v>
      </c>
      <c r="P931" s="55">
        <v>19.899999999999999</v>
      </c>
      <c r="Q931" s="17" t="s">
        <v>424</v>
      </c>
      <c r="R931" s="17" t="s">
        <v>424</v>
      </c>
      <c r="S931" s="17" t="s">
        <v>424</v>
      </c>
      <c r="T931" s="17" t="s">
        <v>424</v>
      </c>
      <c r="U931" s="17" t="s">
        <v>424</v>
      </c>
      <c r="V931" s="17" t="s">
        <v>424</v>
      </c>
      <c r="W931" s="17" t="s">
        <v>424</v>
      </c>
    </row>
    <row r="932" spans="1:23" x14ac:dyDescent="0.25">
      <c r="A932" s="16" t="s">
        <v>1096</v>
      </c>
      <c r="B932" s="17" t="s">
        <v>10</v>
      </c>
      <c r="C932" s="17" t="s">
        <v>427</v>
      </c>
      <c r="D932" s="18" t="s">
        <v>86</v>
      </c>
      <c r="E932" s="18" t="s">
        <v>1478</v>
      </c>
      <c r="F932" s="18">
        <v>5.94</v>
      </c>
      <c r="G932" s="26">
        <v>1.26</v>
      </c>
      <c r="H932" s="17">
        <v>7.26</v>
      </c>
      <c r="I932" s="25">
        <v>9.8694347579271771</v>
      </c>
      <c r="J932" s="24">
        <f>G932/F932*((100-H932)/100)*((100-I932)/100)*100</f>
        <v>17.730594043590557</v>
      </c>
      <c r="K932" s="53">
        <v>5.1165254237288131</v>
      </c>
      <c r="L932" s="54">
        <f>J932*10000/K932</f>
        <v>34653.583389543448</v>
      </c>
      <c r="M932" s="55">
        <v>48.5</v>
      </c>
      <c r="N932" s="55">
        <v>20</v>
      </c>
      <c r="O932" s="56">
        <v>43.003999999999998</v>
      </c>
      <c r="P932" s="55">
        <v>59.9</v>
      </c>
      <c r="Q932" s="17" t="s">
        <v>424</v>
      </c>
      <c r="R932" s="17" t="s">
        <v>424</v>
      </c>
      <c r="S932" s="17" t="s">
        <v>424</v>
      </c>
      <c r="T932" s="17" t="s">
        <v>424</v>
      </c>
      <c r="U932" s="17" t="s">
        <v>424</v>
      </c>
      <c r="V932" s="17" t="s">
        <v>424</v>
      </c>
      <c r="W932" s="17" t="s">
        <v>424</v>
      </c>
    </row>
    <row r="933" spans="1:23" x14ac:dyDescent="0.25">
      <c r="A933" s="16" t="s">
        <v>1095</v>
      </c>
      <c r="B933" s="17" t="s">
        <v>10</v>
      </c>
      <c r="C933" s="17" t="s">
        <v>427</v>
      </c>
      <c r="D933" s="18" t="s">
        <v>235</v>
      </c>
      <c r="E933" s="18" t="s">
        <v>1768</v>
      </c>
      <c r="F933" s="18">
        <v>5.94</v>
      </c>
      <c r="G933" s="26">
        <v>2.2000000000000002</v>
      </c>
      <c r="H933" s="17">
        <v>7.26</v>
      </c>
      <c r="I933" s="25">
        <v>6.4449218460626723</v>
      </c>
      <c r="J933" s="24">
        <f>G933/F933*((100-H933)/100)*((100-I933)/100)*100</f>
        <v>32.134436844430176</v>
      </c>
      <c r="K933" s="53">
        <v>4.9898580121703855</v>
      </c>
      <c r="L933" s="54">
        <f>J933*10000/K933</f>
        <v>64399.501480910883</v>
      </c>
      <c r="M933" s="55">
        <v>53.2</v>
      </c>
      <c r="N933" s="55">
        <v>16.600000000000001</v>
      </c>
      <c r="O933" s="56">
        <v>4.1524000000000001</v>
      </c>
      <c r="P933" s="55">
        <v>13.2</v>
      </c>
      <c r="Q933" s="17" t="s">
        <v>424</v>
      </c>
      <c r="R933" s="17" t="s">
        <v>424</v>
      </c>
      <c r="S933" s="17" t="s">
        <v>424</v>
      </c>
      <c r="T933" s="17" t="s">
        <v>424</v>
      </c>
      <c r="U933" s="17" t="s">
        <v>424</v>
      </c>
      <c r="V933" s="17" t="s">
        <v>424</v>
      </c>
      <c r="W933" s="17" t="s">
        <v>424</v>
      </c>
    </row>
    <row r="934" spans="1:23" x14ac:dyDescent="0.25">
      <c r="A934" s="16" t="s">
        <v>1094</v>
      </c>
      <c r="B934" s="17" t="s">
        <v>10</v>
      </c>
      <c r="C934" s="17" t="s">
        <v>427</v>
      </c>
      <c r="D934" s="18" t="s">
        <v>23</v>
      </c>
      <c r="E934" s="18" t="s">
        <v>1620</v>
      </c>
      <c r="F934" s="18">
        <v>5.94</v>
      </c>
      <c r="G934" s="26">
        <v>1.77</v>
      </c>
      <c r="H934" s="17">
        <v>7.26</v>
      </c>
      <c r="I934" s="25">
        <v>10.364235748170781</v>
      </c>
      <c r="J934" s="24">
        <f>G934/F934*((100-H934)/100)*((100-I934)/100)*100</f>
        <v>24.770526556876959</v>
      </c>
      <c r="K934" s="53">
        <v>5.0431034482758621</v>
      </c>
      <c r="L934" s="54">
        <f>J934*10000/K934</f>
        <v>49117.625309362862</v>
      </c>
      <c r="M934" s="55">
        <v>51.8</v>
      </c>
      <c r="N934" s="55">
        <v>17.600000000000001</v>
      </c>
      <c r="O934" s="56">
        <v>6.1689999999999996</v>
      </c>
      <c r="P934" s="55">
        <v>15.6</v>
      </c>
      <c r="Q934" s="17" t="s">
        <v>424</v>
      </c>
      <c r="R934" s="17" t="s">
        <v>424</v>
      </c>
      <c r="S934" s="17" t="s">
        <v>424</v>
      </c>
      <c r="T934" s="17" t="s">
        <v>424</v>
      </c>
      <c r="U934" s="17" t="s">
        <v>424</v>
      </c>
      <c r="V934" s="17" t="s">
        <v>424</v>
      </c>
      <c r="W934" s="17" t="s">
        <v>424</v>
      </c>
    </row>
    <row r="935" spans="1:23" x14ac:dyDescent="0.25">
      <c r="A935" s="16" t="s">
        <v>690</v>
      </c>
      <c r="B935" s="17" t="s">
        <v>10</v>
      </c>
      <c r="C935" s="17" t="s">
        <v>13</v>
      </c>
      <c r="D935" s="18" t="s">
        <v>90</v>
      </c>
      <c r="E935" s="18" t="s">
        <v>1614</v>
      </c>
      <c r="F935" s="18">
        <v>5.94</v>
      </c>
      <c r="G935" s="23">
        <v>1.56</v>
      </c>
      <c r="H935" s="20">
        <v>6.89</v>
      </c>
      <c r="I935" s="25">
        <v>14.018900215789857</v>
      </c>
      <c r="J935" s="24">
        <f>G935/F935*((100-H935)/100)*((100-I935)/100)*100</f>
        <v>21.025071234707372</v>
      </c>
      <c r="K935" s="53">
        <v>5.0865800865800868</v>
      </c>
      <c r="L935" s="54">
        <f>J935*10000/K935</f>
        <v>41334.395363552365</v>
      </c>
      <c r="M935" s="55">
        <v>49.5</v>
      </c>
      <c r="N935" s="55">
        <v>18.899999999999999</v>
      </c>
      <c r="O935" s="56">
        <v>3.5520999999999998</v>
      </c>
      <c r="P935" s="55">
        <v>19.7</v>
      </c>
      <c r="Q935" s="17" t="s">
        <v>424</v>
      </c>
      <c r="R935" s="17" t="s">
        <v>424</v>
      </c>
      <c r="S935" s="17" t="s">
        <v>424</v>
      </c>
      <c r="T935" s="17" t="s">
        <v>424</v>
      </c>
      <c r="U935" s="17" t="s">
        <v>424</v>
      </c>
      <c r="V935" s="17" t="s">
        <v>424</v>
      </c>
      <c r="W935" s="17" t="s">
        <v>424</v>
      </c>
    </row>
    <row r="936" spans="1:23" x14ac:dyDescent="0.25">
      <c r="A936" s="16" t="s">
        <v>689</v>
      </c>
      <c r="B936" s="17" t="s">
        <v>10</v>
      </c>
      <c r="C936" s="17" t="s">
        <v>13</v>
      </c>
      <c r="D936" s="18" t="s">
        <v>55</v>
      </c>
      <c r="E936" s="18" t="s">
        <v>1654</v>
      </c>
      <c r="F936" s="18">
        <v>5.94</v>
      </c>
      <c r="G936" s="23">
        <v>1.95</v>
      </c>
      <c r="H936" s="20">
        <v>6.89</v>
      </c>
      <c r="I936" s="25">
        <v>7.9506338678532442</v>
      </c>
      <c r="J936" s="24">
        <f>G936/F936*((100-H936)/100)*((100-I936)/100)*100</f>
        <v>28.136190466498583</v>
      </c>
      <c r="K936" s="53">
        <v>5.1640211640211637</v>
      </c>
      <c r="L936" s="54">
        <f>J936*10000/K936</f>
        <v>54485.040964838452</v>
      </c>
      <c r="M936" s="55">
        <v>50</v>
      </c>
      <c r="N936" s="55">
        <v>17.8</v>
      </c>
      <c r="O936" s="56">
        <v>4.1889000000000003</v>
      </c>
      <c r="P936" s="55">
        <v>14.2</v>
      </c>
      <c r="Q936" s="17" t="s">
        <v>424</v>
      </c>
      <c r="R936" s="17" t="s">
        <v>424</v>
      </c>
      <c r="S936" s="17" t="s">
        <v>424</v>
      </c>
      <c r="T936" s="17" t="s">
        <v>424</v>
      </c>
      <c r="U936" s="17" t="s">
        <v>424</v>
      </c>
      <c r="V936" s="17" t="s">
        <v>424</v>
      </c>
      <c r="W936" s="17" t="s">
        <v>424</v>
      </c>
    </row>
    <row r="937" spans="1:23" x14ac:dyDescent="0.25">
      <c r="A937" s="16" t="s">
        <v>688</v>
      </c>
      <c r="B937" s="17" t="s">
        <v>10</v>
      </c>
      <c r="C937" s="17" t="s">
        <v>13</v>
      </c>
      <c r="D937" s="18" t="s">
        <v>220</v>
      </c>
      <c r="E937" s="18" t="s">
        <v>1642</v>
      </c>
      <c r="F937" s="18">
        <v>5.94</v>
      </c>
      <c r="G937" s="23">
        <v>1.65</v>
      </c>
      <c r="H937" s="20">
        <v>6.89</v>
      </c>
      <c r="I937" s="25">
        <v>12.779401311112862</v>
      </c>
      <c r="J937" s="24">
        <f>G937/F937*((100-H937)/100)*((100-I937)/100)*100</f>
        <v>22.558638733117448</v>
      </c>
      <c r="K937" s="53">
        <v>4.0753724802804561</v>
      </c>
      <c r="L937" s="54">
        <f>J937*10000/K937</f>
        <v>55353.562998896785</v>
      </c>
      <c r="M937" s="55">
        <v>50.2</v>
      </c>
      <c r="N937" s="55">
        <v>17.600000000000001</v>
      </c>
      <c r="O937" s="56">
        <v>1.9396</v>
      </c>
      <c r="P937" s="55">
        <v>11.8</v>
      </c>
      <c r="Q937" s="17" t="s">
        <v>424</v>
      </c>
      <c r="R937" s="17" t="s">
        <v>424</v>
      </c>
      <c r="S937" s="17" t="s">
        <v>424</v>
      </c>
      <c r="T937" s="17" t="s">
        <v>424</v>
      </c>
      <c r="U937" s="17" t="s">
        <v>424</v>
      </c>
      <c r="V937" s="17" t="s">
        <v>424</v>
      </c>
      <c r="W937" s="17" t="s">
        <v>424</v>
      </c>
    </row>
    <row r="938" spans="1:23" x14ac:dyDescent="0.25">
      <c r="A938" s="16" t="s">
        <v>687</v>
      </c>
      <c r="B938" s="17" t="s">
        <v>10</v>
      </c>
      <c r="C938" s="17" t="s">
        <v>13</v>
      </c>
      <c r="D938" s="18" t="s">
        <v>175</v>
      </c>
      <c r="E938" s="18" t="s">
        <v>1543</v>
      </c>
      <c r="F938" s="18">
        <v>5.94</v>
      </c>
      <c r="G938" s="23">
        <v>1.87</v>
      </c>
      <c r="H938" s="20">
        <v>6.89</v>
      </c>
      <c r="I938" s="25">
        <v>12.040238918579059</v>
      </c>
      <c r="J938" s="24">
        <f>G938/F938*((100-H938)/100)*((100-I938)/100)*100</f>
        <v>25.783123522768292</v>
      </c>
      <c r="K938" s="53">
        <v>4.3011722272317403</v>
      </c>
      <c r="L938" s="54">
        <f>J938*10000/K938</f>
        <v>59944.410873689805</v>
      </c>
      <c r="M938" s="55">
        <v>50.3</v>
      </c>
      <c r="N938" s="55">
        <v>17.3</v>
      </c>
      <c r="O938" s="56">
        <v>-0.98921999999999999</v>
      </c>
      <c r="P938" s="55">
        <v>15.1</v>
      </c>
      <c r="Q938" s="17" t="s">
        <v>424</v>
      </c>
      <c r="R938" s="17" t="s">
        <v>424</v>
      </c>
      <c r="S938" s="17" t="s">
        <v>424</v>
      </c>
      <c r="T938" s="17" t="s">
        <v>424</v>
      </c>
      <c r="U938" s="17" t="s">
        <v>424</v>
      </c>
      <c r="V938" s="17" t="s">
        <v>424</v>
      </c>
      <c r="W938" s="17" t="s">
        <v>424</v>
      </c>
    </row>
    <row r="939" spans="1:23" x14ac:dyDescent="0.25">
      <c r="A939" s="16" t="s">
        <v>686</v>
      </c>
      <c r="B939" s="17" t="s">
        <v>10</v>
      </c>
      <c r="C939" s="17" t="s">
        <v>13</v>
      </c>
      <c r="D939" s="18" t="s">
        <v>74</v>
      </c>
      <c r="E939" s="18" t="s">
        <v>1678</v>
      </c>
      <c r="F939" s="18">
        <v>5.94</v>
      </c>
      <c r="G939" s="23">
        <v>1.39</v>
      </c>
      <c r="H939" s="20">
        <v>6.89</v>
      </c>
      <c r="I939" s="25">
        <v>8.0574693328852209</v>
      </c>
      <c r="J939" s="24">
        <f>G939/F939*((100-H939)/100)*((100-I939)/100)*100</f>
        <v>20.032776013934225</v>
      </c>
      <c r="K939" s="53">
        <v>5.6923076923076925</v>
      </c>
      <c r="L939" s="54">
        <f>J939*10000/K939</f>
        <v>35192.714619073638</v>
      </c>
      <c r="M939" s="55">
        <v>51.8</v>
      </c>
      <c r="N939" s="55">
        <v>17</v>
      </c>
      <c r="O939" s="56">
        <v>1.0051000000000001</v>
      </c>
      <c r="P939" s="55">
        <v>18.899999999999999</v>
      </c>
      <c r="Q939" s="17" t="s">
        <v>424</v>
      </c>
      <c r="R939" s="17" t="s">
        <v>424</v>
      </c>
      <c r="S939" s="17" t="s">
        <v>424</v>
      </c>
      <c r="T939" s="17" t="s">
        <v>424</v>
      </c>
      <c r="U939" s="17" t="s">
        <v>424</v>
      </c>
      <c r="V939" s="17" t="s">
        <v>424</v>
      </c>
      <c r="W939" s="17" t="s">
        <v>424</v>
      </c>
    </row>
    <row r="940" spans="1:23" x14ac:dyDescent="0.25">
      <c r="A940" s="16" t="s">
        <v>685</v>
      </c>
      <c r="B940" s="17" t="s">
        <v>10</v>
      </c>
      <c r="C940" s="17" t="s">
        <v>13</v>
      </c>
      <c r="D940" s="18" t="s">
        <v>82</v>
      </c>
      <c r="E940" s="18" t="s">
        <v>1760</v>
      </c>
      <c r="F940" s="18">
        <v>5.94</v>
      </c>
      <c r="G940" s="23">
        <v>2.5299999999999998</v>
      </c>
      <c r="H940" s="20">
        <v>6.89</v>
      </c>
      <c r="I940" s="25">
        <v>6.6946620366631606</v>
      </c>
      <c r="J940" s="24">
        <f>G940/F940*((100-H940)/100)*((100-I940)/100)*100</f>
        <v>37.002996371967548</v>
      </c>
      <c r="K940" s="53">
        <v>5.3792298716452738</v>
      </c>
      <c r="L940" s="54">
        <f>J940*10000/K940</f>
        <v>68788.650522291093</v>
      </c>
      <c r="M940" s="55">
        <v>52.7</v>
      </c>
      <c r="N940" s="55">
        <v>16.7</v>
      </c>
      <c r="O940" s="56">
        <v>5.6341999999999999</v>
      </c>
      <c r="P940" s="55">
        <v>11.8</v>
      </c>
      <c r="Q940" s="17" t="s">
        <v>424</v>
      </c>
      <c r="R940" s="17" t="s">
        <v>424</v>
      </c>
      <c r="S940" s="17" t="s">
        <v>424</v>
      </c>
      <c r="T940" s="17" t="s">
        <v>424</v>
      </c>
      <c r="U940" s="17" t="s">
        <v>424</v>
      </c>
      <c r="V940" s="17" t="s">
        <v>424</v>
      </c>
      <c r="W940" s="17" t="s">
        <v>424</v>
      </c>
    </row>
    <row r="941" spans="1:23" x14ac:dyDescent="0.25">
      <c r="A941" s="16" t="s">
        <v>1105</v>
      </c>
      <c r="B941" s="17" t="s">
        <v>10</v>
      </c>
      <c r="C941" s="17" t="s">
        <v>427</v>
      </c>
      <c r="D941" s="18" t="s">
        <v>41</v>
      </c>
      <c r="E941" s="18" t="s">
        <v>1660</v>
      </c>
      <c r="F941" s="18">
        <v>5.94</v>
      </c>
      <c r="G941" s="26">
        <v>1.67</v>
      </c>
      <c r="H941" s="17">
        <v>7.26</v>
      </c>
      <c r="I941" s="25">
        <v>7.1401500795876611</v>
      </c>
      <c r="J941" s="24">
        <f>G941/F941*((100-H941)/100)*((100-I941)/100)*100</f>
        <v>24.211689468524913</v>
      </c>
      <c r="K941" s="53">
        <v>5.741626794258373</v>
      </c>
      <c r="L941" s="54">
        <f>J941*10000/K941</f>
        <v>42168.692491014226</v>
      </c>
      <c r="M941" s="55">
        <v>52.4</v>
      </c>
      <c r="N941" s="55">
        <v>17.100000000000001</v>
      </c>
      <c r="O941" s="56">
        <v>6.7404999999999999</v>
      </c>
      <c r="P941" s="55">
        <v>20.9</v>
      </c>
      <c r="Q941" s="17" t="s">
        <v>424</v>
      </c>
      <c r="R941" s="17" t="s">
        <v>424</v>
      </c>
      <c r="S941" s="17" t="s">
        <v>424</v>
      </c>
      <c r="T941" s="17" t="s">
        <v>424</v>
      </c>
      <c r="U941" s="17" t="s">
        <v>424</v>
      </c>
      <c r="V941" s="17" t="s">
        <v>424</v>
      </c>
      <c r="W941" s="17" t="s">
        <v>424</v>
      </c>
    </row>
    <row r="942" spans="1:23" x14ac:dyDescent="0.25">
      <c r="A942" s="16" t="s">
        <v>1104</v>
      </c>
      <c r="B942" s="17" t="s">
        <v>10</v>
      </c>
      <c r="C942" s="17" t="s">
        <v>427</v>
      </c>
      <c r="D942" s="18" t="s">
        <v>229</v>
      </c>
      <c r="E942" s="18" t="s">
        <v>1770</v>
      </c>
      <c r="F942" s="18">
        <v>5.94</v>
      </c>
      <c r="G942" s="26">
        <v>2.29</v>
      </c>
      <c r="H942" s="17">
        <v>7.26</v>
      </c>
      <c r="I942" s="25">
        <v>5.8132484462634553</v>
      </c>
      <c r="J942" s="24">
        <f>G942/F942*((100-H942)/100)*((100-I942)/100)*100</f>
        <v>33.674871526134979</v>
      </c>
      <c r="K942" s="53">
        <v>4.9795501022494886</v>
      </c>
      <c r="L942" s="54">
        <f>J942*10000/K942</f>
        <v>67626.333372813169</v>
      </c>
      <c r="M942" s="55">
        <v>54.7</v>
      </c>
      <c r="N942" s="55">
        <v>17</v>
      </c>
      <c r="O942" s="56">
        <v>0.29337999999999997</v>
      </c>
      <c r="P942" s="55">
        <v>11.6</v>
      </c>
      <c r="Q942" s="17" t="s">
        <v>424</v>
      </c>
      <c r="R942" s="17" t="s">
        <v>424</v>
      </c>
      <c r="S942" s="17" t="s">
        <v>424</v>
      </c>
      <c r="T942" s="17" t="s">
        <v>424</v>
      </c>
      <c r="U942" s="17" t="s">
        <v>424</v>
      </c>
      <c r="V942" s="17" t="s">
        <v>424</v>
      </c>
      <c r="W942" s="17" t="s">
        <v>424</v>
      </c>
    </row>
    <row r="943" spans="1:23" x14ac:dyDescent="0.25">
      <c r="A943" s="16" t="s">
        <v>1103</v>
      </c>
      <c r="B943" s="17" t="s">
        <v>10</v>
      </c>
      <c r="C943" s="17" t="s">
        <v>427</v>
      </c>
      <c r="D943" s="18" t="s">
        <v>290</v>
      </c>
      <c r="E943" s="18" t="s">
        <v>1814</v>
      </c>
      <c r="F943" s="18">
        <v>5.94</v>
      </c>
      <c r="G943" s="26">
        <v>2.31</v>
      </c>
      <c r="H943" s="17">
        <v>7.26</v>
      </c>
      <c r="I943" s="25">
        <v>7.2043465989274686</v>
      </c>
      <c r="J943" s="24">
        <f>G943/F943*((100-H943)/100)*((100-I943)/100)*100</f>
        <v>33.46726793050459</v>
      </c>
      <c r="K943" s="53">
        <v>4.5600756859035005</v>
      </c>
      <c r="L943" s="54">
        <f>J943*10000/K943</f>
        <v>73391.913283284972</v>
      </c>
      <c r="M943" s="55">
        <v>52.3</v>
      </c>
      <c r="N943" s="55">
        <v>16.600000000000001</v>
      </c>
      <c r="O943" s="56">
        <v>1.7173</v>
      </c>
      <c r="P943" s="55">
        <v>10.7</v>
      </c>
      <c r="Q943" s="17" t="s">
        <v>424</v>
      </c>
      <c r="R943" s="17" t="s">
        <v>424</v>
      </c>
      <c r="S943" s="17" t="s">
        <v>424</v>
      </c>
      <c r="T943" s="17" t="s">
        <v>424</v>
      </c>
      <c r="U943" s="17" t="s">
        <v>424</v>
      </c>
      <c r="V943" s="17" t="s">
        <v>424</v>
      </c>
      <c r="W943" s="17" t="s">
        <v>424</v>
      </c>
    </row>
    <row r="944" spans="1:23" x14ac:dyDescent="0.25">
      <c r="A944" s="16" t="s">
        <v>1102</v>
      </c>
      <c r="B944" s="17" t="s">
        <v>10</v>
      </c>
      <c r="C944" s="17" t="s">
        <v>427</v>
      </c>
      <c r="D944" s="18" t="s">
        <v>75</v>
      </c>
      <c r="E944" s="18" t="s">
        <v>1808</v>
      </c>
      <c r="F944" s="18">
        <v>5.94</v>
      </c>
      <c r="G944" s="26">
        <v>2.5</v>
      </c>
      <c r="H944" s="17">
        <v>7.26</v>
      </c>
      <c r="I944" s="25">
        <v>6.6031209162887254</v>
      </c>
      <c r="J944" s="24">
        <f>G944/F944*((100-H944)/100)*((100-I944)/100)*100</f>
        <v>36.454657265249928</v>
      </c>
      <c r="K944" s="53">
        <v>4.4814814814814818</v>
      </c>
      <c r="L944" s="54">
        <f>J944*10000/K944</f>
        <v>81345.102988574217</v>
      </c>
      <c r="M944" s="55">
        <v>53.4</v>
      </c>
      <c r="N944" s="55">
        <v>15.9</v>
      </c>
      <c r="O944" s="56">
        <v>2.2664</v>
      </c>
      <c r="P944" s="55">
        <v>13.5</v>
      </c>
      <c r="Q944" s="17" t="s">
        <v>424</v>
      </c>
      <c r="R944" s="17" t="s">
        <v>424</v>
      </c>
      <c r="S944" s="17" t="s">
        <v>424</v>
      </c>
      <c r="T944" s="17" t="s">
        <v>424</v>
      </c>
      <c r="U944" s="17" t="s">
        <v>424</v>
      </c>
      <c r="V944" s="17" t="s">
        <v>424</v>
      </c>
      <c r="W944" s="17" t="s">
        <v>424</v>
      </c>
    </row>
    <row r="945" spans="1:23" x14ac:dyDescent="0.25">
      <c r="A945" s="16" t="s">
        <v>1101</v>
      </c>
      <c r="B945" s="17" t="s">
        <v>10</v>
      </c>
      <c r="C945" s="17" t="s">
        <v>427</v>
      </c>
      <c r="D945" s="18" t="s">
        <v>50</v>
      </c>
      <c r="E945" s="18" t="s">
        <v>1758</v>
      </c>
      <c r="F945" s="18">
        <v>5.94</v>
      </c>
      <c r="G945" s="26">
        <v>1.93</v>
      </c>
      <c r="H945" s="17">
        <v>7.26</v>
      </c>
      <c r="I945" s="25">
        <v>7.5789645066753515</v>
      </c>
      <c r="J945" s="24">
        <f>G945/F945*((100-H945)/100)*((100-I945)/100)*100</f>
        <v>27.848947449640221</v>
      </c>
      <c r="K945" s="53">
        <v>4.7906026557711954</v>
      </c>
      <c r="L945" s="54">
        <f>J945*10000/K945</f>
        <v>58132.451072916359</v>
      </c>
      <c r="M945" s="55">
        <v>52.1</v>
      </c>
      <c r="N945" s="55">
        <v>17.600000000000001</v>
      </c>
      <c r="O945" s="56">
        <v>2.2105000000000001</v>
      </c>
      <c r="P945" s="55">
        <v>13.6</v>
      </c>
      <c r="Q945" s="17" t="s">
        <v>424</v>
      </c>
      <c r="R945" s="17" t="s">
        <v>424</v>
      </c>
      <c r="S945" s="17" t="s">
        <v>424</v>
      </c>
      <c r="T945" s="17" t="s">
        <v>424</v>
      </c>
      <c r="U945" s="17" t="s">
        <v>424</v>
      </c>
      <c r="V945" s="17" t="s">
        <v>424</v>
      </c>
      <c r="W945" s="17" t="s">
        <v>424</v>
      </c>
    </row>
    <row r="946" spans="1:23" x14ac:dyDescent="0.25">
      <c r="A946" s="16" t="s">
        <v>1100</v>
      </c>
      <c r="B946" s="17" t="s">
        <v>10</v>
      </c>
      <c r="C946" s="17" t="s">
        <v>427</v>
      </c>
      <c r="D946" s="18" t="s">
        <v>247</v>
      </c>
      <c r="E946" s="18" t="s">
        <v>1704</v>
      </c>
      <c r="F946" s="18">
        <v>5.94</v>
      </c>
      <c r="G946" s="26">
        <v>1.77</v>
      </c>
      <c r="H946" s="17">
        <v>7.26</v>
      </c>
      <c r="I946" s="25">
        <v>4.7207984893444834</v>
      </c>
      <c r="J946" s="24">
        <f>G946/F946*((100-H946)/100)*((100-I946)/100)*100</f>
        <v>26.330070491807739</v>
      </c>
      <c r="K946" s="53">
        <v>4.7017892644135193</v>
      </c>
      <c r="L946" s="54">
        <f>J946*10000/K946</f>
        <v>56000.107642195733</v>
      </c>
      <c r="M946" s="55">
        <v>53.9</v>
      </c>
      <c r="N946" s="55">
        <v>17.100000000000001</v>
      </c>
      <c r="O946" s="56">
        <v>4.2725</v>
      </c>
      <c r="P946" s="55">
        <v>19.2</v>
      </c>
      <c r="Q946" s="17" t="s">
        <v>424</v>
      </c>
      <c r="R946" s="17" t="s">
        <v>424</v>
      </c>
      <c r="S946" s="17" t="s">
        <v>424</v>
      </c>
      <c r="T946" s="17" t="s">
        <v>424</v>
      </c>
      <c r="U946" s="17" t="s">
        <v>424</v>
      </c>
      <c r="V946" s="17" t="s">
        <v>424</v>
      </c>
      <c r="W946" s="17" t="s">
        <v>424</v>
      </c>
    </row>
    <row r="947" spans="1:23" x14ac:dyDescent="0.25">
      <c r="A947" s="16" t="s">
        <v>696</v>
      </c>
      <c r="B947" s="17" t="s">
        <v>10</v>
      </c>
      <c r="C947" s="17" t="s">
        <v>13</v>
      </c>
      <c r="D947" s="18" t="s">
        <v>63</v>
      </c>
      <c r="E947" s="18" t="s">
        <v>1462</v>
      </c>
      <c r="F947" s="18">
        <v>5.94</v>
      </c>
      <c r="G947" s="23">
        <v>0.92</v>
      </c>
      <c r="H947" s="20">
        <v>6.89</v>
      </c>
      <c r="I947" s="25">
        <v>16.914197768372446</v>
      </c>
      <c r="J947" s="24">
        <f>G947/F947*((100-H947)/100)*((100-I947)/100)*100</f>
        <v>11.981867882363458</v>
      </c>
      <c r="K947" s="53">
        <v>5.0377562028047462</v>
      </c>
      <c r="L947" s="54">
        <f>J947*10000/K947</f>
        <v>23784.136032014831</v>
      </c>
      <c r="M947" s="55">
        <v>50.8</v>
      </c>
      <c r="N947" s="55">
        <v>21.1</v>
      </c>
      <c r="O947" s="56">
        <v>39.345999999999997</v>
      </c>
      <c r="P947" s="55">
        <v>67.400000000000006</v>
      </c>
      <c r="Q947" s="17" t="s">
        <v>424</v>
      </c>
      <c r="R947" s="17" t="s">
        <v>424</v>
      </c>
      <c r="S947" s="17" t="s">
        <v>424</v>
      </c>
      <c r="T947" s="17" t="s">
        <v>424</v>
      </c>
      <c r="U947" s="17" t="s">
        <v>424</v>
      </c>
      <c r="V947" s="17" t="s">
        <v>424</v>
      </c>
      <c r="W947" s="17" t="s">
        <v>424</v>
      </c>
    </row>
    <row r="948" spans="1:23" x14ac:dyDescent="0.25">
      <c r="A948" s="16" t="s">
        <v>695</v>
      </c>
      <c r="B948" s="17" t="s">
        <v>10</v>
      </c>
      <c r="C948" s="17" t="s">
        <v>13</v>
      </c>
      <c r="D948" s="18" t="s">
        <v>259</v>
      </c>
      <c r="E948" s="18" t="s">
        <v>1572</v>
      </c>
      <c r="F948" s="18">
        <v>5.94</v>
      </c>
      <c r="G948" s="23">
        <v>2.0499999999999998</v>
      </c>
      <c r="H948" s="20">
        <v>6.89</v>
      </c>
      <c r="I948" s="25">
        <v>5.3182482875394532</v>
      </c>
      <c r="J948" s="24">
        <f>G948/F948*((100-H948)/100)*((100-I948)/100)*100</f>
        <v>30.424960772713401</v>
      </c>
      <c r="K948" s="53">
        <v>4.6745562130177518</v>
      </c>
      <c r="L948" s="54">
        <f>J948*10000/K948</f>
        <v>65086.308488462841</v>
      </c>
      <c r="M948" s="55">
        <v>51</v>
      </c>
      <c r="N948" s="55">
        <v>17</v>
      </c>
      <c r="O948" s="56">
        <v>1.9435</v>
      </c>
      <c r="P948" s="55">
        <v>15.4</v>
      </c>
      <c r="Q948" s="17" t="s">
        <v>424</v>
      </c>
      <c r="R948" s="17" t="s">
        <v>424</v>
      </c>
      <c r="S948" s="17" t="s">
        <v>424</v>
      </c>
      <c r="T948" s="17" t="s">
        <v>424</v>
      </c>
      <c r="U948" s="17" t="s">
        <v>424</v>
      </c>
      <c r="V948" s="17" t="s">
        <v>424</v>
      </c>
      <c r="W948" s="17" t="s">
        <v>424</v>
      </c>
    </row>
    <row r="949" spans="1:23" x14ac:dyDescent="0.25">
      <c r="A949" s="16" t="s">
        <v>694</v>
      </c>
      <c r="B949" s="17" t="s">
        <v>10</v>
      </c>
      <c r="C949" s="17" t="s">
        <v>13</v>
      </c>
      <c r="D949" s="18" t="s">
        <v>183</v>
      </c>
      <c r="E949" s="18" t="s">
        <v>1564</v>
      </c>
      <c r="F949" s="18">
        <v>5.94</v>
      </c>
      <c r="G949" s="23">
        <v>2.11</v>
      </c>
      <c r="H949" s="20">
        <v>6.89</v>
      </c>
      <c r="I949" s="25">
        <v>9.910741766697452</v>
      </c>
      <c r="J949" s="24">
        <f>G949/F949*((100-H949)/100)*((100-I949)/100)*100</f>
        <v>29.796506498243946</v>
      </c>
      <c r="K949" s="53">
        <v>5.0687830687830688</v>
      </c>
      <c r="L949" s="54">
        <f>J949*10000/K949</f>
        <v>58784.339542464564</v>
      </c>
      <c r="M949" s="55">
        <v>50.3</v>
      </c>
      <c r="N949" s="55">
        <v>17.5</v>
      </c>
      <c r="O949" s="56">
        <v>2.5158999999999998</v>
      </c>
      <c r="P949" s="55">
        <v>18.100000000000001</v>
      </c>
      <c r="Q949" s="17" t="s">
        <v>424</v>
      </c>
      <c r="R949" s="17" t="s">
        <v>424</v>
      </c>
      <c r="S949" s="17" t="s">
        <v>424</v>
      </c>
      <c r="T949" s="17" t="s">
        <v>424</v>
      </c>
      <c r="U949" s="17" t="s">
        <v>424</v>
      </c>
      <c r="V949" s="17" t="s">
        <v>424</v>
      </c>
      <c r="W949" s="17" t="s">
        <v>424</v>
      </c>
    </row>
    <row r="950" spans="1:23" x14ac:dyDescent="0.25">
      <c r="A950" s="16" t="s">
        <v>693</v>
      </c>
      <c r="B950" s="17" t="s">
        <v>10</v>
      </c>
      <c r="C950" s="17" t="s">
        <v>13</v>
      </c>
      <c r="D950" s="18" t="s">
        <v>11</v>
      </c>
      <c r="E950" s="18" t="s">
        <v>1592</v>
      </c>
      <c r="F950" s="18">
        <v>5.94</v>
      </c>
      <c r="G950" s="23">
        <v>1.58</v>
      </c>
      <c r="H950" s="20">
        <v>6.89</v>
      </c>
      <c r="I950" s="25">
        <v>4.3114048570550256</v>
      </c>
      <c r="J950" s="24">
        <f>G950/F950*((100-H950)/100)*((100-I950)/100)*100</f>
        <v>23.69884317868717</v>
      </c>
      <c r="K950" s="53">
        <v>4.3431635388739949</v>
      </c>
      <c r="L950" s="54">
        <f>J950*10000/K950</f>
        <v>54565.854973150083</v>
      </c>
      <c r="M950" s="55">
        <v>51</v>
      </c>
      <c r="N950" s="55">
        <v>18.100000000000001</v>
      </c>
      <c r="O950" s="56">
        <v>3.3050999999999999</v>
      </c>
      <c r="P950" s="55">
        <v>20.2</v>
      </c>
      <c r="Q950" s="17" t="s">
        <v>424</v>
      </c>
      <c r="R950" s="17" t="s">
        <v>424</v>
      </c>
      <c r="S950" s="17" t="s">
        <v>424</v>
      </c>
      <c r="T950" s="17" t="s">
        <v>424</v>
      </c>
      <c r="U950" s="17" t="s">
        <v>424</v>
      </c>
      <c r="V950" s="17" t="s">
        <v>424</v>
      </c>
      <c r="W950" s="17" t="s">
        <v>424</v>
      </c>
    </row>
    <row r="951" spans="1:23" x14ac:dyDescent="0.25">
      <c r="A951" s="16" t="s">
        <v>692</v>
      </c>
      <c r="B951" s="17" t="s">
        <v>10</v>
      </c>
      <c r="C951" s="17" t="s">
        <v>13</v>
      </c>
      <c r="D951" s="18" t="s">
        <v>52</v>
      </c>
      <c r="E951" s="18" t="s">
        <v>1576</v>
      </c>
      <c r="F951" s="18">
        <v>5.94</v>
      </c>
      <c r="G951" s="23">
        <v>2.31</v>
      </c>
      <c r="H951" s="20">
        <v>6.89</v>
      </c>
      <c r="I951" s="25">
        <v>7.6160467260989941</v>
      </c>
      <c r="J951" s="24">
        <f>G951/F951*((100-H951)/100)*((100-I951)/100)*100</f>
        <v>33.4517162362947</v>
      </c>
      <c r="K951" s="53">
        <v>5.2909482758620694</v>
      </c>
      <c r="L951" s="54">
        <f>J951*10000/K951</f>
        <v>63224.424984279998</v>
      </c>
      <c r="M951" s="55">
        <v>50</v>
      </c>
      <c r="N951" s="55">
        <v>18.8</v>
      </c>
      <c r="O951" s="56">
        <v>7.2336</v>
      </c>
      <c r="P951" s="55">
        <v>16.399999999999999</v>
      </c>
      <c r="Q951" s="17" t="s">
        <v>424</v>
      </c>
      <c r="R951" s="17" t="s">
        <v>424</v>
      </c>
      <c r="S951" s="17" t="s">
        <v>424</v>
      </c>
      <c r="T951" s="17" t="s">
        <v>424</v>
      </c>
      <c r="U951" s="17" t="s">
        <v>424</v>
      </c>
      <c r="V951" s="17" t="s">
        <v>424</v>
      </c>
      <c r="W951" s="17" t="s">
        <v>424</v>
      </c>
    </row>
    <row r="952" spans="1:23" x14ac:dyDescent="0.25">
      <c r="A952" s="16" t="s">
        <v>691</v>
      </c>
      <c r="B952" s="17" t="s">
        <v>10</v>
      </c>
      <c r="C952" s="17" t="s">
        <v>13</v>
      </c>
      <c r="D952" s="18" t="s">
        <v>23</v>
      </c>
      <c r="E952" s="18" t="s">
        <v>1620</v>
      </c>
      <c r="F952" s="18">
        <v>5.94</v>
      </c>
      <c r="G952" s="23">
        <v>1.98</v>
      </c>
      <c r="H952" s="20">
        <v>6.89</v>
      </c>
      <c r="I952" s="25">
        <v>8.5874664879356573</v>
      </c>
      <c r="J952" s="24">
        <f>G952/F952*((100-H952)/100)*((100-I952)/100)*100</f>
        <v>28.371403317694373</v>
      </c>
      <c r="K952" s="53">
        <v>4.9227600411946444</v>
      </c>
      <c r="L952" s="54">
        <f>J952*10000/K952</f>
        <v>57633.122639082088</v>
      </c>
      <c r="M952" s="55">
        <v>50.3</v>
      </c>
      <c r="N952" s="55">
        <v>18.2</v>
      </c>
      <c r="O952" s="56">
        <v>3.2679</v>
      </c>
      <c r="P952" s="55">
        <v>14.7</v>
      </c>
      <c r="Q952" s="17" t="s">
        <v>424</v>
      </c>
      <c r="R952" s="17" t="s">
        <v>424</v>
      </c>
      <c r="S952" s="17" t="s">
        <v>424</v>
      </c>
      <c r="T952" s="17" t="s">
        <v>424</v>
      </c>
      <c r="U952" s="17" t="s">
        <v>424</v>
      </c>
      <c r="V952" s="17" t="s">
        <v>424</v>
      </c>
      <c r="W952" s="17" t="s">
        <v>424</v>
      </c>
    </row>
    <row r="953" spans="1:23" x14ac:dyDescent="0.25">
      <c r="A953" s="16" t="s">
        <v>1111</v>
      </c>
      <c r="B953" s="17" t="s">
        <v>10</v>
      </c>
      <c r="C953" s="17" t="s">
        <v>427</v>
      </c>
      <c r="D953" s="18" t="s">
        <v>248</v>
      </c>
      <c r="E953" s="18" t="s">
        <v>1816</v>
      </c>
      <c r="F953" s="18">
        <v>5.94</v>
      </c>
      <c r="G953" s="26">
        <v>2.29</v>
      </c>
      <c r="H953" s="17">
        <v>7.26</v>
      </c>
      <c r="I953" s="25">
        <v>8.0480141786836352</v>
      </c>
      <c r="J953" s="24">
        <f>G953/F953*((100-H953)/100)*((100-I953)/100)*100</f>
        <v>32.875869037050059</v>
      </c>
      <c r="K953" s="53">
        <v>4.7539370078740157</v>
      </c>
      <c r="L953" s="54">
        <f>J953*10000/K953</f>
        <v>69155.037146258517</v>
      </c>
      <c r="M953" s="55">
        <v>51.5</v>
      </c>
      <c r="N953" s="55">
        <v>16.7</v>
      </c>
      <c r="O953" s="56">
        <v>3.7033</v>
      </c>
      <c r="P953" s="55">
        <v>16.600000000000001</v>
      </c>
      <c r="Q953" s="17" t="s">
        <v>424</v>
      </c>
      <c r="R953" s="17" t="s">
        <v>424</v>
      </c>
      <c r="S953" s="17" t="s">
        <v>424</v>
      </c>
      <c r="T953" s="17" t="s">
        <v>424</v>
      </c>
      <c r="U953" s="17" t="s">
        <v>424</v>
      </c>
      <c r="V953" s="17" t="s">
        <v>424</v>
      </c>
      <c r="W953" s="17" t="s">
        <v>424</v>
      </c>
    </row>
    <row r="954" spans="1:23" x14ac:dyDescent="0.25">
      <c r="A954" s="16" t="s">
        <v>1110</v>
      </c>
      <c r="B954" s="17" t="s">
        <v>10</v>
      </c>
      <c r="C954" s="17" t="s">
        <v>427</v>
      </c>
      <c r="D954" s="18" t="s">
        <v>82</v>
      </c>
      <c r="E954" s="18" t="s">
        <v>1760</v>
      </c>
      <c r="F954" s="18">
        <v>5.94</v>
      </c>
      <c r="G954" s="26">
        <v>2.4900000000000002</v>
      </c>
      <c r="H954" s="17">
        <v>7.26</v>
      </c>
      <c r="I954" s="25">
        <v>7.0491531052806344</v>
      </c>
      <c r="J954" s="24">
        <f>G954/F954*((100-H954)/100)*((100-I954)/100)*100</f>
        <v>36.135439793149033</v>
      </c>
      <c r="K954" s="53">
        <v>5.4775604142692753</v>
      </c>
      <c r="L954" s="54">
        <f>J954*10000/K954</f>
        <v>65969.952059341405</v>
      </c>
      <c r="M954" s="55">
        <v>53.1</v>
      </c>
      <c r="N954" s="55">
        <v>15.9</v>
      </c>
      <c r="O954" s="56">
        <v>1.3188</v>
      </c>
      <c r="P954" s="55">
        <v>11.6</v>
      </c>
      <c r="Q954" s="17" t="s">
        <v>424</v>
      </c>
      <c r="R954" s="17" t="s">
        <v>424</v>
      </c>
      <c r="S954" s="17" t="s">
        <v>424</v>
      </c>
      <c r="T954" s="17" t="s">
        <v>424</v>
      </c>
      <c r="U954" s="17" t="s">
        <v>424</v>
      </c>
      <c r="V954" s="17" t="s">
        <v>424</v>
      </c>
      <c r="W954" s="17" t="s">
        <v>424</v>
      </c>
    </row>
    <row r="955" spans="1:23" x14ac:dyDescent="0.25">
      <c r="A955" s="16" t="s">
        <v>1109</v>
      </c>
      <c r="B955" s="17" t="s">
        <v>10</v>
      </c>
      <c r="C955" s="17" t="s">
        <v>427</v>
      </c>
      <c r="D955" s="18" t="s">
        <v>179</v>
      </c>
      <c r="E955" s="18" t="s">
        <v>1666</v>
      </c>
      <c r="F955" s="18">
        <v>5.94</v>
      </c>
      <c r="G955" s="26">
        <v>2.06</v>
      </c>
      <c r="H955" s="17">
        <v>7.26</v>
      </c>
      <c r="I955" s="25">
        <v>7.7390343957084271</v>
      </c>
      <c r="J955" s="24">
        <f>G955/F955*((100-H955)/100)*((100-I955)/100)*100</f>
        <v>29.673301039212991</v>
      </c>
      <c r="K955" s="53">
        <v>5.7642940490081678</v>
      </c>
      <c r="L955" s="54">
        <f>J955*10000/K955</f>
        <v>51477.771236043591</v>
      </c>
      <c r="M955" s="55">
        <v>50.2</v>
      </c>
      <c r="N955" s="55">
        <v>18.3</v>
      </c>
      <c r="O955" s="56">
        <v>0.10637000000000001</v>
      </c>
      <c r="P955" s="55">
        <v>15.2</v>
      </c>
      <c r="Q955" s="17" t="s">
        <v>424</v>
      </c>
      <c r="R955" s="17" t="s">
        <v>424</v>
      </c>
      <c r="S955" s="17" t="s">
        <v>424</v>
      </c>
      <c r="T955" s="17" t="s">
        <v>424</v>
      </c>
      <c r="U955" s="17" t="s">
        <v>424</v>
      </c>
      <c r="V955" s="17" t="s">
        <v>424</v>
      </c>
      <c r="W955" s="17" t="s">
        <v>424</v>
      </c>
    </row>
    <row r="956" spans="1:23" x14ac:dyDescent="0.25">
      <c r="A956" s="16" t="s">
        <v>1108</v>
      </c>
      <c r="B956" s="17" t="s">
        <v>10</v>
      </c>
      <c r="C956" s="17" t="s">
        <v>427</v>
      </c>
      <c r="D956" s="18" t="s">
        <v>213</v>
      </c>
      <c r="E956" s="18" t="s">
        <v>1566</v>
      </c>
      <c r="F956" s="18">
        <v>5.94</v>
      </c>
      <c r="G956" s="26">
        <v>2.17</v>
      </c>
      <c r="H956" s="17">
        <v>7.26</v>
      </c>
      <c r="I956" s="25">
        <v>7.3807046231603941</v>
      </c>
      <c r="J956" s="24">
        <f>G956/F956*((100-H956)/100)*((100-I956)/100)*100</f>
        <v>31.379198979037685</v>
      </c>
      <c r="K956" s="53">
        <v>5.2727272727272725</v>
      </c>
      <c r="L956" s="54">
        <f>J956*10000/K956</f>
        <v>59512.273925761132</v>
      </c>
      <c r="M956" s="55">
        <v>52.9</v>
      </c>
      <c r="N956" s="55">
        <v>16.600000000000001</v>
      </c>
      <c r="O956" s="56">
        <v>2.2774000000000001</v>
      </c>
      <c r="P956" s="55">
        <v>18</v>
      </c>
      <c r="Q956" s="17" t="s">
        <v>424</v>
      </c>
      <c r="R956" s="17" t="s">
        <v>424</v>
      </c>
      <c r="S956" s="17" t="s">
        <v>424</v>
      </c>
      <c r="T956" s="17" t="s">
        <v>424</v>
      </c>
      <c r="U956" s="17" t="s">
        <v>424</v>
      </c>
      <c r="V956" s="17" t="s">
        <v>424</v>
      </c>
      <c r="W956" s="17" t="s">
        <v>424</v>
      </c>
    </row>
    <row r="957" spans="1:23" x14ac:dyDescent="0.25">
      <c r="A957" s="16" t="s">
        <v>1107</v>
      </c>
      <c r="B957" s="17" t="s">
        <v>10</v>
      </c>
      <c r="C957" s="17" t="s">
        <v>427</v>
      </c>
      <c r="D957" s="18" t="s">
        <v>58</v>
      </c>
      <c r="E957" s="18" t="s">
        <v>1778</v>
      </c>
      <c r="F957" s="18">
        <v>5.94</v>
      </c>
      <c r="G957" s="26">
        <v>2.83</v>
      </c>
      <c r="H957" s="17">
        <v>7.26</v>
      </c>
      <c r="I957" s="25">
        <v>9.469726037909604</v>
      </c>
      <c r="J957" s="24">
        <f>G957/F957*((100-H957)/100)*((100-I957)/100)*100</f>
        <v>40.000085233167113</v>
      </c>
      <c r="K957" s="53">
        <v>5.1243243243243244</v>
      </c>
      <c r="L957" s="54">
        <f>J957*10000/K957</f>
        <v>78059.238060505435</v>
      </c>
      <c r="M957" s="55">
        <v>52.6</v>
      </c>
      <c r="N957" s="55">
        <v>18.100000000000001</v>
      </c>
      <c r="O957" s="56">
        <v>3.0017999999999998</v>
      </c>
      <c r="P957" s="55">
        <v>12.8</v>
      </c>
      <c r="Q957" s="17" t="s">
        <v>424</v>
      </c>
      <c r="R957" s="17" t="s">
        <v>424</v>
      </c>
      <c r="S957" s="17" t="s">
        <v>424</v>
      </c>
      <c r="T957" s="17" t="s">
        <v>424</v>
      </c>
      <c r="U957" s="17" t="s">
        <v>424</v>
      </c>
      <c r="V957" s="17" t="s">
        <v>424</v>
      </c>
      <c r="W957" s="17" t="s">
        <v>424</v>
      </c>
    </row>
    <row r="958" spans="1:23" x14ac:dyDescent="0.25">
      <c r="A958" s="16" t="s">
        <v>1106</v>
      </c>
      <c r="B958" s="17" t="s">
        <v>10</v>
      </c>
      <c r="C958" s="17" t="s">
        <v>427</v>
      </c>
      <c r="D958" s="18" t="s">
        <v>80</v>
      </c>
      <c r="E958" s="18" t="s">
        <v>1718</v>
      </c>
      <c r="F958" s="18">
        <v>5.94</v>
      </c>
      <c r="G958" s="26">
        <v>2.09</v>
      </c>
      <c r="H958" s="17">
        <v>7.26</v>
      </c>
      <c r="I958" s="25">
        <v>11.418439716312063</v>
      </c>
      <c r="J958" s="24">
        <f>G958/F958*((100-H958)/100)*((100-I958)/100)*100</f>
        <v>28.904819280273173</v>
      </c>
      <c r="K958" s="53">
        <v>4.7532729103726084</v>
      </c>
      <c r="L958" s="54">
        <f>J958*10000/K958</f>
        <v>60810.350731591658</v>
      </c>
      <c r="M958" s="55">
        <v>52.1</v>
      </c>
      <c r="N958" s="55">
        <v>17</v>
      </c>
      <c r="O958" s="56">
        <v>2.722</v>
      </c>
      <c r="P958" s="55">
        <v>17.7</v>
      </c>
      <c r="Q958" s="17" t="s">
        <v>424</v>
      </c>
      <c r="R958" s="17" t="s">
        <v>424</v>
      </c>
      <c r="S958" s="17" t="s">
        <v>424</v>
      </c>
      <c r="T958" s="17" t="s">
        <v>424</v>
      </c>
      <c r="U958" s="17" t="s">
        <v>424</v>
      </c>
      <c r="V958" s="17" t="s">
        <v>424</v>
      </c>
      <c r="W958" s="17" t="s">
        <v>424</v>
      </c>
    </row>
    <row r="959" spans="1:23" x14ac:dyDescent="0.25">
      <c r="A959" s="16" t="s">
        <v>702</v>
      </c>
      <c r="B959" s="17" t="s">
        <v>10</v>
      </c>
      <c r="C959" s="17" t="s">
        <v>13</v>
      </c>
      <c r="D959" s="18" t="s">
        <v>61</v>
      </c>
      <c r="E959" s="18" t="s">
        <v>1676</v>
      </c>
      <c r="F959" s="18">
        <v>5.94</v>
      </c>
      <c r="G959" s="23">
        <v>2.29</v>
      </c>
      <c r="H959" s="20">
        <v>6.89</v>
      </c>
      <c r="I959" s="25">
        <v>8.8196746588543764</v>
      </c>
      <c r="J959" s="24">
        <f>G959/F959*((100-H959)/100)*((100-I959)/100)*100</f>
        <v>32.730037393699021</v>
      </c>
      <c r="K959" s="53">
        <v>4.7570850202429149</v>
      </c>
      <c r="L959" s="54">
        <f>J959*10000/K959</f>
        <v>68802.716904201356</v>
      </c>
      <c r="M959" s="55">
        <v>51.1</v>
      </c>
      <c r="N959" s="55">
        <v>17.100000000000001</v>
      </c>
      <c r="O959" s="56">
        <v>2.1667000000000001</v>
      </c>
      <c r="P959" s="55">
        <v>22.2</v>
      </c>
      <c r="Q959" s="17" t="s">
        <v>424</v>
      </c>
      <c r="R959" s="17" t="s">
        <v>424</v>
      </c>
      <c r="S959" s="17" t="s">
        <v>424</v>
      </c>
      <c r="T959" s="17" t="s">
        <v>424</v>
      </c>
      <c r="U959" s="17" t="s">
        <v>424</v>
      </c>
      <c r="V959" s="17" t="s">
        <v>424</v>
      </c>
      <c r="W959" s="17" t="s">
        <v>424</v>
      </c>
    </row>
    <row r="960" spans="1:23" x14ac:dyDescent="0.25">
      <c r="A960" s="16" t="s">
        <v>701</v>
      </c>
      <c r="B960" s="17" t="s">
        <v>10</v>
      </c>
      <c r="C960" s="17" t="s">
        <v>13</v>
      </c>
      <c r="D960" s="18" t="s">
        <v>47</v>
      </c>
      <c r="E960" s="18" t="s">
        <v>1754</v>
      </c>
      <c r="F960" s="18">
        <v>5.94</v>
      </c>
      <c r="G960" s="23">
        <v>2.02</v>
      </c>
      <c r="H960" s="20">
        <v>6.89</v>
      </c>
      <c r="I960" s="25">
        <v>7.3056557439950849</v>
      </c>
      <c r="J960" s="24">
        <f>G960/F960*((100-H960)/100)*((100-I960)/100)*100</f>
        <v>29.350431305095569</v>
      </c>
      <c r="K960" s="53">
        <v>5.1555555555555559</v>
      </c>
      <c r="L960" s="54">
        <f>J960*10000/K960</f>
        <v>56929.715893504334</v>
      </c>
      <c r="M960" s="55">
        <v>51.1</v>
      </c>
      <c r="N960" s="55">
        <v>17</v>
      </c>
      <c r="O960" s="56">
        <v>3.9296000000000002</v>
      </c>
      <c r="P960" s="55">
        <v>30.4</v>
      </c>
      <c r="Q960" s="17" t="s">
        <v>424</v>
      </c>
      <c r="R960" s="17" t="s">
        <v>424</v>
      </c>
      <c r="S960" s="17" t="s">
        <v>424</v>
      </c>
      <c r="T960" s="17" t="s">
        <v>424</v>
      </c>
      <c r="U960" s="17" t="s">
        <v>424</v>
      </c>
      <c r="V960" s="17" t="s">
        <v>424</v>
      </c>
      <c r="W960" s="17" t="s">
        <v>424</v>
      </c>
    </row>
    <row r="961" spans="1:23" x14ac:dyDescent="0.25">
      <c r="A961" s="16" t="s">
        <v>700</v>
      </c>
      <c r="B961" s="17" t="s">
        <v>10</v>
      </c>
      <c r="C961" s="17" t="s">
        <v>13</v>
      </c>
      <c r="D961" s="18" t="s">
        <v>36</v>
      </c>
      <c r="E961" s="18" t="s">
        <v>1523</v>
      </c>
      <c r="F961" s="18">
        <v>5.94</v>
      </c>
      <c r="G961" s="23">
        <v>1.38</v>
      </c>
      <c r="H961" s="20">
        <v>6.89</v>
      </c>
      <c r="I961" s="25">
        <v>10.444307312557847</v>
      </c>
      <c r="J961" s="24">
        <f>G961/F961*((100-H961)/100)*((100-I961)/100)*100</f>
        <v>19.372343693024039</v>
      </c>
      <c r="K961" s="53">
        <v>4.5615763546798034</v>
      </c>
      <c r="L961" s="54">
        <f>J961*10000/K961</f>
        <v>42468.52883027948</v>
      </c>
      <c r="M961" s="55">
        <v>49.2</v>
      </c>
      <c r="N961" s="55">
        <v>18.899999999999999</v>
      </c>
      <c r="O961" s="56">
        <v>4.2370000000000001</v>
      </c>
      <c r="P961" s="55">
        <v>49.4</v>
      </c>
      <c r="Q961" s="17" t="s">
        <v>424</v>
      </c>
      <c r="R961" s="17" t="s">
        <v>424</v>
      </c>
      <c r="S961" s="17" t="s">
        <v>424</v>
      </c>
      <c r="T961" s="17" t="s">
        <v>424</v>
      </c>
      <c r="U961" s="17" t="s">
        <v>424</v>
      </c>
      <c r="V961" s="17" t="s">
        <v>424</v>
      </c>
      <c r="W961" s="17" t="s">
        <v>424</v>
      </c>
    </row>
    <row r="962" spans="1:23" x14ac:dyDescent="0.25">
      <c r="A962" s="16" t="s">
        <v>699</v>
      </c>
      <c r="B962" s="17" t="s">
        <v>10</v>
      </c>
      <c r="C962" s="17" t="s">
        <v>13</v>
      </c>
      <c r="D962" s="18" t="s">
        <v>238</v>
      </c>
      <c r="E962" s="18" t="s">
        <v>1796</v>
      </c>
      <c r="F962" s="18">
        <v>5.94</v>
      </c>
      <c r="G962" s="23">
        <v>1.88</v>
      </c>
      <c r="H962" s="20">
        <v>6.89</v>
      </c>
      <c r="I962" s="25">
        <v>8.3243823845327665</v>
      </c>
      <c r="J962" s="24">
        <f>G962/F962*((100-H962)/100)*((100-I962)/100)*100</f>
        <v>27.016032830995229</v>
      </c>
      <c r="K962" s="53">
        <v>5.1609322974472809</v>
      </c>
      <c r="L962" s="54">
        <f>J962*10000/K962</f>
        <v>52347.19479726172</v>
      </c>
      <c r="M962" s="55">
        <v>52.5</v>
      </c>
      <c r="N962" s="55">
        <v>15.7</v>
      </c>
      <c r="O962" s="56">
        <v>3.5347</v>
      </c>
      <c r="P962" s="55">
        <v>14.4</v>
      </c>
      <c r="Q962" s="17" t="s">
        <v>424</v>
      </c>
      <c r="R962" s="17" t="s">
        <v>424</v>
      </c>
      <c r="S962" s="17" t="s">
        <v>424</v>
      </c>
      <c r="T962" s="17" t="s">
        <v>424</v>
      </c>
      <c r="U962" s="17" t="s">
        <v>424</v>
      </c>
      <c r="V962" s="17" t="s">
        <v>424</v>
      </c>
      <c r="W962" s="17" t="s">
        <v>424</v>
      </c>
    </row>
    <row r="963" spans="1:23" x14ac:dyDescent="0.25">
      <c r="A963" s="16" t="s">
        <v>698</v>
      </c>
      <c r="B963" s="17" t="s">
        <v>10</v>
      </c>
      <c r="C963" s="17" t="s">
        <v>13</v>
      </c>
      <c r="D963" s="18" t="s">
        <v>174</v>
      </c>
      <c r="E963" s="18" t="s">
        <v>1696</v>
      </c>
      <c r="F963" s="18">
        <v>5.94</v>
      </c>
      <c r="G963" s="23">
        <v>1.9</v>
      </c>
      <c r="H963" s="20">
        <v>6.89</v>
      </c>
      <c r="I963" s="25">
        <v>9.1549295774647739</v>
      </c>
      <c r="J963" s="24">
        <f>G963/F963*((100-H963)/100)*((100-I963)/100)*100</f>
        <v>27.056078389529105</v>
      </c>
      <c r="K963" s="53">
        <v>4.878296146044625</v>
      </c>
      <c r="L963" s="54">
        <f>J963*10000/K963</f>
        <v>55462.148216373585</v>
      </c>
      <c r="M963" s="55">
        <v>50</v>
      </c>
      <c r="N963" s="55">
        <v>18.399999999999999</v>
      </c>
      <c r="O963" s="56">
        <v>27.553999999999998</v>
      </c>
      <c r="P963" s="55">
        <v>47.1</v>
      </c>
      <c r="Q963" s="17" t="s">
        <v>424</v>
      </c>
      <c r="R963" s="17" t="s">
        <v>424</v>
      </c>
      <c r="S963" s="17" t="s">
        <v>424</v>
      </c>
      <c r="T963" s="17" t="s">
        <v>424</v>
      </c>
      <c r="U963" s="17" t="s">
        <v>424</v>
      </c>
      <c r="V963" s="17" t="s">
        <v>424</v>
      </c>
      <c r="W963" s="17" t="s">
        <v>424</v>
      </c>
    </row>
    <row r="964" spans="1:23" x14ac:dyDescent="0.25">
      <c r="A964" s="16" t="s">
        <v>697</v>
      </c>
      <c r="B964" s="17" t="s">
        <v>10</v>
      </c>
      <c r="C964" s="17" t="s">
        <v>13</v>
      </c>
      <c r="D964" s="18" t="s">
        <v>169</v>
      </c>
      <c r="E964" s="18" t="s">
        <v>1728</v>
      </c>
      <c r="F964" s="18">
        <v>5.94</v>
      </c>
      <c r="G964" s="23">
        <v>2.44</v>
      </c>
      <c r="H964" s="20">
        <v>6.89</v>
      </c>
      <c r="I964" s="25">
        <v>6.7409684857801659</v>
      </c>
      <c r="J964" s="24">
        <f>G964/F964*((100-H964)/100)*((100-I964)/100)*100</f>
        <v>35.668973325362252</v>
      </c>
      <c r="K964" s="53">
        <v>5.0471204188481673</v>
      </c>
      <c r="L964" s="54">
        <f>J964*10000/K964</f>
        <v>70671.928476599496</v>
      </c>
      <c r="M964" s="55">
        <v>53.1</v>
      </c>
      <c r="N964" s="55">
        <v>16.8</v>
      </c>
      <c r="O964" s="56">
        <v>9.7896000000000001</v>
      </c>
      <c r="P964" s="55">
        <v>25.3</v>
      </c>
      <c r="Q964" s="17" t="s">
        <v>424</v>
      </c>
      <c r="R964" s="17" t="s">
        <v>424</v>
      </c>
      <c r="S964" s="17" t="s">
        <v>424</v>
      </c>
      <c r="T964" s="17" t="s">
        <v>424</v>
      </c>
      <c r="U964" s="17" t="s">
        <v>424</v>
      </c>
      <c r="V964" s="17" t="s">
        <v>424</v>
      </c>
      <c r="W964" s="17" t="s">
        <v>424</v>
      </c>
    </row>
    <row r="965" spans="1:23" x14ac:dyDescent="0.25">
      <c r="A965" s="16" t="s">
        <v>1117</v>
      </c>
      <c r="B965" s="17" t="s">
        <v>10</v>
      </c>
      <c r="C965" s="17" t="s">
        <v>427</v>
      </c>
      <c r="D965" s="18" t="s">
        <v>33</v>
      </c>
      <c r="E965" s="18" t="s">
        <v>1732</v>
      </c>
      <c r="F965" s="18">
        <v>5.94</v>
      </c>
      <c r="G965" s="26">
        <v>1.88</v>
      </c>
      <c r="H965" s="17">
        <v>7.26</v>
      </c>
      <c r="I965" s="25">
        <v>11.464815701292487</v>
      </c>
      <c r="J965" s="24">
        <f>G965/F965*((100-H965)/100)*((100-I965)/100)*100</f>
        <v>25.986894991078813</v>
      </c>
      <c r="K965" s="53">
        <v>4.4701348747591521</v>
      </c>
      <c r="L965" s="54">
        <f>J965*10000/K965</f>
        <v>58134.476294697866</v>
      </c>
      <c r="M965" s="55">
        <v>48.8</v>
      </c>
      <c r="N965" s="55">
        <v>18.3</v>
      </c>
      <c r="O965" s="56">
        <v>3.4697</v>
      </c>
      <c r="P965" s="55">
        <v>15.9</v>
      </c>
      <c r="Q965" s="17" t="s">
        <v>424</v>
      </c>
      <c r="R965" s="17" t="s">
        <v>424</v>
      </c>
      <c r="S965" s="17" t="s">
        <v>424</v>
      </c>
      <c r="T965" s="17" t="s">
        <v>424</v>
      </c>
      <c r="U965" s="17" t="s">
        <v>424</v>
      </c>
      <c r="V965" s="17" t="s">
        <v>424</v>
      </c>
      <c r="W965" s="17" t="s">
        <v>424</v>
      </c>
    </row>
    <row r="966" spans="1:23" x14ac:dyDescent="0.25">
      <c r="A966" s="16" t="s">
        <v>1116</v>
      </c>
      <c r="B966" s="17" t="s">
        <v>10</v>
      </c>
      <c r="C966" s="17" t="s">
        <v>427</v>
      </c>
      <c r="D966" s="18" t="s">
        <v>69</v>
      </c>
      <c r="E966" s="18" t="s">
        <v>1724</v>
      </c>
      <c r="F966" s="18">
        <v>5.94</v>
      </c>
      <c r="G966" s="26">
        <v>1.89</v>
      </c>
      <c r="H966" s="17">
        <v>7.26</v>
      </c>
      <c r="I966" s="25">
        <v>5.3782464086051904</v>
      </c>
      <c r="J966" s="24">
        <f>G966/F966*((100-H966)/100)*((100-I966)/100)*100</f>
        <v>27.921159089300758</v>
      </c>
      <c r="K966" s="53">
        <v>5.0160427807486627</v>
      </c>
      <c r="L966" s="54">
        <f>J966*10000/K966</f>
        <v>55663.718013851198</v>
      </c>
      <c r="M966" s="55">
        <v>54.2</v>
      </c>
      <c r="N966" s="55">
        <v>16.3</v>
      </c>
      <c r="O966" s="56">
        <v>4.4496000000000002</v>
      </c>
      <c r="P966" s="55">
        <v>18.100000000000001</v>
      </c>
      <c r="Q966" s="17" t="s">
        <v>424</v>
      </c>
      <c r="R966" s="17" t="s">
        <v>424</v>
      </c>
      <c r="S966" s="17" t="s">
        <v>424</v>
      </c>
      <c r="T966" s="17" t="s">
        <v>424</v>
      </c>
      <c r="U966" s="17" t="s">
        <v>424</v>
      </c>
      <c r="V966" s="17" t="s">
        <v>424</v>
      </c>
      <c r="W966" s="17" t="s">
        <v>424</v>
      </c>
    </row>
    <row r="967" spans="1:23" x14ac:dyDescent="0.25">
      <c r="A967" s="16" t="s">
        <v>1115</v>
      </c>
      <c r="B967" s="17" t="s">
        <v>10</v>
      </c>
      <c r="C967" s="17" t="s">
        <v>427</v>
      </c>
      <c r="D967" s="18" t="s">
        <v>16</v>
      </c>
      <c r="E967" s="18" t="s">
        <v>1541</v>
      </c>
      <c r="F967" s="18">
        <v>5.94</v>
      </c>
      <c r="G967" s="26">
        <v>1.67</v>
      </c>
      <c r="H967" s="17">
        <v>7.26</v>
      </c>
      <c r="I967" s="25">
        <v>6.1102294041263878</v>
      </c>
      <c r="J967" s="24">
        <f>G967/F967*((100-H967)/100)*((100-I967)/100)*100</f>
        <v>24.480224466081484</v>
      </c>
      <c r="K967" s="53">
        <v>5.1595159515951599</v>
      </c>
      <c r="L967" s="54">
        <f>J967*10000/K967</f>
        <v>47446.74635323682</v>
      </c>
      <c r="M967" s="55">
        <v>51.9</v>
      </c>
      <c r="N967" s="55">
        <v>17.2</v>
      </c>
      <c r="O967" s="56">
        <v>2.2812999999999999</v>
      </c>
      <c r="P967" s="55">
        <v>11.6</v>
      </c>
      <c r="Q967" s="17" t="s">
        <v>424</v>
      </c>
      <c r="R967" s="17" t="s">
        <v>424</v>
      </c>
      <c r="S967" s="17" t="s">
        <v>424</v>
      </c>
      <c r="T967" s="17" t="s">
        <v>424</v>
      </c>
      <c r="U967" s="17" t="s">
        <v>424</v>
      </c>
      <c r="V967" s="17" t="s">
        <v>424</v>
      </c>
      <c r="W967" s="17" t="s">
        <v>424</v>
      </c>
    </row>
    <row r="968" spans="1:23" x14ac:dyDescent="0.25">
      <c r="A968" s="16" t="s">
        <v>1114</v>
      </c>
      <c r="B968" s="17" t="s">
        <v>10</v>
      </c>
      <c r="C968" s="17" t="s">
        <v>427</v>
      </c>
      <c r="D968" s="18" t="s">
        <v>188</v>
      </c>
      <c r="E968" s="18" t="s">
        <v>1644</v>
      </c>
      <c r="F968" s="18">
        <v>5.94</v>
      </c>
      <c r="G968" s="26">
        <v>2.15</v>
      </c>
      <c r="H968" s="17">
        <v>7.26</v>
      </c>
      <c r="I968" s="25">
        <v>4.6719340432841019</v>
      </c>
      <c r="J968" s="24">
        <f>G968/F968*((100-H968)/100)*((100-I968)/100)*100</f>
        <v>31.999256564268581</v>
      </c>
      <c r="K968" s="53">
        <v>4.7006869479882241</v>
      </c>
      <c r="L968" s="54">
        <f>J968*10000/K968</f>
        <v>68073.575029206011</v>
      </c>
      <c r="M968" s="55">
        <v>54.9</v>
      </c>
      <c r="N968" s="55">
        <v>16.2</v>
      </c>
      <c r="O968" s="56">
        <v>1.2625999999999999</v>
      </c>
      <c r="P968" s="55">
        <v>11.2</v>
      </c>
      <c r="Q968" s="17" t="s">
        <v>424</v>
      </c>
      <c r="R968" s="17" t="s">
        <v>424</v>
      </c>
      <c r="S968" s="17" t="s">
        <v>424</v>
      </c>
      <c r="T968" s="17" t="s">
        <v>424</v>
      </c>
      <c r="U968" s="17" t="s">
        <v>424</v>
      </c>
      <c r="V968" s="17" t="s">
        <v>424</v>
      </c>
      <c r="W968" s="17" t="s">
        <v>424</v>
      </c>
    </row>
    <row r="969" spans="1:23" x14ac:dyDescent="0.25">
      <c r="A969" s="16" t="s">
        <v>1113</v>
      </c>
      <c r="B969" s="17" t="s">
        <v>10</v>
      </c>
      <c r="C969" s="17" t="s">
        <v>427</v>
      </c>
      <c r="D969" s="18" t="s">
        <v>162</v>
      </c>
      <c r="E969" s="18" t="s">
        <v>1535</v>
      </c>
      <c r="F969" s="18">
        <v>5.94</v>
      </c>
      <c r="G969" s="26">
        <v>1.71</v>
      </c>
      <c r="H969" s="17">
        <v>7.26</v>
      </c>
      <c r="I969" s="25">
        <v>7.3469387755102167</v>
      </c>
      <c r="J969" s="24">
        <f>G969/F969*((100-H969)/100)*((100-I969)/100)*100</f>
        <v>24.736401978973404</v>
      </c>
      <c r="K969" s="53">
        <v>4.7576656775469832</v>
      </c>
      <c r="L969" s="54">
        <f>J969*10000/K969</f>
        <v>51992.728483871331</v>
      </c>
      <c r="M969" s="55">
        <v>51.4</v>
      </c>
      <c r="N969" s="55">
        <v>17.8</v>
      </c>
      <c r="O969" s="56">
        <v>23.564</v>
      </c>
      <c r="P969" s="55">
        <v>40.799999999999997</v>
      </c>
      <c r="Q969" s="17" t="s">
        <v>424</v>
      </c>
      <c r="R969" s="17" t="s">
        <v>424</v>
      </c>
      <c r="S969" s="17" t="s">
        <v>424</v>
      </c>
      <c r="T969" s="17" t="s">
        <v>424</v>
      </c>
      <c r="U969" s="17" t="s">
        <v>424</v>
      </c>
      <c r="V969" s="17" t="s">
        <v>424</v>
      </c>
      <c r="W969" s="17" t="s">
        <v>424</v>
      </c>
    </row>
    <row r="970" spans="1:23" x14ac:dyDescent="0.25">
      <c r="A970" s="16" t="s">
        <v>1112</v>
      </c>
      <c r="B970" s="17" t="s">
        <v>10</v>
      </c>
      <c r="C970" s="17" t="s">
        <v>427</v>
      </c>
      <c r="D970" s="18" t="s">
        <v>228</v>
      </c>
      <c r="E970" s="18" t="s">
        <v>1537</v>
      </c>
      <c r="F970" s="18">
        <v>5.94</v>
      </c>
      <c r="G970" s="26">
        <v>2.13</v>
      </c>
      <c r="H970" s="17">
        <v>7.26</v>
      </c>
      <c r="I970" s="25">
        <v>8.8202539164006204</v>
      </c>
      <c r="J970" s="24">
        <f>G970/F970*((100-H970)/100)*((100-I970)/100)*100</f>
        <v>30.322054811985016</v>
      </c>
      <c r="K970" s="53">
        <v>4.3854748603351954</v>
      </c>
      <c r="L970" s="54">
        <f>J970*10000/K970</f>
        <v>69142.010335609142</v>
      </c>
      <c r="M970" s="55">
        <v>50.9</v>
      </c>
      <c r="N970" s="55">
        <v>16.8</v>
      </c>
      <c r="O970" s="56">
        <v>3.4260000000000002</v>
      </c>
      <c r="P970" s="55">
        <v>12.4</v>
      </c>
      <c r="Q970" s="17" t="s">
        <v>424</v>
      </c>
      <c r="R970" s="17" t="s">
        <v>424</v>
      </c>
      <c r="S970" s="17" t="s">
        <v>424</v>
      </c>
      <c r="T970" s="17" t="s">
        <v>424</v>
      </c>
      <c r="U970" s="17" t="s">
        <v>424</v>
      </c>
      <c r="V970" s="17" t="s">
        <v>424</v>
      </c>
      <c r="W970" s="17" t="s">
        <v>424</v>
      </c>
    </row>
    <row r="971" spans="1:23" x14ac:dyDescent="0.25">
      <c r="A971" s="16" t="s">
        <v>708</v>
      </c>
      <c r="B971" s="17" t="s">
        <v>10</v>
      </c>
      <c r="C971" s="17" t="s">
        <v>13</v>
      </c>
      <c r="D971" s="18" t="s">
        <v>204</v>
      </c>
      <c r="E971" s="18" t="s">
        <v>1786</v>
      </c>
      <c r="F971" s="18">
        <v>5.94</v>
      </c>
      <c r="G971" s="23">
        <v>1.85</v>
      </c>
      <c r="H971" s="20">
        <v>6.89</v>
      </c>
      <c r="I971" s="25">
        <v>7.8663279885696227</v>
      </c>
      <c r="J971" s="24">
        <f>G971/F971*((100-H971)/100)*((100-I971)/100)*100</f>
        <v>26.717756686567206</v>
      </c>
      <c r="K971" s="53">
        <v>4.5656370656370653</v>
      </c>
      <c r="L971" s="54">
        <f>J971*10000/K971</f>
        <v>58519.23029024023</v>
      </c>
      <c r="M971" s="55">
        <v>54.2</v>
      </c>
      <c r="N971" s="55">
        <v>18</v>
      </c>
      <c r="O971" s="56">
        <v>4.1654</v>
      </c>
      <c r="P971" s="55">
        <v>10.4</v>
      </c>
      <c r="Q971" s="17" t="s">
        <v>424</v>
      </c>
      <c r="R971" s="17" t="s">
        <v>424</v>
      </c>
      <c r="S971" s="17" t="s">
        <v>424</v>
      </c>
      <c r="T971" s="17" t="s">
        <v>424</v>
      </c>
      <c r="U971" s="17" t="s">
        <v>424</v>
      </c>
      <c r="V971" s="17" t="s">
        <v>424</v>
      </c>
      <c r="W971" s="17" t="s">
        <v>424</v>
      </c>
    </row>
    <row r="972" spans="1:23" x14ac:dyDescent="0.25">
      <c r="A972" s="16" t="s">
        <v>707</v>
      </c>
      <c r="B972" s="17" t="s">
        <v>10</v>
      </c>
      <c r="C972" s="17" t="s">
        <v>13</v>
      </c>
      <c r="D972" s="18" t="s">
        <v>297</v>
      </c>
      <c r="E972" s="18" t="s">
        <v>1794</v>
      </c>
      <c r="F972" s="18">
        <v>5.94</v>
      </c>
      <c r="G972" s="23">
        <v>2.4700000000000002</v>
      </c>
      <c r="H972" s="20">
        <v>6.89</v>
      </c>
      <c r="I972" s="25">
        <v>6.8692915803208141</v>
      </c>
      <c r="J972" s="24">
        <f>G972/F972*((100-H972)/100)*((100-I972)/100)*100</f>
        <v>36.057842835963186</v>
      </c>
      <c r="K972" s="53">
        <v>4.7752247752247756</v>
      </c>
      <c r="L972" s="54">
        <f>J972*10000/K972</f>
        <v>75510.252466107006</v>
      </c>
      <c r="M972" s="55">
        <v>51.8</v>
      </c>
      <c r="N972" s="55">
        <v>16.100000000000001</v>
      </c>
      <c r="O972" s="56">
        <v>1.8105</v>
      </c>
      <c r="P972" s="55">
        <v>16.100000000000001</v>
      </c>
      <c r="Q972" s="17" t="s">
        <v>424</v>
      </c>
      <c r="R972" s="17" t="s">
        <v>424</v>
      </c>
      <c r="S972" s="17" t="s">
        <v>424</v>
      </c>
      <c r="T972" s="17" t="s">
        <v>424</v>
      </c>
      <c r="U972" s="17" t="s">
        <v>424</v>
      </c>
      <c r="V972" s="17" t="s">
        <v>424</v>
      </c>
      <c r="W972" s="17" t="s">
        <v>424</v>
      </c>
    </row>
    <row r="973" spans="1:23" x14ac:dyDescent="0.25">
      <c r="A973" s="16" t="s">
        <v>706</v>
      </c>
      <c r="B973" s="17" t="s">
        <v>10</v>
      </c>
      <c r="C973" s="17" t="s">
        <v>13</v>
      </c>
      <c r="D973" s="18" t="s">
        <v>44</v>
      </c>
      <c r="E973" s="18" t="s">
        <v>1782</v>
      </c>
      <c r="F973" s="18">
        <v>5.94</v>
      </c>
      <c r="G973" s="23">
        <v>2.0299999999999998</v>
      </c>
      <c r="H973" s="20">
        <v>6.89</v>
      </c>
      <c r="I973" s="25">
        <v>6.6769349249133523</v>
      </c>
      <c r="J973" s="24">
        <f>G973/F973*((100-H973)/100)*((100-I973)/100)*100</f>
        <v>29.69579208073548</v>
      </c>
      <c r="K973" s="53">
        <v>4.4230769230769234</v>
      </c>
      <c r="L973" s="54">
        <f>J973*10000/K973</f>
        <v>67138.312530358467</v>
      </c>
      <c r="M973" s="55">
        <v>53.5</v>
      </c>
      <c r="N973" s="55">
        <v>15.8</v>
      </c>
      <c r="O973" s="56">
        <v>1.2683</v>
      </c>
      <c r="P973" s="55">
        <v>12.5</v>
      </c>
      <c r="Q973" s="17" t="s">
        <v>424</v>
      </c>
      <c r="R973" s="17" t="s">
        <v>424</v>
      </c>
      <c r="S973" s="17" t="s">
        <v>424</v>
      </c>
      <c r="T973" s="17" t="s">
        <v>424</v>
      </c>
      <c r="U973" s="17" t="s">
        <v>424</v>
      </c>
      <c r="V973" s="17" t="s">
        <v>424</v>
      </c>
      <c r="W973" s="17" t="s">
        <v>424</v>
      </c>
    </row>
    <row r="974" spans="1:23" x14ac:dyDescent="0.25">
      <c r="A974" s="16" t="s">
        <v>705</v>
      </c>
      <c r="B974" s="17" t="s">
        <v>10</v>
      </c>
      <c r="C974" s="17" t="s">
        <v>13</v>
      </c>
      <c r="D974" s="18" t="s">
        <v>28</v>
      </c>
      <c r="E974" s="18" t="s">
        <v>1636</v>
      </c>
      <c r="F974" s="18">
        <v>5.94</v>
      </c>
      <c r="G974" s="23">
        <v>2.2000000000000002</v>
      </c>
      <c r="H974" s="20">
        <v>6.89</v>
      </c>
      <c r="I974" s="25">
        <v>5.2547284929835261</v>
      </c>
      <c r="J974" s="24">
        <f>G974/F974*((100-H974)/100)*((100-I974)/100)*100</f>
        <v>32.673082333401126</v>
      </c>
      <c r="K974" s="53">
        <v>4.7922998986828773</v>
      </c>
      <c r="L974" s="54">
        <f>J974*10000/K974</f>
        <v>68178.292310923702</v>
      </c>
      <c r="M974" s="55">
        <v>49.8</v>
      </c>
      <c r="N974" s="55">
        <v>16.899999999999999</v>
      </c>
      <c r="O974" s="56">
        <v>8.6260999999999992</v>
      </c>
      <c r="P974" s="55">
        <v>22.1</v>
      </c>
      <c r="Q974" s="17" t="s">
        <v>424</v>
      </c>
      <c r="R974" s="17" t="s">
        <v>424</v>
      </c>
      <c r="S974" s="17" t="s">
        <v>424</v>
      </c>
      <c r="T974" s="17" t="s">
        <v>424</v>
      </c>
      <c r="U974" s="17" t="s">
        <v>424</v>
      </c>
      <c r="V974" s="17" t="s">
        <v>424</v>
      </c>
      <c r="W974" s="17" t="s">
        <v>424</v>
      </c>
    </row>
    <row r="975" spans="1:23" x14ac:dyDescent="0.25">
      <c r="A975" s="16" t="s">
        <v>704</v>
      </c>
      <c r="B975" s="17" t="s">
        <v>10</v>
      </c>
      <c r="C975" s="17" t="s">
        <v>13</v>
      </c>
      <c r="D975" s="18" t="s">
        <v>86</v>
      </c>
      <c r="E975" s="18" t="s">
        <v>1478</v>
      </c>
      <c r="F975" s="18">
        <v>5.94</v>
      </c>
      <c r="G975" s="23">
        <v>1.25</v>
      </c>
      <c r="H975" s="20">
        <v>6.89</v>
      </c>
      <c r="I975" s="25">
        <v>9.0167718110478425</v>
      </c>
      <c r="J975" s="24">
        <f>G975/F975*((100-H975)/100)*((100-I975)/100)*100</f>
        <v>17.827122004783956</v>
      </c>
      <c r="K975" s="53">
        <v>4.8565573770491799</v>
      </c>
      <c r="L975" s="54">
        <f>J975*10000/K975</f>
        <v>36707.322946559376</v>
      </c>
      <c r="M975" s="55">
        <v>47.5</v>
      </c>
      <c r="N975" s="55">
        <v>20.7</v>
      </c>
      <c r="O975" s="56">
        <v>39.622</v>
      </c>
      <c r="P975" s="55">
        <v>64</v>
      </c>
      <c r="Q975" s="17" t="s">
        <v>424</v>
      </c>
      <c r="R975" s="17" t="s">
        <v>424</v>
      </c>
      <c r="S975" s="17" t="s">
        <v>424</v>
      </c>
      <c r="T975" s="17" t="s">
        <v>424</v>
      </c>
      <c r="U975" s="17" t="s">
        <v>424</v>
      </c>
      <c r="V975" s="17" t="s">
        <v>424</v>
      </c>
      <c r="W975" s="17" t="s">
        <v>424</v>
      </c>
    </row>
    <row r="976" spans="1:23" x14ac:dyDescent="0.25">
      <c r="A976" s="16" t="s">
        <v>703</v>
      </c>
      <c r="B976" s="17" t="s">
        <v>10</v>
      </c>
      <c r="C976" s="17" t="s">
        <v>13</v>
      </c>
      <c r="D976" s="18" t="s">
        <v>202</v>
      </c>
      <c r="E976" s="18" t="s">
        <v>1504</v>
      </c>
      <c r="F976" s="18">
        <v>5.94</v>
      </c>
      <c r="G976" s="23">
        <v>1.99</v>
      </c>
      <c r="H976" s="20">
        <v>6.89</v>
      </c>
      <c r="I976" s="25">
        <v>5.6589266492388131</v>
      </c>
      <c r="J976" s="24">
        <f>G976/F976*((100-H976)/100)*((100-I976)/100)*100</f>
        <v>29.428204892225345</v>
      </c>
      <c r="K976" s="53">
        <v>4.9368421052631577</v>
      </c>
      <c r="L976" s="54">
        <f>J976*10000/K976</f>
        <v>59609.370250776279</v>
      </c>
      <c r="M976" s="55">
        <v>47.1</v>
      </c>
      <c r="N976" s="55">
        <v>19.7</v>
      </c>
      <c r="O976" s="56">
        <v>5.5122</v>
      </c>
      <c r="P976" s="55">
        <v>55.5</v>
      </c>
      <c r="Q976" s="17" t="s">
        <v>424</v>
      </c>
      <c r="R976" s="17" t="s">
        <v>424</v>
      </c>
      <c r="S976" s="17" t="s">
        <v>424</v>
      </c>
      <c r="T976" s="17" t="s">
        <v>424</v>
      </c>
      <c r="U976" s="17" t="s">
        <v>424</v>
      </c>
      <c r="V976" s="17" t="s">
        <v>424</v>
      </c>
      <c r="W976" s="17" t="s">
        <v>424</v>
      </c>
    </row>
    <row r="977" spans="1:23" x14ac:dyDescent="0.25">
      <c r="A977" s="16" t="s">
        <v>1123</v>
      </c>
      <c r="B977" s="17" t="s">
        <v>10</v>
      </c>
      <c r="C977" s="17" t="s">
        <v>427</v>
      </c>
      <c r="D977" s="18" t="s">
        <v>252</v>
      </c>
      <c r="E977" s="18" t="s">
        <v>1652</v>
      </c>
      <c r="F977" s="18">
        <v>5.94</v>
      </c>
      <c r="G977" s="26">
        <v>1.74</v>
      </c>
      <c r="H977" s="17">
        <v>7.26</v>
      </c>
      <c r="I977" s="25">
        <v>7.2479368496591281</v>
      </c>
      <c r="J977" s="24">
        <f>G977/F977*((100-H977)/100)*((100-I977)/100)*100</f>
        <v>25.197269066698563</v>
      </c>
      <c r="K977" s="53">
        <v>4.4824311490978159</v>
      </c>
      <c r="L977" s="54">
        <f>J977*10000/K977</f>
        <v>56213.398998376244</v>
      </c>
      <c r="M977" s="55">
        <v>51.6</v>
      </c>
      <c r="N977" s="55">
        <v>17.8</v>
      </c>
      <c r="O977" s="56">
        <v>1.1056999999999999</v>
      </c>
      <c r="P977" s="55">
        <v>13.7</v>
      </c>
      <c r="Q977" s="17" t="s">
        <v>424</v>
      </c>
      <c r="R977" s="17" t="s">
        <v>424</v>
      </c>
      <c r="S977" s="17" t="s">
        <v>424</v>
      </c>
      <c r="T977" s="17" t="s">
        <v>424</v>
      </c>
      <c r="U977" s="17" t="s">
        <v>424</v>
      </c>
      <c r="V977" s="17" t="s">
        <v>424</v>
      </c>
      <c r="W977" s="17" t="s">
        <v>424</v>
      </c>
    </row>
    <row r="978" spans="1:23" x14ac:dyDescent="0.25">
      <c r="A978" s="16" t="s">
        <v>1122</v>
      </c>
      <c r="B978" s="17" t="s">
        <v>10</v>
      </c>
      <c r="C978" s="17" t="s">
        <v>427</v>
      </c>
      <c r="D978" s="18" t="s">
        <v>218</v>
      </c>
      <c r="E978" s="18" t="s">
        <v>1466</v>
      </c>
      <c r="F978" s="18">
        <v>5.94</v>
      </c>
      <c r="G978" s="26">
        <v>1.26</v>
      </c>
      <c r="H978" s="17">
        <v>7.26</v>
      </c>
      <c r="I978" s="25">
        <v>8.7235052198671301</v>
      </c>
      <c r="J978" s="24">
        <f>G978/F978*((100-H978)/100)*((100-I978)/100)*100</f>
        <v>17.956022691323227</v>
      </c>
      <c r="K978" s="53">
        <v>5.384615384615385</v>
      </c>
      <c r="L978" s="54">
        <f>J978*10000/K978</f>
        <v>33346.899283885992</v>
      </c>
      <c r="M978" s="55">
        <v>48.9</v>
      </c>
      <c r="N978" s="55">
        <v>20.100000000000001</v>
      </c>
      <c r="O978" s="56">
        <v>49.058999999999997</v>
      </c>
      <c r="P978" s="55">
        <v>65.099999999999994</v>
      </c>
      <c r="Q978" s="17" t="s">
        <v>424</v>
      </c>
      <c r="R978" s="17" t="s">
        <v>424</v>
      </c>
      <c r="S978" s="17" t="s">
        <v>424</v>
      </c>
      <c r="T978" s="17" t="s">
        <v>424</v>
      </c>
      <c r="U978" s="17" t="s">
        <v>424</v>
      </c>
      <c r="V978" s="17" t="s">
        <v>424</v>
      </c>
      <c r="W978" s="17" t="s">
        <v>424</v>
      </c>
    </row>
    <row r="979" spans="1:23" x14ac:dyDescent="0.25">
      <c r="A979" s="16" t="s">
        <v>1121</v>
      </c>
      <c r="B979" s="17" t="s">
        <v>10</v>
      </c>
      <c r="C979" s="17" t="s">
        <v>427</v>
      </c>
      <c r="D979" s="18" t="s">
        <v>57</v>
      </c>
      <c r="E979" s="18" t="s">
        <v>1632</v>
      </c>
      <c r="F979" s="18">
        <v>5.94</v>
      </c>
      <c r="G979" s="26">
        <v>2.0299999999999998</v>
      </c>
      <c r="H979" s="17">
        <v>7.26</v>
      </c>
      <c r="I979" s="25">
        <v>5.6074766355140184</v>
      </c>
      <c r="J979" s="24">
        <f>G979/F979*((100-H979)/100)*((100-I979)/100)*100</f>
        <v>29.916740929544659</v>
      </c>
      <c r="K979" s="53">
        <v>5.3854625550660797</v>
      </c>
      <c r="L979" s="54">
        <f>J979*10000/K979</f>
        <v>55550.921807825252</v>
      </c>
      <c r="M979" s="55">
        <v>51.6</v>
      </c>
      <c r="N979" s="55">
        <v>16.8</v>
      </c>
      <c r="O979" s="56">
        <v>3.5611999999999999</v>
      </c>
      <c r="P979" s="55">
        <v>20</v>
      </c>
      <c r="Q979" s="17" t="s">
        <v>424</v>
      </c>
      <c r="R979" s="17" t="s">
        <v>424</v>
      </c>
      <c r="S979" s="17" t="s">
        <v>424</v>
      </c>
      <c r="T979" s="17" t="s">
        <v>424</v>
      </c>
      <c r="U979" s="17" t="s">
        <v>424</v>
      </c>
      <c r="V979" s="17" t="s">
        <v>424</v>
      </c>
      <c r="W979" s="17" t="s">
        <v>424</v>
      </c>
    </row>
    <row r="980" spans="1:23" x14ac:dyDescent="0.25">
      <c r="A980" s="16" t="s">
        <v>1120</v>
      </c>
      <c r="B980" s="17" t="s">
        <v>10</v>
      </c>
      <c r="C980" s="17" t="s">
        <v>427</v>
      </c>
      <c r="D980" s="18" t="s">
        <v>195</v>
      </c>
      <c r="E980" s="18" t="s">
        <v>1750</v>
      </c>
      <c r="F980" s="18">
        <v>5.94</v>
      </c>
      <c r="G980" s="26">
        <v>1.88</v>
      </c>
      <c r="H980" s="17">
        <v>7.26</v>
      </c>
      <c r="I980" s="25">
        <v>9.4219425874950868</v>
      </c>
      <c r="J980" s="24">
        <f>G980/F980*((100-H980)/100)*((100-I980)/100)*100</f>
        <v>26.586520207978324</v>
      </c>
      <c r="K980" s="53">
        <v>4.9739854318418315</v>
      </c>
      <c r="L980" s="54">
        <f>J980*10000/K980</f>
        <v>53451.142091772323</v>
      </c>
      <c r="M980" s="55">
        <v>51.1</v>
      </c>
      <c r="N980" s="55">
        <v>16.600000000000001</v>
      </c>
      <c r="O980" s="56">
        <v>4.9819000000000004</v>
      </c>
      <c r="P980" s="55">
        <v>16.899999999999999</v>
      </c>
      <c r="Q980" s="17" t="s">
        <v>424</v>
      </c>
      <c r="R980" s="17" t="s">
        <v>424</v>
      </c>
      <c r="S980" s="17" t="s">
        <v>424</v>
      </c>
      <c r="T980" s="17" t="s">
        <v>424</v>
      </c>
      <c r="U980" s="17" t="s">
        <v>424</v>
      </c>
      <c r="V980" s="17" t="s">
        <v>424</v>
      </c>
      <c r="W980" s="17" t="s">
        <v>424</v>
      </c>
    </row>
    <row r="981" spans="1:23" x14ac:dyDescent="0.25">
      <c r="A981" s="58" t="s">
        <v>1119</v>
      </c>
      <c r="B981" s="59" t="s">
        <v>10</v>
      </c>
      <c r="C981" s="59" t="s">
        <v>427</v>
      </c>
      <c r="D981" s="60" t="s">
        <v>270</v>
      </c>
      <c r="E981" s="18" t="s">
        <v>1690</v>
      </c>
      <c r="F981" s="60">
        <v>5.94</v>
      </c>
      <c r="G981" s="61" t="s">
        <v>424</v>
      </c>
      <c r="H981" s="61" t="s">
        <v>424</v>
      </c>
      <c r="I981" s="61" t="s">
        <v>424</v>
      </c>
      <c r="J981" s="61" t="s">
        <v>424</v>
      </c>
      <c r="K981" s="61" t="s">
        <v>424</v>
      </c>
      <c r="L981" s="61" t="s">
        <v>424</v>
      </c>
      <c r="M981" s="61" t="s">
        <v>424</v>
      </c>
      <c r="N981" s="61" t="s">
        <v>424</v>
      </c>
      <c r="O981" s="61" t="s">
        <v>424</v>
      </c>
      <c r="P981" s="61" t="s">
        <v>424</v>
      </c>
      <c r="Q981" s="17" t="s">
        <v>424</v>
      </c>
      <c r="R981" s="17" t="s">
        <v>424</v>
      </c>
      <c r="S981" s="17" t="s">
        <v>424</v>
      </c>
      <c r="T981" s="17" t="s">
        <v>424</v>
      </c>
      <c r="U981" s="17" t="s">
        <v>424</v>
      </c>
      <c r="V981" s="17" t="s">
        <v>424</v>
      </c>
      <c r="W981" s="17" t="s">
        <v>424</v>
      </c>
    </row>
    <row r="982" spans="1:23" x14ac:dyDescent="0.25">
      <c r="A982" s="16" t="s">
        <v>1118</v>
      </c>
      <c r="B982" s="17" t="s">
        <v>10</v>
      </c>
      <c r="C982" s="17" t="s">
        <v>427</v>
      </c>
      <c r="D982" s="18" t="s">
        <v>164</v>
      </c>
      <c r="E982" s="18" t="s">
        <v>1488</v>
      </c>
      <c r="F982" s="18">
        <v>5.94</v>
      </c>
      <c r="G982" s="26">
        <v>1.6</v>
      </c>
      <c r="H982" s="17">
        <v>7.26</v>
      </c>
      <c r="I982" s="25">
        <v>14.997271806064383</v>
      </c>
      <c r="J982" s="24">
        <f>G982/F982*((100-H982)/100)*((100-I982)/100)*100</f>
        <v>21.234082189105962</v>
      </c>
      <c r="K982" s="53">
        <v>4.4514959202175888</v>
      </c>
      <c r="L982" s="54">
        <f>J982*10000/K982</f>
        <v>47701.003369824597</v>
      </c>
      <c r="M982" s="55">
        <v>50.2</v>
      </c>
      <c r="N982" s="55">
        <v>18</v>
      </c>
      <c r="O982" s="56">
        <v>39.494</v>
      </c>
      <c r="P982" s="55">
        <v>53</v>
      </c>
      <c r="Q982" s="17" t="s">
        <v>424</v>
      </c>
      <c r="R982" s="17" t="s">
        <v>424</v>
      </c>
      <c r="S982" s="17" t="s">
        <v>424</v>
      </c>
      <c r="T982" s="17" t="s">
        <v>424</v>
      </c>
      <c r="U982" s="17" t="s">
        <v>424</v>
      </c>
      <c r="V982" s="17" t="s">
        <v>424</v>
      </c>
      <c r="W982" s="17" t="s">
        <v>424</v>
      </c>
    </row>
    <row r="983" spans="1:23" x14ac:dyDescent="0.25">
      <c r="A983" s="16" t="s">
        <v>714</v>
      </c>
      <c r="B983" s="17" t="s">
        <v>10</v>
      </c>
      <c r="C983" s="17" t="s">
        <v>13</v>
      </c>
      <c r="D983" s="18" t="s">
        <v>70</v>
      </c>
      <c r="E983" s="18" t="s">
        <v>1482</v>
      </c>
      <c r="F983" s="18">
        <v>5.94</v>
      </c>
      <c r="G983" s="23">
        <v>1.67</v>
      </c>
      <c r="H983" s="20">
        <v>6.89</v>
      </c>
      <c r="I983" s="25">
        <v>10.524592847205172</v>
      </c>
      <c r="J983" s="24">
        <f>G983/F983*((100-H983)/100)*((100-I983)/100)*100</f>
        <v>23.422326796623793</v>
      </c>
      <c r="K983" s="53">
        <v>5.1047409040793825</v>
      </c>
      <c r="L983" s="54">
        <f>J983*10000/K983</f>
        <v>45883.478195545962</v>
      </c>
      <c r="M983" s="55">
        <v>52.4</v>
      </c>
      <c r="N983" s="55">
        <v>20.100000000000001</v>
      </c>
      <c r="O983" s="56">
        <v>47.076000000000001</v>
      </c>
      <c r="P983" s="55">
        <v>57.4</v>
      </c>
      <c r="Q983" s="17" t="s">
        <v>424</v>
      </c>
      <c r="R983" s="17" t="s">
        <v>424</v>
      </c>
      <c r="S983" s="17" t="s">
        <v>424</v>
      </c>
      <c r="T983" s="17" t="s">
        <v>424</v>
      </c>
      <c r="U983" s="17" t="s">
        <v>424</v>
      </c>
      <c r="V983" s="17" t="s">
        <v>424</v>
      </c>
      <c r="W983" s="17" t="s">
        <v>424</v>
      </c>
    </row>
    <row r="984" spans="1:23" x14ac:dyDescent="0.25">
      <c r="A984" s="16" t="s">
        <v>713</v>
      </c>
      <c r="B984" s="17" t="s">
        <v>10</v>
      </c>
      <c r="C984" s="17" t="s">
        <v>13</v>
      </c>
      <c r="D984" s="18" t="s">
        <v>272</v>
      </c>
      <c r="E984" s="18" t="s">
        <v>1470</v>
      </c>
      <c r="F984" s="18">
        <v>5.94</v>
      </c>
      <c r="G984" s="23">
        <v>1.68</v>
      </c>
      <c r="H984" s="20">
        <v>6.89</v>
      </c>
      <c r="I984" s="25">
        <v>11.029834799046602</v>
      </c>
      <c r="J984" s="24">
        <f>G984/F984*((100-H984)/100)*((100-I984)/100)*100</f>
        <v>23.429529120414301</v>
      </c>
      <c r="K984" s="53">
        <v>5.027808676307008</v>
      </c>
      <c r="L984" s="54">
        <f>J984*10000/K984</f>
        <v>46599.882033744376</v>
      </c>
      <c r="M984" s="55">
        <v>53.7</v>
      </c>
      <c r="N984" s="55">
        <v>17.8</v>
      </c>
      <c r="O984" s="56">
        <v>48.302999999999997</v>
      </c>
      <c r="P984" s="55">
        <v>51.2</v>
      </c>
      <c r="Q984" s="17" t="s">
        <v>424</v>
      </c>
      <c r="R984" s="17" t="s">
        <v>424</v>
      </c>
      <c r="S984" s="17" t="s">
        <v>424</v>
      </c>
      <c r="T984" s="17" t="s">
        <v>424</v>
      </c>
      <c r="U984" s="17" t="s">
        <v>424</v>
      </c>
      <c r="V984" s="17" t="s">
        <v>424</v>
      </c>
      <c r="W984" s="17" t="s">
        <v>424</v>
      </c>
    </row>
    <row r="985" spans="1:23" x14ac:dyDescent="0.25">
      <c r="A985" s="16" t="s">
        <v>712</v>
      </c>
      <c r="B985" s="17" t="s">
        <v>10</v>
      </c>
      <c r="C985" s="17" t="s">
        <v>13</v>
      </c>
      <c r="D985" s="18" t="s">
        <v>100</v>
      </c>
      <c r="E985" s="18" t="s">
        <v>1468</v>
      </c>
      <c r="F985" s="18">
        <v>5.94</v>
      </c>
      <c r="G985" s="23">
        <v>1.84</v>
      </c>
      <c r="H985" s="20">
        <v>6.89</v>
      </c>
      <c r="I985" s="25">
        <v>8.8584774235843664</v>
      </c>
      <c r="J985" s="24">
        <f>G985/F985*((100-H985)/100)*((100-I985)/100)*100</f>
        <v>26.287179103443954</v>
      </c>
      <c r="K985" s="53">
        <v>5.3776775648252535</v>
      </c>
      <c r="L985" s="54">
        <f>J985*10000/K985</f>
        <v>48882.029066571879</v>
      </c>
      <c r="M985" s="55">
        <v>51.3</v>
      </c>
      <c r="N985" s="55">
        <v>17.899999999999999</v>
      </c>
      <c r="O985" s="56">
        <v>29.449000000000002</v>
      </c>
      <c r="P985" s="55">
        <v>43.3</v>
      </c>
      <c r="Q985" s="17" t="s">
        <v>424</v>
      </c>
      <c r="R985" s="17" t="s">
        <v>424</v>
      </c>
      <c r="S985" s="17" t="s">
        <v>424</v>
      </c>
      <c r="T985" s="17" t="s">
        <v>424</v>
      </c>
      <c r="U985" s="17" t="s">
        <v>424</v>
      </c>
      <c r="V985" s="17" t="s">
        <v>424</v>
      </c>
      <c r="W985" s="17" t="s">
        <v>424</v>
      </c>
    </row>
    <row r="986" spans="1:23" x14ac:dyDescent="0.25">
      <c r="A986" s="16" t="s">
        <v>711</v>
      </c>
      <c r="B986" s="17" t="s">
        <v>10</v>
      </c>
      <c r="C986" s="17" t="s">
        <v>13</v>
      </c>
      <c r="D986" s="18" t="s">
        <v>26</v>
      </c>
      <c r="E986" s="18" t="s">
        <v>1568</v>
      </c>
      <c r="F986" s="18">
        <v>5.94</v>
      </c>
      <c r="G986" s="23">
        <v>1.81</v>
      </c>
      <c r="H986" s="20">
        <v>6.89</v>
      </c>
      <c r="I986" s="25">
        <v>8.712613784135252</v>
      </c>
      <c r="J986" s="24">
        <f>G986/F986*((100-H986)/100)*((100-I986)/100)*100</f>
        <v>25.899968081333487</v>
      </c>
      <c r="K986" s="53">
        <v>5.1964085297418627</v>
      </c>
      <c r="L986" s="54">
        <f>J986*10000/K986</f>
        <v>49842.055206194687</v>
      </c>
      <c r="M986" s="55">
        <v>50.2</v>
      </c>
      <c r="N986" s="55">
        <v>17.100000000000001</v>
      </c>
      <c r="O986" s="56">
        <v>-2.4264999999999999</v>
      </c>
      <c r="P986" s="55">
        <v>16.2</v>
      </c>
      <c r="Q986" s="17" t="s">
        <v>424</v>
      </c>
      <c r="R986" s="17" t="s">
        <v>424</v>
      </c>
      <c r="S986" s="17" t="s">
        <v>424</v>
      </c>
      <c r="T986" s="17" t="s">
        <v>424</v>
      </c>
      <c r="U986" s="17" t="s">
        <v>424</v>
      </c>
      <c r="V986" s="17" t="s">
        <v>424</v>
      </c>
      <c r="W986" s="17" t="s">
        <v>424</v>
      </c>
    </row>
    <row r="987" spans="1:23" x14ac:dyDescent="0.25">
      <c r="A987" s="16" t="s">
        <v>710</v>
      </c>
      <c r="B987" s="17" t="s">
        <v>10</v>
      </c>
      <c r="C987" s="17" t="s">
        <v>13</v>
      </c>
      <c r="D987" s="18" t="s">
        <v>83</v>
      </c>
      <c r="E987" s="18" t="s">
        <v>1533</v>
      </c>
      <c r="F987" s="18">
        <v>5.94</v>
      </c>
      <c r="G987" s="23">
        <v>2.0099999999999998</v>
      </c>
      <c r="H987" s="20">
        <v>6.89</v>
      </c>
      <c r="I987" s="25">
        <v>10.39576585828264</v>
      </c>
      <c r="J987" s="24">
        <f>G987/F987*((100-H987)/100)*((100-I987)/100)*100</f>
        <v>28.231533643568952</v>
      </c>
      <c r="K987" s="53">
        <v>5.3872053872053876</v>
      </c>
      <c r="L987" s="54">
        <f>J987*10000/K987</f>
        <v>52404.784325874869</v>
      </c>
      <c r="M987" s="55">
        <v>53.7</v>
      </c>
      <c r="N987" s="55">
        <v>16.399999999999999</v>
      </c>
      <c r="O987" s="56">
        <v>2.7480000000000002</v>
      </c>
      <c r="P987" s="55">
        <v>15.5</v>
      </c>
      <c r="Q987" s="17" t="s">
        <v>424</v>
      </c>
      <c r="R987" s="17" t="s">
        <v>424</v>
      </c>
      <c r="S987" s="17" t="s">
        <v>424</v>
      </c>
      <c r="T987" s="17" t="s">
        <v>424</v>
      </c>
      <c r="U987" s="17" t="s">
        <v>424</v>
      </c>
      <c r="V987" s="17" t="s">
        <v>424</v>
      </c>
      <c r="W987" s="17" t="s">
        <v>424</v>
      </c>
    </row>
    <row r="988" spans="1:23" x14ac:dyDescent="0.25">
      <c r="A988" s="16" t="s">
        <v>709</v>
      </c>
      <c r="B988" s="17" t="s">
        <v>10</v>
      </c>
      <c r="C988" s="17" t="s">
        <v>13</v>
      </c>
      <c r="D988" s="18" t="s">
        <v>17</v>
      </c>
      <c r="E988" s="18" t="s">
        <v>1716</v>
      </c>
      <c r="F988" s="18">
        <v>5.94</v>
      </c>
      <c r="G988" s="23">
        <v>2.06</v>
      </c>
      <c r="H988" s="20">
        <v>6.89</v>
      </c>
      <c r="I988" s="25">
        <v>8.655870445344128</v>
      </c>
      <c r="J988" s="24">
        <f>G988/F988*((100-H988)/100)*((100-I988)/100)*100</f>
        <v>29.495634545181908</v>
      </c>
      <c r="K988" s="53">
        <v>5.538818076477404</v>
      </c>
      <c r="L988" s="54">
        <f>J988*10000/K988</f>
        <v>53252.578687221729</v>
      </c>
      <c r="M988" s="55">
        <v>52.1</v>
      </c>
      <c r="N988" s="55">
        <v>17.100000000000001</v>
      </c>
      <c r="O988" s="56">
        <v>1.0363</v>
      </c>
      <c r="P988" s="55">
        <v>19.3</v>
      </c>
      <c r="Q988" s="17" t="s">
        <v>424</v>
      </c>
      <c r="R988" s="17" t="s">
        <v>424</v>
      </c>
      <c r="S988" s="17" t="s">
        <v>424</v>
      </c>
      <c r="T988" s="17" t="s">
        <v>424</v>
      </c>
      <c r="U988" s="17" t="s">
        <v>424</v>
      </c>
      <c r="V988" s="17" t="s">
        <v>424</v>
      </c>
      <c r="W988" s="17" t="s">
        <v>424</v>
      </c>
    </row>
    <row r="989" spans="1:23" x14ac:dyDescent="0.25">
      <c r="A989" s="16" t="s">
        <v>1129</v>
      </c>
      <c r="B989" s="17" t="s">
        <v>10</v>
      </c>
      <c r="C989" s="17" t="s">
        <v>427</v>
      </c>
      <c r="D989" s="18" t="s">
        <v>200</v>
      </c>
      <c r="E989" s="18" t="s">
        <v>1608</v>
      </c>
      <c r="F989" s="18">
        <v>5.94</v>
      </c>
      <c r="G989" s="26">
        <v>2.08</v>
      </c>
      <c r="H989" s="17">
        <v>7.26</v>
      </c>
      <c r="I989" s="25">
        <v>5.1555869872701496</v>
      </c>
      <c r="J989" s="24">
        <f>G989/F989*((100-H989)/100)*((100-I989)/100)*100</f>
        <v>30.80035588320737</v>
      </c>
      <c r="K989" s="53">
        <v>5.4134509371554573</v>
      </c>
      <c r="L989" s="54">
        <f>J989*10000/K989</f>
        <v>56895.97308771708</v>
      </c>
      <c r="M989" s="55">
        <v>48.7</v>
      </c>
      <c r="N989" s="55">
        <v>18.7</v>
      </c>
      <c r="O989" s="56">
        <v>3.1669</v>
      </c>
      <c r="P989" s="55">
        <v>19.399999999999999</v>
      </c>
      <c r="Q989" s="17" t="s">
        <v>424</v>
      </c>
      <c r="R989" s="17" t="s">
        <v>424</v>
      </c>
      <c r="S989" s="17" t="s">
        <v>424</v>
      </c>
      <c r="T989" s="17" t="s">
        <v>424</v>
      </c>
      <c r="U989" s="17" t="s">
        <v>424</v>
      </c>
      <c r="V989" s="17" t="s">
        <v>424</v>
      </c>
      <c r="W989" s="17" t="s">
        <v>424</v>
      </c>
    </row>
    <row r="990" spans="1:23" x14ac:dyDescent="0.25">
      <c r="A990" s="16" t="s">
        <v>1128</v>
      </c>
      <c r="B990" s="17" t="s">
        <v>10</v>
      </c>
      <c r="C990" s="17" t="s">
        <v>427</v>
      </c>
      <c r="D990" s="18" t="s">
        <v>94</v>
      </c>
      <c r="E990" s="18" t="s">
        <v>1582</v>
      </c>
      <c r="F990" s="18">
        <v>5.94</v>
      </c>
      <c r="G990" s="26">
        <v>2.17</v>
      </c>
      <c r="H990" s="17">
        <v>7.26</v>
      </c>
      <c r="I990" s="25">
        <v>7.2746314347861123</v>
      </c>
      <c r="J990" s="24">
        <f>G990/F990*((100-H990)/100)*((100-I990)/100)*100</f>
        <v>31.415136325254743</v>
      </c>
      <c r="K990" s="53">
        <v>4.8011928429423456</v>
      </c>
      <c r="L990" s="54">
        <f>J990*10000/K990</f>
        <v>65431.940255085457</v>
      </c>
      <c r="M990" s="55">
        <v>54.5</v>
      </c>
      <c r="N990" s="55">
        <v>16.899999999999999</v>
      </c>
      <c r="O990" s="56">
        <v>3.6074000000000002</v>
      </c>
      <c r="P990" s="55">
        <v>15.4</v>
      </c>
      <c r="Q990" s="17" t="s">
        <v>424</v>
      </c>
      <c r="R990" s="17" t="s">
        <v>424</v>
      </c>
      <c r="S990" s="17" t="s">
        <v>424</v>
      </c>
      <c r="T990" s="17" t="s">
        <v>424</v>
      </c>
      <c r="U990" s="17" t="s">
        <v>424</v>
      </c>
      <c r="V990" s="17" t="s">
        <v>424</v>
      </c>
      <c r="W990" s="17" t="s">
        <v>424</v>
      </c>
    </row>
    <row r="991" spans="1:23" x14ac:dyDescent="0.25">
      <c r="A991" s="16" t="s">
        <v>1127</v>
      </c>
      <c r="B991" s="17" t="s">
        <v>10</v>
      </c>
      <c r="C991" s="17" t="s">
        <v>427</v>
      </c>
      <c r="D991" s="18" t="s">
        <v>45</v>
      </c>
      <c r="E991" s="18" t="s">
        <v>1472</v>
      </c>
      <c r="F991" s="18">
        <v>5.94</v>
      </c>
      <c r="G991" s="26">
        <v>1.4</v>
      </c>
      <c r="H991" s="17">
        <v>7.26</v>
      </c>
      <c r="I991" s="25">
        <v>9.579533532402543</v>
      </c>
      <c r="J991" s="24">
        <f>G991/F991*((100-H991)/100)*((100-I991)/100)*100</f>
        <v>19.764026404523541</v>
      </c>
      <c r="K991" s="53">
        <v>4.9684210526315793</v>
      </c>
      <c r="L991" s="54">
        <f>J991*10000/K991</f>
        <v>39779.290432833397</v>
      </c>
      <c r="M991" s="55">
        <v>49.4</v>
      </c>
      <c r="N991" s="55">
        <v>20.8</v>
      </c>
      <c r="O991" s="56">
        <v>50.372</v>
      </c>
      <c r="P991" s="55">
        <v>60</v>
      </c>
      <c r="Q991" s="17" t="s">
        <v>424</v>
      </c>
      <c r="R991" s="17" t="s">
        <v>424</v>
      </c>
      <c r="S991" s="17" t="s">
        <v>424</v>
      </c>
      <c r="T991" s="17" t="s">
        <v>424</v>
      </c>
      <c r="U991" s="17" t="s">
        <v>424</v>
      </c>
      <c r="V991" s="17" t="s">
        <v>424</v>
      </c>
      <c r="W991" s="17" t="s">
        <v>424</v>
      </c>
    </row>
    <row r="992" spans="1:23" x14ac:dyDescent="0.25">
      <c r="A992" s="16" t="s">
        <v>1126</v>
      </c>
      <c r="B992" s="17" t="s">
        <v>10</v>
      </c>
      <c r="C992" s="17" t="s">
        <v>427</v>
      </c>
      <c r="D992" s="18" t="s">
        <v>289</v>
      </c>
      <c r="E992" s="18" t="s">
        <v>1706</v>
      </c>
      <c r="F992" s="18">
        <v>5.94</v>
      </c>
      <c r="G992" s="26">
        <v>1.86</v>
      </c>
      <c r="H992" s="17">
        <v>7.26</v>
      </c>
      <c r="I992" s="25">
        <v>6.168303539885529</v>
      </c>
      <c r="J992" s="24">
        <f>G992/F992*((100-H992)/100)*((100-I992)/100)*100</f>
        <v>27.248535093034498</v>
      </c>
      <c r="K992" s="53">
        <v>4.7338403041825092</v>
      </c>
      <c r="L992" s="54">
        <f>J992*10000/K992</f>
        <v>57561.162485687331</v>
      </c>
      <c r="M992" s="55">
        <v>49.9</v>
      </c>
      <c r="N992" s="55">
        <v>18.8</v>
      </c>
      <c r="O992" s="56">
        <v>-2.0333999999999999</v>
      </c>
      <c r="P992" s="55">
        <v>13.1</v>
      </c>
      <c r="Q992" s="17" t="s">
        <v>424</v>
      </c>
      <c r="R992" s="17" t="s">
        <v>424</v>
      </c>
      <c r="S992" s="17" t="s">
        <v>424</v>
      </c>
      <c r="T992" s="17" t="s">
        <v>424</v>
      </c>
      <c r="U992" s="17" t="s">
        <v>424</v>
      </c>
      <c r="V992" s="17" t="s">
        <v>424</v>
      </c>
      <c r="W992" s="17" t="s">
        <v>424</v>
      </c>
    </row>
    <row r="993" spans="1:23" x14ac:dyDescent="0.25">
      <c r="A993" s="16" t="s">
        <v>1125</v>
      </c>
      <c r="B993" s="17" t="s">
        <v>10</v>
      </c>
      <c r="C993" s="17" t="s">
        <v>427</v>
      </c>
      <c r="D993" s="18" t="s">
        <v>21</v>
      </c>
      <c r="E993" s="18" t="s">
        <v>1578</v>
      </c>
      <c r="F993" s="18">
        <v>5.94</v>
      </c>
      <c r="G993" s="26">
        <v>2.31</v>
      </c>
      <c r="H993" s="17">
        <v>7.26</v>
      </c>
      <c r="I993" s="25">
        <v>6.0109289617486246</v>
      </c>
      <c r="J993" s="24">
        <f>G993/F993*((100-H993)/100)*((100-I993)/100)*100</f>
        <v>33.897680631451124</v>
      </c>
      <c r="K993" s="53">
        <v>4.3608340888485948</v>
      </c>
      <c r="L993" s="54">
        <f>J993*10000/K993</f>
        <v>77732.103402267327</v>
      </c>
      <c r="M993" s="55">
        <v>55.3</v>
      </c>
      <c r="N993" s="55">
        <v>15</v>
      </c>
      <c r="O993" s="56">
        <v>1.5244</v>
      </c>
      <c r="P993" s="55">
        <v>14.4</v>
      </c>
      <c r="Q993" s="17" t="s">
        <v>424</v>
      </c>
      <c r="R993" s="17" t="s">
        <v>424</v>
      </c>
      <c r="S993" s="17" t="s">
        <v>424</v>
      </c>
      <c r="T993" s="17" t="s">
        <v>424</v>
      </c>
      <c r="U993" s="17" t="s">
        <v>424</v>
      </c>
      <c r="V993" s="17" t="s">
        <v>424</v>
      </c>
      <c r="W993" s="17" t="s">
        <v>424</v>
      </c>
    </row>
    <row r="994" spans="1:23" x14ac:dyDescent="0.25">
      <c r="A994" s="16" t="s">
        <v>1124</v>
      </c>
      <c r="B994" s="17" t="s">
        <v>10</v>
      </c>
      <c r="C994" s="17" t="s">
        <v>427</v>
      </c>
      <c r="D994" s="18" t="s">
        <v>55</v>
      </c>
      <c r="E994" s="18" t="s">
        <v>1654</v>
      </c>
      <c r="F994" s="18">
        <v>5.94</v>
      </c>
      <c r="G994" s="26">
        <v>1.61</v>
      </c>
      <c r="H994" s="17">
        <v>7.26</v>
      </c>
      <c r="I994" s="25">
        <v>4.6498520501620364</v>
      </c>
      <c r="J994" s="24">
        <f>G994/F994*((100-H994)/100)*((100-I994)/100)*100</f>
        <v>23.967784647470427</v>
      </c>
      <c r="K994" s="53">
        <v>5.2819956616052064</v>
      </c>
      <c r="L994" s="54">
        <f>J994*10000/K994</f>
        <v>45376.380790488154</v>
      </c>
      <c r="M994" s="55">
        <v>50.3</v>
      </c>
      <c r="N994" s="55">
        <v>17.5</v>
      </c>
      <c r="O994" s="56">
        <v>3.1585000000000001</v>
      </c>
      <c r="P994" s="55">
        <v>18.399999999999999</v>
      </c>
      <c r="Q994" s="17" t="s">
        <v>424</v>
      </c>
      <c r="R994" s="17" t="s">
        <v>424</v>
      </c>
      <c r="S994" s="17" t="s">
        <v>424</v>
      </c>
      <c r="T994" s="17" t="s">
        <v>424</v>
      </c>
      <c r="U994" s="17" t="s">
        <v>424</v>
      </c>
      <c r="V994" s="17" t="s">
        <v>424</v>
      </c>
      <c r="W994" s="17" t="s">
        <v>424</v>
      </c>
    </row>
    <row r="995" spans="1:23" x14ac:dyDescent="0.25">
      <c r="A995" s="16" t="s">
        <v>720</v>
      </c>
      <c r="B995" s="17" t="s">
        <v>10</v>
      </c>
      <c r="C995" s="17" t="s">
        <v>13</v>
      </c>
      <c r="D995" s="18" t="s">
        <v>56</v>
      </c>
      <c r="E995" s="18" t="s">
        <v>1515</v>
      </c>
      <c r="F995" s="18">
        <v>5.94</v>
      </c>
      <c r="G995" s="23">
        <v>2.04</v>
      </c>
      <c r="H995" s="20">
        <v>6.89</v>
      </c>
      <c r="I995" s="25">
        <v>10.234411943524965</v>
      </c>
      <c r="J995" s="24">
        <f>G995/F995*((100-H995)/100)*((100-I995)/100)*100</f>
        <v>28.704496235748007</v>
      </c>
      <c r="K995" s="53">
        <v>5.333333333333333</v>
      </c>
      <c r="L995" s="54">
        <f>J995*10000/K995</f>
        <v>53820.930442027515</v>
      </c>
      <c r="M995" s="55">
        <v>48.1</v>
      </c>
      <c r="N995" s="55">
        <v>19.7</v>
      </c>
      <c r="O995" s="56">
        <v>12.148</v>
      </c>
      <c r="P995" s="55">
        <v>57.8</v>
      </c>
      <c r="Q995" s="17" t="s">
        <v>424</v>
      </c>
      <c r="R995" s="17" t="s">
        <v>424</v>
      </c>
      <c r="S995" s="17" t="s">
        <v>424</v>
      </c>
      <c r="T995" s="17" t="s">
        <v>424</v>
      </c>
      <c r="U995" s="17" t="s">
        <v>424</v>
      </c>
      <c r="V995" s="17" t="s">
        <v>424</v>
      </c>
      <c r="W995" s="17" t="s">
        <v>424</v>
      </c>
    </row>
    <row r="996" spans="1:23" x14ac:dyDescent="0.25">
      <c r="A996" s="16" t="s">
        <v>719</v>
      </c>
      <c r="B996" s="17" t="s">
        <v>10</v>
      </c>
      <c r="C996" s="17" t="s">
        <v>13</v>
      </c>
      <c r="D996" s="18" t="s">
        <v>203</v>
      </c>
      <c r="E996" s="18" t="s">
        <v>1464</v>
      </c>
      <c r="F996" s="18">
        <v>5.94</v>
      </c>
      <c r="G996" s="23">
        <v>1.42</v>
      </c>
      <c r="H996" s="20">
        <v>6.89</v>
      </c>
      <c r="I996" s="25">
        <v>10.000817060217335</v>
      </c>
      <c r="J996" s="24">
        <f>G996/F996*((100-H996)/100)*((100-I996)/100)*100</f>
        <v>20.032575709432479</v>
      </c>
      <c r="K996" s="53">
        <v>5.188781014023732</v>
      </c>
      <c r="L996" s="54">
        <f>J996*10000/K996</f>
        <v>38607.479589696282</v>
      </c>
      <c r="M996" s="55">
        <v>50.1</v>
      </c>
      <c r="N996" s="55">
        <v>18.600000000000001</v>
      </c>
      <c r="O996" s="56">
        <v>34.279000000000003</v>
      </c>
      <c r="P996" s="55">
        <v>53.3</v>
      </c>
      <c r="Q996" s="17" t="s">
        <v>424</v>
      </c>
      <c r="R996" s="17" t="s">
        <v>424</v>
      </c>
      <c r="S996" s="17" t="s">
        <v>424</v>
      </c>
      <c r="T996" s="17" t="s">
        <v>424</v>
      </c>
      <c r="U996" s="17" t="s">
        <v>424</v>
      </c>
      <c r="V996" s="17" t="s">
        <v>424</v>
      </c>
      <c r="W996" s="17" t="s">
        <v>424</v>
      </c>
    </row>
    <row r="997" spans="1:23" x14ac:dyDescent="0.25">
      <c r="A997" s="16" t="s">
        <v>718</v>
      </c>
      <c r="B997" s="17" t="s">
        <v>10</v>
      </c>
      <c r="C997" s="17" t="s">
        <v>13</v>
      </c>
      <c r="D997" s="18" t="s">
        <v>46</v>
      </c>
      <c r="E997" s="18" t="s">
        <v>1531</v>
      </c>
      <c r="F997" s="18">
        <v>5.94</v>
      </c>
      <c r="G997" s="23">
        <v>1.35</v>
      </c>
      <c r="H997" s="20">
        <v>6.89</v>
      </c>
      <c r="I997" s="25">
        <v>9.8650927487352362</v>
      </c>
      <c r="J997" s="24">
        <f>G997/F997*((100-H997)/100)*((100-I997)/100)*100</f>
        <v>19.07377548673923</v>
      </c>
      <c r="K997" s="53">
        <v>5.8935361216730042</v>
      </c>
      <c r="L997" s="54">
        <f>J997*10000/K997</f>
        <v>32363.890019434948</v>
      </c>
      <c r="M997" s="55">
        <v>51</v>
      </c>
      <c r="N997" s="55">
        <v>17.5</v>
      </c>
      <c r="O997" s="56">
        <v>4.3879000000000001</v>
      </c>
      <c r="P997" s="55">
        <v>50.8</v>
      </c>
      <c r="Q997" s="17" t="s">
        <v>424</v>
      </c>
      <c r="R997" s="17" t="s">
        <v>424</v>
      </c>
      <c r="S997" s="17" t="s">
        <v>424</v>
      </c>
      <c r="T997" s="17" t="s">
        <v>424</v>
      </c>
      <c r="U997" s="17" t="s">
        <v>424</v>
      </c>
      <c r="V997" s="17" t="s">
        <v>424</v>
      </c>
      <c r="W997" s="17" t="s">
        <v>424</v>
      </c>
    </row>
    <row r="998" spans="1:23" x14ac:dyDescent="0.25">
      <c r="A998" s="16" t="s">
        <v>717</v>
      </c>
      <c r="B998" s="17" t="s">
        <v>10</v>
      </c>
      <c r="C998" s="17" t="s">
        <v>13</v>
      </c>
      <c r="D998" s="18" t="s">
        <v>42</v>
      </c>
      <c r="E998" s="18" t="s">
        <v>1656</v>
      </c>
      <c r="F998" s="18">
        <v>5.94</v>
      </c>
      <c r="G998" s="23">
        <v>2.0099999999999998</v>
      </c>
      <c r="H998" s="20">
        <v>6.89</v>
      </c>
      <c r="I998" s="25">
        <v>5.9216943012400725</v>
      </c>
      <c r="J998" s="24">
        <f>G998/F998*((100-H998)/100)*((100-I998)/100)*100</f>
        <v>29.641175753635</v>
      </c>
      <c r="K998" s="53">
        <v>5.416666666666667</v>
      </c>
      <c r="L998" s="54">
        <f>J998*10000/K998</f>
        <v>54722.170622095378</v>
      </c>
      <c r="M998" s="55">
        <v>50.4</v>
      </c>
      <c r="N998" s="55">
        <v>17.7</v>
      </c>
      <c r="O998" s="56">
        <v>1.1528</v>
      </c>
      <c r="P998" s="55">
        <v>13.6</v>
      </c>
      <c r="Q998" s="17" t="s">
        <v>424</v>
      </c>
      <c r="R998" s="17" t="s">
        <v>424</v>
      </c>
      <c r="S998" s="17" t="s">
        <v>424</v>
      </c>
      <c r="T998" s="17" t="s">
        <v>424</v>
      </c>
      <c r="U998" s="17" t="s">
        <v>424</v>
      </c>
      <c r="V998" s="17" t="s">
        <v>424</v>
      </c>
      <c r="W998" s="17" t="s">
        <v>424</v>
      </c>
    </row>
    <row r="999" spans="1:23" x14ac:dyDescent="0.25">
      <c r="A999" s="16" t="s">
        <v>716</v>
      </c>
      <c r="B999" s="17" t="s">
        <v>10</v>
      </c>
      <c r="C999" s="17" t="s">
        <v>13</v>
      </c>
      <c r="D999" s="18" t="s">
        <v>235</v>
      </c>
      <c r="E999" s="18" t="s">
        <v>1768</v>
      </c>
      <c r="F999" s="18">
        <v>5.94</v>
      </c>
      <c r="G999" s="23">
        <v>1.93</v>
      </c>
      <c r="H999" s="20">
        <v>6.89</v>
      </c>
      <c r="I999" s="25">
        <v>6.9296375266524537</v>
      </c>
      <c r="J999" s="24">
        <f>G999/F999*((100-H999)/100)*((100-I999)/100)*100</f>
        <v>28.15649528332364</v>
      </c>
      <c r="K999" s="53">
        <v>4.9519743863393808</v>
      </c>
      <c r="L999" s="54">
        <f>J999*10000/K999</f>
        <v>56859.129483780707</v>
      </c>
      <c r="M999" s="55">
        <v>53.2</v>
      </c>
      <c r="N999" s="55">
        <v>16.7</v>
      </c>
      <c r="O999" s="56">
        <v>3.3214999999999999</v>
      </c>
      <c r="P999" s="55">
        <v>10</v>
      </c>
      <c r="Q999" s="17" t="s">
        <v>424</v>
      </c>
      <c r="R999" s="17" t="s">
        <v>424</v>
      </c>
      <c r="S999" s="17" t="s">
        <v>424</v>
      </c>
      <c r="T999" s="17" t="s">
        <v>424</v>
      </c>
      <c r="U999" s="17" t="s">
        <v>424</v>
      </c>
      <c r="V999" s="17" t="s">
        <v>424</v>
      </c>
      <c r="W999" s="17" t="s">
        <v>424</v>
      </c>
    </row>
    <row r="1000" spans="1:23" x14ac:dyDescent="0.25">
      <c r="A1000" s="16" t="s">
        <v>715</v>
      </c>
      <c r="B1000" s="17" t="s">
        <v>10</v>
      </c>
      <c r="C1000" s="17" t="s">
        <v>13</v>
      </c>
      <c r="D1000" s="18" t="s">
        <v>219</v>
      </c>
      <c r="E1000" s="18" t="s">
        <v>1560</v>
      </c>
      <c r="F1000" s="18">
        <v>5.94</v>
      </c>
      <c r="G1000" s="23">
        <v>2.08</v>
      </c>
      <c r="H1000" s="20">
        <v>6.89</v>
      </c>
      <c r="I1000" s="25">
        <v>7.0448877805486223</v>
      </c>
      <c r="J1000" s="24">
        <f>G1000/F1000*((100-H1000)/100)*((100-I1000)/100)*100</f>
        <v>30.307247537721356</v>
      </c>
      <c r="K1000" s="53">
        <v>4.6673286991062559</v>
      </c>
      <c r="L1000" s="54">
        <f>J1000*10000/K1000</f>
        <v>64934.889937202992</v>
      </c>
      <c r="M1000" s="55">
        <v>52.9</v>
      </c>
      <c r="N1000" s="55">
        <v>16</v>
      </c>
      <c r="O1000" s="56">
        <v>3.2435</v>
      </c>
      <c r="P1000" s="55">
        <v>12.7</v>
      </c>
      <c r="Q1000" s="17" t="s">
        <v>424</v>
      </c>
      <c r="R1000" s="17" t="s">
        <v>424</v>
      </c>
      <c r="S1000" s="17" t="s">
        <v>424</v>
      </c>
      <c r="T1000" s="17" t="s">
        <v>424</v>
      </c>
      <c r="U1000" s="17" t="s">
        <v>424</v>
      </c>
      <c r="V1000" s="17" t="s">
        <v>424</v>
      </c>
      <c r="W1000" s="17" t="s">
        <v>424</v>
      </c>
    </row>
    <row r="1001" spans="1:23" x14ac:dyDescent="0.25">
      <c r="A1001" s="16" t="s">
        <v>1135</v>
      </c>
      <c r="B1001" s="17" t="s">
        <v>10</v>
      </c>
      <c r="C1001" s="17" t="s">
        <v>427</v>
      </c>
      <c r="D1001" s="18" t="s">
        <v>287</v>
      </c>
      <c r="E1001" s="18" t="s">
        <v>1594</v>
      </c>
      <c r="F1001" s="18">
        <v>5.94</v>
      </c>
      <c r="G1001" s="26">
        <v>2.19</v>
      </c>
      <c r="H1001" s="17">
        <v>7.26</v>
      </c>
      <c r="I1001" s="25">
        <v>8.791386707682344</v>
      </c>
      <c r="J1001" s="24">
        <f>G1001/F1001*((100-H1001)/100)*((100-I1001)/100)*100</f>
        <v>31.186067482891733</v>
      </c>
      <c r="K1001" s="53">
        <v>4.5118483412322279</v>
      </c>
      <c r="L1001" s="54">
        <f>J1001*10000/K1001</f>
        <v>69120.38066061087</v>
      </c>
      <c r="M1001" s="55">
        <v>53.7</v>
      </c>
      <c r="N1001" s="55">
        <v>17.399999999999999</v>
      </c>
      <c r="O1001" s="56">
        <v>-0.55367999999999995</v>
      </c>
      <c r="P1001" s="55">
        <v>15.3</v>
      </c>
      <c r="Q1001" s="17" t="s">
        <v>424</v>
      </c>
      <c r="R1001" s="17" t="s">
        <v>424</v>
      </c>
      <c r="S1001" s="17" t="s">
        <v>424</v>
      </c>
      <c r="T1001" s="17" t="s">
        <v>424</v>
      </c>
      <c r="U1001" s="17" t="s">
        <v>424</v>
      </c>
      <c r="V1001" s="17" t="s">
        <v>424</v>
      </c>
      <c r="W1001" s="17" t="s">
        <v>424</v>
      </c>
    </row>
    <row r="1002" spans="1:23" x14ac:dyDescent="0.25">
      <c r="A1002" s="16" t="s">
        <v>1134</v>
      </c>
      <c r="B1002" s="17" t="s">
        <v>10</v>
      </c>
      <c r="C1002" s="17" t="s">
        <v>427</v>
      </c>
      <c r="D1002" s="18" t="s">
        <v>192</v>
      </c>
      <c r="E1002" s="18" t="s">
        <v>1744</v>
      </c>
      <c r="F1002" s="18">
        <v>5.94</v>
      </c>
      <c r="G1002" s="26">
        <v>2.04</v>
      </c>
      <c r="H1002" s="17">
        <v>7.26</v>
      </c>
      <c r="I1002" s="25">
        <v>9.3501777744156147</v>
      </c>
      <c r="J1002" s="24">
        <f>G1002/F1002*((100-H1002)/100)*((100-I1002)/100)*100</f>
        <v>28.872059944325624</v>
      </c>
      <c r="K1002" s="53">
        <v>5.3033707865168536</v>
      </c>
      <c r="L1002" s="54">
        <f>J1002*10000/K1002</f>
        <v>54440.960488241115</v>
      </c>
      <c r="M1002" s="55">
        <v>52.6</v>
      </c>
      <c r="N1002" s="55">
        <v>17.5</v>
      </c>
      <c r="O1002" s="56">
        <v>2.5539000000000001</v>
      </c>
      <c r="P1002" s="55">
        <v>14.5</v>
      </c>
      <c r="Q1002" s="17" t="s">
        <v>424</v>
      </c>
      <c r="R1002" s="17" t="s">
        <v>424</v>
      </c>
      <c r="S1002" s="17" t="s">
        <v>424</v>
      </c>
      <c r="T1002" s="17" t="s">
        <v>424</v>
      </c>
      <c r="U1002" s="17" t="s">
        <v>424</v>
      </c>
      <c r="V1002" s="17" t="s">
        <v>424</v>
      </c>
      <c r="W1002" s="17" t="s">
        <v>424</v>
      </c>
    </row>
    <row r="1003" spans="1:23" x14ac:dyDescent="0.25">
      <c r="A1003" s="16" t="s">
        <v>1133</v>
      </c>
      <c r="B1003" s="17" t="s">
        <v>10</v>
      </c>
      <c r="C1003" s="17" t="s">
        <v>427</v>
      </c>
      <c r="D1003" s="18" t="s">
        <v>95</v>
      </c>
      <c r="E1003" s="18" t="s">
        <v>1650</v>
      </c>
      <c r="F1003" s="18">
        <v>5.94</v>
      </c>
      <c r="G1003" s="26">
        <v>2.25</v>
      </c>
      <c r="H1003" s="17">
        <v>7.26</v>
      </c>
      <c r="I1003" s="25">
        <v>6.0397444996451517</v>
      </c>
      <c r="J1003" s="24">
        <f>G1003/F1003*((100-H1003)/100)*((100-I1003)/100)*100</f>
        <v>33.007098845086773</v>
      </c>
      <c r="K1003" s="53">
        <v>5.1345532831001073</v>
      </c>
      <c r="L1003" s="54">
        <f>J1003*10000/K1003</f>
        <v>64284.265884875495</v>
      </c>
      <c r="M1003" s="55">
        <v>49.9</v>
      </c>
      <c r="N1003" s="55">
        <v>16.8</v>
      </c>
      <c r="O1003" s="56">
        <v>-2.6943999999999999</v>
      </c>
      <c r="P1003" s="55">
        <v>6.7</v>
      </c>
      <c r="Q1003" s="17" t="s">
        <v>424</v>
      </c>
      <c r="R1003" s="17" t="s">
        <v>424</v>
      </c>
      <c r="S1003" s="17" t="s">
        <v>424</v>
      </c>
      <c r="T1003" s="17" t="s">
        <v>424</v>
      </c>
      <c r="U1003" s="17" t="s">
        <v>424</v>
      </c>
      <c r="V1003" s="17" t="s">
        <v>424</v>
      </c>
      <c r="W1003" s="17" t="s">
        <v>424</v>
      </c>
    </row>
    <row r="1004" spans="1:23" x14ac:dyDescent="0.25">
      <c r="A1004" s="16" t="s">
        <v>1132</v>
      </c>
      <c r="B1004" s="17" t="s">
        <v>10</v>
      </c>
      <c r="C1004" s="17" t="s">
        <v>427</v>
      </c>
      <c r="D1004" s="18" t="s">
        <v>187</v>
      </c>
      <c r="E1004" s="18" t="s">
        <v>1726</v>
      </c>
      <c r="F1004" s="18">
        <v>5.94</v>
      </c>
      <c r="G1004" s="26">
        <v>2.2000000000000002</v>
      </c>
      <c r="H1004" s="17">
        <v>7.26</v>
      </c>
      <c r="I1004" s="25">
        <v>6.6013871889024918</v>
      </c>
      <c r="J1004" s="24">
        <f>G1004/F1004*((100-H1004)/100)*((100-I1004)/100)*100</f>
        <v>32.080693896671043</v>
      </c>
      <c r="K1004" s="53">
        <v>4.9488752556237223</v>
      </c>
      <c r="L1004" s="54">
        <f>J1004*10000/K1004</f>
        <v>64824.212047405526</v>
      </c>
      <c r="M1004" s="55">
        <v>52.5</v>
      </c>
      <c r="N1004" s="55">
        <v>16.899999999999999</v>
      </c>
      <c r="O1004" s="56">
        <v>2.1036000000000001</v>
      </c>
      <c r="P1004" s="55">
        <v>11.1</v>
      </c>
      <c r="Q1004" s="17" t="s">
        <v>424</v>
      </c>
      <c r="R1004" s="17" t="s">
        <v>424</v>
      </c>
      <c r="S1004" s="17" t="s">
        <v>424</v>
      </c>
      <c r="T1004" s="17" t="s">
        <v>424</v>
      </c>
      <c r="U1004" s="17" t="s">
        <v>424</v>
      </c>
      <c r="V1004" s="17" t="s">
        <v>424</v>
      </c>
      <c r="W1004" s="17" t="s">
        <v>424</v>
      </c>
    </row>
    <row r="1005" spans="1:23" x14ac:dyDescent="0.25">
      <c r="A1005" s="16" t="s">
        <v>1131</v>
      </c>
      <c r="B1005" s="17" t="s">
        <v>10</v>
      </c>
      <c r="C1005" s="17" t="s">
        <v>427</v>
      </c>
      <c r="D1005" s="18" t="s">
        <v>160</v>
      </c>
      <c r="E1005" s="18" t="s">
        <v>1610</v>
      </c>
      <c r="F1005" s="18">
        <v>5.94</v>
      </c>
      <c r="G1005" s="26">
        <v>1.97</v>
      </c>
      <c r="H1005" s="17">
        <v>7.26</v>
      </c>
      <c r="I1005" s="25">
        <v>7.0233842156544259</v>
      </c>
      <c r="J1005" s="24">
        <f>G1005/F1005*((100-H1005)/100)*((100-I1005)/100)*100</f>
        <v>28.597008678863993</v>
      </c>
      <c r="K1005" s="53">
        <v>4.712301587301587</v>
      </c>
      <c r="L1005" s="54">
        <f>J1005*10000/K1005</f>
        <v>60685.862627989285</v>
      </c>
      <c r="M1005" s="55">
        <v>53.8</v>
      </c>
      <c r="N1005" s="55">
        <v>16.2</v>
      </c>
      <c r="O1005" s="56">
        <v>1.8617999999999999</v>
      </c>
      <c r="P1005" s="55">
        <v>13.2</v>
      </c>
      <c r="Q1005" s="17" t="s">
        <v>424</v>
      </c>
      <c r="R1005" s="17" t="s">
        <v>424</v>
      </c>
      <c r="S1005" s="17" t="s">
        <v>424</v>
      </c>
      <c r="T1005" s="17" t="s">
        <v>424</v>
      </c>
      <c r="U1005" s="17" t="s">
        <v>424</v>
      </c>
      <c r="V1005" s="17" t="s">
        <v>424</v>
      </c>
      <c r="W1005" s="17" t="s">
        <v>424</v>
      </c>
    </row>
    <row r="1006" spans="1:23" x14ac:dyDescent="0.25">
      <c r="A1006" s="16" t="s">
        <v>1130</v>
      </c>
      <c r="B1006" s="17" t="s">
        <v>10</v>
      </c>
      <c r="C1006" s="17" t="s">
        <v>427</v>
      </c>
      <c r="D1006" s="18" t="s">
        <v>207</v>
      </c>
      <c r="E1006" s="18" t="s">
        <v>1628</v>
      </c>
      <c r="F1006" s="18">
        <v>5.94</v>
      </c>
      <c r="G1006" s="26">
        <v>2.2400000000000002</v>
      </c>
      <c r="H1006" s="17">
        <v>7.26</v>
      </c>
      <c r="I1006" s="25">
        <v>12.347287831894441</v>
      </c>
      <c r="J1006" s="24">
        <f>G1006/F1006*((100-H1006)/100)*((100-I1006)/100)*100</f>
        <v>30.654484948304788</v>
      </c>
      <c r="K1006" s="53">
        <v>4.169611307420495</v>
      </c>
      <c r="L1006" s="54">
        <f>J1006*10000/K1006</f>
        <v>73518.807121781821</v>
      </c>
      <c r="M1006" s="55">
        <v>51.3</v>
      </c>
      <c r="N1006" s="55">
        <v>17.8</v>
      </c>
      <c r="O1006" s="56">
        <v>-0.21359</v>
      </c>
      <c r="P1006" s="55">
        <v>21.7</v>
      </c>
      <c r="Q1006" s="17" t="s">
        <v>424</v>
      </c>
      <c r="R1006" s="17" t="s">
        <v>424</v>
      </c>
      <c r="S1006" s="17" t="s">
        <v>424</v>
      </c>
      <c r="T1006" s="17" t="s">
        <v>424</v>
      </c>
      <c r="U1006" s="17" t="s">
        <v>424</v>
      </c>
      <c r="V1006" s="17" t="s">
        <v>424</v>
      </c>
      <c r="W1006" s="17" t="s">
        <v>424</v>
      </c>
    </row>
    <row r="1007" spans="1:23" x14ac:dyDescent="0.25">
      <c r="A1007" s="16" t="s">
        <v>726</v>
      </c>
      <c r="B1007" s="17" t="s">
        <v>10</v>
      </c>
      <c r="C1007" s="17" t="s">
        <v>13</v>
      </c>
      <c r="D1007" s="18" t="s">
        <v>89</v>
      </c>
      <c r="E1007" s="18" t="s">
        <v>1752</v>
      </c>
      <c r="F1007" s="18">
        <v>5.94</v>
      </c>
      <c r="G1007" s="23">
        <v>1.6</v>
      </c>
      <c r="H1007" s="20">
        <v>6.89</v>
      </c>
      <c r="I1007" s="25">
        <v>10.725703324808185</v>
      </c>
      <c r="J1007" s="24">
        <f>G1007/F1007*((100-H1007)/100)*((100-I1007)/100)*100</f>
        <v>22.390113840881106</v>
      </c>
      <c r="K1007" s="53">
        <v>5.0492880613362541</v>
      </c>
      <c r="L1007" s="54">
        <f>J1007*10000/K1007</f>
        <v>44343.11049181009</v>
      </c>
      <c r="M1007" s="55">
        <v>50</v>
      </c>
      <c r="N1007" s="55">
        <v>18.2</v>
      </c>
      <c r="O1007" s="56">
        <v>9.5582999999999991</v>
      </c>
      <c r="P1007" s="55">
        <v>23.3</v>
      </c>
      <c r="Q1007" s="17" t="s">
        <v>424</v>
      </c>
      <c r="R1007" s="17" t="s">
        <v>424</v>
      </c>
      <c r="S1007" s="17" t="s">
        <v>424</v>
      </c>
      <c r="T1007" s="17" t="s">
        <v>424</v>
      </c>
      <c r="U1007" s="17" t="s">
        <v>424</v>
      </c>
      <c r="V1007" s="17" t="s">
        <v>424</v>
      </c>
      <c r="W1007" s="17" t="s">
        <v>424</v>
      </c>
    </row>
    <row r="1008" spans="1:23" x14ac:dyDescent="0.25">
      <c r="A1008" s="16" t="s">
        <v>725</v>
      </c>
      <c r="B1008" s="17" t="s">
        <v>10</v>
      </c>
      <c r="C1008" s="17" t="s">
        <v>13</v>
      </c>
      <c r="D1008" s="18" t="s">
        <v>177</v>
      </c>
      <c r="E1008" s="18" t="s">
        <v>1698</v>
      </c>
      <c r="F1008" s="18">
        <v>5.94</v>
      </c>
      <c r="G1008" s="23">
        <v>1.42</v>
      </c>
      <c r="H1008" s="20">
        <v>6.89</v>
      </c>
      <c r="I1008" s="25">
        <v>11.762278167560874</v>
      </c>
      <c r="J1008" s="24">
        <f>G1008/F1008*((100-H1008)/100)*((100-I1008)/100)*100</f>
        <v>19.640498783404269</v>
      </c>
      <c r="K1008" s="53">
        <v>5.258064516129032</v>
      </c>
      <c r="L1008" s="54">
        <f>J1008*10000/K1008</f>
        <v>37353.095845738186</v>
      </c>
      <c r="M1008" s="55">
        <v>49.5</v>
      </c>
      <c r="N1008" s="55">
        <v>20.5</v>
      </c>
      <c r="O1008" s="56">
        <v>32.817999999999998</v>
      </c>
      <c r="P1008" s="55">
        <v>46.9</v>
      </c>
      <c r="Q1008" s="17" t="s">
        <v>424</v>
      </c>
      <c r="R1008" s="17" t="s">
        <v>424</v>
      </c>
      <c r="S1008" s="17" t="s">
        <v>424</v>
      </c>
      <c r="T1008" s="17" t="s">
        <v>424</v>
      </c>
      <c r="U1008" s="17" t="s">
        <v>424</v>
      </c>
      <c r="V1008" s="17" t="s">
        <v>424</v>
      </c>
      <c r="W1008" s="17" t="s">
        <v>424</v>
      </c>
    </row>
    <row r="1009" spans="1:23" x14ac:dyDescent="0.25">
      <c r="A1009" s="16" t="s">
        <v>724</v>
      </c>
      <c r="B1009" s="17" t="s">
        <v>10</v>
      </c>
      <c r="C1009" s="17" t="s">
        <v>13</v>
      </c>
      <c r="D1009" s="18" t="s">
        <v>51</v>
      </c>
      <c r="E1009" s="18" t="s">
        <v>1519</v>
      </c>
      <c r="F1009" s="18">
        <v>5.94</v>
      </c>
      <c r="G1009" s="23">
        <v>1.1299999999999999</v>
      </c>
      <c r="H1009" s="20">
        <v>6.89</v>
      </c>
      <c r="I1009" s="25">
        <v>18.479856467134244</v>
      </c>
      <c r="J1009" s="24">
        <f>G1009/F1009*((100-H1009)/100)*((100-I1009)/100)*100</f>
        <v>14.439536763821545</v>
      </c>
      <c r="K1009" s="53">
        <v>5.9</v>
      </c>
      <c r="L1009" s="54">
        <f>J1009*10000/K1009</f>
        <v>24473.791125121261</v>
      </c>
      <c r="M1009" s="55">
        <v>44.9</v>
      </c>
      <c r="N1009" s="55">
        <v>19.899999999999999</v>
      </c>
      <c r="O1009" s="56">
        <v>-0.35858000000000001</v>
      </c>
      <c r="P1009" s="55">
        <v>25.2</v>
      </c>
      <c r="Q1009" s="17" t="s">
        <v>424</v>
      </c>
      <c r="R1009" s="17" t="s">
        <v>424</v>
      </c>
      <c r="S1009" s="17" t="s">
        <v>424</v>
      </c>
      <c r="T1009" s="17" t="s">
        <v>424</v>
      </c>
      <c r="U1009" s="17" t="s">
        <v>424</v>
      </c>
      <c r="V1009" s="17" t="s">
        <v>424</v>
      </c>
      <c r="W1009" s="17" t="s">
        <v>424</v>
      </c>
    </row>
    <row r="1010" spans="1:23" x14ac:dyDescent="0.25">
      <c r="A1010" s="16" t="s">
        <v>723</v>
      </c>
      <c r="B1010" s="17" t="s">
        <v>10</v>
      </c>
      <c r="C1010" s="17" t="s">
        <v>13</v>
      </c>
      <c r="D1010" s="18" t="s">
        <v>103</v>
      </c>
      <c r="E1010" s="18" t="s">
        <v>1710</v>
      </c>
      <c r="F1010" s="18">
        <v>5.94</v>
      </c>
      <c r="G1010" s="23">
        <v>1.81</v>
      </c>
      <c r="H1010" s="20">
        <v>6.89</v>
      </c>
      <c r="I1010" s="25">
        <v>10.224296005239028</v>
      </c>
      <c r="J1010" s="24">
        <f>G1010/F1010*((100-H1010)/100)*((100-I1010)/100)*100</f>
        <v>25.471075077615268</v>
      </c>
      <c r="K1010" s="53">
        <v>5.1835372636262518</v>
      </c>
      <c r="L1010" s="54">
        <f>J1010*10000/K1010</f>
        <v>49138.404495227733</v>
      </c>
      <c r="M1010" s="55">
        <v>49</v>
      </c>
      <c r="N1010" s="55">
        <v>18.7</v>
      </c>
      <c r="O1010" s="56">
        <v>15.211</v>
      </c>
      <c r="P1010" s="55">
        <v>59.6</v>
      </c>
      <c r="Q1010" s="17" t="s">
        <v>424</v>
      </c>
      <c r="R1010" s="17" t="s">
        <v>424</v>
      </c>
      <c r="S1010" s="17" t="s">
        <v>424</v>
      </c>
      <c r="T1010" s="17" t="s">
        <v>424</v>
      </c>
      <c r="U1010" s="17" t="s">
        <v>424</v>
      </c>
      <c r="V1010" s="17" t="s">
        <v>424</v>
      </c>
      <c r="W1010" s="17" t="s">
        <v>424</v>
      </c>
    </row>
    <row r="1011" spans="1:23" x14ac:dyDescent="0.25">
      <c r="A1011" s="16" t="s">
        <v>722</v>
      </c>
      <c r="B1011" s="17" t="s">
        <v>10</v>
      </c>
      <c r="C1011" s="17" t="s">
        <v>13</v>
      </c>
      <c r="D1011" s="18" t="s">
        <v>233</v>
      </c>
      <c r="E1011" s="18" t="s">
        <v>1694</v>
      </c>
      <c r="F1011" s="18">
        <v>5.94</v>
      </c>
      <c r="G1011" s="23">
        <v>1.56</v>
      </c>
      <c r="H1011" s="20">
        <v>6.89</v>
      </c>
      <c r="I1011" s="25">
        <v>8.4622983207112288</v>
      </c>
      <c r="J1011" s="24">
        <f>G1011/F1011*((100-H1011)/100)*((100-I1011)/100)*100</f>
        <v>22.383834392658891</v>
      </c>
      <c r="K1011" s="53">
        <v>4.6951219512195124</v>
      </c>
      <c r="L1011" s="54">
        <f>J1011*10000/K1011</f>
        <v>47674.660264883874</v>
      </c>
      <c r="M1011" s="55">
        <v>50.4</v>
      </c>
      <c r="N1011" s="55">
        <v>19.600000000000001</v>
      </c>
      <c r="O1011" s="56">
        <v>44.545999999999999</v>
      </c>
      <c r="P1011" s="55">
        <v>54.4</v>
      </c>
      <c r="Q1011" s="17" t="s">
        <v>424</v>
      </c>
      <c r="R1011" s="17" t="s">
        <v>424</v>
      </c>
      <c r="S1011" s="17" t="s">
        <v>424</v>
      </c>
      <c r="T1011" s="17" t="s">
        <v>424</v>
      </c>
      <c r="U1011" s="17" t="s">
        <v>424</v>
      </c>
      <c r="V1011" s="17" t="s">
        <v>424</v>
      </c>
      <c r="W1011" s="17" t="s">
        <v>424</v>
      </c>
    </row>
    <row r="1012" spans="1:23" x14ac:dyDescent="0.25">
      <c r="A1012" s="16" t="s">
        <v>721</v>
      </c>
      <c r="B1012" s="17" t="s">
        <v>10</v>
      </c>
      <c r="C1012" s="17" t="s">
        <v>13</v>
      </c>
      <c r="D1012" s="18" t="s">
        <v>27</v>
      </c>
      <c r="E1012" s="18" t="s">
        <v>1586</v>
      </c>
      <c r="F1012" s="18">
        <v>5.94</v>
      </c>
      <c r="G1012" s="23">
        <v>1.71</v>
      </c>
      <c r="H1012" s="20">
        <v>6.89</v>
      </c>
      <c r="I1012" s="25">
        <v>11.10365398956003</v>
      </c>
      <c r="J1012" s="24">
        <f>G1012/F1012*((100-H1012)/100)*((100-I1012)/100)*100</f>
        <v>23.82812678236504</v>
      </c>
      <c r="K1012" s="53">
        <v>5.0602409638554215</v>
      </c>
      <c r="L1012" s="54">
        <f>J1012*10000/K1012</f>
        <v>47088.917212769004</v>
      </c>
      <c r="M1012" s="55">
        <v>52</v>
      </c>
      <c r="N1012" s="55">
        <v>17.100000000000001</v>
      </c>
      <c r="O1012" s="56">
        <v>2.8105000000000002</v>
      </c>
      <c r="P1012" s="55">
        <v>16</v>
      </c>
      <c r="Q1012" s="17" t="s">
        <v>424</v>
      </c>
      <c r="R1012" s="17" t="s">
        <v>424</v>
      </c>
      <c r="S1012" s="17" t="s">
        <v>424</v>
      </c>
      <c r="T1012" s="17" t="s">
        <v>424</v>
      </c>
      <c r="U1012" s="17" t="s">
        <v>424</v>
      </c>
      <c r="V1012" s="17" t="s">
        <v>424</v>
      </c>
      <c r="W1012" s="17" t="s">
        <v>424</v>
      </c>
    </row>
    <row r="1013" spans="1:23" x14ac:dyDescent="0.25">
      <c r="A1013" s="16" t="s">
        <v>1141</v>
      </c>
      <c r="B1013" s="17" t="s">
        <v>10</v>
      </c>
      <c r="C1013" s="17" t="s">
        <v>427</v>
      </c>
      <c r="D1013" s="18" t="s">
        <v>98</v>
      </c>
      <c r="E1013" s="18" t="s">
        <v>1626</v>
      </c>
      <c r="F1013" s="18">
        <v>5.94</v>
      </c>
      <c r="G1013" s="26">
        <v>1.62</v>
      </c>
      <c r="H1013" s="17">
        <v>7.26</v>
      </c>
      <c r="I1013" s="25">
        <v>7.7774541217593898</v>
      </c>
      <c r="J1013" s="24">
        <f>G1013/F1013*((100-H1013)/100)*((100-I1013)/100)*100</f>
        <v>23.325597012949185</v>
      </c>
      <c r="K1013" s="53">
        <v>5.5764705882352938</v>
      </c>
      <c r="L1013" s="54">
        <f>J1013*10000/K1013</f>
        <v>41828.602238410989</v>
      </c>
      <c r="M1013" s="55">
        <v>51</v>
      </c>
      <c r="N1013" s="55">
        <v>19.399999999999999</v>
      </c>
      <c r="O1013" s="56">
        <v>2.2902</v>
      </c>
      <c r="P1013" s="55">
        <v>19.100000000000001</v>
      </c>
      <c r="Q1013" s="17" t="s">
        <v>424</v>
      </c>
      <c r="R1013" s="17" t="s">
        <v>424</v>
      </c>
      <c r="S1013" s="17" t="s">
        <v>424</v>
      </c>
      <c r="T1013" s="17" t="s">
        <v>424</v>
      </c>
      <c r="U1013" s="17" t="s">
        <v>424</v>
      </c>
      <c r="V1013" s="17" t="s">
        <v>424</v>
      </c>
      <c r="W1013" s="17" t="s">
        <v>424</v>
      </c>
    </row>
    <row r="1014" spans="1:23" x14ac:dyDescent="0.25">
      <c r="A1014" s="16" t="s">
        <v>1140</v>
      </c>
      <c r="B1014" s="17" t="s">
        <v>10</v>
      </c>
      <c r="C1014" s="17" t="s">
        <v>427</v>
      </c>
      <c r="D1014" s="18" t="s">
        <v>249</v>
      </c>
      <c r="E1014" s="18" t="s">
        <v>1688</v>
      </c>
      <c r="F1014" s="18">
        <v>5.94</v>
      </c>
      <c r="G1014" s="26">
        <v>1.41</v>
      </c>
      <c r="H1014" s="17">
        <v>7.26</v>
      </c>
      <c r="I1014" s="25">
        <v>9.022556390977444</v>
      </c>
      <c r="J1014" s="24">
        <f>G1014/F1014*((100-H1014)/100)*((100-I1014)/100)*100</f>
        <v>20.0278111946533</v>
      </c>
      <c r="K1014" s="53">
        <v>4.9736564805057952</v>
      </c>
      <c r="L1014" s="54">
        <f>J1014*10000/K1014</f>
        <v>40267.781406199116</v>
      </c>
      <c r="M1014" s="55">
        <v>49.5</v>
      </c>
      <c r="N1014" s="55">
        <v>19.7</v>
      </c>
      <c r="O1014" s="56">
        <v>45.107999999999997</v>
      </c>
      <c r="P1014" s="55">
        <v>59.5</v>
      </c>
      <c r="Q1014" s="17" t="s">
        <v>424</v>
      </c>
      <c r="R1014" s="17" t="s">
        <v>424</v>
      </c>
      <c r="S1014" s="17" t="s">
        <v>424</v>
      </c>
      <c r="T1014" s="17" t="s">
        <v>424</v>
      </c>
      <c r="U1014" s="17" t="s">
        <v>424</v>
      </c>
      <c r="V1014" s="17" t="s">
        <v>424</v>
      </c>
      <c r="W1014" s="17" t="s">
        <v>424</v>
      </c>
    </row>
    <row r="1015" spans="1:23" x14ac:dyDescent="0.25">
      <c r="A1015" s="16" t="s">
        <v>1139</v>
      </c>
      <c r="B1015" s="17" t="s">
        <v>10</v>
      </c>
      <c r="C1015" s="17" t="s">
        <v>427</v>
      </c>
      <c r="D1015" s="18" t="s">
        <v>99</v>
      </c>
      <c r="E1015" s="18" t="s">
        <v>1646</v>
      </c>
      <c r="F1015" s="18">
        <v>5.94</v>
      </c>
      <c r="G1015" s="26">
        <v>1.6</v>
      </c>
      <c r="H1015" s="17">
        <v>7.26</v>
      </c>
      <c r="I1015" s="25">
        <v>10.337603738618965</v>
      </c>
      <c r="J1015" s="24">
        <f>G1015/F1015*((100-H1015)/100)*((100-I1015)/100)*100</f>
        <v>22.39808923711913</v>
      </c>
      <c r="K1015" s="53">
        <v>5.1256830601092895</v>
      </c>
      <c r="L1015" s="54">
        <f>J1015*10000/K1015</f>
        <v>43697.76471634116</v>
      </c>
      <c r="M1015" s="55">
        <v>51.4</v>
      </c>
      <c r="N1015" s="55">
        <v>19</v>
      </c>
      <c r="O1015" s="56">
        <v>2.1002999999999998</v>
      </c>
      <c r="P1015" s="55">
        <v>20.7</v>
      </c>
      <c r="Q1015" s="17" t="s">
        <v>424</v>
      </c>
      <c r="R1015" s="17" t="s">
        <v>424</v>
      </c>
      <c r="S1015" s="17" t="s">
        <v>424</v>
      </c>
      <c r="T1015" s="17" t="s">
        <v>424</v>
      </c>
      <c r="U1015" s="17" t="s">
        <v>424</v>
      </c>
      <c r="V1015" s="17" t="s">
        <v>424</v>
      </c>
      <c r="W1015" s="17" t="s">
        <v>424</v>
      </c>
    </row>
    <row r="1016" spans="1:23" x14ac:dyDescent="0.25">
      <c r="A1016" s="16" t="s">
        <v>1138</v>
      </c>
      <c r="B1016" s="17" t="s">
        <v>10</v>
      </c>
      <c r="C1016" s="17" t="s">
        <v>427</v>
      </c>
      <c r="D1016" s="18" t="s">
        <v>20</v>
      </c>
      <c r="E1016" s="18" t="s">
        <v>1618</v>
      </c>
      <c r="F1016" s="18">
        <v>5.94</v>
      </c>
      <c r="G1016" s="26">
        <v>1.71</v>
      </c>
      <c r="H1016" s="17">
        <v>7.26</v>
      </c>
      <c r="I1016" s="25">
        <v>8.979108016002364</v>
      </c>
      <c r="J1016" s="24">
        <f>G1016/F1016*((100-H1016)/100)*((100-I1016)/100)*100</f>
        <v>24.300647413533767</v>
      </c>
      <c r="K1016" s="53">
        <v>4.3470319634703198</v>
      </c>
      <c r="L1016" s="54">
        <f>J1016*10000/K1016</f>
        <v>55901.699407183769</v>
      </c>
      <c r="M1016" s="55">
        <v>55.4</v>
      </c>
      <c r="N1016" s="55">
        <v>16.899999999999999</v>
      </c>
      <c r="O1016" s="56">
        <v>-4.9055000000000001E-2</v>
      </c>
      <c r="P1016" s="55">
        <v>9.6999999999999993</v>
      </c>
      <c r="Q1016" s="17" t="s">
        <v>424</v>
      </c>
      <c r="R1016" s="17" t="s">
        <v>424</v>
      </c>
      <c r="S1016" s="17" t="s">
        <v>424</v>
      </c>
      <c r="T1016" s="17" t="s">
        <v>424</v>
      </c>
      <c r="U1016" s="17" t="s">
        <v>424</v>
      </c>
      <c r="V1016" s="17" t="s">
        <v>424</v>
      </c>
      <c r="W1016" s="17" t="s">
        <v>424</v>
      </c>
    </row>
    <row r="1017" spans="1:23" x14ac:dyDescent="0.25">
      <c r="A1017" s="16" t="s">
        <v>1137</v>
      </c>
      <c r="B1017" s="17" t="s">
        <v>10</v>
      </c>
      <c r="C1017" s="17" t="s">
        <v>427</v>
      </c>
      <c r="D1017" s="18" t="s">
        <v>273</v>
      </c>
      <c r="E1017" s="18" t="s">
        <v>1539</v>
      </c>
      <c r="F1017" s="18">
        <v>5.94</v>
      </c>
      <c r="G1017" s="26">
        <v>1.88</v>
      </c>
      <c r="H1017" s="17">
        <v>7.26</v>
      </c>
      <c r="I1017" s="25">
        <v>6.0661764705882373</v>
      </c>
      <c r="J1017" s="24">
        <f>G1017/F1017*((100-H1017)/100)*((100-I1017)/100)*100</f>
        <v>27.571506486432952</v>
      </c>
      <c r="K1017" s="53">
        <v>5.1187904967602593</v>
      </c>
      <c r="L1017" s="54">
        <f>J1017*10000/K1017</f>
        <v>53863.322798390116</v>
      </c>
      <c r="M1017" s="55">
        <v>51.2</v>
      </c>
      <c r="N1017" s="55">
        <v>16.8</v>
      </c>
      <c r="O1017" s="56">
        <v>0.47724</v>
      </c>
      <c r="P1017" s="55">
        <v>10.4</v>
      </c>
      <c r="Q1017" s="17" t="s">
        <v>424</v>
      </c>
      <c r="R1017" s="17" t="s">
        <v>424</v>
      </c>
      <c r="S1017" s="17" t="s">
        <v>424</v>
      </c>
      <c r="T1017" s="17" t="s">
        <v>424</v>
      </c>
      <c r="U1017" s="17" t="s">
        <v>424</v>
      </c>
      <c r="V1017" s="17" t="s">
        <v>424</v>
      </c>
      <c r="W1017" s="17" t="s">
        <v>424</v>
      </c>
    </row>
    <row r="1018" spans="1:23" x14ac:dyDescent="0.25">
      <c r="A1018" s="16" t="s">
        <v>1136</v>
      </c>
      <c r="B1018" s="17" t="s">
        <v>10</v>
      </c>
      <c r="C1018" s="17" t="s">
        <v>427</v>
      </c>
      <c r="D1018" s="18" t="s">
        <v>19</v>
      </c>
      <c r="E1018" s="18" t="s">
        <v>1680</v>
      </c>
      <c r="F1018" s="18">
        <v>5.94</v>
      </c>
      <c r="G1018" s="26">
        <v>1.76</v>
      </c>
      <c r="H1018" s="17">
        <v>7.26</v>
      </c>
      <c r="I1018" s="25">
        <v>7.6517150395778346</v>
      </c>
      <c r="J1018" s="24">
        <f>G1018/F1018*((100-H1018)/100)*((100-I1018)/100)*100</f>
        <v>25.375940584383855</v>
      </c>
      <c r="K1018" s="53">
        <v>4.2818181818181822</v>
      </c>
      <c r="L1018" s="54">
        <f>J1018*10000/K1018</f>
        <v>59264.404761830658</v>
      </c>
      <c r="M1018" s="55">
        <v>52.1</v>
      </c>
      <c r="N1018" s="55">
        <v>16.8</v>
      </c>
      <c r="O1018" s="56">
        <v>-1.2968999999999999</v>
      </c>
      <c r="P1018" s="55">
        <v>15.2</v>
      </c>
      <c r="Q1018" s="17" t="s">
        <v>424</v>
      </c>
      <c r="R1018" s="17" t="s">
        <v>424</v>
      </c>
      <c r="S1018" s="17" t="s">
        <v>424</v>
      </c>
      <c r="T1018" s="17" t="s">
        <v>424</v>
      </c>
      <c r="U1018" s="17" t="s">
        <v>424</v>
      </c>
      <c r="V1018" s="17" t="s">
        <v>424</v>
      </c>
      <c r="W1018" s="17" t="s">
        <v>424</v>
      </c>
    </row>
    <row r="1019" spans="1:23" x14ac:dyDescent="0.25">
      <c r="A1019" s="16" t="s">
        <v>732</v>
      </c>
      <c r="B1019" s="17" t="s">
        <v>10</v>
      </c>
      <c r="C1019" s="17" t="s">
        <v>13</v>
      </c>
      <c r="D1019" s="18" t="s">
        <v>9</v>
      </c>
      <c r="E1019" s="18" t="s">
        <v>1714</v>
      </c>
      <c r="F1019" s="18">
        <v>5.94</v>
      </c>
      <c r="G1019" s="23">
        <v>2.19</v>
      </c>
      <c r="H1019" s="20">
        <v>6.89</v>
      </c>
      <c r="I1019" s="25">
        <v>7.2218986604542748</v>
      </c>
      <c r="J1019" s="24">
        <f>G1019/F1019*((100-H1019)/100)*((100-I1019)/100)*100</f>
        <v>31.849269603430937</v>
      </c>
      <c r="K1019" s="53">
        <v>5.5675029868578259</v>
      </c>
      <c r="L1019" s="54">
        <f>J1019*10000/K1019</f>
        <v>57205.662356377026</v>
      </c>
      <c r="M1019" s="55">
        <v>48</v>
      </c>
      <c r="N1019" s="55">
        <v>18</v>
      </c>
      <c r="O1019" s="56">
        <v>4.2492999999999999</v>
      </c>
      <c r="P1019" s="55">
        <v>20.7</v>
      </c>
      <c r="Q1019" s="17" t="s">
        <v>424</v>
      </c>
      <c r="R1019" s="17" t="s">
        <v>424</v>
      </c>
      <c r="S1019" s="17" t="s">
        <v>424</v>
      </c>
      <c r="T1019" s="17" t="s">
        <v>424</v>
      </c>
      <c r="U1019" s="17" t="s">
        <v>424</v>
      </c>
      <c r="V1019" s="17" t="s">
        <v>424</v>
      </c>
      <c r="W1019" s="17" t="s">
        <v>424</v>
      </c>
    </row>
    <row r="1020" spans="1:23" x14ac:dyDescent="0.25">
      <c r="A1020" s="16" t="s">
        <v>731</v>
      </c>
      <c r="B1020" s="17" t="s">
        <v>10</v>
      </c>
      <c r="C1020" s="17" t="s">
        <v>13</v>
      </c>
      <c r="D1020" s="18" t="s">
        <v>274</v>
      </c>
      <c r="E1020" s="18" t="s">
        <v>1580</v>
      </c>
      <c r="F1020" s="18">
        <v>5.94</v>
      </c>
      <c r="G1020" s="23">
        <v>1.71</v>
      </c>
      <c r="H1020" s="20">
        <v>6.89</v>
      </c>
      <c r="I1020" s="25">
        <v>8.4301862760706925</v>
      </c>
      <c r="J1020" s="24">
        <f>G1020/F1020*((100-H1020)/100)*((100-I1020)/100)*100</f>
        <v>24.544733600131231</v>
      </c>
      <c r="K1020" s="53">
        <v>5.1518438177874186</v>
      </c>
      <c r="L1020" s="54">
        <f>J1020*10000/K1020</f>
        <v>47642.619745938937</v>
      </c>
      <c r="M1020" s="55">
        <v>49.7</v>
      </c>
      <c r="N1020" s="55">
        <v>17.7</v>
      </c>
      <c r="O1020" s="56">
        <v>9.6410999999999998</v>
      </c>
      <c r="P1020" s="55">
        <v>30.2</v>
      </c>
      <c r="Q1020" s="17" t="s">
        <v>424</v>
      </c>
      <c r="R1020" s="17" t="s">
        <v>424</v>
      </c>
      <c r="S1020" s="17" t="s">
        <v>424</v>
      </c>
      <c r="T1020" s="17" t="s">
        <v>424</v>
      </c>
      <c r="U1020" s="17" t="s">
        <v>424</v>
      </c>
      <c r="V1020" s="17" t="s">
        <v>424</v>
      </c>
      <c r="W1020" s="17" t="s">
        <v>424</v>
      </c>
    </row>
    <row r="1021" spans="1:23" x14ac:dyDescent="0.25">
      <c r="A1021" s="16" t="s">
        <v>730</v>
      </c>
      <c r="B1021" s="17" t="s">
        <v>10</v>
      </c>
      <c r="C1021" s="17" t="s">
        <v>13</v>
      </c>
      <c r="D1021" s="18" t="s">
        <v>218</v>
      </c>
      <c r="E1021" s="18" t="s">
        <v>1466</v>
      </c>
      <c r="F1021" s="18">
        <v>5.94</v>
      </c>
      <c r="G1021" s="23">
        <v>1.41</v>
      </c>
      <c r="H1021" s="20">
        <v>6.89</v>
      </c>
      <c r="I1021" s="25">
        <v>14.480100676419692</v>
      </c>
      <c r="J1021" s="24">
        <f>G1021/F1021*((100-H1021)/100)*((100-I1021)/100)*100</f>
        <v>18.901495849640021</v>
      </c>
      <c r="K1021" s="53">
        <v>4.737384140061792</v>
      </c>
      <c r="L1021" s="54">
        <f>J1021*10000/K1021</f>
        <v>39898.592326087957</v>
      </c>
      <c r="M1021" s="55">
        <v>54.4</v>
      </c>
      <c r="N1021" s="55">
        <v>19.100000000000001</v>
      </c>
      <c r="O1021" s="56">
        <v>42.491999999999997</v>
      </c>
      <c r="P1021" s="55">
        <v>49.1</v>
      </c>
      <c r="Q1021" s="17" t="s">
        <v>424</v>
      </c>
      <c r="R1021" s="17" t="s">
        <v>424</v>
      </c>
      <c r="S1021" s="17" t="s">
        <v>424</v>
      </c>
      <c r="T1021" s="17" t="s">
        <v>424</v>
      </c>
      <c r="U1021" s="17" t="s">
        <v>424</v>
      </c>
      <c r="V1021" s="17" t="s">
        <v>424</v>
      </c>
      <c r="W1021" s="17" t="s">
        <v>424</v>
      </c>
    </row>
    <row r="1022" spans="1:23" x14ac:dyDescent="0.25">
      <c r="A1022" s="16" t="s">
        <v>729</v>
      </c>
      <c r="B1022" s="17" t="s">
        <v>10</v>
      </c>
      <c r="C1022" s="17" t="s">
        <v>13</v>
      </c>
      <c r="D1022" s="18" t="s">
        <v>275</v>
      </c>
      <c r="E1022" s="18" t="s">
        <v>1762</v>
      </c>
      <c r="F1022" s="18">
        <v>5.94</v>
      </c>
      <c r="G1022" s="23">
        <v>2.58</v>
      </c>
      <c r="H1022" s="20">
        <v>6.89</v>
      </c>
      <c r="I1022" s="25">
        <v>6.4050947954029809</v>
      </c>
      <c r="J1022" s="24">
        <f>G1022/F1022*((100-H1022)/100)*((100-I1022)/100)*100</f>
        <v>37.85138684997991</v>
      </c>
      <c r="K1022" s="53">
        <v>4.5472837022132797</v>
      </c>
      <c r="L1022" s="54">
        <f>J1022*10000/K1022</f>
        <v>83239.55426743369</v>
      </c>
      <c r="M1022" s="55">
        <v>53.3</v>
      </c>
      <c r="N1022" s="55">
        <v>15.9</v>
      </c>
      <c r="O1022" s="56">
        <v>-0.29868</v>
      </c>
      <c r="P1022" s="55">
        <v>17.600000000000001</v>
      </c>
      <c r="Q1022" s="17" t="s">
        <v>424</v>
      </c>
      <c r="R1022" s="17" t="s">
        <v>424</v>
      </c>
      <c r="S1022" s="17" t="s">
        <v>424</v>
      </c>
      <c r="T1022" s="17" t="s">
        <v>424</v>
      </c>
      <c r="U1022" s="17" t="s">
        <v>424</v>
      </c>
      <c r="V1022" s="17" t="s">
        <v>424</v>
      </c>
      <c r="W1022" s="17" t="s">
        <v>424</v>
      </c>
    </row>
    <row r="1023" spans="1:23" x14ac:dyDescent="0.25">
      <c r="A1023" s="16" t="s">
        <v>728</v>
      </c>
      <c r="B1023" s="17" t="s">
        <v>10</v>
      </c>
      <c r="C1023" s="17" t="s">
        <v>13</v>
      </c>
      <c r="D1023" s="18" t="s">
        <v>85</v>
      </c>
      <c r="E1023" s="18" t="s">
        <v>1764</v>
      </c>
      <c r="F1023" s="18">
        <v>5.94</v>
      </c>
      <c r="G1023" s="23">
        <v>2.7</v>
      </c>
      <c r="H1023" s="20">
        <v>6.89</v>
      </c>
      <c r="I1023" s="25">
        <v>10.319261612952035</v>
      </c>
      <c r="J1023" s="24">
        <f>G1023/F1023*((100-H1023)/100)*((100-I1023)/100)*100</f>
        <v>37.955334323718347</v>
      </c>
      <c r="K1023" s="53">
        <v>5.2941176470588234</v>
      </c>
      <c r="L1023" s="54">
        <f>J1023*10000/K1023</f>
        <v>71693.409278134655</v>
      </c>
      <c r="M1023" s="55">
        <v>53</v>
      </c>
      <c r="N1023" s="55">
        <v>16</v>
      </c>
      <c r="O1023" s="56">
        <v>2.0529000000000002</v>
      </c>
      <c r="P1023" s="55">
        <v>15.2</v>
      </c>
      <c r="Q1023" s="17" t="s">
        <v>424</v>
      </c>
      <c r="R1023" s="17" t="s">
        <v>424</v>
      </c>
      <c r="S1023" s="17" t="s">
        <v>424</v>
      </c>
      <c r="T1023" s="17" t="s">
        <v>424</v>
      </c>
      <c r="U1023" s="17" t="s">
        <v>424</v>
      </c>
      <c r="V1023" s="17" t="s">
        <v>424</v>
      </c>
      <c r="W1023" s="17" t="s">
        <v>424</v>
      </c>
    </row>
    <row r="1024" spans="1:23" x14ac:dyDescent="0.25">
      <c r="A1024" s="16" t="s">
        <v>727</v>
      </c>
      <c r="B1024" s="17" t="s">
        <v>10</v>
      </c>
      <c r="C1024" s="17" t="s">
        <v>13</v>
      </c>
      <c r="D1024" s="18" t="s">
        <v>39</v>
      </c>
      <c r="E1024" s="18" t="s">
        <v>1574</v>
      </c>
      <c r="F1024" s="18">
        <v>5.94</v>
      </c>
      <c r="G1024" s="23">
        <v>1.62</v>
      </c>
      <c r="H1024" s="20">
        <v>6.89</v>
      </c>
      <c r="I1024" s="25">
        <v>8.3722627737226283</v>
      </c>
      <c r="J1024" s="24">
        <f>G1024/F1024*((100-H1024)/100)*((100-I1024)/100)*100</f>
        <v>23.267614399469146</v>
      </c>
      <c r="K1024" s="53">
        <v>4.8371174728529125</v>
      </c>
      <c r="L1024" s="54">
        <f>J1024*10000/K1024</f>
        <v>48102.231401351521</v>
      </c>
      <c r="M1024" s="55">
        <v>50.8</v>
      </c>
      <c r="N1024" s="55">
        <v>17.399999999999999</v>
      </c>
      <c r="O1024" s="56">
        <v>2.3519000000000001</v>
      </c>
      <c r="P1024" s="55">
        <v>18.600000000000001</v>
      </c>
      <c r="Q1024" s="17" t="s">
        <v>424</v>
      </c>
      <c r="R1024" s="17" t="s">
        <v>424</v>
      </c>
      <c r="S1024" s="17" t="s">
        <v>424</v>
      </c>
      <c r="T1024" s="17" t="s">
        <v>424</v>
      </c>
      <c r="U1024" s="17" t="s">
        <v>424</v>
      </c>
      <c r="V1024" s="17" t="s">
        <v>424</v>
      </c>
      <c r="W1024" s="17" t="s">
        <v>424</v>
      </c>
    </row>
    <row r="1025" spans="1:23" x14ac:dyDescent="0.25">
      <c r="A1025" s="16" t="s">
        <v>1147</v>
      </c>
      <c r="B1025" s="17" t="s">
        <v>10</v>
      </c>
      <c r="C1025" s="17" t="s">
        <v>427</v>
      </c>
      <c r="D1025" s="18" t="s">
        <v>156</v>
      </c>
      <c r="E1025" s="18" t="s">
        <v>1525</v>
      </c>
      <c r="F1025" s="18">
        <v>5.94</v>
      </c>
      <c r="G1025" s="26">
        <v>1.77</v>
      </c>
      <c r="H1025" s="17">
        <v>7.26</v>
      </c>
      <c r="I1025" s="25">
        <v>8.4973519879851391</v>
      </c>
      <c r="J1025" s="24">
        <f>G1025/F1025*((100-H1025)/100)*((100-I1025)/100)*100</f>
        <v>25.28643328391016</v>
      </c>
      <c r="K1025" s="53">
        <v>4.0770609318996414</v>
      </c>
      <c r="L1025" s="54">
        <f>J1025*10000/K1025</f>
        <v>62021.229768887344</v>
      </c>
      <c r="M1025" s="55">
        <v>53.1</v>
      </c>
      <c r="N1025" s="55">
        <v>18.3</v>
      </c>
      <c r="O1025" s="56">
        <v>6.1132</v>
      </c>
      <c r="P1025" s="55">
        <v>49.9</v>
      </c>
      <c r="Q1025" s="17" t="s">
        <v>424</v>
      </c>
      <c r="R1025" s="17" t="s">
        <v>424</v>
      </c>
      <c r="S1025" s="17" t="s">
        <v>424</v>
      </c>
      <c r="T1025" s="17" t="s">
        <v>424</v>
      </c>
      <c r="U1025" s="17" t="s">
        <v>424</v>
      </c>
      <c r="V1025" s="17" t="s">
        <v>424</v>
      </c>
      <c r="W1025" s="17" t="s">
        <v>424</v>
      </c>
    </row>
    <row r="1026" spans="1:23" x14ac:dyDescent="0.25">
      <c r="A1026" s="16" t="s">
        <v>1146</v>
      </c>
      <c r="B1026" s="17" t="s">
        <v>10</v>
      </c>
      <c r="C1026" s="17" t="s">
        <v>427</v>
      </c>
      <c r="D1026" s="18" t="s">
        <v>230</v>
      </c>
      <c r="E1026" s="18" t="s">
        <v>1622</v>
      </c>
      <c r="F1026" s="18">
        <v>5.94</v>
      </c>
      <c r="G1026" s="26">
        <v>1.57</v>
      </c>
      <c r="H1026" s="17">
        <v>7.26</v>
      </c>
      <c r="I1026" s="25">
        <v>6.5254969749351783</v>
      </c>
      <c r="J1026" s="24">
        <f>G1026/F1026*((100-H1026)/100)*((100-I1026)/100)*100</f>
        <v>22.912552011035157</v>
      </c>
      <c r="K1026" s="53">
        <v>5.4119138149556401</v>
      </c>
      <c r="L1026" s="54">
        <f>J1026*10000/K1026</f>
        <v>42337.244816643411</v>
      </c>
      <c r="M1026" s="55">
        <v>49.5</v>
      </c>
      <c r="N1026" s="55">
        <v>18.3</v>
      </c>
      <c r="O1026" s="56">
        <v>2.5611000000000002</v>
      </c>
      <c r="P1026" s="55">
        <v>19</v>
      </c>
      <c r="Q1026" s="17" t="s">
        <v>424</v>
      </c>
      <c r="R1026" s="17" t="s">
        <v>424</v>
      </c>
      <c r="S1026" s="17" t="s">
        <v>424</v>
      </c>
      <c r="T1026" s="17" t="s">
        <v>424</v>
      </c>
      <c r="U1026" s="17" t="s">
        <v>424</v>
      </c>
      <c r="V1026" s="17" t="s">
        <v>424</v>
      </c>
      <c r="W1026" s="17" t="s">
        <v>424</v>
      </c>
    </row>
    <row r="1027" spans="1:23" x14ac:dyDescent="0.25">
      <c r="A1027" s="16" t="s">
        <v>1145</v>
      </c>
      <c r="B1027" s="17" t="s">
        <v>10</v>
      </c>
      <c r="C1027" s="17" t="s">
        <v>427</v>
      </c>
      <c r="D1027" s="18" t="s">
        <v>65</v>
      </c>
      <c r="E1027" s="74" t="s">
        <v>1658</v>
      </c>
      <c r="F1027" s="18">
        <v>5.94</v>
      </c>
      <c r="G1027" s="26">
        <v>2.04</v>
      </c>
      <c r="H1027" s="17">
        <v>7.26</v>
      </c>
      <c r="I1027" s="25">
        <v>7.249238871060645</v>
      </c>
      <c r="J1027" s="24">
        <f>G1027/F1027*((100-H1027)/100)*((100-I1027)/100)*100</f>
        <v>29.541211107204688</v>
      </c>
      <c r="K1027" s="53">
        <v>5.1380042462845008</v>
      </c>
      <c r="L1027" s="54">
        <f>J1027*10000/K1027</f>
        <v>57495.497650799203</v>
      </c>
      <c r="M1027" s="55">
        <v>50.5</v>
      </c>
      <c r="N1027" s="55">
        <v>17.899999999999999</v>
      </c>
      <c r="O1027" s="56">
        <v>1.4659</v>
      </c>
      <c r="P1027" s="55">
        <v>19</v>
      </c>
      <c r="Q1027" s="17" t="s">
        <v>424</v>
      </c>
      <c r="R1027" s="17" t="s">
        <v>424</v>
      </c>
      <c r="S1027" s="17" t="s">
        <v>424</v>
      </c>
      <c r="T1027" s="17" t="s">
        <v>424</v>
      </c>
      <c r="U1027" s="17" t="s">
        <v>424</v>
      </c>
      <c r="V1027" s="17" t="s">
        <v>424</v>
      </c>
      <c r="W1027" s="17" t="s">
        <v>424</v>
      </c>
    </row>
    <row r="1028" spans="1:23" x14ac:dyDescent="0.25">
      <c r="A1028" s="16" t="s">
        <v>1144</v>
      </c>
      <c r="B1028" s="17" t="s">
        <v>10</v>
      </c>
      <c r="C1028" s="17" t="s">
        <v>427</v>
      </c>
      <c r="D1028" s="18" t="s">
        <v>263</v>
      </c>
      <c r="E1028" s="18" t="s">
        <v>1774</v>
      </c>
      <c r="F1028" s="18">
        <v>5.94</v>
      </c>
      <c r="G1028" s="26">
        <v>2.4</v>
      </c>
      <c r="H1028" s="17">
        <v>7.26</v>
      </c>
      <c r="I1028" s="25">
        <v>6.277636824936569</v>
      </c>
      <c r="J1028" s="24">
        <f>G1028/F1028*((100-H1028)/100)*((100-I1028)/100)*100</f>
        <v>35.11843216507225</v>
      </c>
      <c r="K1028" s="53">
        <v>5.1195652173913047</v>
      </c>
      <c r="L1028" s="54">
        <f>J1028*10000/K1028</f>
        <v>68596.512933899081</v>
      </c>
      <c r="M1028" s="55">
        <v>52.1</v>
      </c>
      <c r="N1028" s="55">
        <v>16.7</v>
      </c>
      <c r="O1028" s="56">
        <v>1.6709000000000001</v>
      </c>
      <c r="P1028" s="55">
        <v>13.8</v>
      </c>
      <c r="Q1028" s="17" t="s">
        <v>424</v>
      </c>
      <c r="R1028" s="17" t="s">
        <v>424</v>
      </c>
      <c r="S1028" s="17" t="s">
        <v>424</v>
      </c>
      <c r="T1028" s="17" t="s">
        <v>424</v>
      </c>
      <c r="U1028" s="17" t="s">
        <v>424</v>
      </c>
      <c r="V1028" s="17" t="s">
        <v>424</v>
      </c>
      <c r="W1028" s="17" t="s">
        <v>424</v>
      </c>
    </row>
    <row r="1029" spans="1:23" x14ac:dyDescent="0.25">
      <c r="A1029" s="16" t="s">
        <v>1143</v>
      </c>
      <c r="B1029" s="17" t="s">
        <v>10</v>
      </c>
      <c r="C1029" s="17" t="s">
        <v>427</v>
      </c>
      <c r="D1029" s="18" t="s">
        <v>79</v>
      </c>
      <c r="E1029" s="18" t="s">
        <v>1682</v>
      </c>
      <c r="F1029" s="18">
        <v>5.94</v>
      </c>
      <c r="G1029" s="26">
        <v>1.58</v>
      </c>
      <c r="H1029" s="17">
        <v>7.26</v>
      </c>
      <c r="I1029" s="25">
        <v>6.281900274833137</v>
      </c>
      <c r="J1029" s="24">
        <f>G1029/F1029*((100-H1029)/100)*((100-I1029)/100)*100</f>
        <v>23.118582791664853</v>
      </c>
      <c r="K1029" s="53">
        <v>5.0529661016949152</v>
      </c>
      <c r="L1029" s="54">
        <f>J1029*10000/K1029</f>
        <v>45752.49927742478</v>
      </c>
      <c r="M1029" s="55">
        <v>51.3</v>
      </c>
      <c r="N1029" s="55">
        <v>17.5</v>
      </c>
      <c r="O1029" s="56">
        <v>-0.36630000000000001</v>
      </c>
      <c r="P1029" s="55">
        <v>14.3</v>
      </c>
      <c r="Q1029" s="17" t="s">
        <v>424</v>
      </c>
      <c r="R1029" s="17" t="s">
        <v>424</v>
      </c>
      <c r="S1029" s="17" t="s">
        <v>424</v>
      </c>
      <c r="T1029" s="17" t="s">
        <v>424</v>
      </c>
      <c r="U1029" s="17" t="s">
        <v>424</v>
      </c>
      <c r="V1029" s="17" t="s">
        <v>424</v>
      </c>
      <c r="W1029" s="17" t="s">
        <v>424</v>
      </c>
    </row>
    <row r="1030" spans="1:23" x14ac:dyDescent="0.25">
      <c r="A1030" s="16" t="s">
        <v>1142</v>
      </c>
      <c r="B1030" s="17" t="s">
        <v>10</v>
      </c>
      <c r="C1030" s="17" t="s">
        <v>427</v>
      </c>
      <c r="D1030" s="18" t="s">
        <v>18</v>
      </c>
      <c r="E1030" s="18" t="s">
        <v>1806</v>
      </c>
      <c r="F1030" s="18">
        <v>5.94</v>
      </c>
      <c r="G1030" s="26">
        <v>2.6</v>
      </c>
      <c r="H1030" s="17">
        <v>7.26</v>
      </c>
      <c r="I1030" s="25">
        <v>7.4792243767312989</v>
      </c>
      <c r="J1030" s="24">
        <f>G1030/F1030*((100-H1030)/100)*((100-I1030)/100)*100</f>
        <v>37.557204547786263</v>
      </c>
      <c r="K1030" s="53">
        <v>4.5306513409961688</v>
      </c>
      <c r="L1030" s="54">
        <f>J1030*10000/K1030</f>
        <v>82895.817225980674</v>
      </c>
      <c r="M1030" s="55">
        <v>55.2</v>
      </c>
      <c r="N1030" s="55">
        <v>15.4</v>
      </c>
      <c r="O1030" s="56">
        <v>1.024</v>
      </c>
      <c r="P1030" s="55">
        <v>14.7</v>
      </c>
      <c r="Q1030" s="17" t="s">
        <v>424</v>
      </c>
      <c r="R1030" s="17" t="s">
        <v>424</v>
      </c>
      <c r="S1030" s="17" t="s">
        <v>424</v>
      </c>
      <c r="T1030" s="17" t="s">
        <v>424</v>
      </c>
      <c r="U1030" s="17" t="s">
        <v>424</v>
      </c>
      <c r="V1030" s="17" t="s">
        <v>424</v>
      </c>
      <c r="W1030" s="17" t="s">
        <v>424</v>
      </c>
    </row>
    <row r="1031" spans="1:23" x14ac:dyDescent="0.25">
      <c r="A1031" s="16" t="s">
        <v>738</v>
      </c>
      <c r="B1031" s="17" t="s">
        <v>10</v>
      </c>
      <c r="C1031" s="17" t="s">
        <v>13</v>
      </c>
      <c r="D1031" s="18" t="s">
        <v>215</v>
      </c>
      <c r="E1031" s="18" t="s">
        <v>1474</v>
      </c>
      <c r="F1031" s="18">
        <v>5.94</v>
      </c>
      <c r="G1031" s="23">
        <v>1.68</v>
      </c>
      <c r="H1031" s="20">
        <v>6.89</v>
      </c>
      <c r="I1031" s="25">
        <v>9.2842881277837535</v>
      </c>
      <c r="J1031" s="24">
        <f>G1031/F1031*((100-H1031)/100)*((100-I1031)/100)*100</f>
        <v>23.889203849274498</v>
      </c>
      <c r="K1031" s="53">
        <v>3.9777587681779298</v>
      </c>
      <c r="L1031" s="54">
        <f>J1031*10000/K1031</f>
        <v>60056.944730756753</v>
      </c>
      <c r="M1031" s="55">
        <v>51.3</v>
      </c>
      <c r="N1031" s="55">
        <v>19.7</v>
      </c>
      <c r="O1031" s="56">
        <v>48.037999999999997</v>
      </c>
      <c r="P1031" s="55">
        <v>59.7</v>
      </c>
      <c r="Q1031" s="17" t="s">
        <v>424</v>
      </c>
      <c r="R1031" s="17" t="s">
        <v>424</v>
      </c>
      <c r="S1031" s="17" t="s">
        <v>424</v>
      </c>
      <c r="T1031" s="17" t="s">
        <v>424</v>
      </c>
      <c r="U1031" s="17" t="s">
        <v>424</v>
      </c>
      <c r="V1031" s="17" t="s">
        <v>424</v>
      </c>
      <c r="W1031" s="17" t="s">
        <v>424</v>
      </c>
    </row>
    <row r="1032" spans="1:23" x14ac:dyDescent="0.25">
      <c r="A1032" s="16" t="s">
        <v>737</v>
      </c>
      <c r="B1032" s="17" t="s">
        <v>10</v>
      </c>
      <c r="C1032" s="17" t="s">
        <v>13</v>
      </c>
      <c r="D1032" s="18" t="s">
        <v>222</v>
      </c>
      <c r="E1032" s="18" t="s">
        <v>1700</v>
      </c>
      <c r="F1032" s="18">
        <v>5.94</v>
      </c>
      <c r="G1032" s="23">
        <v>1.7</v>
      </c>
      <c r="H1032" s="20">
        <v>6.89</v>
      </c>
      <c r="I1032" s="25">
        <v>10.173792679175632</v>
      </c>
      <c r="J1032" s="24">
        <f>G1032/F1032*((100-H1032)/100)*((100-I1032)/100)*100</f>
        <v>23.936567135002235</v>
      </c>
      <c r="K1032" s="53">
        <v>3.7689713322091061</v>
      </c>
      <c r="L1032" s="54">
        <f>J1032*10000/K1032</f>
        <v>63509.549490184902</v>
      </c>
      <c r="M1032" s="55">
        <v>51.8</v>
      </c>
      <c r="N1032" s="55">
        <v>18.7</v>
      </c>
      <c r="O1032" s="56">
        <v>35.718000000000004</v>
      </c>
      <c r="P1032" s="55">
        <v>46.5</v>
      </c>
      <c r="Q1032" s="17" t="s">
        <v>424</v>
      </c>
      <c r="R1032" s="17" t="s">
        <v>424</v>
      </c>
      <c r="S1032" s="17" t="s">
        <v>424</v>
      </c>
      <c r="T1032" s="17" t="s">
        <v>424</v>
      </c>
      <c r="U1032" s="17" t="s">
        <v>424</v>
      </c>
      <c r="V1032" s="17" t="s">
        <v>424</v>
      </c>
      <c r="W1032" s="17" t="s">
        <v>424</v>
      </c>
    </row>
    <row r="1033" spans="1:23" x14ac:dyDescent="0.25">
      <c r="A1033" s="16" t="s">
        <v>736</v>
      </c>
      <c r="B1033" s="17" t="s">
        <v>10</v>
      </c>
      <c r="C1033" s="17" t="s">
        <v>13</v>
      </c>
      <c r="D1033" s="18" t="s">
        <v>84</v>
      </c>
      <c r="E1033" s="18" t="s">
        <v>1672</v>
      </c>
      <c r="F1033" s="18">
        <v>5.94</v>
      </c>
      <c r="G1033" s="23">
        <v>1.61</v>
      </c>
      <c r="H1033" s="20">
        <v>6.89</v>
      </c>
      <c r="I1033" s="25">
        <v>7.9306071871127699</v>
      </c>
      <c r="J1033" s="24">
        <f>G1033/F1033*((100-H1033)/100)*((100-I1033)/100)*100</f>
        <v>23.235447264883447</v>
      </c>
      <c r="K1033" s="53">
        <v>4.5669291338582676</v>
      </c>
      <c r="L1033" s="54">
        <f>J1033*10000/K1033</f>
        <v>50877.617286899964</v>
      </c>
      <c r="M1033" s="55">
        <v>52.1</v>
      </c>
      <c r="N1033" s="55">
        <v>17.5</v>
      </c>
      <c r="O1033" s="56">
        <v>-0.62838000000000005</v>
      </c>
      <c r="P1033" s="55">
        <v>17.2</v>
      </c>
      <c r="Q1033" s="17" t="s">
        <v>424</v>
      </c>
      <c r="R1033" s="17" t="s">
        <v>424</v>
      </c>
      <c r="S1033" s="17" t="s">
        <v>424</v>
      </c>
      <c r="T1033" s="17" t="s">
        <v>424</v>
      </c>
      <c r="U1033" s="17" t="s">
        <v>424</v>
      </c>
      <c r="V1033" s="17" t="s">
        <v>424</v>
      </c>
      <c r="W1033" s="17" t="s">
        <v>424</v>
      </c>
    </row>
    <row r="1034" spans="1:23" x14ac:dyDescent="0.25">
      <c r="A1034" s="16" t="s">
        <v>735</v>
      </c>
      <c r="B1034" s="17" t="s">
        <v>10</v>
      </c>
      <c r="C1034" s="17" t="s">
        <v>13</v>
      </c>
      <c r="D1034" s="18" t="s">
        <v>92</v>
      </c>
      <c r="E1034" s="18" t="s">
        <v>1748</v>
      </c>
      <c r="F1034" s="18">
        <v>5.94</v>
      </c>
      <c r="G1034" s="23">
        <v>2.31</v>
      </c>
      <c r="H1034" s="20">
        <v>6.89</v>
      </c>
      <c r="I1034" s="25">
        <v>7.5913633936064615</v>
      </c>
      <c r="J1034" s="24">
        <f>G1034/F1034*((100-H1034)/100)*((100-I1034)/100)*100</f>
        <v>33.460653933860627</v>
      </c>
      <c r="K1034" s="53">
        <v>4.7450572320499482</v>
      </c>
      <c r="L1034" s="54">
        <f>J1034*10000/K1034</f>
        <v>70516.86059307032</v>
      </c>
      <c r="M1034" s="55">
        <v>51.1</v>
      </c>
      <c r="N1034" s="55">
        <v>17.600000000000001</v>
      </c>
      <c r="O1034" s="56">
        <v>4.9203999999999999</v>
      </c>
      <c r="P1034" s="55">
        <v>15.1</v>
      </c>
      <c r="Q1034" s="17" t="s">
        <v>424</v>
      </c>
      <c r="R1034" s="17" t="s">
        <v>424</v>
      </c>
      <c r="S1034" s="17" t="s">
        <v>424</v>
      </c>
      <c r="T1034" s="17" t="s">
        <v>424</v>
      </c>
      <c r="U1034" s="17" t="s">
        <v>424</v>
      </c>
      <c r="V1034" s="17" t="s">
        <v>424</v>
      </c>
      <c r="W1034" s="17" t="s">
        <v>424</v>
      </c>
    </row>
    <row r="1035" spans="1:23" x14ac:dyDescent="0.25">
      <c r="A1035" s="16" t="s">
        <v>734</v>
      </c>
      <c r="B1035" s="17" t="s">
        <v>10</v>
      </c>
      <c r="C1035" s="17" t="s">
        <v>13</v>
      </c>
      <c r="D1035" s="18" t="s">
        <v>292</v>
      </c>
      <c r="E1035" s="18" t="s">
        <v>1602</v>
      </c>
      <c r="F1035" s="18">
        <v>5.94</v>
      </c>
      <c r="G1035" s="23">
        <v>1.89</v>
      </c>
      <c r="H1035" s="20">
        <v>6.89</v>
      </c>
      <c r="I1035" s="25">
        <v>8.3062750132145275</v>
      </c>
      <c r="J1035" s="24">
        <f>G1035/F1035*((100-H1035)/100)*((100-I1035)/100)*100</f>
        <v>27.165099606653254</v>
      </c>
      <c r="K1035" s="53">
        <v>3.9831223628691985</v>
      </c>
      <c r="L1035" s="54">
        <f>J1035*10000/K1035</f>
        <v>68200.51490229684</v>
      </c>
      <c r="M1035" s="55">
        <v>53.9</v>
      </c>
      <c r="N1035" s="55">
        <v>17.7</v>
      </c>
      <c r="O1035" s="56">
        <v>23.49</v>
      </c>
      <c r="P1035" s="55">
        <v>12.2</v>
      </c>
      <c r="Q1035" s="17" t="s">
        <v>424</v>
      </c>
      <c r="R1035" s="17" t="s">
        <v>424</v>
      </c>
      <c r="S1035" s="17" t="s">
        <v>424</v>
      </c>
      <c r="T1035" s="17" t="s">
        <v>424</v>
      </c>
      <c r="U1035" s="17" t="s">
        <v>424</v>
      </c>
      <c r="V1035" s="17" t="s">
        <v>424</v>
      </c>
      <c r="W1035" s="17" t="s">
        <v>424</v>
      </c>
    </row>
    <row r="1036" spans="1:23" x14ac:dyDescent="0.25">
      <c r="A1036" s="16" t="s">
        <v>733</v>
      </c>
      <c r="B1036" s="17" t="s">
        <v>10</v>
      </c>
      <c r="C1036" s="17" t="s">
        <v>13</v>
      </c>
      <c r="D1036" s="18" t="s">
        <v>288</v>
      </c>
      <c r="E1036" s="18" t="s">
        <v>1570</v>
      </c>
      <c r="F1036" s="18">
        <v>5.94</v>
      </c>
      <c r="G1036" s="23">
        <v>2.04</v>
      </c>
      <c r="H1036" s="20">
        <v>6.89</v>
      </c>
      <c r="I1036" s="25">
        <v>9.3789607097591805</v>
      </c>
      <c r="J1036" s="24">
        <f>G1036/F1036*((100-H1036)/100)*((100-I1036)/100)*100</f>
        <v>28.978045345725949</v>
      </c>
      <c r="K1036" s="53">
        <v>4.916492693110647</v>
      </c>
      <c r="L1036" s="54">
        <f>J1036*10000/K1036</f>
        <v>58940.482890032828</v>
      </c>
      <c r="M1036" s="55">
        <v>50.3</v>
      </c>
      <c r="N1036" s="55">
        <v>17.399999999999999</v>
      </c>
      <c r="O1036" s="56">
        <v>4.2755999999999998</v>
      </c>
      <c r="P1036" s="55">
        <v>16.399999999999999</v>
      </c>
      <c r="Q1036" s="17" t="s">
        <v>424</v>
      </c>
      <c r="R1036" s="17" t="s">
        <v>424</v>
      </c>
      <c r="S1036" s="17" t="s">
        <v>424</v>
      </c>
      <c r="T1036" s="17" t="s">
        <v>424</v>
      </c>
      <c r="U1036" s="17" t="s">
        <v>424</v>
      </c>
      <c r="V1036" s="17" t="s">
        <v>424</v>
      </c>
      <c r="W1036" s="17" t="s">
        <v>424</v>
      </c>
    </row>
    <row r="1037" spans="1:23" x14ac:dyDescent="0.25">
      <c r="A1037" s="16" t="s">
        <v>1153</v>
      </c>
      <c r="B1037" s="17" t="s">
        <v>10</v>
      </c>
      <c r="C1037" s="17" t="s">
        <v>427</v>
      </c>
      <c r="D1037" s="18" t="s">
        <v>68</v>
      </c>
      <c r="E1037" s="18" t="s">
        <v>1788</v>
      </c>
      <c r="F1037" s="18">
        <v>5.94</v>
      </c>
      <c r="G1037" s="26">
        <v>2.2200000000000002</v>
      </c>
      <c r="H1037" s="17">
        <v>7.26</v>
      </c>
      <c r="I1037" s="25">
        <v>6.3607924921793586</v>
      </c>
      <c r="J1037" s="24">
        <f>G1037/F1037*((100-H1037)/100)*((100-I1037)/100)*100</f>
        <v>32.455727662442989</v>
      </c>
      <c r="K1037" s="53">
        <v>4.8201438848920866</v>
      </c>
      <c r="L1037" s="54">
        <f>J1037*10000/K1037</f>
        <v>67333.524553426498</v>
      </c>
      <c r="M1037" s="55">
        <v>52.4</v>
      </c>
      <c r="N1037" s="55">
        <v>16.600000000000001</v>
      </c>
      <c r="O1037" s="56">
        <v>1.4382999999999999</v>
      </c>
      <c r="P1037" s="55">
        <v>11.8</v>
      </c>
      <c r="Q1037" s="17" t="s">
        <v>424</v>
      </c>
      <c r="R1037" s="17" t="s">
        <v>424</v>
      </c>
      <c r="S1037" s="17" t="s">
        <v>424</v>
      </c>
      <c r="T1037" s="17" t="s">
        <v>424</v>
      </c>
      <c r="U1037" s="17" t="s">
        <v>424</v>
      </c>
      <c r="V1037" s="17" t="s">
        <v>424</v>
      </c>
      <c r="W1037" s="17" t="s">
        <v>424</v>
      </c>
    </row>
    <row r="1038" spans="1:23" x14ac:dyDescent="0.25">
      <c r="A1038" s="16" t="s">
        <v>1152</v>
      </c>
      <c r="B1038" s="17" t="s">
        <v>10</v>
      </c>
      <c r="C1038" s="17" t="s">
        <v>427</v>
      </c>
      <c r="D1038" s="18" t="s">
        <v>29</v>
      </c>
      <c r="E1038" s="18" t="s">
        <v>1638</v>
      </c>
      <c r="F1038" s="18">
        <v>5.94</v>
      </c>
      <c r="G1038" s="26">
        <v>1.8</v>
      </c>
      <c r="H1038" s="17">
        <v>7.26</v>
      </c>
      <c r="I1038" s="25">
        <v>7.937594087860953</v>
      </c>
      <c r="J1038" s="24">
        <f>G1038/F1038*((100-H1038)/100)*((100-I1038)/100)*100</f>
        <v>25.872325831187197</v>
      </c>
      <c r="K1038" s="53">
        <v>4.7843530591775325</v>
      </c>
      <c r="L1038" s="54">
        <f>J1038*10000/K1038</f>
        <v>54076.957764556886</v>
      </c>
      <c r="M1038" s="55">
        <v>47.2</v>
      </c>
      <c r="N1038" s="55">
        <v>18.8</v>
      </c>
      <c r="O1038" s="56">
        <v>-1.8169999999999999</v>
      </c>
      <c r="P1038" s="55">
        <v>21.9</v>
      </c>
      <c r="Q1038" s="17" t="s">
        <v>424</v>
      </c>
      <c r="R1038" s="17" t="s">
        <v>424</v>
      </c>
      <c r="S1038" s="17" t="s">
        <v>424</v>
      </c>
      <c r="T1038" s="17" t="s">
        <v>424</v>
      </c>
      <c r="U1038" s="17" t="s">
        <v>424</v>
      </c>
      <c r="V1038" s="17" t="s">
        <v>424</v>
      </c>
      <c r="W1038" s="17" t="s">
        <v>424</v>
      </c>
    </row>
    <row r="1039" spans="1:23" x14ac:dyDescent="0.25">
      <c r="A1039" s="16" t="s">
        <v>1151</v>
      </c>
      <c r="B1039" s="17" t="s">
        <v>10</v>
      </c>
      <c r="C1039" s="17" t="s">
        <v>427</v>
      </c>
      <c r="D1039" s="18" t="s">
        <v>278</v>
      </c>
      <c r="E1039" s="18" t="s">
        <v>1596</v>
      </c>
      <c r="F1039" s="18">
        <v>5.94</v>
      </c>
      <c r="G1039" s="26">
        <v>1.96</v>
      </c>
      <c r="H1039" s="17">
        <v>7.26</v>
      </c>
      <c r="I1039" s="25">
        <v>6.8904068904068909</v>
      </c>
      <c r="J1039" s="24">
        <f>G1039/F1039*((100-H1039)/100)*((100-I1039)/100)*100</f>
        <v>28.492538692538687</v>
      </c>
      <c r="K1039" s="53">
        <v>4.434947768281102</v>
      </c>
      <c r="L1039" s="54">
        <f>J1039*10000/K1039</f>
        <v>64245.488743561524</v>
      </c>
      <c r="M1039" s="55">
        <v>52</v>
      </c>
      <c r="N1039" s="55">
        <v>15.9</v>
      </c>
      <c r="O1039" s="56">
        <v>1.3245</v>
      </c>
      <c r="P1039" s="55">
        <v>15.2</v>
      </c>
      <c r="Q1039" s="17" t="s">
        <v>424</v>
      </c>
      <c r="R1039" s="17" t="s">
        <v>424</v>
      </c>
      <c r="S1039" s="17" t="s">
        <v>424</v>
      </c>
      <c r="T1039" s="17" t="s">
        <v>424</v>
      </c>
      <c r="U1039" s="17" t="s">
        <v>424</v>
      </c>
      <c r="V1039" s="17" t="s">
        <v>424</v>
      </c>
      <c r="W1039" s="17" t="s">
        <v>424</v>
      </c>
    </row>
    <row r="1040" spans="1:23" x14ac:dyDescent="0.25">
      <c r="A1040" s="16" t="s">
        <v>1150</v>
      </c>
      <c r="B1040" s="17" t="s">
        <v>10</v>
      </c>
      <c r="C1040" s="17" t="s">
        <v>427</v>
      </c>
      <c r="D1040" s="18" t="s">
        <v>35</v>
      </c>
      <c r="E1040" s="18" t="s">
        <v>1662</v>
      </c>
      <c r="F1040" s="18">
        <v>5.94</v>
      </c>
      <c r="G1040" s="26">
        <v>1.87</v>
      </c>
      <c r="H1040" s="17">
        <v>7.26</v>
      </c>
      <c r="I1040" s="25">
        <v>7.1539296233142178</v>
      </c>
      <c r="J1040" s="24">
        <f>G1040/F1040*((100-H1040)/100)*((100-I1040)/100)*100</f>
        <v>27.107269932310235</v>
      </c>
      <c r="K1040" s="53">
        <v>5.4266211604095567</v>
      </c>
      <c r="L1040" s="54">
        <f>J1040*10000/K1040</f>
        <v>49952.390504194329</v>
      </c>
      <c r="M1040" s="55">
        <v>51.6</v>
      </c>
      <c r="N1040" s="55">
        <v>16.399999999999999</v>
      </c>
      <c r="O1040" s="56">
        <v>3.9557000000000002</v>
      </c>
      <c r="P1040" s="55">
        <v>5.9</v>
      </c>
      <c r="Q1040" s="17" t="s">
        <v>424</v>
      </c>
      <c r="R1040" s="17" t="s">
        <v>424</v>
      </c>
      <c r="S1040" s="17" t="s">
        <v>424</v>
      </c>
      <c r="T1040" s="17" t="s">
        <v>424</v>
      </c>
      <c r="U1040" s="17" t="s">
        <v>424</v>
      </c>
      <c r="V1040" s="17" t="s">
        <v>424</v>
      </c>
      <c r="W1040" s="17" t="s">
        <v>424</v>
      </c>
    </row>
    <row r="1041" spans="1:23" x14ac:dyDescent="0.25">
      <c r="A1041" s="16" t="s">
        <v>1149</v>
      </c>
      <c r="B1041" s="17" t="s">
        <v>10</v>
      </c>
      <c r="C1041" s="17" t="s">
        <v>427</v>
      </c>
      <c r="D1041" s="18" t="s">
        <v>76</v>
      </c>
      <c r="E1041" s="18" t="s">
        <v>1818</v>
      </c>
      <c r="F1041" s="18">
        <v>5.94</v>
      </c>
      <c r="G1041" s="26">
        <v>2.15</v>
      </c>
      <c r="H1041" s="17">
        <v>7.26</v>
      </c>
      <c r="I1041" s="25">
        <v>5.9118795315114268</v>
      </c>
      <c r="J1041" s="24">
        <f>G1041/F1041*((100-H1041)/100)*((100-I1041)/100)*100</f>
        <v>31.583037758135358</v>
      </c>
      <c r="K1041" s="53">
        <v>5.1960784313725492</v>
      </c>
      <c r="L1041" s="54">
        <f>J1041*10000/K1041</f>
        <v>60782.450025090686</v>
      </c>
      <c r="M1041" s="55">
        <v>51.5</v>
      </c>
      <c r="N1041" s="55">
        <v>15.6</v>
      </c>
      <c r="O1041" s="56">
        <v>4.5129999999999999</v>
      </c>
      <c r="P1041" s="55">
        <v>19.899999999999999</v>
      </c>
      <c r="Q1041" s="17" t="s">
        <v>424</v>
      </c>
      <c r="R1041" s="17" t="s">
        <v>424</v>
      </c>
      <c r="S1041" s="17" t="s">
        <v>424</v>
      </c>
      <c r="T1041" s="17" t="s">
        <v>424</v>
      </c>
      <c r="U1041" s="17" t="s">
        <v>424</v>
      </c>
      <c r="V1041" s="17" t="s">
        <v>424</v>
      </c>
      <c r="W1041" s="17" t="s">
        <v>424</v>
      </c>
    </row>
    <row r="1042" spans="1:23" x14ac:dyDescent="0.25">
      <c r="A1042" s="16" t="s">
        <v>1148</v>
      </c>
      <c r="B1042" s="17" t="s">
        <v>10</v>
      </c>
      <c r="C1042" s="17" t="s">
        <v>427</v>
      </c>
      <c r="D1042" s="18" t="s">
        <v>205</v>
      </c>
      <c r="E1042" s="18" t="s">
        <v>1492</v>
      </c>
      <c r="F1042" s="18">
        <v>5.94</v>
      </c>
      <c r="G1042" s="26">
        <v>1.6</v>
      </c>
      <c r="H1042" s="17">
        <v>7.26</v>
      </c>
      <c r="I1042" s="25">
        <v>8.1392613502705213</v>
      </c>
      <c r="J1042" s="24">
        <f>G1042/F1042*((100-H1042)/100)*((100-I1042)/100)*100</f>
        <v>22.947245528285283</v>
      </c>
      <c r="K1042" s="53">
        <v>5.3899082568807337</v>
      </c>
      <c r="L1042" s="54">
        <f>J1042*10000/K1042</f>
        <v>42574.464043967593</v>
      </c>
      <c r="M1042" s="55">
        <v>50.2</v>
      </c>
      <c r="N1042" s="55">
        <v>19.3</v>
      </c>
      <c r="O1042" s="56">
        <v>30.802</v>
      </c>
      <c r="P1042" s="55">
        <v>50.4</v>
      </c>
      <c r="Q1042" s="17" t="s">
        <v>424</v>
      </c>
      <c r="R1042" s="17" t="s">
        <v>424</v>
      </c>
      <c r="S1042" s="17" t="s">
        <v>424</v>
      </c>
      <c r="T1042" s="17" t="s">
        <v>424</v>
      </c>
      <c r="U1042" s="17" t="s">
        <v>424</v>
      </c>
      <c r="V1042" s="17" t="s">
        <v>424</v>
      </c>
      <c r="W1042" s="17" t="s">
        <v>424</v>
      </c>
    </row>
    <row r="1043" spans="1:23" x14ac:dyDescent="0.25">
      <c r="A1043" s="16" t="s">
        <v>744</v>
      </c>
      <c r="B1043" s="17" t="s">
        <v>10</v>
      </c>
      <c r="C1043" s="17" t="s">
        <v>13</v>
      </c>
      <c r="D1043" s="18" t="s">
        <v>258</v>
      </c>
      <c r="E1043" s="18" t="s">
        <v>1664</v>
      </c>
      <c r="F1043" s="18">
        <v>5.94</v>
      </c>
      <c r="G1043" s="23">
        <v>1.48</v>
      </c>
      <c r="H1043" s="20">
        <v>6.89</v>
      </c>
      <c r="I1043" s="25">
        <v>7.0207710584808742</v>
      </c>
      <c r="J1043" s="24">
        <f>G1043/F1043*((100-H1043)/100)*((100-I1043)/100)*100</f>
        <v>21.570367154852473</v>
      </c>
      <c r="K1043" s="53">
        <v>4.3445692883895131</v>
      </c>
      <c r="L1043" s="54">
        <f>J1043*10000/K1043</f>
        <v>49649.034744358709</v>
      </c>
      <c r="M1043" s="55">
        <v>50.7</v>
      </c>
      <c r="N1043" s="55">
        <v>17.5</v>
      </c>
      <c r="O1043" s="56">
        <v>3.6236000000000002</v>
      </c>
      <c r="P1043" s="55">
        <v>21.8</v>
      </c>
      <c r="Q1043" s="17" t="s">
        <v>424</v>
      </c>
      <c r="R1043" s="17" t="s">
        <v>424</v>
      </c>
      <c r="S1043" s="17" t="s">
        <v>424</v>
      </c>
      <c r="T1043" s="17" t="s">
        <v>424</v>
      </c>
      <c r="U1043" s="17" t="s">
        <v>424</v>
      </c>
      <c r="V1043" s="17" t="s">
        <v>424</v>
      </c>
      <c r="W1043" s="17" t="s">
        <v>424</v>
      </c>
    </row>
    <row r="1044" spans="1:23" x14ac:dyDescent="0.25">
      <c r="A1044" s="16" t="s">
        <v>743</v>
      </c>
      <c r="B1044" s="17" t="s">
        <v>10</v>
      </c>
      <c r="C1044" s="17" t="s">
        <v>13</v>
      </c>
      <c r="D1044" s="18" t="s">
        <v>245</v>
      </c>
      <c r="E1044" s="18" t="s">
        <v>1511</v>
      </c>
      <c r="F1044" s="18">
        <v>5.94</v>
      </c>
      <c r="G1044" s="23">
        <v>1.4</v>
      </c>
      <c r="H1044" s="20">
        <v>6.89</v>
      </c>
      <c r="I1044" s="25">
        <v>6.4002473525546888</v>
      </c>
      <c r="J1044" s="24">
        <f>G1044/F1044*((100-H1044)/100)*((100-I1044)/100)*100</f>
        <v>20.540576021220684</v>
      </c>
      <c r="K1044" s="53">
        <v>4.9837486457204765</v>
      </c>
      <c r="L1044" s="54">
        <f>J1044*10000/K1044</f>
        <v>41215.112320840635</v>
      </c>
      <c r="M1044" s="55">
        <v>47.1</v>
      </c>
      <c r="N1044" s="55">
        <v>18.8</v>
      </c>
      <c r="O1044" s="56">
        <v>0.79285000000000005</v>
      </c>
      <c r="P1044" s="55">
        <v>49</v>
      </c>
      <c r="Q1044" s="17" t="s">
        <v>424</v>
      </c>
      <c r="R1044" s="17" t="s">
        <v>424</v>
      </c>
      <c r="S1044" s="17" t="s">
        <v>424</v>
      </c>
      <c r="T1044" s="17" t="s">
        <v>424</v>
      </c>
      <c r="U1044" s="17" t="s">
        <v>424</v>
      </c>
      <c r="V1044" s="17" t="s">
        <v>424</v>
      </c>
      <c r="W1044" s="17" t="s">
        <v>424</v>
      </c>
    </row>
    <row r="1045" spans="1:23" x14ac:dyDescent="0.25">
      <c r="A1045" s="16" t="s">
        <v>742</v>
      </c>
      <c r="B1045" s="17" t="s">
        <v>10</v>
      </c>
      <c r="C1045" s="17" t="s">
        <v>13</v>
      </c>
      <c r="D1045" s="18" t="s">
        <v>66</v>
      </c>
      <c r="E1045" s="18" t="s">
        <v>1766</v>
      </c>
      <c r="F1045" s="18">
        <v>5.94</v>
      </c>
      <c r="G1045" s="23">
        <v>2.34</v>
      </c>
      <c r="H1045" s="20">
        <v>6.89</v>
      </c>
      <c r="I1045" s="25">
        <v>5.6904927133934731</v>
      </c>
      <c r="J1045" s="24">
        <f>G1045/F1045*((100-H1045)/100)*((100-I1045)/100)*100</f>
        <v>34.592441486341549</v>
      </c>
      <c r="K1045" s="53">
        <v>5.0219780219780219</v>
      </c>
      <c r="L1045" s="54">
        <f>J1045*10000/K1045</f>
        <v>68882.104491402206</v>
      </c>
      <c r="M1045" s="55">
        <v>52.1</v>
      </c>
      <c r="N1045" s="55">
        <v>16.600000000000001</v>
      </c>
      <c r="O1045" s="56">
        <v>-0.41184999999999999</v>
      </c>
      <c r="P1045" s="55">
        <v>17</v>
      </c>
      <c r="Q1045" s="17" t="s">
        <v>424</v>
      </c>
      <c r="R1045" s="17" t="s">
        <v>424</v>
      </c>
      <c r="S1045" s="17" t="s">
        <v>424</v>
      </c>
      <c r="T1045" s="17" t="s">
        <v>424</v>
      </c>
      <c r="U1045" s="17" t="s">
        <v>424</v>
      </c>
      <c r="V1045" s="17" t="s">
        <v>424</v>
      </c>
      <c r="W1045" s="17" t="s">
        <v>424</v>
      </c>
    </row>
    <row r="1046" spans="1:23" x14ac:dyDescent="0.25">
      <c r="A1046" s="16" t="s">
        <v>741</v>
      </c>
      <c r="B1046" s="17" t="s">
        <v>10</v>
      </c>
      <c r="C1046" s="17" t="s">
        <v>13</v>
      </c>
      <c r="D1046" s="18" t="s">
        <v>281</v>
      </c>
      <c r="E1046" s="18" t="s">
        <v>1612</v>
      </c>
      <c r="F1046" s="18">
        <v>5.94</v>
      </c>
      <c r="G1046" s="23">
        <v>1.98</v>
      </c>
      <c r="H1046" s="20">
        <v>6.89</v>
      </c>
      <c r="I1046" s="25">
        <v>6.7382138750479053</v>
      </c>
      <c r="J1046" s="24">
        <f>G1046/F1046*((100-H1046)/100)*((100-I1046)/100)*100</f>
        <v>28.945349686980965</v>
      </c>
      <c r="K1046" s="53">
        <v>4.875259875259875</v>
      </c>
      <c r="L1046" s="54">
        <f>J1046*10000/K1046</f>
        <v>59371.911298242405</v>
      </c>
      <c r="M1046" s="55">
        <v>48.8</v>
      </c>
      <c r="N1046" s="55">
        <v>16.2</v>
      </c>
      <c r="O1046" s="56">
        <v>1.5931</v>
      </c>
      <c r="P1046" s="55">
        <v>14.4</v>
      </c>
      <c r="Q1046" s="17" t="s">
        <v>424</v>
      </c>
      <c r="R1046" s="17" t="s">
        <v>424</v>
      </c>
      <c r="S1046" s="17" t="s">
        <v>424</v>
      </c>
      <c r="T1046" s="17" t="s">
        <v>424</v>
      </c>
      <c r="U1046" s="17" t="s">
        <v>424</v>
      </c>
      <c r="V1046" s="17" t="s">
        <v>424</v>
      </c>
      <c r="W1046" s="17" t="s">
        <v>424</v>
      </c>
    </row>
    <row r="1047" spans="1:23" x14ac:dyDescent="0.25">
      <c r="A1047" s="16" t="s">
        <v>740</v>
      </c>
      <c r="B1047" s="17" t="s">
        <v>10</v>
      </c>
      <c r="C1047" s="17" t="s">
        <v>13</v>
      </c>
      <c r="D1047" s="18" t="s">
        <v>72</v>
      </c>
      <c r="E1047" s="18" t="s">
        <v>1772</v>
      </c>
      <c r="F1047" s="18">
        <v>5.94</v>
      </c>
      <c r="G1047" s="23">
        <v>2.17</v>
      </c>
      <c r="H1047" s="20">
        <v>6.89</v>
      </c>
      <c r="I1047" s="25">
        <v>5.7401580845675726</v>
      </c>
      <c r="J1047" s="24">
        <f>G1047/F1047*((100-H1047)/100)*((100-I1047)/100)*100</f>
        <v>32.062421752893314</v>
      </c>
      <c r="K1047" s="53">
        <v>5.6055363321799305</v>
      </c>
      <c r="L1047" s="54">
        <f>J1047*10000/K1047</f>
        <v>57197.777077692394</v>
      </c>
      <c r="M1047" s="55">
        <v>52.2</v>
      </c>
      <c r="N1047" s="55">
        <v>16.600000000000001</v>
      </c>
      <c r="O1047" s="56">
        <v>1.1749000000000001</v>
      </c>
      <c r="P1047" s="55">
        <v>14.3</v>
      </c>
      <c r="Q1047" s="17" t="s">
        <v>424</v>
      </c>
      <c r="R1047" s="17" t="s">
        <v>424</v>
      </c>
      <c r="S1047" s="17" t="s">
        <v>424</v>
      </c>
      <c r="T1047" s="17" t="s">
        <v>424</v>
      </c>
      <c r="U1047" s="17" t="s">
        <v>424</v>
      </c>
      <c r="V1047" s="17" t="s">
        <v>424</v>
      </c>
      <c r="W1047" s="17" t="s">
        <v>424</v>
      </c>
    </row>
    <row r="1048" spans="1:23" x14ac:dyDescent="0.25">
      <c r="A1048" s="16" t="s">
        <v>739</v>
      </c>
      <c r="B1048" s="17" t="s">
        <v>10</v>
      </c>
      <c r="C1048" s="17" t="s">
        <v>13</v>
      </c>
      <c r="D1048" s="18" t="s">
        <v>102</v>
      </c>
      <c r="E1048" s="18" t="s">
        <v>1790</v>
      </c>
      <c r="F1048" s="18">
        <v>5.94</v>
      </c>
      <c r="G1048" s="23">
        <v>2.13</v>
      </c>
      <c r="H1048" s="20">
        <v>6.89</v>
      </c>
      <c r="I1048" s="25">
        <v>5.1445219658054189</v>
      </c>
      <c r="J1048" s="24">
        <f>G1048/F1048*((100-H1048)/100)*((100-I1048)/100)*100</f>
        <v>31.670279936526956</v>
      </c>
      <c r="K1048" s="53">
        <v>4.9256900212314223</v>
      </c>
      <c r="L1048" s="54">
        <f>J1048*10000/K1048</f>
        <v>64296.128664242227</v>
      </c>
      <c r="M1048" s="55">
        <v>54.1</v>
      </c>
      <c r="N1048" s="55">
        <v>16.600000000000001</v>
      </c>
      <c r="O1048" s="56">
        <v>4.4223999999999997</v>
      </c>
      <c r="P1048" s="55">
        <v>18.5</v>
      </c>
      <c r="Q1048" s="17" t="s">
        <v>424</v>
      </c>
      <c r="R1048" s="17" t="s">
        <v>424</v>
      </c>
      <c r="S1048" s="17" t="s">
        <v>424</v>
      </c>
      <c r="T1048" s="17" t="s">
        <v>424</v>
      </c>
      <c r="U1048" s="17" t="s">
        <v>424</v>
      </c>
      <c r="V1048" s="17" t="s">
        <v>424</v>
      </c>
      <c r="W1048" s="17" t="s">
        <v>424</v>
      </c>
    </row>
    <row r="1049" spans="1:23" x14ac:dyDescent="0.25">
      <c r="A1049" s="16" t="s">
        <v>1159</v>
      </c>
      <c r="B1049" s="17" t="s">
        <v>10</v>
      </c>
      <c r="C1049" s="17" t="s">
        <v>427</v>
      </c>
      <c r="D1049" s="18" t="s">
        <v>67</v>
      </c>
      <c r="E1049" s="18" t="s">
        <v>1490</v>
      </c>
      <c r="F1049" s="18">
        <v>5.94</v>
      </c>
      <c r="G1049" s="26">
        <v>1.5</v>
      </c>
      <c r="H1049" s="17">
        <v>7.26</v>
      </c>
      <c r="I1049" s="25">
        <v>8.2993972959765419</v>
      </c>
      <c r="J1049" s="24">
        <f>G1049/F1049*((100-H1049)/100)*((100-I1049)/100)*100</f>
        <v>21.47554013831094</v>
      </c>
      <c r="K1049" s="53">
        <v>5.4006968641114979</v>
      </c>
      <c r="L1049" s="54">
        <f>J1049*10000/K1049</f>
        <v>39764.387223840255</v>
      </c>
      <c r="M1049" s="55">
        <v>49.5</v>
      </c>
      <c r="N1049" s="55">
        <v>20.2</v>
      </c>
      <c r="O1049" s="56">
        <v>11.297000000000001</v>
      </c>
      <c r="P1049" s="55">
        <v>50</v>
      </c>
      <c r="Q1049" s="17" t="s">
        <v>424</v>
      </c>
      <c r="R1049" s="17" t="s">
        <v>424</v>
      </c>
      <c r="S1049" s="17" t="s">
        <v>424</v>
      </c>
      <c r="T1049" s="17" t="s">
        <v>424</v>
      </c>
      <c r="U1049" s="17" t="s">
        <v>424</v>
      </c>
      <c r="V1049" s="17" t="s">
        <v>424</v>
      </c>
      <c r="W1049" s="17" t="s">
        <v>424</v>
      </c>
    </row>
    <row r="1050" spans="1:23" x14ac:dyDescent="0.25">
      <c r="A1050" s="16" t="s">
        <v>1158</v>
      </c>
      <c r="B1050" s="17" t="s">
        <v>10</v>
      </c>
      <c r="C1050" s="17" t="s">
        <v>427</v>
      </c>
      <c r="D1050" s="18" t="s">
        <v>172</v>
      </c>
      <c r="E1050" s="18" t="s">
        <v>1476</v>
      </c>
      <c r="F1050" s="18">
        <v>5.94</v>
      </c>
      <c r="G1050" s="26">
        <v>1.51</v>
      </c>
      <c r="H1050" s="17">
        <v>7.26</v>
      </c>
      <c r="I1050" s="25">
        <v>26.997029857745812</v>
      </c>
      <c r="J1050" s="24">
        <f>G1050/F1050*((100-H1050)/100)*((100-I1050)/100)*100</f>
        <v>17.210683722220381</v>
      </c>
      <c r="K1050" s="53">
        <v>4.3959107806691451</v>
      </c>
      <c r="L1050" s="54">
        <f>J1050*10000/K1050</f>
        <v>39151.576501287804</v>
      </c>
      <c r="M1050" s="55">
        <v>48.9</v>
      </c>
      <c r="N1050" s="55">
        <v>22.8</v>
      </c>
      <c r="O1050" s="56">
        <v>42.192</v>
      </c>
      <c r="P1050" s="55">
        <v>61.6</v>
      </c>
      <c r="Q1050" s="17" t="s">
        <v>424</v>
      </c>
      <c r="R1050" s="17" t="s">
        <v>424</v>
      </c>
      <c r="S1050" s="17" t="s">
        <v>424</v>
      </c>
      <c r="T1050" s="17" t="s">
        <v>424</v>
      </c>
      <c r="U1050" s="17" t="s">
        <v>424</v>
      </c>
      <c r="V1050" s="17" t="s">
        <v>424</v>
      </c>
      <c r="W1050" s="17" t="s">
        <v>424</v>
      </c>
    </row>
    <row r="1051" spans="1:23" x14ac:dyDescent="0.25">
      <c r="A1051" s="16" t="s">
        <v>1157</v>
      </c>
      <c r="B1051" s="17" t="s">
        <v>10</v>
      </c>
      <c r="C1051" s="17" t="s">
        <v>427</v>
      </c>
      <c r="D1051" s="18" t="s">
        <v>97</v>
      </c>
      <c r="E1051" s="18" t="s">
        <v>1529</v>
      </c>
      <c r="F1051" s="18">
        <v>5.94</v>
      </c>
      <c r="G1051" s="26">
        <v>1.3</v>
      </c>
      <c r="H1051" s="17">
        <v>7.26</v>
      </c>
      <c r="I1051" s="25">
        <v>11.174271920261639</v>
      </c>
      <c r="J1051" s="24">
        <f>G1051/F1051*((100-H1051)/100)*((100-I1051)/100)*100</f>
        <v>18.028632034931675</v>
      </c>
      <c r="K1051" s="53">
        <v>5.8890290037831026</v>
      </c>
      <c r="L1051" s="54">
        <f>J1051*10000/K1051</f>
        <v>30613.929772378626</v>
      </c>
      <c r="M1051" s="55">
        <v>47.3</v>
      </c>
      <c r="N1051" s="55">
        <v>19.899999999999999</v>
      </c>
      <c r="O1051" s="56">
        <v>2.17</v>
      </c>
      <c r="P1051" s="55">
        <v>24.1</v>
      </c>
      <c r="Q1051" s="17" t="s">
        <v>424</v>
      </c>
      <c r="R1051" s="17" t="s">
        <v>424</v>
      </c>
      <c r="S1051" s="17" t="s">
        <v>424</v>
      </c>
      <c r="T1051" s="17" t="s">
        <v>424</v>
      </c>
      <c r="U1051" s="17" t="s">
        <v>424</v>
      </c>
      <c r="V1051" s="17" t="s">
        <v>424</v>
      </c>
      <c r="W1051" s="17" t="s">
        <v>424</v>
      </c>
    </row>
    <row r="1052" spans="1:23" x14ac:dyDescent="0.25">
      <c r="A1052" s="16" t="s">
        <v>1156</v>
      </c>
      <c r="B1052" s="17" t="s">
        <v>10</v>
      </c>
      <c r="C1052" s="17" t="s">
        <v>427</v>
      </c>
      <c r="D1052" s="18" t="s">
        <v>81</v>
      </c>
      <c r="E1052" s="18" t="s">
        <v>1780</v>
      </c>
      <c r="F1052" s="18">
        <v>5.94</v>
      </c>
      <c r="G1052" s="26">
        <v>3.12</v>
      </c>
      <c r="H1052" s="17">
        <v>7.26</v>
      </c>
      <c r="I1052" s="25">
        <v>8.2225583061370671</v>
      </c>
      <c r="J1052" s="24">
        <f>G1052/F1052*((100-H1052)/100)*((100-I1052)/100)*100</f>
        <v>44.706553234325256</v>
      </c>
      <c r="K1052" s="53">
        <v>4.5077220077220082</v>
      </c>
      <c r="L1052" s="54">
        <f>J1052*10000/K1052</f>
        <v>99177.706960944241</v>
      </c>
      <c r="M1052" s="55">
        <v>54.7</v>
      </c>
      <c r="N1052" s="55">
        <v>15.5</v>
      </c>
      <c r="O1052" s="56">
        <v>-0.27482000000000001</v>
      </c>
      <c r="P1052" s="55">
        <v>14.6</v>
      </c>
      <c r="Q1052" s="17" t="s">
        <v>424</v>
      </c>
      <c r="R1052" s="17" t="s">
        <v>424</v>
      </c>
      <c r="S1052" s="17" t="s">
        <v>424</v>
      </c>
      <c r="T1052" s="17" t="s">
        <v>424</v>
      </c>
      <c r="U1052" s="17" t="s">
        <v>424</v>
      </c>
      <c r="V1052" s="17" t="s">
        <v>424</v>
      </c>
      <c r="W1052" s="17" t="s">
        <v>424</v>
      </c>
    </row>
    <row r="1053" spans="1:23" x14ac:dyDescent="0.25">
      <c r="A1053" s="16" t="s">
        <v>1155</v>
      </c>
      <c r="B1053" s="17" t="s">
        <v>10</v>
      </c>
      <c r="C1053" s="17" t="s">
        <v>427</v>
      </c>
      <c r="D1053" s="18" t="s">
        <v>74</v>
      </c>
      <c r="E1053" s="18" t="s">
        <v>1678</v>
      </c>
      <c r="F1053" s="18">
        <v>5.94</v>
      </c>
      <c r="G1053" s="26">
        <v>1.95</v>
      </c>
      <c r="H1053" s="17">
        <v>7.26</v>
      </c>
      <c r="I1053" s="25">
        <v>10.165349841166401</v>
      </c>
      <c r="J1053" s="24">
        <f>G1053/F1053*((100-H1053)/100)*((100-I1053)/100)*100</f>
        <v>27.350113869821453</v>
      </c>
      <c r="K1053" s="53">
        <v>5.8757763975155282</v>
      </c>
      <c r="L1053" s="54">
        <f>J1053*10000/K1053</f>
        <v>46547.233964495288</v>
      </c>
      <c r="M1053" s="55">
        <v>52.5</v>
      </c>
      <c r="N1053" s="55">
        <v>16.899999999999999</v>
      </c>
      <c r="O1053" s="56">
        <v>3.1080999999999999</v>
      </c>
      <c r="P1053" s="55">
        <v>18.600000000000001</v>
      </c>
      <c r="Q1053" s="17" t="s">
        <v>424</v>
      </c>
      <c r="R1053" s="17" t="s">
        <v>424</v>
      </c>
      <c r="S1053" s="17" t="s">
        <v>424</v>
      </c>
      <c r="T1053" s="17" t="s">
        <v>424</v>
      </c>
      <c r="U1053" s="17" t="s">
        <v>424</v>
      </c>
      <c r="V1053" s="17" t="s">
        <v>424</v>
      </c>
      <c r="W1053" s="17" t="s">
        <v>424</v>
      </c>
    </row>
    <row r="1054" spans="1:23" x14ac:dyDescent="0.25">
      <c r="A1054" s="16" t="s">
        <v>1154</v>
      </c>
      <c r="B1054" s="17" t="s">
        <v>10</v>
      </c>
      <c r="C1054" s="17" t="s">
        <v>427</v>
      </c>
      <c r="D1054" s="18" t="s">
        <v>71</v>
      </c>
      <c r="E1054" s="18" t="s">
        <v>1604</v>
      </c>
      <c r="F1054" s="18">
        <v>5.94</v>
      </c>
      <c r="G1054" s="26">
        <v>1.8</v>
      </c>
      <c r="H1054" s="17">
        <v>7.26</v>
      </c>
      <c r="I1054" s="25">
        <v>6.917780477926291</v>
      </c>
      <c r="J1054" s="24">
        <f>G1054/F1054*((100-H1054)/100)*((100-I1054)/100)*100</f>
        <v>26.158924359021562</v>
      </c>
      <c r="K1054" s="53">
        <v>5.906801007556675</v>
      </c>
      <c r="L1054" s="54">
        <f>J1054*10000/K1054</f>
        <v>44286.110748535437</v>
      </c>
      <c r="M1054" s="55">
        <v>51.1</v>
      </c>
      <c r="N1054" s="55">
        <v>17.7</v>
      </c>
      <c r="O1054" s="56">
        <v>1.6352</v>
      </c>
      <c r="P1054" s="55">
        <v>15.7</v>
      </c>
      <c r="Q1054" s="17" t="s">
        <v>424</v>
      </c>
      <c r="R1054" s="17" t="s">
        <v>424</v>
      </c>
      <c r="S1054" s="17" t="s">
        <v>424</v>
      </c>
      <c r="T1054" s="17" t="s">
        <v>424</v>
      </c>
      <c r="U1054" s="17" t="s">
        <v>424</v>
      </c>
      <c r="V1054" s="17" t="s">
        <v>424</v>
      </c>
      <c r="W1054" s="17" t="s">
        <v>424</v>
      </c>
    </row>
    <row r="1055" spans="1:23" x14ac:dyDescent="0.25">
      <c r="A1055" s="16" t="s">
        <v>750</v>
      </c>
      <c r="B1055" s="17" t="s">
        <v>10</v>
      </c>
      <c r="C1055" s="17" t="s">
        <v>13</v>
      </c>
      <c r="D1055" s="18" t="s">
        <v>277</v>
      </c>
      <c r="E1055" s="18" t="s">
        <v>1460</v>
      </c>
      <c r="F1055" s="18">
        <v>5.94</v>
      </c>
      <c r="G1055" s="23">
        <v>1.93</v>
      </c>
      <c r="H1055" s="20">
        <v>6.89</v>
      </c>
      <c r="I1055" s="25">
        <v>7.5813382443216666</v>
      </c>
      <c r="J1055" s="24">
        <f>G1055/F1055*((100-H1055)/100)*((100-I1055)/100)*100</f>
        <v>27.959336835719583</v>
      </c>
      <c r="K1055" s="53">
        <v>4.9839572192513373</v>
      </c>
      <c r="L1055" s="54">
        <f>J1055*10000/K1055</f>
        <v>56098.669402141219</v>
      </c>
      <c r="M1055" s="55">
        <v>49.9</v>
      </c>
      <c r="N1055" s="55">
        <v>19.7</v>
      </c>
      <c r="O1055" s="56">
        <v>44.505000000000003</v>
      </c>
      <c r="P1055" s="55">
        <v>69.599999999999994</v>
      </c>
      <c r="Q1055" s="17" t="s">
        <v>424</v>
      </c>
      <c r="R1055" s="17" t="s">
        <v>424</v>
      </c>
      <c r="S1055" s="17" t="s">
        <v>424</v>
      </c>
      <c r="T1055" s="17" t="s">
        <v>424</v>
      </c>
      <c r="U1055" s="17" t="s">
        <v>424</v>
      </c>
      <c r="V1055" s="17" t="s">
        <v>424</v>
      </c>
      <c r="W1055" s="17" t="s">
        <v>424</v>
      </c>
    </row>
    <row r="1056" spans="1:23" x14ac:dyDescent="0.25">
      <c r="A1056" s="16" t="s">
        <v>749</v>
      </c>
      <c r="B1056" s="17" t="s">
        <v>10</v>
      </c>
      <c r="C1056" s="17" t="s">
        <v>13</v>
      </c>
      <c r="D1056" s="18" t="s">
        <v>96</v>
      </c>
      <c r="E1056" s="18" t="s">
        <v>1527</v>
      </c>
      <c r="F1056" s="18">
        <v>5.94</v>
      </c>
      <c r="G1056" s="23">
        <v>1.91</v>
      </c>
      <c r="H1056" s="20">
        <v>6.89</v>
      </c>
      <c r="I1056" s="25">
        <v>8.8512529695762208</v>
      </c>
      <c r="J1056" s="24">
        <f>G1056/F1056*((100-H1056)/100)*((100-I1056)/100)*100</f>
        <v>27.289397789167118</v>
      </c>
      <c r="K1056" s="53">
        <v>5.1995685005393746</v>
      </c>
      <c r="L1056" s="54">
        <f>J1056*10000/K1056</f>
        <v>52483.966287464558</v>
      </c>
      <c r="M1056" s="55">
        <v>47.6</v>
      </c>
      <c r="N1056" s="55">
        <v>18.399999999999999</v>
      </c>
      <c r="O1056" s="56">
        <v>7.1898</v>
      </c>
      <c r="P1056" s="55">
        <v>47.6</v>
      </c>
      <c r="Q1056" s="17" t="s">
        <v>424</v>
      </c>
      <c r="R1056" s="17" t="s">
        <v>424</v>
      </c>
      <c r="S1056" s="17" t="s">
        <v>424</v>
      </c>
      <c r="T1056" s="17" t="s">
        <v>424</v>
      </c>
      <c r="U1056" s="17" t="s">
        <v>424</v>
      </c>
      <c r="V1056" s="17" t="s">
        <v>424</v>
      </c>
      <c r="W1056" s="17" t="s">
        <v>424</v>
      </c>
    </row>
    <row r="1057" spans="1:23" x14ac:dyDescent="0.25">
      <c r="A1057" s="16" t="s">
        <v>748</v>
      </c>
      <c r="B1057" s="17" t="s">
        <v>10</v>
      </c>
      <c r="C1057" s="17" t="s">
        <v>13</v>
      </c>
      <c r="D1057" s="18" t="s">
        <v>25</v>
      </c>
      <c r="E1057" s="18" t="s">
        <v>1756</v>
      </c>
      <c r="F1057" s="18">
        <v>5.94</v>
      </c>
      <c r="G1057" s="23">
        <v>2.09</v>
      </c>
      <c r="H1057" s="20">
        <v>6.89</v>
      </c>
      <c r="I1057" s="25">
        <v>10.060531760018387</v>
      </c>
      <c r="J1057" s="24">
        <f>G1057/F1057*((100-H1057)/100)*((100-I1057)/100)*100</f>
        <v>29.465002568272048</v>
      </c>
      <c r="K1057" s="53">
        <v>4.7389969293756398</v>
      </c>
      <c r="L1057" s="54">
        <f>J1057*10000/K1057</f>
        <v>62175.610171062181</v>
      </c>
      <c r="M1057" s="55">
        <v>51.7</v>
      </c>
      <c r="N1057" s="55">
        <v>17.100000000000001</v>
      </c>
      <c r="O1057" s="56">
        <v>7.1208</v>
      </c>
      <c r="P1057" s="55">
        <v>19.5</v>
      </c>
      <c r="Q1057" s="17" t="s">
        <v>424</v>
      </c>
      <c r="R1057" s="17" t="s">
        <v>424</v>
      </c>
      <c r="S1057" s="17" t="s">
        <v>424</v>
      </c>
      <c r="T1057" s="17" t="s">
        <v>424</v>
      </c>
      <c r="U1057" s="17" t="s">
        <v>424</v>
      </c>
      <c r="V1057" s="17" t="s">
        <v>424</v>
      </c>
      <c r="W1057" s="17" t="s">
        <v>424</v>
      </c>
    </row>
    <row r="1058" spans="1:23" x14ac:dyDescent="0.25">
      <c r="A1058" s="16" t="s">
        <v>747</v>
      </c>
      <c r="B1058" s="17" t="s">
        <v>10</v>
      </c>
      <c r="C1058" s="17" t="s">
        <v>13</v>
      </c>
      <c r="D1058" s="18" t="s">
        <v>242</v>
      </c>
      <c r="E1058" s="18" t="s">
        <v>1458</v>
      </c>
      <c r="F1058" s="18">
        <v>5.94</v>
      </c>
      <c r="G1058" s="23">
        <v>1.1399999999999999</v>
      </c>
      <c r="H1058" s="20">
        <v>6.89</v>
      </c>
      <c r="I1058" s="25">
        <v>11.940069150979644</v>
      </c>
      <c r="J1058" s="24">
        <f>G1058/F1058*((100-H1058)/100)*((100-I1058)/100)*100</f>
        <v>15.735953845019537</v>
      </c>
      <c r="K1058" s="53">
        <v>4.507434944237918</v>
      </c>
      <c r="L1058" s="54">
        <f>J1058*10000/K1058</f>
        <v>34911.10584998149</v>
      </c>
      <c r="M1058" s="55">
        <v>48.3</v>
      </c>
      <c r="N1058" s="55">
        <v>19.2</v>
      </c>
      <c r="O1058" s="56">
        <v>32.414999999999999</v>
      </c>
      <c r="P1058" s="55">
        <v>45.8</v>
      </c>
      <c r="Q1058" s="17" t="s">
        <v>424</v>
      </c>
      <c r="R1058" s="17" t="s">
        <v>424</v>
      </c>
      <c r="S1058" s="17" t="s">
        <v>424</v>
      </c>
      <c r="T1058" s="17" t="s">
        <v>424</v>
      </c>
      <c r="U1058" s="17" t="s">
        <v>424</v>
      </c>
      <c r="V1058" s="17" t="s">
        <v>424</v>
      </c>
      <c r="W1058" s="17" t="s">
        <v>424</v>
      </c>
    </row>
    <row r="1059" spans="1:23" x14ac:dyDescent="0.25">
      <c r="A1059" s="16" t="s">
        <v>746</v>
      </c>
      <c r="B1059" s="17" t="s">
        <v>10</v>
      </c>
      <c r="C1059" s="17" t="s">
        <v>13</v>
      </c>
      <c r="D1059" s="18" t="s">
        <v>31</v>
      </c>
      <c r="E1059" s="18" t="s">
        <v>1668</v>
      </c>
      <c r="F1059" s="18">
        <v>5.94</v>
      </c>
      <c r="G1059" s="23">
        <v>2.23</v>
      </c>
      <c r="H1059" s="20">
        <v>6.89</v>
      </c>
      <c r="I1059" s="25">
        <v>5.3533026113671154</v>
      </c>
      <c r="J1059" s="24">
        <f>G1059/F1059*((100-H1059)/100)*((100-I1059)/100)*100</f>
        <v>33.084167350670043</v>
      </c>
      <c r="K1059" s="53">
        <v>4.5596868884540118</v>
      </c>
      <c r="L1059" s="54">
        <f>J1059*10000/K1059</f>
        <v>72557.980756190518</v>
      </c>
      <c r="M1059" s="55">
        <v>51.8</v>
      </c>
      <c r="N1059" s="55">
        <v>17.5</v>
      </c>
      <c r="O1059" s="56">
        <v>0.47650999999999999</v>
      </c>
      <c r="P1059" s="55">
        <v>16</v>
      </c>
      <c r="Q1059" s="17" t="s">
        <v>424</v>
      </c>
      <c r="R1059" s="17" t="s">
        <v>424</v>
      </c>
      <c r="S1059" s="17" t="s">
        <v>424</v>
      </c>
      <c r="T1059" s="17" t="s">
        <v>424</v>
      </c>
      <c r="U1059" s="17" t="s">
        <v>424</v>
      </c>
      <c r="V1059" s="17" t="s">
        <v>424</v>
      </c>
      <c r="W1059" s="17" t="s">
        <v>424</v>
      </c>
    </row>
    <row r="1060" spans="1:23" x14ac:dyDescent="0.25">
      <c r="A1060" s="16" t="s">
        <v>745</v>
      </c>
      <c r="B1060" s="17" t="s">
        <v>10</v>
      </c>
      <c r="C1060" s="17" t="s">
        <v>13</v>
      </c>
      <c r="D1060" s="18" t="s">
        <v>77</v>
      </c>
      <c r="E1060" s="18" t="s">
        <v>1630</v>
      </c>
      <c r="F1060" s="18">
        <v>5.94</v>
      </c>
      <c r="G1060" s="23">
        <v>1.9</v>
      </c>
      <c r="H1060" s="20">
        <v>6.89</v>
      </c>
      <c r="I1060" s="25">
        <v>6.5614943881955892</v>
      </c>
      <c r="J1060" s="24">
        <f>G1060/F1060*((100-H1060)/100)*((100-I1060)/100)*100</f>
        <v>27.828472372523077</v>
      </c>
      <c r="K1060" s="53">
        <v>4.5193260654112981</v>
      </c>
      <c r="L1060" s="54">
        <f>J1060*10000/K1060</f>
        <v>61576.597859376729</v>
      </c>
      <c r="M1060" s="55">
        <v>51</v>
      </c>
      <c r="N1060" s="55">
        <v>18.5</v>
      </c>
      <c r="O1060" s="56">
        <v>2.7953000000000001</v>
      </c>
      <c r="P1060" s="55">
        <v>12.7</v>
      </c>
      <c r="Q1060" s="17" t="s">
        <v>424</v>
      </c>
      <c r="R1060" s="17" t="s">
        <v>424</v>
      </c>
      <c r="S1060" s="17" t="s">
        <v>424</v>
      </c>
      <c r="T1060" s="17" t="s">
        <v>424</v>
      </c>
      <c r="U1060" s="17" t="s">
        <v>424</v>
      </c>
      <c r="V1060" s="17" t="s">
        <v>424</v>
      </c>
      <c r="W1060" s="17" t="s">
        <v>424</v>
      </c>
    </row>
    <row r="1061" spans="1:23" x14ac:dyDescent="0.25">
      <c r="A1061" s="16" t="s">
        <v>1165</v>
      </c>
      <c r="B1061" s="17" t="s">
        <v>10</v>
      </c>
      <c r="C1061" s="17" t="s">
        <v>427</v>
      </c>
      <c r="D1061" s="18" t="s">
        <v>288</v>
      </c>
      <c r="E1061" s="18" t="s">
        <v>1570</v>
      </c>
      <c r="F1061" s="18">
        <v>5.94</v>
      </c>
      <c r="G1061" s="26">
        <v>1.72</v>
      </c>
      <c r="H1061" s="17">
        <v>7.26</v>
      </c>
      <c r="I1061" s="25">
        <v>7.7542279004504842</v>
      </c>
      <c r="J1061" s="24">
        <f>G1061/F1061*((100-H1061)/100)*((100-I1061)/100)*100</f>
        <v>24.771685851449529</v>
      </c>
      <c r="K1061" s="53">
        <v>5.3997682502896875</v>
      </c>
      <c r="L1061" s="54">
        <f>J1061*10000/K1061</f>
        <v>45875.461136911894</v>
      </c>
      <c r="M1061" s="55">
        <v>49.7</v>
      </c>
      <c r="N1061" s="55">
        <v>18.100000000000001</v>
      </c>
      <c r="O1061" s="56">
        <v>4.8910999999999998</v>
      </c>
      <c r="P1061" s="55">
        <v>20</v>
      </c>
      <c r="Q1061" s="17" t="s">
        <v>424</v>
      </c>
      <c r="R1061" s="17" t="s">
        <v>424</v>
      </c>
      <c r="S1061" s="17" t="s">
        <v>424</v>
      </c>
      <c r="T1061" s="17" t="s">
        <v>424</v>
      </c>
      <c r="U1061" s="17" t="s">
        <v>424</v>
      </c>
      <c r="V1061" s="17" t="s">
        <v>424</v>
      </c>
      <c r="W1061" s="17" t="s">
        <v>424</v>
      </c>
    </row>
    <row r="1062" spans="1:23" x14ac:dyDescent="0.25">
      <c r="A1062" s="16" t="s">
        <v>1164</v>
      </c>
      <c r="B1062" s="17" t="s">
        <v>10</v>
      </c>
      <c r="C1062" s="17" t="s">
        <v>427</v>
      </c>
      <c r="D1062" s="18" t="s">
        <v>206</v>
      </c>
      <c r="E1062" s="18" t="s">
        <v>1533</v>
      </c>
      <c r="F1062" s="18">
        <v>5.94</v>
      </c>
      <c r="G1062" s="26">
        <v>2.2799999999999998</v>
      </c>
      <c r="H1062" s="17">
        <v>7.26</v>
      </c>
      <c r="I1062" s="25">
        <v>6.8627450980392091</v>
      </c>
      <c r="J1062" s="24">
        <f>G1062/F1062*((100-H1062)/100)*((100-I1062)/100)*100</f>
        <v>33.154228560110909</v>
      </c>
      <c r="K1062" s="53">
        <v>5.4493087557603683</v>
      </c>
      <c r="L1062" s="54">
        <f>J1062*10000/K1062</f>
        <v>60841.163615594654</v>
      </c>
      <c r="M1062" s="55">
        <v>53.7</v>
      </c>
      <c r="N1062" s="55">
        <v>16.3</v>
      </c>
      <c r="O1062" s="56">
        <v>4.5929000000000002</v>
      </c>
      <c r="P1062" s="55">
        <v>13.9</v>
      </c>
      <c r="Q1062" s="17" t="s">
        <v>424</v>
      </c>
      <c r="R1062" s="17" t="s">
        <v>424</v>
      </c>
      <c r="S1062" s="17" t="s">
        <v>424</v>
      </c>
      <c r="T1062" s="17" t="s">
        <v>424</v>
      </c>
      <c r="U1062" s="17" t="s">
        <v>424</v>
      </c>
      <c r="V1062" s="17" t="s">
        <v>424</v>
      </c>
      <c r="W1062" s="17" t="s">
        <v>424</v>
      </c>
    </row>
    <row r="1063" spans="1:23" x14ac:dyDescent="0.25">
      <c r="A1063" s="16" t="s">
        <v>1163</v>
      </c>
      <c r="B1063" s="17" t="s">
        <v>10</v>
      </c>
      <c r="C1063" s="17" t="s">
        <v>427</v>
      </c>
      <c r="D1063" s="18" t="s">
        <v>11</v>
      </c>
      <c r="E1063" s="18" t="s">
        <v>1592</v>
      </c>
      <c r="F1063" s="18">
        <v>5.94</v>
      </c>
      <c r="G1063" s="26">
        <v>1.72</v>
      </c>
      <c r="H1063" s="17">
        <v>7.26</v>
      </c>
      <c r="I1063" s="25">
        <v>6.2050420168067157</v>
      </c>
      <c r="J1063" s="24">
        <f>G1063/F1063*((100-H1063)/100)*((100-I1063)/100)*100</f>
        <v>25.187704332965506</v>
      </c>
      <c r="K1063" s="53">
        <v>4.0051020408163263</v>
      </c>
      <c r="L1063" s="54">
        <f>J1063*10000/K1063</f>
        <v>62889.04521351897</v>
      </c>
      <c r="M1063" s="55">
        <v>52.1</v>
      </c>
      <c r="N1063" s="55">
        <v>18.2</v>
      </c>
      <c r="O1063" s="56">
        <v>1.4448000000000001</v>
      </c>
      <c r="P1063" s="55">
        <v>16.399999999999999</v>
      </c>
      <c r="Q1063" s="17" t="s">
        <v>424</v>
      </c>
      <c r="R1063" s="17" t="s">
        <v>424</v>
      </c>
      <c r="S1063" s="17" t="s">
        <v>424</v>
      </c>
      <c r="T1063" s="17" t="s">
        <v>424</v>
      </c>
      <c r="U1063" s="17" t="s">
        <v>424</v>
      </c>
      <c r="V1063" s="17" t="s">
        <v>424</v>
      </c>
      <c r="W1063" s="17" t="s">
        <v>424</v>
      </c>
    </row>
    <row r="1064" spans="1:23" x14ac:dyDescent="0.25">
      <c r="A1064" s="16" t="s">
        <v>1162</v>
      </c>
      <c r="B1064" s="17" t="s">
        <v>10</v>
      </c>
      <c r="C1064" s="17" t="s">
        <v>427</v>
      </c>
      <c r="D1064" s="18" t="s">
        <v>220</v>
      </c>
      <c r="E1064" s="18" t="s">
        <v>1642</v>
      </c>
      <c r="F1064" s="18">
        <v>5.94</v>
      </c>
      <c r="G1064" s="26">
        <v>1.53</v>
      </c>
      <c r="H1064" s="17">
        <v>7.26</v>
      </c>
      <c r="I1064" s="25">
        <v>15.481339099791764</v>
      </c>
      <c r="J1064" s="24">
        <f>G1064/F1064*((100-H1064)/100)*((100-I1064)/100)*100</f>
        <v>20.189459151825805</v>
      </c>
      <c r="K1064" s="53">
        <v>4.0270727580372254</v>
      </c>
      <c r="L1064" s="54">
        <f>J1064*10000/K1064</f>
        <v>50134.32923835735</v>
      </c>
      <c r="M1064" s="55">
        <v>49.8</v>
      </c>
      <c r="N1064" s="55">
        <v>17.100000000000001</v>
      </c>
      <c r="O1064" s="56">
        <v>5.4257999999999997</v>
      </c>
      <c r="P1064" s="55">
        <v>12</v>
      </c>
      <c r="Q1064" s="17" t="s">
        <v>424</v>
      </c>
      <c r="R1064" s="17" t="s">
        <v>424</v>
      </c>
      <c r="S1064" s="17" t="s">
        <v>424</v>
      </c>
      <c r="T1064" s="17" t="s">
        <v>424</v>
      </c>
      <c r="U1064" s="17" t="s">
        <v>424</v>
      </c>
      <c r="V1064" s="17" t="s">
        <v>424</v>
      </c>
      <c r="W1064" s="17" t="s">
        <v>424</v>
      </c>
    </row>
    <row r="1065" spans="1:23" x14ac:dyDescent="0.25">
      <c r="A1065" s="16" t="s">
        <v>1161</v>
      </c>
      <c r="B1065" s="17" t="s">
        <v>10</v>
      </c>
      <c r="C1065" s="17" t="s">
        <v>427</v>
      </c>
      <c r="D1065" s="18" t="s">
        <v>190</v>
      </c>
      <c r="E1065" s="18" t="s">
        <v>1456</v>
      </c>
      <c r="F1065" s="18">
        <v>5.94</v>
      </c>
      <c r="G1065" s="26">
        <v>1.45</v>
      </c>
      <c r="H1065" s="17">
        <v>7.26</v>
      </c>
      <c r="I1065" s="25">
        <v>11.762394908462324</v>
      </c>
      <c r="J1065" s="24">
        <f>G1065/F1065*((100-H1065)/100)*((100-I1065)/100)*100</f>
        <v>19.975716278576336</v>
      </c>
      <c r="K1065" s="53">
        <v>5.0320512820512819</v>
      </c>
      <c r="L1065" s="54">
        <f>J1065*10000/K1065</f>
        <v>39696.964833858707</v>
      </c>
      <c r="M1065" s="55">
        <v>49.3</v>
      </c>
      <c r="N1065" s="55">
        <v>20.7</v>
      </c>
      <c r="O1065" s="56">
        <v>48.09</v>
      </c>
      <c r="P1065" s="55">
        <v>52.2</v>
      </c>
      <c r="Q1065" s="17" t="s">
        <v>424</v>
      </c>
      <c r="R1065" s="17" t="s">
        <v>424</v>
      </c>
      <c r="S1065" s="17" t="s">
        <v>424</v>
      </c>
      <c r="T1065" s="17" t="s">
        <v>424</v>
      </c>
      <c r="U1065" s="17" t="s">
        <v>424</v>
      </c>
      <c r="V1065" s="17" t="s">
        <v>424</v>
      </c>
      <c r="W1065" s="17" t="s">
        <v>424</v>
      </c>
    </row>
    <row r="1066" spans="1:23" x14ac:dyDescent="0.25">
      <c r="A1066" s="16" t="s">
        <v>1160</v>
      </c>
      <c r="B1066" s="17" t="s">
        <v>10</v>
      </c>
      <c r="C1066" s="17" t="s">
        <v>427</v>
      </c>
      <c r="D1066" s="18" t="s">
        <v>85</v>
      </c>
      <c r="E1066" s="18" t="s">
        <v>1764</v>
      </c>
      <c r="F1066" s="18">
        <v>5.94</v>
      </c>
      <c r="G1066" s="26">
        <v>2.6</v>
      </c>
      <c r="H1066" s="17">
        <v>7.26</v>
      </c>
      <c r="I1066" s="25">
        <v>6.6307277628032351</v>
      </c>
      <c r="J1066" s="24">
        <f>G1066/F1066*((100-H1066)/100)*((100-I1066)/100)*100</f>
        <v>37.901637035221938</v>
      </c>
      <c r="K1066" s="53">
        <v>5.4063604240282688</v>
      </c>
      <c r="L1066" s="54">
        <f>J1066*10000/K1066</f>
        <v>70105.642359266712</v>
      </c>
      <c r="M1066" s="55">
        <v>53</v>
      </c>
      <c r="N1066" s="55">
        <v>15.9</v>
      </c>
      <c r="O1066" s="56">
        <v>0.94066000000000005</v>
      </c>
      <c r="P1066" s="55">
        <v>14.6</v>
      </c>
      <c r="Q1066" s="17" t="s">
        <v>424</v>
      </c>
      <c r="R1066" s="17" t="s">
        <v>424</v>
      </c>
      <c r="S1066" s="17" t="s">
        <v>424</v>
      </c>
      <c r="T1066" s="17" t="s">
        <v>424</v>
      </c>
      <c r="U1066" s="17" t="s">
        <v>424</v>
      </c>
      <c r="V1066" s="17" t="s">
        <v>424</v>
      </c>
      <c r="W1066" s="17" t="s">
        <v>424</v>
      </c>
    </row>
    <row r="1067" spans="1:23" x14ac:dyDescent="0.25">
      <c r="A1067" s="16" t="s">
        <v>756</v>
      </c>
      <c r="B1067" s="17" t="s">
        <v>10</v>
      </c>
      <c r="C1067" s="17" t="s">
        <v>13</v>
      </c>
      <c r="D1067" s="18" t="s">
        <v>232</v>
      </c>
      <c r="E1067" s="18" t="s">
        <v>1598</v>
      </c>
      <c r="F1067" s="18">
        <v>5.94</v>
      </c>
      <c r="G1067" s="23">
        <v>2.2999999999999998</v>
      </c>
      <c r="H1067" s="20">
        <v>6.89</v>
      </c>
      <c r="I1067" s="25">
        <v>7.470823095823099</v>
      </c>
      <c r="J1067" s="24">
        <f>G1067/F1067*((100-H1067)/100)*((100-I1067)/100)*100</f>
        <v>33.359260642357228</v>
      </c>
      <c r="K1067" s="53">
        <v>4.5609065155807365</v>
      </c>
      <c r="L1067" s="54">
        <f>J1067*10000/K1067</f>
        <v>73141.732961193178</v>
      </c>
      <c r="M1067" s="55">
        <v>49.6</v>
      </c>
      <c r="N1067" s="55">
        <v>17.3</v>
      </c>
      <c r="O1067" s="56">
        <v>-4.0819000000000001E-2</v>
      </c>
      <c r="P1067" s="55">
        <v>18.3</v>
      </c>
      <c r="Q1067" s="17" t="s">
        <v>424</v>
      </c>
      <c r="R1067" s="17" t="s">
        <v>424</v>
      </c>
      <c r="S1067" s="17" t="s">
        <v>424</v>
      </c>
      <c r="T1067" s="17" t="s">
        <v>424</v>
      </c>
      <c r="U1067" s="17" t="s">
        <v>424</v>
      </c>
      <c r="V1067" s="17" t="s">
        <v>424</v>
      </c>
      <c r="W1067" s="17" t="s">
        <v>424</v>
      </c>
    </row>
    <row r="1068" spans="1:23" x14ac:dyDescent="0.25">
      <c r="A1068" s="16" t="s">
        <v>755</v>
      </c>
      <c r="B1068" s="17" t="s">
        <v>10</v>
      </c>
      <c r="C1068" s="17" t="s">
        <v>13</v>
      </c>
      <c r="D1068" s="18" t="s">
        <v>230</v>
      </c>
      <c r="E1068" s="18" t="s">
        <v>1622</v>
      </c>
      <c r="F1068" s="18">
        <v>5.94</v>
      </c>
      <c r="G1068" s="23">
        <v>1.38</v>
      </c>
      <c r="H1068" s="20">
        <v>6.89</v>
      </c>
      <c r="I1068" s="25">
        <v>7.2415911534326476</v>
      </c>
      <c r="J1068" s="24">
        <f>G1068/F1068*((100-H1068)/100)*((100-I1068)/100)*100</f>
        <v>20.065142959312059</v>
      </c>
      <c r="K1068" s="53">
        <v>5.2702702702702702</v>
      </c>
      <c r="L1068" s="54">
        <f>J1068*10000/K1068</f>
        <v>38072.322538181856</v>
      </c>
      <c r="M1068" s="55">
        <v>50.3</v>
      </c>
      <c r="N1068" s="55">
        <v>17.3</v>
      </c>
      <c r="O1068" s="56">
        <v>4.5869</v>
      </c>
      <c r="P1068" s="55">
        <v>18.600000000000001</v>
      </c>
      <c r="Q1068" s="17" t="s">
        <v>424</v>
      </c>
      <c r="R1068" s="17" t="s">
        <v>424</v>
      </c>
      <c r="S1068" s="17" t="s">
        <v>424</v>
      </c>
      <c r="T1068" s="17" t="s">
        <v>424</v>
      </c>
      <c r="U1068" s="17" t="s">
        <v>424</v>
      </c>
      <c r="V1068" s="17" t="s">
        <v>424</v>
      </c>
      <c r="W1068" s="17" t="s">
        <v>424</v>
      </c>
    </row>
    <row r="1069" spans="1:23" x14ac:dyDescent="0.25">
      <c r="A1069" s="16" t="s">
        <v>754</v>
      </c>
      <c r="B1069" s="17" t="s">
        <v>10</v>
      </c>
      <c r="C1069" s="17" t="s">
        <v>13</v>
      </c>
      <c r="D1069" s="18" t="s">
        <v>38</v>
      </c>
      <c r="E1069" s="18" t="s">
        <v>1549</v>
      </c>
      <c r="F1069" s="18">
        <v>5.94</v>
      </c>
      <c r="G1069" s="23">
        <v>2.11</v>
      </c>
      <c r="H1069" s="20">
        <v>6.89</v>
      </c>
      <c r="I1069" s="25">
        <v>8.1994928148774324</v>
      </c>
      <c r="J1069" s="24">
        <f>G1069/F1069*((100-H1069)/100)*((100-I1069)/100)*100</f>
        <v>30.362492294030751</v>
      </c>
      <c r="K1069" s="53">
        <v>4.5429104477611943</v>
      </c>
      <c r="L1069" s="54">
        <f>J1069*10000/K1069</f>
        <v>66834.890634909578</v>
      </c>
      <c r="M1069" s="55">
        <v>51.2</v>
      </c>
      <c r="N1069" s="55">
        <v>17.600000000000001</v>
      </c>
      <c r="O1069" s="56">
        <v>1.6438999999999999</v>
      </c>
      <c r="P1069" s="55">
        <v>12.3</v>
      </c>
      <c r="Q1069" s="17" t="s">
        <v>424</v>
      </c>
      <c r="R1069" s="17" t="s">
        <v>424</v>
      </c>
      <c r="S1069" s="17" t="s">
        <v>424</v>
      </c>
      <c r="T1069" s="17" t="s">
        <v>424</v>
      </c>
      <c r="U1069" s="17" t="s">
        <v>424</v>
      </c>
      <c r="V1069" s="17" t="s">
        <v>424</v>
      </c>
      <c r="W1069" s="17" t="s">
        <v>424</v>
      </c>
    </row>
    <row r="1070" spans="1:23" x14ac:dyDescent="0.25">
      <c r="A1070" s="16" t="s">
        <v>753</v>
      </c>
      <c r="B1070" s="17" t="s">
        <v>10</v>
      </c>
      <c r="C1070" s="17" t="s">
        <v>13</v>
      </c>
      <c r="D1070" s="18" t="s">
        <v>287</v>
      </c>
      <c r="E1070" s="18" t="s">
        <v>1594</v>
      </c>
      <c r="F1070" s="18">
        <v>5.94</v>
      </c>
      <c r="G1070" s="23">
        <v>1.82</v>
      </c>
      <c r="H1070" s="20">
        <v>6.89</v>
      </c>
      <c r="I1070" s="25">
        <v>7.1291388184681468</v>
      </c>
      <c r="J1070" s="24">
        <f>G1070/F1070*((100-H1070)/100)*((100-I1070)/100)*100</f>
        <v>26.494805909081858</v>
      </c>
      <c r="K1070" s="53">
        <v>4.4746716697936213</v>
      </c>
      <c r="L1070" s="54">
        <f>J1070*10000/K1070</f>
        <v>59210.614463482721</v>
      </c>
      <c r="M1070" s="55">
        <v>52.2</v>
      </c>
      <c r="N1070" s="55">
        <v>17.5</v>
      </c>
      <c r="O1070" s="56">
        <v>1.1128</v>
      </c>
      <c r="P1070" s="55">
        <v>15</v>
      </c>
      <c r="Q1070" s="17" t="s">
        <v>424</v>
      </c>
      <c r="R1070" s="17" t="s">
        <v>424</v>
      </c>
      <c r="S1070" s="17" t="s">
        <v>424</v>
      </c>
      <c r="T1070" s="17" t="s">
        <v>424</v>
      </c>
      <c r="U1070" s="17" t="s">
        <v>424</v>
      </c>
      <c r="V1070" s="17" t="s">
        <v>424</v>
      </c>
      <c r="W1070" s="17" t="s">
        <v>424</v>
      </c>
    </row>
    <row r="1071" spans="1:23" x14ac:dyDescent="0.25">
      <c r="A1071" s="16" t="s">
        <v>752</v>
      </c>
      <c r="B1071" s="17" t="s">
        <v>10</v>
      </c>
      <c r="C1071" s="17" t="s">
        <v>13</v>
      </c>
      <c r="D1071" s="18" t="s">
        <v>64</v>
      </c>
      <c r="E1071" s="18" t="s">
        <v>1798</v>
      </c>
      <c r="F1071" s="18">
        <v>5.94</v>
      </c>
      <c r="G1071" s="23">
        <v>2.1</v>
      </c>
      <c r="H1071" s="20">
        <v>6.89</v>
      </c>
      <c r="I1071" s="25">
        <v>8.5114533057534665</v>
      </c>
      <c r="J1071" s="24">
        <f>G1071/F1071*((100-H1071)/100)*((100-I1071)/100)*100</f>
        <v>30.115904080257106</v>
      </c>
      <c r="K1071" s="53">
        <v>4.9726177437020809</v>
      </c>
      <c r="L1071" s="54">
        <f>J1071*10000/K1071</f>
        <v>60563.481112939953</v>
      </c>
      <c r="M1071" s="55">
        <v>53.1</v>
      </c>
      <c r="N1071" s="55">
        <v>16.100000000000001</v>
      </c>
      <c r="O1071" s="56">
        <v>-1.2896000000000001</v>
      </c>
      <c r="P1071" s="55">
        <v>12.4</v>
      </c>
      <c r="Q1071" s="17" t="s">
        <v>424</v>
      </c>
      <c r="R1071" s="17" t="s">
        <v>424</v>
      </c>
      <c r="S1071" s="17" t="s">
        <v>424</v>
      </c>
      <c r="T1071" s="17" t="s">
        <v>424</v>
      </c>
      <c r="U1071" s="17" t="s">
        <v>424</v>
      </c>
      <c r="V1071" s="17" t="s">
        <v>424</v>
      </c>
      <c r="W1071" s="17" t="s">
        <v>424</v>
      </c>
    </row>
    <row r="1072" spans="1:23" x14ac:dyDescent="0.25">
      <c r="A1072" s="16" t="s">
        <v>751</v>
      </c>
      <c r="B1072" s="17" t="s">
        <v>10</v>
      </c>
      <c r="C1072" s="17" t="s">
        <v>13</v>
      </c>
      <c r="D1072" s="18" t="s">
        <v>81</v>
      </c>
      <c r="E1072" s="18" t="s">
        <v>1780</v>
      </c>
      <c r="F1072" s="18">
        <v>5.94</v>
      </c>
      <c r="G1072" s="23">
        <v>2.16</v>
      </c>
      <c r="H1072" s="20">
        <v>6.89</v>
      </c>
      <c r="I1072" s="25">
        <v>6.8878138677723912</v>
      </c>
      <c r="J1072" s="24">
        <f>G1072/F1072*((100-H1072)/100)*((100-I1072)/100)*100</f>
        <v>31.526093275533501</v>
      </c>
      <c r="K1072" s="53">
        <v>4.3372407574391341</v>
      </c>
      <c r="L1072" s="54">
        <f>J1072*10000/K1072</f>
        <v>72686.980130076205</v>
      </c>
      <c r="M1072" s="55">
        <v>54.3</v>
      </c>
      <c r="N1072" s="55">
        <v>14.9</v>
      </c>
      <c r="O1072" s="56">
        <v>3.6608000000000001</v>
      </c>
      <c r="P1072" s="55">
        <v>15.9</v>
      </c>
      <c r="Q1072" s="17" t="s">
        <v>424</v>
      </c>
      <c r="R1072" s="17" t="s">
        <v>424</v>
      </c>
      <c r="S1072" s="17" t="s">
        <v>424</v>
      </c>
      <c r="T1072" s="17" t="s">
        <v>424</v>
      </c>
      <c r="U1072" s="17" t="s">
        <v>424</v>
      </c>
      <c r="V1072" s="17" t="s">
        <v>424</v>
      </c>
      <c r="W1072" s="17" t="s">
        <v>424</v>
      </c>
    </row>
    <row r="1073" spans="1:23" x14ac:dyDescent="0.25">
      <c r="A1073" s="16" t="s">
        <v>1171</v>
      </c>
      <c r="B1073" s="17" t="s">
        <v>10</v>
      </c>
      <c r="C1073" s="17" t="s">
        <v>427</v>
      </c>
      <c r="D1073" s="18" t="s">
        <v>233</v>
      </c>
      <c r="E1073" s="18" t="s">
        <v>1694</v>
      </c>
      <c r="F1073" s="18">
        <v>5.94</v>
      </c>
      <c r="G1073" s="26">
        <v>1.51</v>
      </c>
      <c r="H1073" s="17">
        <v>7.26</v>
      </c>
      <c r="I1073" s="25">
        <v>8.5363042643104112</v>
      </c>
      <c r="J1073" s="24">
        <f>G1073/F1073*((100-H1073)/100)*((100-I1073)/100)*100</f>
        <v>21.562858830331745</v>
      </c>
      <c r="K1073" s="53">
        <v>4.4724556489262373</v>
      </c>
      <c r="L1073" s="54">
        <f>J1073*10000/K1073</f>
        <v>48212.571622725052</v>
      </c>
      <c r="M1073" s="55">
        <v>50.6</v>
      </c>
      <c r="N1073" s="55">
        <v>19.8</v>
      </c>
      <c r="O1073" s="56">
        <v>48.04</v>
      </c>
      <c r="P1073" s="55">
        <v>57.2</v>
      </c>
      <c r="Q1073" s="17" t="s">
        <v>424</v>
      </c>
      <c r="R1073" s="17" t="s">
        <v>424</v>
      </c>
      <c r="S1073" s="17" t="s">
        <v>424</v>
      </c>
      <c r="T1073" s="17" t="s">
        <v>424</v>
      </c>
      <c r="U1073" s="17" t="s">
        <v>424</v>
      </c>
      <c r="V1073" s="17" t="s">
        <v>424</v>
      </c>
      <c r="W1073" s="17" t="s">
        <v>424</v>
      </c>
    </row>
    <row r="1074" spans="1:23" x14ac:dyDescent="0.25">
      <c r="A1074" s="16" t="s">
        <v>1170</v>
      </c>
      <c r="B1074" s="17" t="s">
        <v>10</v>
      </c>
      <c r="C1074" s="17" t="s">
        <v>427</v>
      </c>
      <c r="D1074" s="18" t="s">
        <v>275</v>
      </c>
      <c r="E1074" s="18" t="s">
        <v>1762</v>
      </c>
      <c r="F1074" s="18">
        <v>5.94</v>
      </c>
      <c r="G1074" s="26">
        <v>2.5</v>
      </c>
      <c r="H1074" s="17">
        <v>7.26</v>
      </c>
      <c r="I1074" s="25">
        <v>6.2914929751428064</v>
      </c>
      <c r="J1074" s="24">
        <f>G1074/F1074*((100-H1074)/100)*((100-I1074)/100)*100</f>
        <v>36.57629184126791</v>
      </c>
      <c r="K1074" s="53">
        <v>4.7001934235976792</v>
      </c>
      <c r="L1074" s="54">
        <f>J1074*10000/K1074</f>
        <v>77818.694987388924</v>
      </c>
      <c r="M1074" s="55">
        <v>53.7</v>
      </c>
      <c r="N1074" s="55">
        <v>16</v>
      </c>
      <c r="O1074" s="56">
        <v>1.3772</v>
      </c>
      <c r="P1074" s="55">
        <v>16.5</v>
      </c>
      <c r="Q1074" s="17" t="s">
        <v>424</v>
      </c>
      <c r="R1074" s="17" t="s">
        <v>424</v>
      </c>
      <c r="S1074" s="17" t="s">
        <v>424</v>
      </c>
      <c r="T1074" s="17" t="s">
        <v>424</v>
      </c>
      <c r="U1074" s="17" t="s">
        <v>424</v>
      </c>
      <c r="V1074" s="17" t="s">
        <v>424</v>
      </c>
      <c r="W1074" s="17" t="s">
        <v>424</v>
      </c>
    </row>
    <row r="1075" spans="1:23" x14ac:dyDescent="0.25">
      <c r="A1075" s="16" t="s">
        <v>1169</v>
      </c>
      <c r="B1075" s="17" t="s">
        <v>10</v>
      </c>
      <c r="C1075" s="17" t="s">
        <v>427</v>
      </c>
      <c r="D1075" s="18" t="s">
        <v>22</v>
      </c>
      <c r="E1075" s="18" t="s">
        <v>1812</v>
      </c>
      <c r="F1075" s="18">
        <v>5.94</v>
      </c>
      <c r="G1075" s="26">
        <v>2.3199999999999998</v>
      </c>
      <c r="H1075" s="17">
        <v>7.26</v>
      </c>
      <c r="I1075" s="25">
        <v>7.5151119098186587</v>
      </c>
      <c r="J1075" s="24">
        <f>G1075/F1075*((100-H1075)/100)*((100-I1075)/100)*100</f>
        <v>33.499583450911658</v>
      </c>
      <c r="K1075" s="53">
        <v>5.6146572104018917</v>
      </c>
      <c r="L1075" s="54">
        <f>J1075*10000/K1075</f>
        <v>59664.521262044764</v>
      </c>
      <c r="M1075" s="55">
        <v>54.2</v>
      </c>
      <c r="N1075" s="55">
        <v>16.3</v>
      </c>
      <c r="O1075" s="56">
        <v>7.7927999999999997</v>
      </c>
      <c r="P1075" s="55">
        <v>18.8</v>
      </c>
      <c r="Q1075" s="17" t="s">
        <v>424</v>
      </c>
      <c r="R1075" s="17" t="s">
        <v>424</v>
      </c>
      <c r="S1075" s="17" t="s">
        <v>424</v>
      </c>
      <c r="T1075" s="17" t="s">
        <v>424</v>
      </c>
      <c r="U1075" s="17" t="s">
        <v>424</v>
      </c>
      <c r="V1075" s="17" t="s">
        <v>424</v>
      </c>
      <c r="W1075" s="17" t="s">
        <v>424</v>
      </c>
    </row>
    <row r="1076" spans="1:23" x14ac:dyDescent="0.25">
      <c r="A1076" s="16" t="s">
        <v>1168</v>
      </c>
      <c r="B1076" s="17" t="s">
        <v>10</v>
      </c>
      <c r="C1076" s="17" t="s">
        <v>427</v>
      </c>
      <c r="D1076" s="18" t="s">
        <v>91</v>
      </c>
      <c r="E1076" s="18" t="s">
        <v>1498</v>
      </c>
      <c r="F1076" s="18">
        <v>5.94</v>
      </c>
      <c r="G1076" s="26">
        <v>1.94</v>
      </c>
      <c r="H1076" s="17">
        <v>7.26</v>
      </c>
      <c r="I1076" s="25">
        <v>11.675493500240741</v>
      </c>
      <c r="J1076" s="24">
        <f>G1076/F1076*((100-H1076)/100)*((100-I1076)/100)*100</f>
        <v>26.752452157589364</v>
      </c>
      <c r="K1076" s="53">
        <v>5.1675675675675672</v>
      </c>
      <c r="L1076" s="54">
        <f>J1076*10000/K1076</f>
        <v>51769.912648054735</v>
      </c>
      <c r="M1076" s="55">
        <v>57</v>
      </c>
      <c r="N1076" s="55">
        <v>17.3</v>
      </c>
      <c r="O1076" s="56">
        <v>44.883000000000003</v>
      </c>
      <c r="P1076" s="55">
        <v>13.7</v>
      </c>
      <c r="Q1076" s="17" t="s">
        <v>424</v>
      </c>
      <c r="R1076" s="17" t="s">
        <v>424</v>
      </c>
      <c r="S1076" s="17" t="s">
        <v>424</v>
      </c>
      <c r="T1076" s="17" t="s">
        <v>424</v>
      </c>
      <c r="U1076" s="17" t="s">
        <v>424</v>
      </c>
      <c r="V1076" s="17" t="s">
        <v>424</v>
      </c>
      <c r="W1076" s="17" t="s">
        <v>424</v>
      </c>
    </row>
    <row r="1077" spans="1:23" x14ac:dyDescent="0.25">
      <c r="A1077" s="16" t="s">
        <v>1167</v>
      </c>
      <c r="B1077" s="17" t="s">
        <v>10</v>
      </c>
      <c r="C1077" s="17" t="s">
        <v>427</v>
      </c>
      <c r="D1077" s="18" t="s">
        <v>32</v>
      </c>
      <c r="E1077" s="18" t="s">
        <v>1810</v>
      </c>
      <c r="F1077" s="18">
        <v>5.94</v>
      </c>
      <c r="G1077" s="26">
        <v>2.16</v>
      </c>
      <c r="H1077" s="17">
        <v>7.26</v>
      </c>
      <c r="I1077" s="25">
        <v>8.588163181911062</v>
      </c>
      <c r="J1077" s="24">
        <f>G1077/F1077*((100-H1077)/100)*((100-I1077)/100)*100</f>
        <v>30.827395441852978</v>
      </c>
      <c r="K1077" s="53">
        <v>4.3238270469181233</v>
      </c>
      <c r="L1077" s="54">
        <f>J1077*10000/K1077</f>
        <v>71296.550734668475</v>
      </c>
      <c r="M1077" s="55">
        <v>51.8</v>
      </c>
      <c r="N1077" s="55">
        <v>16.2</v>
      </c>
      <c r="O1077" s="56">
        <v>2.5611000000000002</v>
      </c>
      <c r="P1077" s="55">
        <v>13.1</v>
      </c>
      <c r="Q1077" s="17" t="s">
        <v>424</v>
      </c>
      <c r="R1077" s="17" t="s">
        <v>424</v>
      </c>
      <c r="S1077" s="17" t="s">
        <v>424</v>
      </c>
      <c r="T1077" s="17" t="s">
        <v>424</v>
      </c>
      <c r="U1077" s="17" t="s">
        <v>424</v>
      </c>
      <c r="V1077" s="17" t="s">
        <v>424</v>
      </c>
      <c r="W1077" s="17" t="s">
        <v>424</v>
      </c>
    </row>
    <row r="1078" spans="1:23" x14ac:dyDescent="0.25">
      <c r="A1078" s="16" t="s">
        <v>1166</v>
      </c>
      <c r="B1078" s="17" t="s">
        <v>10</v>
      </c>
      <c r="C1078" s="17" t="s">
        <v>427</v>
      </c>
      <c r="D1078" s="18" t="s">
        <v>204</v>
      </c>
      <c r="E1078" s="18" t="s">
        <v>1786</v>
      </c>
      <c r="F1078" s="18">
        <v>5.94</v>
      </c>
      <c r="G1078" s="26">
        <v>2</v>
      </c>
      <c r="H1078" s="17">
        <v>7.26</v>
      </c>
      <c r="I1078" s="25">
        <v>8.7302237888351435</v>
      </c>
      <c r="J1078" s="24">
        <f>G1078/F1078*((100-H1078)/100)*((100-I1078)/100)*100</f>
        <v>28.499525406812886</v>
      </c>
      <c r="K1078" s="53">
        <v>4.4937319189971072</v>
      </c>
      <c r="L1078" s="54">
        <f>J1078*10000/K1078</f>
        <v>63420.617697135116</v>
      </c>
      <c r="M1078" s="55">
        <v>53.5</v>
      </c>
      <c r="N1078" s="55">
        <v>17.7</v>
      </c>
      <c r="O1078" s="56">
        <v>3.4676999999999998</v>
      </c>
      <c r="P1078" s="55">
        <v>9.6999999999999993</v>
      </c>
      <c r="Q1078" s="17" t="s">
        <v>424</v>
      </c>
      <c r="R1078" s="17" t="s">
        <v>424</v>
      </c>
      <c r="S1078" s="17" t="s">
        <v>424</v>
      </c>
      <c r="T1078" s="17" t="s">
        <v>424</v>
      </c>
      <c r="U1078" s="17" t="s">
        <v>424</v>
      </c>
      <c r="V1078" s="17" t="s">
        <v>424</v>
      </c>
      <c r="W1078" s="17" t="s">
        <v>424</v>
      </c>
    </row>
    <row r="1079" spans="1:23" x14ac:dyDescent="0.25">
      <c r="A1079" s="16" t="s">
        <v>762</v>
      </c>
      <c r="B1079" s="17" t="s">
        <v>10</v>
      </c>
      <c r="C1079" s="17" t="s">
        <v>13</v>
      </c>
      <c r="D1079" s="18" t="s">
        <v>60</v>
      </c>
      <c r="E1079" s="18" t="s">
        <v>1776</v>
      </c>
      <c r="F1079" s="18">
        <v>5.94</v>
      </c>
      <c r="G1079" s="23">
        <v>2.5499999999999998</v>
      </c>
      <c r="H1079" s="20">
        <v>6.89</v>
      </c>
      <c r="I1079" s="25">
        <v>7.9383397906190716</v>
      </c>
      <c r="J1079" s="24">
        <f>G1079/F1079*((100-H1079)/100)*((100-I1079)/100)*100</f>
        <v>36.798393963541109</v>
      </c>
      <c r="K1079" s="53">
        <v>5.7023809523809526</v>
      </c>
      <c r="L1079" s="54">
        <f>J1079*10000/K1079</f>
        <v>64531.630332723442</v>
      </c>
      <c r="M1079" s="55">
        <v>54</v>
      </c>
      <c r="N1079" s="55">
        <v>16.100000000000001</v>
      </c>
      <c r="O1079" s="56">
        <v>1.6235999999999999</v>
      </c>
      <c r="P1079" s="55">
        <v>10.8</v>
      </c>
      <c r="Q1079" s="17" t="s">
        <v>424</v>
      </c>
      <c r="R1079" s="17" t="s">
        <v>424</v>
      </c>
      <c r="S1079" s="17" t="s">
        <v>424</v>
      </c>
      <c r="T1079" s="17" t="s">
        <v>424</v>
      </c>
      <c r="U1079" s="17" t="s">
        <v>424</v>
      </c>
      <c r="V1079" s="17" t="s">
        <v>424</v>
      </c>
      <c r="W1079" s="17" t="s">
        <v>424</v>
      </c>
    </row>
    <row r="1080" spans="1:23" x14ac:dyDescent="0.25">
      <c r="A1080" s="16" t="s">
        <v>761</v>
      </c>
      <c r="B1080" s="17" t="s">
        <v>10</v>
      </c>
      <c r="C1080" s="17" t="s">
        <v>13</v>
      </c>
      <c r="D1080" s="18" t="s">
        <v>216</v>
      </c>
      <c r="E1080" s="18" t="s">
        <v>1624</v>
      </c>
      <c r="F1080" s="18">
        <v>5.94</v>
      </c>
      <c r="G1080" s="23">
        <v>2.0299999999999998</v>
      </c>
      <c r="H1080" s="20">
        <v>6.89</v>
      </c>
      <c r="I1080" s="25">
        <v>12.548024646611085</v>
      </c>
      <c r="J1080" s="24">
        <f>G1080/F1080*((100-H1080)/100)*((100-I1080)/100)*100</f>
        <v>27.827586621317685</v>
      </c>
      <c r="K1080" s="53">
        <v>4.3521000893655053</v>
      </c>
      <c r="L1080" s="54">
        <f>J1080*10000/K1080</f>
        <v>63940.594310584165</v>
      </c>
      <c r="M1080" s="55">
        <v>48.3</v>
      </c>
      <c r="N1080" s="55">
        <v>16.5</v>
      </c>
      <c r="O1080" s="56">
        <v>2.6652999999999998</v>
      </c>
      <c r="P1080" s="55">
        <v>10.199999999999999</v>
      </c>
      <c r="Q1080" s="17" t="s">
        <v>424</v>
      </c>
      <c r="R1080" s="17" t="s">
        <v>424</v>
      </c>
      <c r="S1080" s="17" t="s">
        <v>424</v>
      </c>
      <c r="T1080" s="17" t="s">
        <v>424</v>
      </c>
      <c r="U1080" s="17" t="s">
        <v>424</v>
      </c>
      <c r="V1080" s="17" t="s">
        <v>424</v>
      </c>
      <c r="W1080" s="17" t="s">
        <v>424</v>
      </c>
    </row>
    <row r="1081" spans="1:23" x14ac:dyDescent="0.25">
      <c r="A1081" s="16" t="s">
        <v>760</v>
      </c>
      <c r="B1081" s="17" t="s">
        <v>10</v>
      </c>
      <c r="C1081" s="17" t="s">
        <v>13</v>
      </c>
      <c r="D1081" s="18" t="s">
        <v>75</v>
      </c>
      <c r="E1081" s="18" t="s">
        <v>1808</v>
      </c>
      <c r="F1081" s="18">
        <v>5.94</v>
      </c>
      <c r="G1081" s="23">
        <v>2.2799999999999998</v>
      </c>
      <c r="H1081" s="20">
        <v>6.89</v>
      </c>
      <c r="I1081" s="25">
        <v>9.237980042334442</v>
      </c>
      <c r="J1081" s="24">
        <f>G1081/F1081*((100-H1081)/100)*((100-I1081)/100)*100</f>
        <v>32.437612502405365</v>
      </c>
      <c r="K1081" s="53">
        <v>4.5783132530120483</v>
      </c>
      <c r="L1081" s="54">
        <f>J1081*10000/K1081</f>
        <v>70850.574676306453</v>
      </c>
      <c r="M1081" s="55">
        <v>53.2</v>
      </c>
      <c r="N1081" s="55">
        <v>16.2</v>
      </c>
      <c r="O1081" s="56">
        <v>1.1546000000000001</v>
      </c>
      <c r="P1081" s="55">
        <v>15.6</v>
      </c>
      <c r="Q1081" s="17" t="s">
        <v>424</v>
      </c>
      <c r="R1081" s="17" t="s">
        <v>424</v>
      </c>
      <c r="S1081" s="17" t="s">
        <v>424</v>
      </c>
      <c r="T1081" s="17" t="s">
        <v>424</v>
      </c>
      <c r="U1081" s="17" t="s">
        <v>424</v>
      </c>
      <c r="V1081" s="17" t="s">
        <v>424</v>
      </c>
      <c r="W1081" s="17" t="s">
        <v>424</v>
      </c>
    </row>
    <row r="1082" spans="1:23" x14ac:dyDescent="0.25">
      <c r="A1082" s="16" t="s">
        <v>759</v>
      </c>
      <c r="B1082" s="17" t="s">
        <v>10</v>
      </c>
      <c r="C1082" s="17" t="s">
        <v>13</v>
      </c>
      <c r="D1082" s="18" t="s">
        <v>49</v>
      </c>
      <c r="E1082" s="18" t="s">
        <v>1554</v>
      </c>
      <c r="F1082" s="18">
        <v>5.94</v>
      </c>
      <c r="G1082" s="23">
        <v>1.77</v>
      </c>
      <c r="H1082" s="20">
        <v>6.89</v>
      </c>
      <c r="I1082" s="25">
        <v>11.772808296872467</v>
      </c>
      <c r="J1082" s="24">
        <f>G1082/F1082*((100-H1082)/100)*((100-I1082)/100)*100</f>
        <v>24.478545219657271</v>
      </c>
      <c r="K1082" s="53">
        <v>5.6106408706166873</v>
      </c>
      <c r="L1082" s="54">
        <f>J1082*10000/K1082</f>
        <v>43628.786415208102</v>
      </c>
      <c r="M1082" s="55">
        <v>51.7</v>
      </c>
      <c r="N1082" s="55">
        <v>18.3</v>
      </c>
      <c r="O1082" s="56">
        <v>5.0728999999999997</v>
      </c>
      <c r="P1082" s="55">
        <v>18.8</v>
      </c>
      <c r="Q1082" s="17" t="s">
        <v>424</v>
      </c>
      <c r="R1082" s="17" t="s">
        <v>424</v>
      </c>
      <c r="S1082" s="17" t="s">
        <v>424</v>
      </c>
      <c r="T1082" s="17" t="s">
        <v>424</v>
      </c>
      <c r="U1082" s="17" t="s">
        <v>424</v>
      </c>
      <c r="V1082" s="17" t="s">
        <v>424</v>
      </c>
      <c r="W1082" s="17" t="s">
        <v>424</v>
      </c>
    </row>
    <row r="1083" spans="1:23" x14ac:dyDescent="0.25">
      <c r="A1083" s="16" t="s">
        <v>758</v>
      </c>
      <c r="B1083" s="17" t="s">
        <v>10</v>
      </c>
      <c r="C1083" s="17" t="s">
        <v>13</v>
      </c>
      <c r="D1083" s="18" t="s">
        <v>58</v>
      </c>
      <c r="E1083" s="18" t="s">
        <v>1778</v>
      </c>
      <c r="F1083" s="18">
        <v>5.94</v>
      </c>
      <c r="G1083" s="23">
        <v>2.15</v>
      </c>
      <c r="H1083" s="20">
        <v>6.89</v>
      </c>
      <c r="I1083" s="25">
        <v>6.9232538526412641</v>
      </c>
      <c r="J1083" s="24">
        <f>G1083/F1083*((100-H1083)/100)*((100-I1083)/100)*100</f>
        <v>31.368195357959983</v>
      </c>
      <c r="K1083" s="53">
        <v>5.1425438596491224</v>
      </c>
      <c r="L1083" s="54">
        <f>J1083*10000/K1083</f>
        <v>60997.428926352899</v>
      </c>
      <c r="M1083" s="55">
        <v>51.4</v>
      </c>
      <c r="N1083" s="55">
        <v>17.899999999999999</v>
      </c>
      <c r="O1083" s="56">
        <v>4.7039</v>
      </c>
      <c r="P1083" s="55">
        <v>13</v>
      </c>
      <c r="Q1083" s="17" t="s">
        <v>424</v>
      </c>
      <c r="R1083" s="17" t="s">
        <v>424</v>
      </c>
      <c r="S1083" s="17" t="s">
        <v>424</v>
      </c>
      <c r="T1083" s="17" t="s">
        <v>424</v>
      </c>
      <c r="U1083" s="17" t="s">
        <v>424</v>
      </c>
      <c r="V1083" s="17" t="s">
        <v>424</v>
      </c>
      <c r="W1083" s="17" t="s">
        <v>424</v>
      </c>
    </row>
    <row r="1084" spans="1:23" x14ac:dyDescent="0.25">
      <c r="A1084" s="16" t="s">
        <v>757</v>
      </c>
      <c r="B1084" s="17" t="s">
        <v>10</v>
      </c>
      <c r="C1084" s="17" t="s">
        <v>13</v>
      </c>
      <c r="D1084" s="18" t="s">
        <v>95</v>
      </c>
      <c r="E1084" s="18" t="s">
        <v>1650</v>
      </c>
      <c r="F1084" s="18">
        <v>5.94</v>
      </c>
      <c r="G1084" s="23">
        <v>2.06</v>
      </c>
      <c r="H1084" s="20">
        <v>6.89</v>
      </c>
      <c r="I1084" s="25">
        <v>6.6334355828220897</v>
      </c>
      <c r="J1084" s="24">
        <f>G1084/F1084*((100-H1084)/100)*((100-I1084)/100)*100</f>
        <v>30.148692381380261</v>
      </c>
      <c r="K1084" s="53">
        <v>5.081967213114754</v>
      </c>
      <c r="L1084" s="54">
        <f>J1084*10000/K1084</f>
        <v>59324.846298845026</v>
      </c>
      <c r="M1084" s="55">
        <v>51</v>
      </c>
      <c r="N1084" s="55">
        <v>16.100000000000001</v>
      </c>
      <c r="O1084" s="56">
        <v>-2.9466999999999999</v>
      </c>
      <c r="P1084" s="55">
        <v>11</v>
      </c>
      <c r="Q1084" s="17" t="s">
        <v>424</v>
      </c>
      <c r="R1084" s="17" t="s">
        <v>424</v>
      </c>
      <c r="S1084" s="17" t="s">
        <v>424</v>
      </c>
      <c r="T1084" s="17" t="s">
        <v>424</v>
      </c>
      <c r="U1084" s="17" t="s">
        <v>424</v>
      </c>
      <c r="V1084" s="17" t="s">
        <v>424</v>
      </c>
      <c r="W1084" s="17" t="s">
        <v>424</v>
      </c>
    </row>
    <row r="1085" spans="1:23" x14ac:dyDescent="0.25">
      <c r="A1085" s="16" t="s">
        <v>1177</v>
      </c>
      <c r="B1085" s="17" t="s">
        <v>10</v>
      </c>
      <c r="C1085" s="17" t="s">
        <v>427</v>
      </c>
      <c r="D1085" s="18" t="s">
        <v>175</v>
      </c>
      <c r="E1085" s="18" t="s">
        <v>1543</v>
      </c>
      <c r="F1085" s="18">
        <v>5.94</v>
      </c>
      <c r="G1085" s="26">
        <v>1.97</v>
      </c>
      <c r="H1085" s="17">
        <v>7.26</v>
      </c>
      <c r="I1085" s="25">
        <v>11.386454183266938</v>
      </c>
      <c r="J1085" s="24">
        <f>G1085/F1085*((100-H1085)/100)*((100-I1085)/100)*100</f>
        <v>27.255050287737937</v>
      </c>
      <c r="K1085" s="53">
        <v>4.2727272727272725</v>
      </c>
      <c r="L1085" s="54">
        <f>J1085*10000/K1085</f>
        <v>63788.415567046235</v>
      </c>
      <c r="M1085" s="55">
        <v>49.9</v>
      </c>
      <c r="N1085" s="55">
        <v>18.7</v>
      </c>
      <c r="O1085" s="56">
        <v>3.5461</v>
      </c>
      <c r="P1085" s="55">
        <v>17.3</v>
      </c>
      <c r="Q1085" s="17" t="s">
        <v>424</v>
      </c>
      <c r="R1085" s="17" t="s">
        <v>424</v>
      </c>
      <c r="S1085" s="17" t="s">
        <v>424</v>
      </c>
      <c r="T1085" s="17" t="s">
        <v>424</v>
      </c>
      <c r="U1085" s="17" t="s">
        <v>424</v>
      </c>
      <c r="V1085" s="17" t="s">
        <v>424</v>
      </c>
      <c r="W1085" s="17" t="s">
        <v>424</v>
      </c>
    </row>
    <row r="1086" spans="1:23" x14ac:dyDescent="0.25">
      <c r="A1086" s="16" t="s">
        <v>1176</v>
      </c>
      <c r="B1086" s="17" t="s">
        <v>10</v>
      </c>
      <c r="C1086" s="17" t="s">
        <v>427</v>
      </c>
      <c r="D1086" s="18" t="s">
        <v>244</v>
      </c>
      <c r="E1086" s="18" t="s">
        <v>1584</v>
      </c>
      <c r="F1086" s="18">
        <v>5.94</v>
      </c>
      <c r="G1086" s="26">
        <v>2.27</v>
      </c>
      <c r="H1086" s="17">
        <v>7.26</v>
      </c>
      <c r="I1086" s="25">
        <v>7.5473092844470786</v>
      </c>
      <c r="J1086" s="24">
        <f>G1086/F1086*((100-H1086)/100)*((100-I1086)/100)*100</f>
        <v>32.76619858400683</v>
      </c>
      <c r="K1086" s="53">
        <v>4.4153414405986906</v>
      </c>
      <c r="L1086" s="54">
        <f>J1086*10000/K1086</f>
        <v>74209.886199795132</v>
      </c>
      <c r="M1086" s="55">
        <v>55.7</v>
      </c>
      <c r="N1086" s="55">
        <v>16</v>
      </c>
      <c r="O1086" s="56">
        <v>0.47619</v>
      </c>
      <c r="P1086" s="55">
        <v>14.5</v>
      </c>
      <c r="Q1086" s="17" t="s">
        <v>424</v>
      </c>
      <c r="R1086" s="17" t="s">
        <v>424</v>
      </c>
      <c r="S1086" s="17" t="s">
        <v>424</v>
      </c>
      <c r="T1086" s="17" t="s">
        <v>424</v>
      </c>
      <c r="U1086" s="17" t="s">
        <v>424</v>
      </c>
      <c r="V1086" s="17" t="s">
        <v>424</v>
      </c>
      <c r="W1086" s="17" t="s">
        <v>424</v>
      </c>
    </row>
    <row r="1087" spans="1:23" x14ac:dyDescent="0.25">
      <c r="A1087" s="16" t="s">
        <v>1175</v>
      </c>
      <c r="B1087" s="17" t="s">
        <v>10</v>
      </c>
      <c r="C1087" s="17" t="s">
        <v>427</v>
      </c>
      <c r="D1087" s="18" t="s">
        <v>24</v>
      </c>
      <c r="E1087" s="18" t="s">
        <v>1784</v>
      </c>
      <c r="F1087" s="18">
        <v>5.94</v>
      </c>
      <c r="G1087" s="26">
        <v>2.0699999999999998</v>
      </c>
      <c r="H1087" s="17">
        <v>7.26</v>
      </c>
      <c r="I1087" s="25">
        <v>6.1677009232631992</v>
      </c>
      <c r="J1087" s="24">
        <f>G1087/F1087*((100-H1087)/100)*((100-I1087)/100)*100</f>
        <v>30.32517736010017</v>
      </c>
      <c r="K1087" s="53">
        <v>5.0890052356020945</v>
      </c>
      <c r="L1087" s="54">
        <f>J1087*10000/K1087</f>
        <v>59589.597487439634</v>
      </c>
      <c r="M1087" s="55">
        <v>51.6</v>
      </c>
      <c r="N1087" s="55">
        <v>16.7</v>
      </c>
      <c r="O1087" s="56">
        <v>3.363</v>
      </c>
      <c r="P1087" s="55">
        <v>13.3</v>
      </c>
      <c r="Q1087" s="17" t="s">
        <v>424</v>
      </c>
      <c r="R1087" s="17" t="s">
        <v>424</v>
      </c>
      <c r="S1087" s="17" t="s">
        <v>424</v>
      </c>
      <c r="T1087" s="17" t="s">
        <v>424</v>
      </c>
      <c r="U1087" s="17" t="s">
        <v>424</v>
      </c>
      <c r="V1087" s="17" t="s">
        <v>424</v>
      </c>
      <c r="W1087" s="17" t="s">
        <v>424</v>
      </c>
    </row>
    <row r="1088" spans="1:23" x14ac:dyDescent="0.25">
      <c r="A1088" s="16" t="s">
        <v>1174</v>
      </c>
      <c r="B1088" s="17" t="s">
        <v>10</v>
      </c>
      <c r="C1088" s="17" t="s">
        <v>427</v>
      </c>
      <c r="D1088" s="18" t="s">
        <v>63</v>
      </c>
      <c r="E1088" s="18" t="s">
        <v>1462</v>
      </c>
      <c r="F1088" s="18">
        <v>5.94</v>
      </c>
      <c r="G1088" s="26">
        <v>1.1000000000000001</v>
      </c>
      <c r="H1088" s="17">
        <v>7.26</v>
      </c>
      <c r="I1088" s="25">
        <v>13.024468819513695</v>
      </c>
      <c r="J1088" s="24">
        <f>G1088/F1088*((100-H1088)/100)*((100-I1088)/100)*100</f>
        <v>14.937242151256108</v>
      </c>
      <c r="K1088" s="53">
        <v>5.216907675194661</v>
      </c>
      <c r="L1088" s="54">
        <f>J1088*10000/K1088</f>
        <v>28632.368217439744</v>
      </c>
      <c r="M1088" s="55">
        <v>51.1</v>
      </c>
      <c r="N1088" s="55">
        <v>21.7</v>
      </c>
      <c r="O1088" s="56">
        <v>52.319000000000003</v>
      </c>
      <c r="P1088" s="55">
        <v>74.7</v>
      </c>
      <c r="Q1088" s="17" t="s">
        <v>424</v>
      </c>
      <c r="R1088" s="17" t="s">
        <v>424</v>
      </c>
      <c r="S1088" s="17" t="s">
        <v>424</v>
      </c>
      <c r="T1088" s="17" t="s">
        <v>424</v>
      </c>
      <c r="U1088" s="17" t="s">
        <v>424</v>
      </c>
      <c r="V1088" s="17" t="s">
        <v>424</v>
      </c>
      <c r="W1088" s="17" t="s">
        <v>424</v>
      </c>
    </row>
    <row r="1089" spans="1:23" x14ac:dyDescent="0.25">
      <c r="A1089" s="16" t="s">
        <v>1173</v>
      </c>
      <c r="B1089" s="17" t="s">
        <v>10</v>
      </c>
      <c r="C1089" s="17" t="s">
        <v>427</v>
      </c>
      <c r="D1089" s="18" t="s">
        <v>277</v>
      </c>
      <c r="E1089" s="18" t="s">
        <v>1460</v>
      </c>
      <c r="F1089" s="18">
        <v>5.94</v>
      </c>
      <c r="G1089" s="26">
        <v>1.51</v>
      </c>
      <c r="H1089" s="17">
        <v>7.26</v>
      </c>
      <c r="I1089" s="25">
        <v>8.2374631268436485</v>
      </c>
      <c r="J1089" s="24">
        <f>G1089/F1089*((100-H1089)/100)*((100-I1089)/100)*100</f>
        <v>21.633311584378699</v>
      </c>
      <c r="K1089" s="53">
        <v>5.1380042462845008</v>
      </c>
      <c r="L1089" s="54">
        <f>J1089*10000/K1089</f>
        <v>42104.503124968462</v>
      </c>
      <c r="M1089" s="55">
        <v>49.6</v>
      </c>
      <c r="N1089" s="55">
        <v>19.7</v>
      </c>
      <c r="O1089" s="56">
        <v>47.021999999999998</v>
      </c>
      <c r="P1089" s="55">
        <v>71.599999999999994</v>
      </c>
      <c r="Q1089" s="17" t="s">
        <v>424</v>
      </c>
      <c r="R1089" s="17" t="s">
        <v>424</v>
      </c>
      <c r="S1089" s="17" t="s">
        <v>424</v>
      </c>
      <c r="T1089" s="17" t="s">
        <v>424</v>
      </c>
      <c r="U1089" s="17" t="s">
        <v>424</v>
      </c>
      <c r="V1089" s="17" t="s">
        <v>424</v>
      </c>
      <c r="W1089" s="17" t="s">
        <v>424</v>
      </c>
    </row>
    <row r="1090" spans="1:23" x14ac:dyDescent="0.25">
      <c r="A1090" s="16" t="s">
        <v>1172</v>
      </c>
      <c r="B1090" s="17" t="s">
        <v>10</v>
      </c>
      <c r="C1090" s="17" t="s">
        <v>427</v>
      </c>
      <c r="D1090" s="18" t="s">
        <v>245</v>
      </c>
      <c r="E1090" s="18" t="s">
        <v>1511</v>
      </c>
      <c r="F1090" s="18">
        <v>5.94</v>
      </c>
      <c r="G1090" s="26">
        <v>0.84</v>
      </c>
      <c r="H1090" s="17">
        <v>7.26</v>
      </c>
      <c r="I1090" s="25">
        <v>5.8476077968103972</v>
      </c>
      <c r="J1090" s="24">
        <f>G1090/F1090*((100-H1090)/100)*((100-I1090)/100)*100</f>
        <v>12.347848478882145</v>
      </c>
      <c r="K1090" s="53">
        <v>4.7064777327935223</v>
      </c>
      <c r="L1090" s="54">
        <f>J1090*10000/K1090</f>
        <v>26235.858703517333</v>
      </c>
      <c r="M1090" s="55">
        <v>47.3</v>
      </c>
      <c r="N1090" s="55">
        <v>18.600000000000001</v>
      </c>
      <c r="O1090" s="56">
        <v>7.4969000000000001</v>
      </c>
      <c r="P1090" s="55">
        <v>60.1</v>
      </c>
      <c r="Q1090" s="17" t="s">
        <v>424</v>
      </c>
      <c r="R1090" s="17" t="s">
        <v>424</v>
      </c>
      <c r="S1090" s="17" t="s">
        <v>424</v>
      </c>
      <c r="T1090" s="17" t="s">
        <v>424</v>
      </c>
      <c r="U1090" s="17" t="s">
        <v>424</v>
      </c>
      <c r="V1090" s="17" t="s">
        <v>424</v>
      </c>
      <c r="W1090" s="17" t="s">
        <v>424</v>
      </c>
    </row>
    <row r="1091" spans="1:23" x14ac:dyDescent="0.25">
      <c r="A1091" s="16" t="s">
        <v>768</v>
      </c>
      <c r="B1091" s="17" t="s">
        <v>10</v>
      </c>
      <c r="C1091" s="17" t="s">
        <v>13</v>
      </c>
      <c r="D1091" s="18" t="s">
        <v>79</v>
      </c>
      <c r="E1091" s="18" t="s">
        <v>1682</v>
      </c>
      <c r="F1091" s="18">
        <v>5.94</v>
      </c>
      <c r="G1091" s="23">
        <v>2.14</v>
      </c>
      <c r="H1091" s="20">
        <v>6.89</v>
      </c>
      <c r="I1091" s="25">
        <v>6.5083281924737904</v>
      </c>
      <c r="J1091" s="24">
        <f>G1091/F1091*((100-H1091)/100)*((100-I1091)/100)*100</f>
        <v>31.361482260399594</v>
      </c>
      <c r="K1091" s="53">
        <v>5.1724137931034484</v>
      </c>
      <c r="L1091" s="54">
        <f>J1091*10000/K1091</f>
        <v>60632.199036772545</v>
      </c>
      <c r="M1091" s="55">
        <v>50.1</v>
      </c>
      <c r="N1091" s="55">
        <v>17.899999999999999</v>
      </c>
      <c r="O1091" s="56">
        <v>0.48673</v>
      </c>
      <c r="P1091" s="55">
        <v>13.3</v>
      </c>
      <c r="Q1091" s="17" t="s">
        <v>424</v>
      </c>
      <c r="R1091" s="17" t="s">
        <v>424</v>
      </c>
      <c r="S1091" s="17" t="s">
        <v>424</v>
      </c>
      <c r="T1091" s="17" t="s">
        <v>424</v>
      </c>
      <c r="U1091" s="17" t="s">
        <v>424</v>
      </c>
      <c r="V1091" s="17" t="s">
        <v>424</v>
      </c>
      <c r="W1091" s="17" t="s">
        <v>424</v>
      </c>
    </row>
    <row r="1092" spans="1:23" x14ac:dyDescent="0.25">
      <c r="A1092" s="16" t="s">
        <v>767</v>
      </c>
      <c r="B1092" s="17" t="s">
        <v>10</v>
      </c>
      <c r="C1092" s="17" t="s">
        <v>13</v>
      </c>
      <c r="D1092" s="18" t="s">
        <v>170</v>
      </c>
      <c r="E1092" s="73" t="s">
        <v>1803</v>
      </c>
      <c r="F1092" s="18">
        <v>5.94</v>
      </c>
      <c r="G1092" s="23">
        <v>2</v>
      </c>
      <c r="H1092" s="20">
        <v>6.89</v>
      </c>
      <c r="I1092" s="25">
        <v>6.4061023356284474</v>
      </c>
      <c r="J1092" s="24">
        <f>G1092/F1092*((100-H1092)/100)*((100-I1092)/100)*100</f>
        <v>29.341844483264769</v>
      </c>
      <c r="K1092" s="53">
        <v>5.1113467656415699</v>
      </c>
      <c r="L1092" s="54">
        <f>J1092*10000/K1092</f>
        <v>57405.309850038742</v>
      </c>
      <c r="M1092" s="55">
        <v>51.4</v>
      </c>
      <c r="N1092" s="55">
        <v>16.7</v>
      </c>
      <c r="O1092" s="56">
        <v>1.8928</v>
      </c>
      <c r="P1092" s="55">
        <v>18.100000000000001</v>
      </c>
      <c r="Q1092" s="17" t="s">
        <v>424</v>
      </c>
      <c r="R1092" s="17" t="s">
        <v>424</v>
      </c>
      <c r="S1092" s="17" t="s">
        <v>424</v>
      </c>
      <c r="T1092" s="17" t="s">
        <v>424</v>
      </c>
      <c r="U1092" s="17" t="s">
        <v>424</v>
      </c>
      <c r="V1092" s="17" t="s">
        <v>424</v>
      </c>
      <c r="W1092" s="17" t="s">
        <v>424</v>
      </c>
    </row>
    <row r="1093" spans="1:23" x14ac:dyDescent="0.25">
      <c r="A1093" s="16" t="s">
        <v>766</v>
      </c>
      <c r="B1093" s="17" t="s">
        <v>10</v>
      </c>
      <c r="C1093" s="17" t="s">
        <v>13</v>
      </c>
      <c r="D1093" s="18" t="s">
        <v>213</v>
      </c>
      <c r="E1093" s="18" t="s">
        <v>1566</v>
      </c>
      <c r="F1093" s="18">
        <v>5.94</v>
      </c>
      <c r="G1093" s="23">
        <v>1.59</v>
      </c>
      <c r="H1093" s="20">
        <v>6.89</v>
      </c>
      <c r="I1093" s="25">
        <v>7.8311258278145637</v>
      </c>
      <c r="J1093" s="24">
        <f>G1093/F1093*((100-H1093)/100)*((100-I1093)/100)*100</f>
        <v>22.971602289450804</v>
      </c>
      <c r="K1093" s="53">
        <v>5.1659751037344401</v>
      </c>
      <c r="L1093" s="54">
        <f>J1093*10000/K1093</f>
        <v>44467.117684800345</v>
      </c>
      <c r="M1093" s="55">
        <v>52.2</v>
      </c>
      <c r="N1093" s="55">
        <v>16.3</v>
      </c>
      <c r="O1093" s="56">
        <v>2.0470999999999999</v>
      </c>
      <c r="P1093" s="55">
        <v>17.600000000000001</v>
      </c>
      <c r="Q1093" s="17" t="s">
        <v>424</v>
      </c>
      <c r="R1093" s="17" t="s">
        <v>424</v>
      </c>
      <c r="S1093" s="17" t="s">
        <v>424</v>
      </c>
      <c r="T1093" s="17" t="s">
        <v>424</v>
      </c>
      <c r="U1093" s="17" t="s">
        <v>424</v>
      </c>
      <c r="V1093" s="17" t="s">
        <v>424</v>
      </c>
      <c r="W1093" s="17" t="s">
        <v>424</v>
      </c>
    </row>
    <row r="1094" spans="1:23" x14ac:dyDescent="0.25">
      <c r="A1094" s="16" t="s">
        <v>765</v>
      </c>
      <c r="B1094" s="17" t="s">
        <v>10</v>
      </c>
      <c r="C1094" s="17" t="s">
        <v>13</v>
      </c>
      <c r="D1094" s="18" t="s">
        <v>29</v>
      </c>
      <c r="E1094" s="18" t="s">
        <v>1638</v>
      </c>
      <c r="F1094" s="18">
        <v>5.94</v>
      </c>
      <c r="G1094" s="23">
        <v>1.66</v>
      </c>
      <c r="H1094" s="20">
        <v>6.89</v>
      </c>
      <c r="I1094" s="25">
        <v>8.233190271816893</v>
      </c>
      <c r="J1094" s="24">
        <f>G1094/F1094*((100-H1094)/100)*((100-I1094)/100)*100</f>
        <v>23.878310951672177</v>
      </c>
      <c r="K1094" s="53">
        <v>4.7081712062256811</v>
      </c>
      <c r="L1094" s="54">
        <f>J1094*10000/K1094</f>
        <v>50716.743095700411</v>
      </c>
      <c r="M1094" s="55">
        <v>47.3</v>
      </c>
      <c r="N1094" s="55">
        <v>18.7</v>
      </c>
      <c r="O1094" s="56">
        <v>-3.2014999999999998</v>
      </c>
      <c r="P1094" s="55">
        <v>22</v>
      </c>
      <c r="Q1094" s="17" t="s">
        <v>424</v>
      </c>
      <c r="R1094" s="17" t="s">
        <v>424</v>
      </c>
      <c r="S1094" s="17" t="s">
        <v>424</v>
      </c>
      <c r="T1094" s="17" t="s">
        <v>424</v>
      </c>
      <c r="U1094" s="17" t="s">
        <v>424</v>
      </c>
      <c r="V1094" s="17" t="s">
        <v>424</v>
      </c>
      <c r="W1094" s="17" t="s">
        <v>424</v>
      </c>
    </row>
    <row r="1095" spans="1:23" x14ac:dyDescent="0.25">
      <c r="A1095" s="16" t="s">
        <v>764</v>
      </c>
      <c r="B1095" s="17" t="s">
        <v>10</v>
      </c>
      <c r="C1095" s="17" t="s">
        <v>13</v>
      </c>
      <c r="D1095" s="18" t="s">
        <v>34</v>
      </c>
      <c r="E1095" s="18" t="s">
        <v>1684</v>
      </c>
      <c r="F1095" s="18">
        <v>5.94</v>
      </c>
      <c r="G1095" s="23">
        <v>1.62</v>
      </c>
      <c r="H1095" s="20">
        <v>6.89</v>
      </c>
      <c r="I1095" s="25">
        <v>7.9765443007470429</v>
      </c>
      <c r="J1095" s="24">
        <f>G1095/F1095*((100-H1095)/100)*((100-I1095)/100)*100</f>
        <v>23.3681017095203</v>
      </c>
      <c r="K1095" s="53">
        <v>5.0989010989010985</v>
      </c>
      <c r="L1095" s="54">
        <f>J1095*10000/K1095</f>
        <v>45829.682232033345</v>
      </c>
      <c r="M1095" s="55">
        <v>51.2</v>
      </c>
      <c r="N1095" s="55">
        <v>16.3</v>
      </c>
      <c r="O1095" s="56">
        <v>12.315</v>
      </c>
      <c r="P1095" s="55">
        <v>21</v>
      </c>
      <c r="Q1095" s="17" t="s">
        <v>424</v>
      </c>
      <c r="R1095" s="17" t="s">
        <v>424</v>
      </c>
      <c r="S1095" s="17" t="s">
        <v>424</v>
      </c>
      <c r="T1095" s="17" t="s">
        <v>424</v>
      </c>
      <c r="U1095" s="17" t="s">
        <v>424</v>
      </c>
      <c r="V1095" s="17" t="s">
        <v>424</v>
      </c>
      <c r="W1095" s="17" t="s">
        <v>424</v>
      </c>
    </row>
    <row r="1096" spans="1:23" x14ac:dyDescent="0.25">
      <c r="A1096" s="16" t="s">
        <v>763</v>
      </c>
      <c r="B1096" s="17" t="s">
        <v>10</v>
      </c>
      <c r="C1096" s="17" t="s">
        <v>13</v>
      </c>
      <c r="D1096" s="18" t="s">
        <v>231</v>
      </c>
      <c r="E1096" s="18" t="s">
        <v>1500</v>
      </c>
      <c r="F1096" s="18">
        <v>5.94</v>
      </c>
      <c r="G1096" s="23">
        <v>1.51</v>
      </c>
      <c r="H1096" s="20">
        <v>6.89</v>
      </c>
      <c r="I1096" s="25">
        <v>8.4413233910084671</v>
      </c>
      <c r="J1096" s="24">
        <f>G1096/F1096*((100-H1096)/100)*((100-I1096)/100)*100</f>
        <v>21.671368438359316</v>
      </c>
      <c r="K1096" s="53">
        <v>5.0875273522975926</v>
      </c>
      <c r="L1096" s="54">
        <f>J1096*10000/K1096</f>
        <v>42597.05538206541</v>
      </c>
      <c r="M1096" s="55">
        <v>55.5</v>
      </c>
      <c r="N1096" s="55">
        <v>16.7</v>
      </c>
      <c r="O1096" s="56">
        <v>35.26</v>
      </c>
      <c r="P1096" s="55">
        <v>33.299999999999997</v>
      </c>
      <c r="Q1096" s="17" t="s">
        <v>424</v>
      </c>
      <c r="R1096" s="17" t="s">
        <v>424</v>
      </c>
      <c r="S1096" s="17" t="s">
        <v>424</v>
      </c>
      <c r="T1096" s="17" t="s">
        <v>424</v>
      </c>
      <c r="U1096" s="17" t="s">
        <v>424</v>
      </c>
      <c r="V1096" s="17" t="s">
        <v>424</v>
      </c>
      <c r="W1096" s="17" t="s">
        <v>424</v>
      </c>
    </row>
    <row r="1097" spans="1:23" x14ac:dyDescent="0.25">
      <c r="A1097" s="16" t="s">
        <v>1183</v>
      </c>
      <c r="B1097" s="17" t="s">
        <v>10</v>
      </c>
      <c r="C1097" s="17" t="s">
        <v>427</v>
      </c>
      <c r="D1097" s="18" t="s">
        <v>14</v>
      </c>
      <c r="E1097" s="18" t="s">
        <v>1551</v>
      </c>
      <c r="F1097" s="18">
        <v>5.94</v>
      </c>
      <c r="G1097" s="26">
        <v>1.69</v>
      </c>
      <c r="H1097" s="17">
        <v>7.26</v>
      </c>
      <c r="I1097" s="25">
        <v>9.498914180004828</v>
      </c>
      <c r="J1097" s="24">
        <f>G1097/F1097*((100-H1097)/100)*((100-I1097)/100)*100</f>
        <v>23.879275220907971</v>
      </c>
      <c r="K1097" s="53">
        <v>4.8258196721311473</v>
      </c>
      <c r="L1097" s="54">
        <f>J1097*10000/K1097</f>
        <v>49482.319778357072</v>
      </c>
      <c r="M1097" s="55">
        <v>48.2</v>
      </c>
      <c r="N1097" s="55">
        <v>20.2</v>
      </c>
      <c r="O1097" s="56">
        <v>7.5894000000000004</v>
      </c>
      <c r="P1097" s="55">
        <v>22.7</v>
      </c>
      <c r="Q1097" s="17" t="s">
        <v>424</v>
      </c>
      <c r="R1097" s="17" t="s">
        <v>424</v>
      </c>
      <c r="S1097" s="17" t="s">
        <v>424</v>
      </c>
      <c r="T1097" s="17" t="s">
        <v>424</v>
      </c>
      <c r="U1097" s="17" t="s">
        <v>424</v>
      </c>
      <c r="V1097" s="17" t="s">
        <v>424</v>
      </c>
      <c r="W1097" s="17" t="s">
        <v>424</v>
      </c>
    </row>
    <row r="1098" spans="1:23" x14ac:dyDescent="0.25">
      <c r="A1098" s="16" t="s">
        <v>1182</v>
      </c>
      <c r="B1098" s="17" t="s">
        <v>10</v>
      </c>
      <c r="C1098" s="17" t="s">
        <v>427</v>
      </c>
      <c r="D1098" s="18" t="s">
        <v>174</v>
      </c>
      <c r="E1098" s="18" t="s">
        <v>1696</v>
      </c>
      <c r="F1098" s="18">
        <v>5.94</v>
      </c>
      <c r="G1098" s="26">
        <v>1.28</v>
      </c>
      <c r="H1098" s="17">
        <v>7.26</v>
      </c>
      <c r="I1098" s="25">
        <v>13.349258764842276</v>
      </c>
      <c r="J1098" s="24">
        <f>G1098/F1098*((100-H1098)/100)*((100-I1098)/100)*100</f>
        <v>17.316610892171909</v>
      </c>
      <c r="K1098" s="53">
        <v>4.8757763975155282</v>
      </c>
      <c r="L1098" s="54">
        <f>J1098*10000/K1098</f>
        <v>35515.596861651939</v>
      </c>
      <c r="M1098" s="55">
        <v>47.9</v>
      </c>
      <c r="N1098" s="55">
        <v>21</v>
      </c>
      <c r="O1098" s="56">
        <v>31.114000000000001</v>
      </c>
      <c r="P1098" s="55">
        <v>53.7</v>
      </c>
      <c r="Q1098" s="17" t="s">
        <v>424</v>
      </c>
      <c r="R1098" s="17" t="s">
        <v>424</v>
      </c>
      <c r="S1098" s="17" t="s">
        <v>424</v>
      </c>
      <c r="T1098" s="17" t="s">
        <v>424</v>
      </c>
      <c r="U1098" s="17" t="s">
        <v>424</v>
      </c>
      <c r="V1098" s="17" t="s">
        <v>424</v>
      </c>
      <c r="W1098" s="17" t="s">
        <v>424</v>
      </c>
    </row>
    <row r="1099" spans="1:23" x14ac:dyDescent="0.25">
      <c r="A1099" s="16" t="s">
        <v>1181</v>
      </c>
      <c r="B1099" s="17" t="s">
        <v>10</v>
      </c>
      <c r="C1099" s="17" t="s">
        <v>427</v>
      </c>
      <c r="D1099" s="18" t="s">
        <v>90</v>
      </c>
      <c r="E1099" s="18" t="s">
        <v>1614</v>
      </c>
      <c r="F1099" s="18">
        <v>5.94</v>
      </c>
      <c r="G1099" s="26">
        <v>1.67</v>
      </c>
      <c r="H1099" s="17">
        <v>7.26</v>
      </c>
      <c r="I1099" s="25">
        <v>12.972060178077989</v>
      </c>
      <c r="J1099" s="24">
        <f>G1099/F1099*((100-H1099)/100)*((100-I1099)/100)*100</f>
        <v>22.691114145239109</v>
      </c>
      <c r="K1099" s="53">
        <v>5.0267379679144382</v>
      </c>
      <c r="L1099" s="54">
        <f>J1099*10000/K1099</f>
        <v>45140.833459145884</v>
      </c>
      <c r="M1099" s="55">
        <v>50.4</v>
      </c>
      <c r="N1099" s="55">
        <v>18.5</v>
      </c>
      <c r="O1099" s="56">
        <v>6.3689999999999998</v>
      </c>
      <c r="P1099" s="55">
        <v>23.4</v>
      </c>
      <c r="Q1099" s="17" t="s">
        <v>424</v>
      </c>
      <c r="R1099" s="17" t="s">
        <v>424</v>
      </c>
      <c r="S1099" s="17" t="s">
        <v>424</v>
      </c>
      <c r="T1099" s="17" t="s">
        <v>424</v>
      </c>
      <c r="U1099" s="17" t="s">
        <v>424</v>
      </c>
      <c r="V1099" s="17" t="s">
        <v>424</v>
      </c>
      <c r="W1099" s="17" t="s">
        <v>424</v>
      </c>
    </row>
    <row r="1100" spans="1:23" x14ac:dyDescent="0.25">
      <c r="A1100" s="16" t="s">
        <v>1180</v>
      </c>
      <c r="B1100" s="17" t="s">
        <v>10</v>
      </c>
      <c r="C1100" s="17" t="s">
        <v>427</v>
      </c>
      <c r="D1100" s="18" t="s">
        <v>191</v>
      </c>
      <c r="E1100" s="18" t="s">
        <v>1702</v>
      </c>
      <c r="F1100" s="18">
        <v>5.94</v>
      </c>
      <c r="G1100" s="26">
        <v>1.9</v>
      </c>
      <c r="H1100" s="17">
        <v>7.26</v>
      </c>
      <c r="I1100" s="25">
        <v>12.108409724990034</v>
      </c>
      <c r="J1100" s="24">
        <f>G1100/F1100*((100-H1100)/100)*((100-I1100)/100)*100</f>
        <v>26.072433595956912</v>
      </c>
      <c r="K1100" s="53">
        <v>4.9264705882352944</v>
      </c>
      <c r="L1100" s="54">
        <f>J1100*10000/K1100</f>
        <v>52923.14879179313</v>
      </c>
      <c r="M1100" s="55">
        <v>50.6</v>
      </c>
      <c r="N1100" s="55">
        <v>20.100000000000001</v>
      </c>
      <c r="O1100" s="56">
        <v>47.335999999999999</v>
      </c>
      <c r="P1100" s="55">
        <v>49.5</v>
      </c>
      <c r="Q1100" s="17" t="s">
        <v>424</v>
      </c>
      <c r="R1100" s="17" t="s">
        <v>424</v>
      </c>
      <c r="S1100" s="17" t="s">
        <v>424</v>
      </c>
      <c r="T1100" s="17" t="s">
        <v>424</v>
      </c>
      <c r="U1100" s="17" t="s">
        <v>424</v>
      </c>
      <c r="V1100" s="17" t="s">
        <v>424</v>
      </c>
      <c r="W1100" s="17" t="s">
        <v>424</v>
      </c>
    </row>
    <row r="1101" spans="1:23" x14ac:dyDescent="0.25">
      <c r="A1101" s="16" t="s">
        <v>1179</v>
      </c>
      <c r="B1101" s="17" t="s">
        <v>10</v>
      </c>
      <c r="C1101" s="17" t="s">
        <v>427</v>
      </c>
      <c r="D1101" s="18" t="s">
        <v>202</v>
      </c>
      <c r="E1101" s="18" t="s">
        <v>1504</v>
      </c>
      <c r="F1101" s="18">
        <v>5.94</v>
      </c>
      <c r="G1101" s="26">
        <v>2.0499999999999998</v>
      </c>
      <c r="H1101" s="17">
        <v>7.26</v>
      </c>
      <c r="I1101" s="25">
        <v>7.8161822466614312</v>
      </c>
      <c r="J1101" s="24">
        <f>G1101/F1101*((100-H1101)/100)*((100-I1101)/100)*100</f>
        <v>29.504563770726371</v>
      </c>
      <c r="K1101" s="53">
        <v>5.1655629139072845</v>
      </c>
      <c r="L1101" s="54">
        <f>J1101*10000/K1101</f>
        <v>57117.809351021562</v>
      </c>
      <c r="M1101" s="55">
        <v>48.2</v>
      </c>
      <c r="N1101" s="55">
        <v>20.399999999999999</v>
      </c>
      <c r="O1101" s="56">
        <v>15.930999999999999</v>
      </c>
      <c r="P1101" s="55">
        <v>65.599999999999994</v>
      </c>
      <c r="Q1101" s="17" t="s">
        <v>424</v>
      </c>
      <c r="R1101" s="17" t="s">
        <v>424</v>
      </c>
      <c r="S1101" s="17" t="s">
        <v>424</v>
      </c>
      <c r="T1101" s="17" t="s">
        <v>424</v>
      </c>
      <c r="U1101" s="17" t="s">
        <v>424</v>
      </c>
      <c r="V1101" s="17" t="s">
        <v>424</v>
      </c>
      <c r="W1101" s="17" t="s">
        <v>424</v>
      </c>
    </row>
    <row r="1102" spans="1:23" x14ac:dyDescent="0.25">
      <c r="A1102" s="16" t="s">
        <v>1178</v>
      </c>
      <c r="B1102" s="17" t="s">
        <v>10</v>
      </c>
      <c r="C1102" s="17" t="s">
        <v>427</v>
      </c>
      <c r="D1102" s="18" t="s">
        <v>203</v>
      </c>
      <c r="E1102" s="18" t="s">
        <v>1464</v>
      </c>
      <c r="F1102" s="18">
        <v>5.94</v>
      </c>
      <c r="G1102" s="26">
        <v>1.08</v>
      </c>
      <c r="H1102" s="17">
        <v>7.26</v>
      </c>
      <c r="I1102" s="25">
        <v>15.345512311358226</v>
      </c>
      <c r="J1102" s="24">
        <f>G1102/F1102*((100-H1102)/100)*((100-I1102)/100)*100</f>
        <v>14.274285796808433</v>
      </c>
      <c r="K1102" s="53">
        <v>5</v>
      </c>
      <c r="L1102" s="54">
        <f>J1102*10000/K1102</f>
        <v>28548.571593616867</v>
      </c>
      <c r="M1102" s="55">
        <v>48.9</v>
      </c>
      <c r="N1102" s="55">
        <v>19.399999999999999</v>
      </c>
      <c r="O1102" s="56">
        <v>45.192</v>
      </c>
      <c r="P1102" s="55">
        <v>56.3</v>
      </c>
      <c r="Q1102" s="17" t="s">
        <v>424</v>
      </c>
      <c r="R1102" s="17" t="s">
        <v>424</v>
      </c>
      <c r="S1102" s="17" t="s">
        <v>424</v>
      </c>
      <c r="T1102" s="17" t="s">
        <v>424</v>
      </c>
      <c r="U1102" s="17" t="s">
        <v>424</v>
      </c>
      <c r="V1102" s="17" t="s">
        <v>424</v>
      </c>
      <c r="W1102" s="17" t="s">
        <v>424</v>
      </c>
    </row>
    <row r="1103" spans="1:23" x14ac:dyDescent="0.25">
      <c r="A1103" s="16" t="s">
        <v>774</v>
      </c>
      <c r="B1103" s="17" t="s">
        <v>10</v>
      </c>
      <c r="C1103" s="17" t="s">
        <v>13</v>
      </c>
      <c r="D1103" s="18" t="s">
        <v>294</v>
      </c>
      <c r="E1103" s="18" t="s">
        <v>1513</v>
      </c>
      <c r="F1103" s="18">
        <v>5.94</v>
      </c>
      <c r="G1103" s="23">
        <v>1.57</v>
      </c>
      <c r="H1103" s="20">
        <v>6.89</v>
      </c>
      <c r="I1103" s="25">
        <v>12.666666666666663</v>
      </c>
      <c r="J1103" s="24">
        <f>G1103/F1103*((100-H1103)/100)*((100-I1103)/100)*100</f>
        <v>21.492630415263754</v>
      </c>
      <c r="K1103" s="53">
        <v>5.3738317757009346</v>
      </c>
      <c r="L1103" s="54">
        <f>J1103*10000/K1103</f>
        <v>39994.981816229942</v>
      </c>
      <c r="M1103" s="55">
        <v>48.3</v>
      </c>
      <c r="N1103" s="55">
        <v>20.399999999999999</v>
      </c>
      <c r="O1103" s="56">
        <v>3.9872000000000001</v>
      </c>
      <c r="P1103" s="55">
        <v>60</v>
      </c>
      <c r="Q1103" s="17" t="s">
        <v>424</v>
      </c>
      <c r="R1103" s="17" t="s">
        <v>424</v>
      </c>
      <c r="S1103" s="17" t="s">
        <v>424</v>
      </c>
      <c r="T1103" s="17" t="s">
        <v>424</v>
      </c>
      <c r="U1103" s="17" t="s">
        <v>424</v>
      </c>
      <c r="V1103" s="17" t="s">
        <v>424</v>
      </c>
      <c r="W1103" s="17" t="s">
        <v>424</v>
      </c>
    </row>
    <row r="1104" spans="1:23" x14ac:dyDescent="0.25">
      <c r="A1104" s="16" t="s">
        <v>773</v>
      </c>
      <c r="B1104" s="17" t="s">
        <v>10</v>
      </c>
      <c r="C1104" s="17" t="s">
        <v>13</v>
      </c>
      <c r="D1104" s="18" t="s">
        <v>80</v>
      </c>
      <c r="E1104" s="18" t="s">
        <v>1718</v>
      </c>
      <c r="F1104" s="18">
        <v>5.94</v>
      </c>
      <c r="G1104" s="23">
        <v>2.0699999999999998</v>
      </c>
      <c r="H1104" s="20">
        <v>6.89</v>
      </c>
      <c r="I1104" s="25">
        <v>11.904181892001633</v>
      </c>
      <c r="J1104" s="24">
        <f>G1104/F1104*((100-H1104)/100)*((100-I1104)/100)*100</f>
        <v>28.584823841336625</v>
      </c>
      <c r="K1104" s="53">
        <v>4.6928982725527835</v>
      </c>
      <c r="L1104" s="54">
        <f>J1104*10000/K1104</f>
        <v>60910.81072121219</v>
      </c>
      <c r="M1104" s="55">
        <v>51</v>
      </c>
      <c r="N1104" s="55">
        <v>17.5</v>
      </c>
      <c r="O1104" s="56">
        <v>1.5143</v>
      </c>
      <c r="P1104" s="55">
        <v>15.1</v>
      </c>
      <c r="Q1104" s="17" t="s">
        <v>424</v>
      </c>
      <c r="R1104" s="17" t="s">
        <v>424</v>
      </c>
      <c r="S1104" s="17" t="s">
        <v>424</v>
      </c>
      <c r="T1104" s="17" t="s">
        <v>424</v>
      </c>
      <c r="U1104" s="17" t="s">
        <v>424</v>
      </c>
      <c r="V1104" s="17" t="s">
        <v>424</v>
      </c>
      <c r="W1104" s="17" t="s">
        <v>424</v>
      </c>
    </row>
    <row r="1105" spans="1:23" x14ac:dyDescent="0.25">
      <c r="A1105" s="16" t="s">
        <v>772</v>
      </c>
      <c r="B1105" s="17" t="s">
        <v>10</v>
      </c>
      <c r="C1105" s="17" t="s">
        <v>13</v>
      </c>
      <c r="D1105" s="18" t="s">
        <v>71</v>
      </c>
      <c r="E1105" s="18" t="s">
        <v>1604</v>
      </c>
      <c r="F1105" s="18">
        <v>5.94</v>
      </c>
      <c r="G1105" s="23">
        <v>2.1</v>
      </c>
      <c r="H1105" s="20">
        <v>6.89</v>
      </c>
      <c r="I1105" s="25">
        <v>6.3792415169660641</v>
      </c>
      <c r="J1105" s="24">
        <f>G1105/F1105*((100-H1105)/100)*((100-I1105)/100)*100</f>
        <v>30.817778664892444</v>
      </c>
      <c r="K1105" s="53">
        <v>5.7777777777777777</v>
      </c>
      <c r="L1105" s="54">
        <f>J1105*10000/K1105</f>
        <v>53338.463073852312</v>
      </c>
      <c r="M1105" s="55">
        <v>51.4</v>
      </c>
      <c r="N1105" s="55">
        <v>17.7</v>
      </c>
      <c r="O1105" s="56">
        <v>2.6034000000000001E-3</v>
      </c>
      <c r="P1105" s="55">
        <v>16.7</v>
      </c>
      <c r="Q1105" s="17" t="s">
        <v>424</v>
      </c>
      <c r="R1105" s="17" t="s">
        <v>424</v>
      </c>
      <c r="S1105" s="17" t="s">
        <v>424</v>
      </c>
      <c r="T1105" s="17" t="s">
        <v>424</v>
      </c>
      <c r="U1105" s="17" t="s">
        <v>424</v>
      </c>
      <c r="V1105" s="17" t="s">
        <v>424</v>
      </c>
      <c r="W1105" s="17" t="s">
        <v>424</v>
      </c>
    </row>
    <row r="1106" spans="1:23" x14ac:dyDescent="0.25">
      <c r="A1106" s="16" t="s">
        <v>771</v>
      </c>
      <c r="B1106" s="17" t="s">
        <v>10</v>
      </c>
      <c r="C1106" s="17" t="s">
        <v>13</v>
      </c>
      <c r="D1106" s="18" t="s">
        <v>255</v>
      </c>
      <c r="E1106" s="18" t="s">
        <v>1558</v>
      </c>
      <c r="F1106" s="18">
        <v>5.94</v>
      </c>
      <c r="G1106" s="23">
        <v>1.92</v>
      </c>
      <c r="H1106" s="20">
        <v>6.89</v>
      </c>
      <c r="I1106" s="25">
        <v>8.3026125981727841</v>
      </c>
      <c r="J1106" s="24">
        <f>G1106/F1106*((100-H1106)/100)*((100-I1106)/100)*100</f>
        <v>27.597393910251739</v>
      </c>
      <c r="K1106" s="53">
        <v>4.9058577405857742</v>
      </c>
      <c r="L1106" s="54">
        <f>J1106*10000/K1106</f>
        <v>56253.962853306315</v>
      </c>
      <c r="M1106" s="55">
        <v>52.5</v>
      </c>
      <c r="N1106" s="55">
        <v>17.5</v>
      </c>
      <c r="O1106" s="56">
        <v>2.7250999999999999</v>
      </c>
      <c r="P1106" s="55">
        <v>14.2</v>
      </c>
      <c r="Q1106" s="17" t="s">
        <v>424</v>
      </c>
      <c r="R1106" s="17" t="s">
        <v>424</v>
      </c>
      <c r="S1106" s="17" t="s">
        <v>424</v>
      </c>
      <c r="T1106" s="17" t="s">
        <v>424</v>
      </c>
      <c r="U1106" s="17" t="s">
        <v>424</v>
      </c>
      <c r="V1106" s="17" t="s">
        <v>424</v>
      </c>
      <c r="W1106" s="17" t="s">
        <v>424</v>
      </c>
    </row>
    <row r="1107" spans="1:23" x14ac:dyDescent="0.25">
      <c r="A1107" s="16" t="s">
        <v>770</v>
      </c>
      <c r="B1107" s="17" t="s">
        <v>10</v>
      </c>
      <c r="C1107" s="17" t="s">
        <v>13</v>
      </c>
      <c r="D1107" s="18" t="s">
        <v>268</v>
      </c>
      <c r="E1107" s="18" t="s">
        <v>1734</v>
      </c>
      <c r="F1107" s="18">
        <v>5.94</v>
      </c>
      <c r="G1107" s="23">
        <v>2.36</v>
      </c>
      <c r="H1107" s="20">
        <v>6.89</v>
      </c>
      <c r="I1107" s="25">
        <v>9.2071423322801085</v>
      </c>
      <c r="J1107" s="24">
        <f>G1107/F1107*((100-H1107)/100)*((100-I1107)/100)*100</f>
        <v>33.587182199935519</v>
      </c>
      <c r="K1107" s="53">
        <v>5.0216450216450212</v>
      </c>
      <c r="L1107" s="54">
        <f>J1107*10000/K1107</f>
        <v>66884.819725733672</v>
      </c>
      <c r="M1107" s="55">
        <v>52.4</v>
      </c>
      <c r="N1107" s="55">
        <v>16.7</v>
      </c>
      <c r="O1107" s="56">
        <v>-0.24462999999999999</v>
      </c>
      <c r="P1107" s="55">
        <v>16.2</v>
      </c>
      <c r="Q1107" s="17" t="s">
        <v>424</v>
      </c>
      <c r="R1107" s="17" t="s">
        <v>424</v>
      </c>
      <c r="S1107" s="17" t="s">
        <v>424</v>
      </c>
      <c r="T1107" s="17" t="s">
        <v>424</v>
      </c>
      <c r="U1107" s="17" t="s">
        <v>424</v>
      </c>
      <c r="V1107" s="17" t="s">
        <v>424</v>
      </c>
      <c r="W1107" s="17" t="s">
        <v>424</v>
      </c>
    </row>
    <row r="1108" spans="1:23" x14ac:dyDescent="0.25">
      <c r="A1108" s="16" t="s">
        <v>769</v>
      </c>
      <c r="B1108" s="17" t="s">
        <v>10</v>
      </c>
      <c r="C1108" s="17" t="s">
        <v>13</v>
      </c>
      <c r="D1108" s="18" t="s">
        <v>20</v>
      </c>
      <c r="E1108" s="18" t="s">
        <v>1618</v>
      </c>
      <c r="F1108" s="18">
        <v>5.94</v>
      </c>
      <c r="G1108" s="23">
        <v>1.69</v>
      </c>
      <c r="H1108" s="20">
        <v>6.89</v>
      </c>
      <c r="I1108" s="25">
        <v>11.301597869507322</v>
      </c>
      <c r="J1108" s="24">
        <f>G1108/F1108*((100-H1108)/100)*((100-I1108)/100)*100</f>
        <v>23.496998141086859</v>
      </c>
      <c r="K1108" s="53">
        <v>4.3779232927970062</v>
      </c>
      <c r="L1108" s="54">
        <f>J1108*10000/K1108</f>
        <v>53671.561993209085</v>
      </c>
      <c r="M1108" s="55">
        <v>54.1</v>
      </c>
      <c r="N1108" s="55">
        <v>17.100000000000001</v>
      </c>
      <c r="O1108" s="56">
        <v>-0.88346000000000002</v>
      </c>
      <c r="P1108" s="55">
        <v>10.199999999999999</v>
      </c>
      <c r="Q1108" s="17" t="s">
        <v>424</v>
      </c>
      <c r="R1108" s="17" t="s">
        <v>424</v>
      </c>
      <c r="S1108" s="17" t="s">
        <v>424</v>
      </c>
      <c r="T1108" s="17" t="s">
        <v>424</v>
      </c>
      <c r="U1108" s="17" t="s">
        <v>424</v>
      </c>
      <c r="V1108" s="17" t="s">
        <v>424</v>
      </c>
      <c r="W1108" s="17" t="s">
        <v>424</v>
      </c>
    </row>
    <row r="1109" spans="1:23" x14ac:dyDescent="0.25">
      <c r="A1109" s="16" t="s">
        <v>1189</v>
      </c>
      <c r="B1109" s="17" t="s">
        <v>10</v>
      </c>
      <c r="C1109" s="17" t="s">
        <v>427</v>
      </c>
      <c r="D1109" s="18" t="s">
        <v>56</v>
      </c>
      <c r="E1109" s="18" t="s">
        <v>1515</v>
      </c>
      <c r="F1109" s="18">
        <v>5.94</v>
      </c>
      <c r="G1109" s="26">
        <v>1.64</v>
      </c>
      <c r="H1109" s="17">
        <v>7.26</v>
      </c>
      <c r="I1109" s="25">
        <v>8.2862523540489725</v>
      </c>
      <c r="J1109" s="24">
        <f>G1109/F1109*((100-H1109)/100)*((100-I1109)/100)*100</f>
        <v>23.483289644720902</v>
      </c>
      <c r="K1109" s="53">
        <v>5.4910714285714288</v>
      </c>
      <c r="L1109" s="54">
        <f>J1109*10000/K1109</f>
        <v>42766.31610095514</v>
      </c>
      <c r="M1109" s="55">
        <v>46.4</v>
      </c>
      <c r="N1109" s="55">
        <v>21.2</v>
      </c>
      <c r="O1109" s="56">
        <v>11.227</v>
      </c>
      <c r="P1109" s="55">
        <v>62.5</v>
      </c>
      <c r="Q1109" s="17" t="s">
        <v>424</v>
      </c>
      <c r="R1109" s="17" t="s">
        <v>424</v>
      </c>
      <c r="S1109" s="17" t="s">
        <v>424</v>
      </c>
      <c r="T1109" s="17" t="s">
        <v>424</v>
      </c>
      <c r="U1109" s="17" t="s">
        <v>424</v>
      </c>
      <c r="V1109" s="17" t="s">
        <v>424</v>
      </c>
      <c r="W1109" s="17" t="s">
        <v>424</v>
      </c>
    </row>
    <row r="1110" spans="1:23" x14ac:dyDescent="0.25">
      <c r="A1110" s="16" t="s">
        <v>1188</v>
      </c>
      <c r="B1110" s="17" t="s">
        <v>10</v>
      </c>
      <c r="C1110" s="17" t="s">
        <v>427</v>
      </c>
      <c r="D1110" s="18" t="s">
        <v>43</v>
      </c>
      <c r="E1110" s="18" t="s">
        <v>1502</v>
      </c>
      <c r="F1110" s="18">
        <v>5.94</v>
      </c>
      <c r="G1110" s="26">
        <v>1.45</v>
      </c>
      <c r="H1110" s="17">
        <v>7.26</v>
      </c>
      <c r="I1110" s="25">
        <v>6.8517556231905603</v>
      </c>
      <c r="J1110" s="24">
        <f>G1110/F1110*((100-H1110)/100)*((100-I1110)/100)*100</f>
        <v>21.087413915964131</v>
      </c>
      <c r="K1110" s="53">
        <v>5.0865800865800868</v>
      </c>
      <c r="L1110" s="54">
        <f>J1110*10000/K1110</f>
        <v>41456.958422023097</v>
      </c>
      <c r="M1110" s="55">
        <v>48.3</v>
      </c>
      <c r="N1110" s="55">
        <v>21.7</v>
      </c>
      <c r="O1110" s="56">
        <v>10.212999999999999</v>
      </c>
      <c r="P1110" s="55">
        <v>60.7</v>
      </c>
      <c r="Q1110" s="17" t="s">
        <v>424</v>
      </c>
      <c r="R1110" s="17" t="s">
        <v>424</v>
      </c>
      <c r="S1110" s="17" t="s">
        <v>424</v>
      </c>
      <c r="T1110" s="17" t="s">
        <v>424</v>
      </c>
      <c r="U1110" s="17" t="s">
        <v>424</v>
      </c>
      <c r="V1110" s="17" t="s">
        <v>424</v>
      </c>
      <c r="W1110" s="17" t="s">
        <v>424</v>
      </c>
    </row>
    <row r="1111" spans="1:23" x14ac:dyDescent="0.25">
      <c r="A1111" s="16" t="s">
        <v>1187</v>
      </c>
      <c r="B1111" s="17" t="s">
        <v>10</v>
      </c>
      <c r="C1111" s="17" t="s">
        <v>427</v>
      </c>
      <c r="D1111" s="18" t="s">
        <v>27</v>
      </c>
      <c r="E1111" s="18" t="s">
        <v>1586</v>
      </c>
      <c r="F1111" s="18">
        <v>5.94</v>
      </c>
      <c r="G1111" s="26">
        <v>1.86</v>
      </c>
      <c r="H1111" s="17">
        <v>7.26</v>
      </c>
      <c r="I1111" s="25">
        <v>8.4185751787815679</v>
      </c>
      <c r="J1111" s="24">
        <f>G1111/F1111*((100-H1111)/100)*((100-I1111)/100)*100</f>
        <v>26.595060755102402</v>
      </c>
      <c r="K1111" s="53">
        <v>5.0362694300518136</v>
      </c>
      <c r="L1111" s="54">
        <f>J1111*10000/K1111</f>
        <v>52807.065079575754</v>
      </c>
      <c r="M1111" s="55">
        <v>51.6</v>
      </c>
      <c r="N1111" s="55">
        <v>18.3</v>
      </c>
      <c r="O1111" s="56">
        <v>2.9308999999999998</v>
      </c>
      <c r="P1111" s="55">
        <v>19.5</v>
      </c>
      <c r="Q1111" s="17" t="s">
        <v>424</v>
      </c>
      <c r="R1111" s="17" t="s">
        <v>424</v>
      </c>
      <c r="S1111" s="17" t="s">
        <v>424</v>
      </c>
      <c r="T1111" s="17" t="s">
        <v>424</v>
      </c>
      <c r="U1111" s="17" t="s">
        <v>424</v>
      </c>
      <c r="V1111" s="17" t="s">
        <v>424</v>
      </c>
      <c r="W1111" s="17" t="s">
        <v>424</v>
      </c>
    </row>
    <row r="1112" spans="1:23" x14ac:dyDescent="0.25">
      <c r="A1112" s="16" t="s">
        <v>1186</v>
      </c>
      <c r="B1112" s="17" t="s">
        <v>10</v>
      </c>
      <c r="C1112" s="17" t="s">
        <v>427</v>
      </c>
      <c r="D1112" s="18" t="s">
        <v>47</v>
      </c>
      <c r="E1112" s="18" t="s">
        <v>1754</v>
      </c>
      <c r="F1112" s="18">
        <v>5.94</v>
      </c>
      <c r="G1112" s="26">
        <v>2.58</v>
      </c>
      <c r="H1112" s="17">
        <v>7.26</v>
      </c>
      <c r="I1112" s="25">
        <v>8.1153646284427428</v>
      </c>
      <c r="J1112" s="24">
        <f>G1112/F1112*((100-H1112)/100)*((100-I1112)/100)*100</f>
        <v>37.012059255293273</v>
      </c>
      <c r="K1112" s="53">
        <v>5.4133635334088339</v>
      </c>
      <c r="L1112" s="54">
        <f>J1112*10000/K1112</f>
        <v>68371.649210091957</v>
      </c>
      <c r="M1112" s="55">
        <v>51.8</v>
      </c>
      <c r="N1112" s="55">
        <v>16.899999999999999</v>
      </c>
      <c r="O1112" s="56">
        <v>2.2136</v>
      </c>
      <c r="P1112" s="55">
        <v>16.600000000000001</v>
      </c>
      <c r="Q1112" s="17" t="s">
        <v>424</v>
      </c>
      <c r="R1112" s="17" t="s">
        <v>424</v>
      </c>
      <c r="S1112" s="17" t="s">
        <v>424</v>
      </c>
      <c r="T1112" s="17" t="s">
        <v>424</v>
      </c>
      <c r="U1112" s="17" t="s">
        <v>424</v>
      </c>
      <c r="V1112" s="17" t="s">
        <v>424</v>
      </c>
      <c r="W1112" s="17" t="s">
        <v>424</v>
      </c>
    </row>
    <row r="1113" spans="1:23" x14ac:dyDescent="0.25">
      <c r="A1113" s="16" t="s">
        <v>1185</v>
      </c>
      <c r="B1113" s="17" t="s">
        <v>10</v>
      </c>
      <c r="C1113" s="17" t="s">
        <v>427</v>
      </c>
      <c r="D1113" s="18" t="s">
        <v>37</v>
      </c>
      <c r="E1113" s="18" t="s">
        <v>1736</v>
      </c>
      <c r="F1113" s="18">
        <v>5.94</v>
      </c>
      <c r="G1113" s="26">
        <v>1.91</v>
      </c>
      <c r="H1113" s="17">
        <v>7.26</v>
      </c>
      <c r="I1113" s="25">
        <v>6.4913395836643906</v>
      </c>
      <c r="J1113" s="24">
        <f>G1113/F1113*((100-H1113)/100)*((100-I1113)/100)*100</f>
        <v>27.884691833318087</v>
      </c>
      <c r="K1113" s="53">
        <v>5.4387990762124714</v>
      </c>
      <c r="L1113" s="54">
        <f>J1113*10000/K1113</f>
        <v>51269.9429461857</v>
      </c>
      <c r="M1113" s="55">
        <v>50.7</v>
      </c>
      <c r="N1113" s="55">
        <v>17.5</v>
      </c>
      <c r="O1113" s="56">
        <v>-0.53151999999999999</v>
      </c>
      <c r="P1113" s="55">
        <v>11.5</v>
      </c>
      <c r="Q1113" s="17" t="s">
        <v>424</v>
      </c>
      <c r="R1113" s="17" t="s">
        <v>424</v>
      </c>
      <c r="S1113" s="17" t="s">
        <v>424</v>
      </c>
      <c r="T1113" s="17" t="s">
        <v>424</v>
      </c>
      <c r="U1113" s="17" t="s">
        <v>424</v>
      </c>
      <c r="V1113" s="17" t="s">
        <v>424</v>
      </c>
      <c r="W1113" s="17" t="s">
        <v>424</v>
      </c>
    </row>
    <row r="1114" spans="1:23" x14ac:dyDescent="0.25">
      <c r="A1114" s="16" t="s">
        <v>1184</v>
      </c>
      <c r="B1114" s="17" t="s">
        <v>10</v>
      </c>
      <c r="C1114" s="17" t="s">
        <v>427</v>
      </c>
      <c r="D1114" s="18" t="s">
        <v>73</v>
      </c>
      <c r="E1114" s="18" t="s">
        <v>1640</v>
      </c>
      <c r="F1114" s="18">
        <v>5.94</v>
      </c>
      <c r="G1114" s="26">
        <v>1.88</v>
      </c>
      <c r="H1114" s="17">
        <v>7.26</v>
      </c>
      <c r="I1114" s="25">
        <v>8.994667503136764</v>
      </c>
      <c r="J1114" s="24">
        <f>G1114/F1114*((100-H1114)/100)*((100-I1114)/100)*100</f>
        <v>26.711934220921041</v>
      </c>
      <c r="K1114" s="53">
        <v>4.6793587174348694</v>
      </c>
      <c r="L1114" s="54">
        <f>J1114*10000/K1114</f>
        <v>57084.604609163165</v>
      </c>
      <c r="M1114" s="55">
        <v>55.4</v>
      </c>
      <c r="N1114" s="55">
        <v>16.899999999999999</v>
      </c>
      <c r="O1114" s="56">
        <v>2.7178</v>
      </c>
      <c r="P1114" s="55">
        <v>12</v>
      </c>
      <c r="Q1114" s="17" t="s">
        <v>424</v>
      </c>
      <c r="R1114" s="17" t="s">
        <v>424</v>
      </c>
      <c r="S1114" s="17" t="s">
        <v>424</v>
      </c>
      <c r="T1114" s="17" t="s">
        <v>424</v>
      </c>
      <c r="U1114" s="17" t="s">
        <v>424</v>
      </c>
      <c r="V1114" s="17" t="s">
        <v>424</v>
      </c>
      <c r="W1114" s="17" t="s">
        <v>424</v>
      </c>
    </row>
    <row r="1115" spans="1:23" x14ac:dyDescent="0.25">
      <c r="A1115" s="16" t="s">
        <v>780</v>
      </c>
      <c r="B1115" s="17" t="s">
        <v>10</v>
      </c>
      <c r="C1115" s="17" t="s">
        <v>13</v>
      </c>
      <c r="D1115" s="18" t="s">
        <v>158</v>
      </c>
      <c r="E1115" s="18" t="s">
        <v>1670</v>
      </c>
      <c r="F1115" s="18">
        <v>5.94</v>
      </c>
      <c r="G1115" s="23">
        <v>2.21</v>
      </c>
      <c r="H1115" s="20">
        <v>6.89</v>
      </c>
      <c r="I1115" s="25">
        <v>5.1602047255135561</v>
      </c>
      <c r="J1115" s="24">
        <f>G1115/F1115*((100-H1115)/100)*((100-I1115)/100)*100</f>
        <v>32.854341207064692</v>
      </c>
      <c r="K1115" s="53">
        <v>5.2844638949671774</v>
      </c>
      <c r="L1115" s="54">
        <f>J1115*10000/K1115</f>
        <v>62171.569075066524</v>
      </c>
      <c r="M1115" s="55">
        <v>49.8</v>
      </c>
      <c r="N1115" s="55">
        <v>18.5</v>
      </c>
      <c r="O1115" s="56">
        <v>1.5964</v>
      </c>
      <c r="P1115" s="55">
        <v>12.9</v>
      </c>
      <c r="Q1115" s="17" t="s">
        <v>424</v>
      </c>
      <c r="R1115" s="17" t="s">
        <v>424</v>
      </c>
      <c r="S1115" s="17" t="s">
        <v>424</v>
      </c>
      <c r="T1115" s="17" t="s">
        <v>424</v>
      </c>
      <c r="U1115" s="17" t="s">
        <v>424</v>
      </c>
      <c r="V1115" s="17" t="s">
        <v>424</v>
      </c>
      <c r="W1115" s="17" t="s">
        <v>424</v>
      </c>
    </row>
    <row r="1116" spans="1:23" x14ac:dyDescent="0.25">
      <c r="A1116" s="16" t="s">
        <v>779</v>
      </c>
      <c r="B1116" s="17" t="s">
        <v>10</v>
      </c>
      <c r="C1116" s="17" t="s">
        <v>13</v>
      </c>
      <c r="D1116" s="18" t="s">
        <v>217</v>
      </c>
      <c r="E1116" s="18" t="s">
        <v>1547</v>
      </c>
      <c r="F1116" s="18">
        <v>5.94</v>
      </c>
      <c r="G1116" s="23">
        <v>1.98</v>
      </c>
      <c r="H1116" s="20">
        <v>6.89</v>
      </c>
      <c r="I1116" s="25">
        <v>11.733761963907359</v>
      </c>
      <c r="J1116" s="24">
        <f>G1116/F1116*((100-H1116)/100)*((100-I1116)/100)*100</f>
        <v>27.394898078468621</v>
      </c>
      <c r="K1116" s="53">
        <v>4.1801801801801801</v>
      </c>
      <c r="L1116" s="54">
        <f>J1116*10000/K1116</f>
        <v>65535.208765302094</v>
      </c>
      <c r="M1116" s="55">
        <v>51.8</v>
      </c>
      <c r="N1116" s="55">
        <v>16.7</v>
      </c>
      <c r="O1116" s="56">
        <v>1.3164</v>
      </c>
      <c r="P1116" s="55">
        <v>11.3</v>
      </c>
      <c r="Q1116" s="17" t="s">
        <v>424</v>
      </c>
      <c r="R1116" s="17" t="s">
        <v>424</v>
      </c>
      <c r="S1116" s="17" t="s">
        <v>424</v>
      </c>
      <c r="T1116" s="17" t="s">
        <v>424</v>
      </c>
      <c r="U1116" s="17" t="s">
        <v>424</v>
      </c>
      <c r="V1116" s="17" t="s">
        <v>424</v>
      </c>
      <c r="W1116" s="17" t="s">
        <v>424</v>
      </c>
    </row>
    <row r="1117" spans="1:23" x14ac:dyDescent="0.25">
      <c r="A1117" s="16" t="s">
        <v>778</v>
      </c>
      <c r="B1117" s="17" t="s">
        <v>10</v>
      </c>
      <c r="C1117" s="17" t="s">
        <v>13</v>
      </c>
      <c r="D1117" s="18" t="s">
        <v>157</v>
      </c>
      <c r="E1117" s="18" t="s">
        <v>1800</v>
      </c>
      <c r="F1117" s="18">
        <v>5.94</v>
      </c>
      <c r="G1117" s="23">
        <v>2.21</v>
      </c>
      <c r="H1117" s="20">
        <v>6.89</v>
      </c>
      <c r="I1117" s="25">
        <v>8.3896255524977086</v>
      </c>
      <c r="J1117" s="24">
        <f>G1117/F1117*((100-H1117)/100)*((100-I1117)/100)*100</f>
        <v>31.735607310140296</v>
      </c>
      <c r="K1117" s="53">
        <v>5.6820877817319095</v>
      </c>
      <c r="L1117" s="54">
        <f>J1117*10000/K1117</f>
        <v>55852.018710747958</v>
      </c>
      <c r="M1117" s="55">
        <v>53.1</v>
      </c>
      <c r="N1117" s="55">
        <v>16.7</v>
      </c>
      <c r="O1117" s="56">
        <v>1.4983</v>
      </c>
      <c r="P1117" s="55">
        <v>16.2</v>
      </c>
      <c r="Q1117" s="17" t="s">
        <v>424</v>
      </c>
      <c r="R1117" s="17" t="s">
        <v>424</v>
      </c>
      <c r="S1117" s="17" t="s">
        <v>424</v>
      </c>
      <c r="T1117" s="17" t="s">
        <v>424</v>
      </c>
      <c r="U1117" s="17" t="s">
        <v>424</v>
      </c>
      <c r="V1117" s="17" t="s">
        <v>424</v>
      </c>
      <c r="W1117" s="17" t="s">
        <v>424</v>
      </c>
    </row>
    <row r="1118" spans="1:23" x14ac:dyDescent="0.25">
      <c r="A1118" s="16" t="s">
        <v>777</v>
      </c>
      <c r="B1118" s="17" t="s">
        <v>10</v>
      </c>
      <c r="C1118" s="17" t="s">
        <v>13</v>
      </c>
      <c r="D1118" s="18" t="s">
        <v>21</v>
      </c>
      <c r="E1118" s="18" t="s">
        <v>1578</v>
      </c>
      <c r="F1118" s="18">
        <v>5.94</v>
      </c>
      <c r="G1118" s="23">
        <v>2.3199999999999998</v>
      </c>
      <c r="H1118" s="20">
        <v>6.89</v>
      </c>
      <c r="I1118" s="25">
        <v>6.6692015209125444</v>
      </c>
      <c r="J1118" s="24">
        <f>G1118/F1118*((100-H1118)/100)*((100-I1118)/100)*100</f>
        <v>33.94086043707032</v>
      </c>
      <c r="K1118" s="53">
        <v>4.5136186770428015</v>
      </c>
      <c r="L1118" s="54">
        <f>J1118*10000/K1118</f>
        <v>75196.561485578219</v>
      </c>
      <c r="M1118" s="55">
        <v>53.5</v>
      </c>
      <c r="N1118" s="55">
        <v>16</v>
      </c>
      <c r="O1118" s="56">
        <v>3.5274999999999999</v>
      </c>
      <c r="P1118" s="55">
        <v>13.6</v>
      </c>
      <c r="Q1118" s="17" t="s">
        <v>424</v>
      </c>
      <c r="R1118" s="17" t="s">
        <v>424</v>
      </c>
      <c r="S1118" s="17" t="s">
        <v>424</v>
      </c>
      <c r="T1118" s="17" t="s">
        <v>424</v>
      </c>
      <c r="U1118" s="17" t="s">
        <v>424</v>
      </c>
      <c r="V1118" s="17" t="s">
        <v>424</v>
      </c>
      <c r="W1118" s="17" t="s">
        <v>424</v>
      </c>
    </row>
    <row r="1119" spans="1:23" x14ac:dyDescent="0.25">
      <c r="A1119" s="16" t="s">
        <v>776</v>
      </c>
      <c r="B1119" s="17" t="s">
        <v>10</v>
      </c>
      <c r="C1119" s="17" t="s">
        <v>13</v>
      </c>
      <c r="D1119" s="18" t="s">
        <v>57</v>
      </c>
      <c r="E1119" s="18" t="s">
        <v>1632</v>
      </c>
      <c r="F1119" s="18">
        <v>5.94</v>
      </c>
      <c r="G1119" s="23">
        <v>2.48</v>
      </c>
      <c r="H1119" s="20">
        <v>6.89</v>
      </c>
      <c r="I1119" s="25">
        <v>6.7171104290099199</v>
      </c>
      <c r="J1119" s="24">
        <f>G1119/F1119*((100-H1119)/100)*((100-I1119)/100)*100</f>
        <v>36.26298522378471</v>
      </c>
      <c r="K1119" s="53">
        <v>4.9056603773584904</v>
      </c>
      <c r="L1119" s="54">
        <f>J1119*10000/K1119</f>
        <v>73920.700648484228</v>
      </c>
      <c r="M1119" s="55">
        <v>51.7</v>
      </c>
      <c r="N1119" s="55">
        <v>16.5</v>
      </c>
      <c r="O1119" s="56">
        <v>0.28532999999999997</v>
      </c>
      <c r="P1119" s="55">
        <v>11.7</v>
      </c>
      <c r="Q1119" s="17" t="s">
        <v>424</v>
      </c>
      <c r="R1119" s="17" t="s">
        <v>424</v>
      </c>
      <c r="S1119" s="17" t="s">
        <v>424</v>
      </c>
      <c r="T1119" s="17" t="s">
        <v>424</v>
      </c>
      <c r="U1119" s="17" t="s">
        <v>424</v>
      </c>
      <c r="V1119" s="17" t="s">
        <v>424</v>
      </c>
      <c r="W1119" s="17" t="s">
        <v>424</v>
      </c>
    </row>
    <row r="1120" spans="1:23" x14ac:dyDescent="0.25">
      <c r="A1120" s="16" t="s">
        <v>775</v>
      </c>
      <c r="B1120" s="17" t="s">
        <v>10</v>
      </c>
      <c r="C1120" s="17" t="s">
        <v>13</v>
      </c>
      <c r="D1120" s="18" t="s">
        <v>18</v>
      </c>
      <c r="E1120" s="18" t="s">
        <v>1806</v>
      </c>
      <c r="F1120" s="18">
        <v>5.94</v>
      </c>
      <c r="G1120" s="23">
        <v>1.59</v>
      </c>
      <c r="H1120" s="20">
        <v>6.89</v>
      </c>
      <c r="I1120" s="25">
        <v>9.152148664343791</v>
      </c>
      <c r="J1120" s="24">
        <f>G1120/F1120*((100-H1120)/100)*((100-I1120)/100)*100</f>
        <v>22.642358697309913</v>
      </c>
      <c r="K1120" s="53">
        <v>4.4485294117647056</v>
      </c>
      <c r="L1120" s="54">
        <f>J1120*10000/K1120</f>
        <v>50898.525336101622</v>
      </c>
      <c r="M1120" s="55">
        <v>53.4</v>
      </c>
      <c r="N1120" s="55">
        <v>16.100000000000001</v>
      </c>
      <c r="O1120" s="56">
        <v>0.88968999999999998</v>
      </c>
      <c r="P1120" s="55">
        <v>16.7</v>
      </c>
      <c r="Q1120" s="17" t="s">
        <v>424</v>
      </c>
      <c r="R1120" s="17" t="s">
        <v>424</v>
      </c>
      <c r="S1120" s="17" t="s">
        <v>424</v>
      </c>
      <c r="T1120" s="17" t="s">
        <v>424</v>
      </c>
      <c r="U1120" s="17" t="s">
        <v>424</v>
      </c>
      <c r="V1120" s="17" t="s">
        <v>424</v>
      </c>
      <c r="W1120" s="17" t="s">
        <v>424</v>
      </c>
    </row>
    <row r="1121" spans="1:23" x14ac:dyDescent="0.25">
      <c r="A1121" s="16" t="s">
        <v>1195</v>
      </c>
      <c r="B1121" s="17" t="s">
        <v>10</v>
      </c>
      <c r="C1121" s="17" t="s">
        <v>427</v>
      </c>
      <c r="D1121" s="18" t="s">
        <v>100</v>
      </c>
      <c r="E1121" s="18" t="s">
        <v>1468</v>
      </c>
      <c r="F1121" s="18">
        <v>5.94</v>
      </c>
      <c r="G1121" s="26">
        <v>1.52</v>
      </c>
      <c r="H1121" s="17">
        <v>7.26</v>
      </c>
      <c r="I1121" s="25">
        <v>6.5717911530094275</v>
      </c>
      <c r="J1121" s="24">
        <f>G1121/F1121*((100-H1121)/100)*((100-I1121)/100)*100</f>
        <v>22.171866623694033</v>
      </c>
      <c r="K1121" s="53">
        <v>5.4662004662004664</v>
      </c>
      <c r="L1121" s="54">
        <f>J1121*10000/K1121</f>
        <v>40561.75173375156</v>
      </c>
      <c r="M1121" s="55">
        <v>51.9</v>
      </c>
      <c r="N1121" s="55">
        <v>19.899999999999999</v>
      </c>
      <c r="O1121" s="56">
        <v>48.118000000000002</v>
      </c>
      <c r="P1121" s="55">
        <v>64.599999999999994</v>
      </c>
      <c r="Q1121" s="17" t="s">
        <v>424</v>
      </c>
      <c r="R1121" s="17" t="s">
        <v>424</v>
      </c>
      <c r="S1121" s="17" t="s">
        <v>424</v>
      </c>
      <c r="T1121" s="17" t="s">
        <v>424</v>
      </c>
      <c r="U1121" s="17" t="s">
        <v>424</v>
      </c>
      <c r="V1121" s="17" t="s">
        <v>424</v>
      </c>
      <c r="W1121" s="17" t="s">
        <v>424</v>
      </c>
    </row>
    <row r="1122" spans="1:23" x14ac:dyDescent="0.25">
      <c r="A1122" s="16" t="s">
        <v>1194</v>
      </c>
      <c r="B1122" s="17" t="s">
        <v>10</v>
      </c>
      <c r="C1122" s="17" t="s">
        <v>427</v>
      </c>
      <c r="D1122" s="18" t="s">
        <v>219</v>
      </c>
      <c r="E1122" s="18" t="s">
        <v>1560</v>
      </c>
      <c r="F1122" s="18">
        <v>5.94</v>
      </c>
      <c r="G1122" s="26">
        <v>2.08</v>
      </c>
      <c r="H1122" s="17">
        <v>7.26</v>
      </c>
      <c r="I1122" s="25">
        <v>7.5557809330628789</v>
      </c>
      <c r="J1122" s="24">
        <f>G1122/F1122*((100-H1122)/100)*((100-I1122)/100)*100</f>
        <v>30.020902192991443</v>
      </c>
      <c r="K1122" s="53">
        <v>4.523135033050047</v>
      </c>
      <c r="L1122" s="54">
        <f>J1122*10000/K1122</f>
        <v>66371.890234609469</v>
      </c>
      <c r="M1122" s="55">
        <v>52.3</v>
      </c>
      <c r="N1122" s="55">
        <v>16</v>
      </c>
      <c r="O1122" s="56">
        <v>4.7333999999999996</v>
      </c>
      <c r="P1122" s="55">
        <v>10.199999999999999</v>
      </c>
      <c r="Q1122" s="17" t="s">
        <v>424</v>
      </c>
      <c r="R1122" s="17" t="s">
        <v>424</v>
      </c>
      <c r="S1122" s="17" t="s">
        <v>424</v>
      </c>
      <c r="T1122" s="17" t="s">
        <v>424</v>
      </c>
      <c r="U1122" s="17" t="s">
        <v>424</v>
      </c>
      <c r="V1122" s="17" t="s">
        <v>424</v>
      </c>
      <c r="W1122" s="17" t="s">
        <v>424</v>
      </c>
    </row>
    <row r="1123" spans="1:23" x14ac:dyDescent="0.25">
      <c r="A1123" s="16" t="s">
        <v>1193</v>
      </c>
      <c r="B1123" s="17" t="s">
        <v>10</v>
      </c>
      <c r="C1123" s="17" t="s">
        <v>427</v>
      </c>
      <c r="D1123" s="18" t="s">
        <v>271</v>
      </c>
      <c r="E1123" s="18" t="s">
        <v>1521</v>
      </c>
      <c r="F1123" s="18">
        <v>5.94</v>
      </c>
      <c r="G1123" s="26">
        <v>1.49</v>
      </c>
      <c r="H1123" s="17">
        <v>7.26</v>
      </c>
      <c r="I1123" s="25">
        <v>6.6147186147186146</v>
      </c>
      <c r="J1123" s="24">
        <f>G1123/F1123*((100-H1123)/100)*((100-I1123)/100)*100</f>
        <v>21.724277750083811</v>
      </c>
      <c r="K1123" s="53">
        <v>4.9391480730223121</v>
      </c>
      <c r="L1123" s="54">
        <f>J1123*10000/K1123</f>
        <v>43983.855978609114</v>
      </c>
      <c r="M1123" s="55">
        <v>47.9</v>
      </c>
      <c r="N1123" s="55">
        <v>19</v>
      </c>
      <c r="O1123" s="56">
        <v>4.0197000000000003</v>
      </c>
      <c r="P1123" s="55">
        <v>51.7</v>
      </c>
      <c r="Q1123" s="17" t="s">
        <v>424</v>
      </c>
      <c r="R1123" s="17" t="s">
        <v>424</v>
      </c>
      <c r="S1123" s="17" t="s">
        <v>424</v>
      </c>
      <c r="T1123" s="17" t="s">
        <v>424</v>
      </c>
      <c r="U1123" s="17" t="s">
        <v>424</v>
      </c>
      <c r="V1123" s="17" t="s">
        <v>424</v>
      </c>
      <c r="W1123" s="17" t="s">
        <v>424</v>
      </c>
    </row>
    <row r="1124" spans="1:23" x14ac:dyDescent="0.25">
      <c r="A1124" s="16" t="s">
        <v>1192</v>
      </c>
      <c r="B1124" s="17" t="s">
        <v>10</v>
      </c>
      <c r="C1124" s="17" t="s">
        <v>427</v>
      </c>
      <c r="D1124" s="18" t="s">
        <v>242</v>
      </c>
      <c r="E1124" s="18" t="s">
        <v>1458</v>
      </c>
      <c r="F1124" s="18">
        <v>5.94</v>
      </c>
      <c r="G1124" s="26">
        <v>1.37</v>
      </c>
      <c r="H1124" s="17">
        <v>7.26</v>
      </c>
      <c r="I1124" s="25">
        <v>8.3825459317585285</v>
      </c>
      <c r="J1124" s="24">
        <f>G1124/F1124*((100-H1124)/100)*((100-I1124)/100)*100</f>
        <v>19.596541558409996</v>
      </c>
      <c r="K1124" s="53">
        <v>4.7070124879923148</v>
      </c>
      <c r="L1124" s="54">
        <f>J1124*10000/K1124</f>
        <v>41632.652576132255</v>
      </c>
      <c r="M1124" s="55">
        <v>48</v>
      </c>
      <c r="N1124" s="55">
        <v>19.600000000000001</v>
      </c>
      <c r="O1124" s="56">
        <v>43.189</v>
      </c>
      <c r="P1124" s="55">
        <v>54.7</v>
      </c>
      <c r="Q1124" s="17" t="s">
        <v>424</v>
      </c>
      <c r="R1124" s="17" t="s">
        <v>424</v>
      </c>
      <c r="S1124" s="17" t="s">
        <v>424</v>
      </c>
      <c r="T1124" s="17" t="s">
        <v>424</v>
      </c>
      <c r="U1124" s="17" t="s">
        <v>424</v>
      </c>
      <c r="V1124" s="17" t="s">
        <v>424</v>
      </c>
      <c r="W1124" s="17" t="s">
        <v>424</v>
      </c>
    </row>
    <row r="1125" spans="1:23" x14ac:dyDescent="0.25">
      <c r="A1125" s="16" t="s">
        <v>1191</v>
      </c>
      <c r="B1125" s="17" t="s">
        <v>10</v>
      </c>
      <c r="C1125" s="17" t="s">
        <v>427</v>
      </c>
      <c r="D1125" s="18" t="s">
        <v>15</v>
      </c>
      <c r="E1125" s="18" t="s">
        <v>1648</v>
      </c>
      <c r="F1125" s="18">
        <v>5.94</v>
      </c>
      <c r="G1125" s="26">
        <v>2.13</v>
      </c>
      <c r="H1125" s="17">
        <v>7.26</v>
      </c>
      <c r="I1125" s="25">
        <v>5.6845476381104882</v>
      </c>
      <c r="J1125" s="24">
        <f>G1125/F1125*((100-H1125)/100)*((100-I1125)/100)*100</f>
        <v>31.364841853280602</v>
      </c>
      <c r="K1125" s="53">
        <v>4.9329205366357067</v>
      </c>
      <c r="L1125" s="54">
        <f>J1125*10000/K1125</f>
        <v>63582.702418052104</v>
      </c>
      <c r="M1125" s="55">
        <v>51.5</v>
      </c>
      <c r="N1125" s="55">
        <v>17.100000000000001</v>
      </c>
      <c r="O1125" s="56">
        <v>2.6236999999999999</v>
      </c>
      <c r="P1125" s="55">
        <v>21.4</v>
      </c>
      <c r="Q1125" s="17" t="s">
        <v>424</v>
      </c>
      <c r="R1125" s="17" t="s">
        <v>424</v>
      </c>
      <c r="S1125" s="17" t="s">
        <v>424</v>
      </c>
      <c r="T1125" s="17" t="s">
        <v>424</v>
      </c>
      <c r="U1125" s="17" t="s">
        <v>424</v>
      </c>
      <c r="V1125" s="17" t="s">
        <v>424</v>
      </c>
      <c r="W1125" s="17" t="s">
        <v>424</v>
      </c>
    </row>
    <row r="1126" spans="1:23" x14ac:dyDescent="0.25">
      <c r="A1126" s="16" t="s">
        <v>1190</v>
      </c>
      <c r="B1126" s="17" t="s">
        <v>10</v>
      </c>
      <c r="C1126" s="17" t="s">
        <v>427</v>
      </c>
      <c r="D1126" s="18" t="s">
        <v>93</v>
      </c>
      <c r="E1126" s="18" t="s">
        <v>1562</v>
      </c>
      <c r="F1126" s="18">
        <v>5.94</v>
      </c>
      <c r="G1126" s="26">
        <v>2.27</v>
      </c>
      <c r="H1126" s="17">
        <v>7.26</v>
      </c>
      <c r="I1126" s="25">
        <v>6.0625761885412377</v>
      </c>
      <c r="J1126" s="24">
        <f>G1126/F1126*((100-H1126)/100)*((100-I1126)/100)*100</f>
        <v>33.292403490409988</v>
      </c>
      <c r="K1126" s="53">
        <v>4.4629629629629628</v>
      </c>
      <c r="L1126" s="54">
        <f>J1126*10000/K1126</f>
        <v>74597.086659009932</v>
      </c>
      <c r="M1126" s="55">
        <v>53</v>
      </c>
      <c r="N1126" s="55">
        <v>16.100000000000001</v>
      </c>
      <c r="O1126" s="56">
        <v>2.9933000000000001</v>
      </c>
      <c r="P1126" s="55">
        <v>12.4</v>
      </c>
      <c r="Q1126" s="17" t="s">
        <v>424</v>
      </c>
      <c r="R1126" s="17" t="s">
        <v>424</v>
      </c>
      <c r="S1126" s="17" t="s">
        <v>424</v>
      </c>
      <c r="T1126" s="17" t="s">
        <v>424</v>
      </c>
      <c r="U1126" s="17" t="s">
        <v>424</v>
      </c>
      <c r="V1126" s="17" t="s">
        <v>424</v>
      </c>
      <c r="W1126" s="17" t="s">
        <v>424</v>
      </c>
    </row>
    <row r="1127" spans="1:23" x14ac:dyDescent="0.25">
      <c r="A1127" s="16" t="s">
        <v>786</v>
      </c>
      <c r="B1127" s="17" t="s">
        <v>10</v>
      </c>
      <c r="C1127" s="17" t="s">
        <v>13</v>
      </c>
      <c r="D1127" s="18" t="s">
        <v>67</v>
      </c>
      <c r="E1127" s="18" t="s">
        <v>1490</v>
      </c>
      <c r="F1127" s="18">
        <v>5.94</v>
      </c>
      <c r="G1127" s="23">
        <v>1.58</v>
      </c>
      <c r="H1127" s="20">
        <v>6.89</v>
      </c>
      <c r="I1127" s="25">
        <v>11.413398692810457</v>
      </c>
      <c r="J1127" s="24">
        <f>G1127/F1127*((100-H1127)/100)*((100-I1127)/100)*100</f>
        <v>21.939918429942125</v>
      </c>
      <c r="K1127" s="53">
        <v>5.32258064516129</v>
      </c>
      <c r="L1127" s="54">
        <f>J1127*10000/K1127</f>
        <v>41220.45280777006</v>
      </c>
      <c r="M1127" s="55">
        <v>48.9</v>
      </c>
      <c r="N1127" s="55">
        <v>20.6</v>
      </c>
      <c r="O1127" s="56">
        <v>6.8486000000000002</v>
      </c>
      <c r="P1127" s="55">
        <v>43.9</v>
      </c>
      <c r="Q1127" s="17" t="s">
        <v>424</v>
      </c>
      <c r="R1127" s="17" t="s">
        <v>424</v>
      </c>
      <c r="S1127" s="17" t="s">
        <v>424</v>
      </c>
      <c r="T1127" s="17" t="s">
        <v>424</v>
      </c>
      <c r="U1127" s="17" t="s">
        <v>424</v>
      </c>
      <c r="V1127" s="17" t="s">
        <v>424</v>
      </c>
      <c r="W1127" s="17" t="s">
        <v>424</v>
      </c>
    </row>
    <row r="1128" spans="1:23" x14ac:dyDescent="0.25">
      <c r="A1128" s="16" t="s">
        <v>785</v>
      </c>
      <c r="B1128" s="17" t="s">
        <v>10</v>
      </c>
      <c r="C1128" s="17" t="s">
        <v>13</v>
      </c>
      <c r="D1128" s="18" t="s">
        <v>30</v>
      </c>
      <c r="E1128" s="18" t="s">
        <v>1606</v>
      </c>
      <c r="F1128" s="18">
        <v>5.94</v>
      </c>
      <c r="G1128" s="23">
        <v>1.9</v>
      </c>
      <c r="H1128" s="20">
        <v>6.89</v>
      </c>
      <c r="I1128" s="25">
        <v>8.1930076266707008</v>
      </c>
      <c r="J1128" s="24">
        <f>G1128/F1128*((100-H1128)/100)*((100-I1128)/100)*100</f>
        <v>27.342564332951707</v>
      </c>
      <c r="K1128" s="53">
        <v>4.7135678391959797</v>
      </c>
      <c r="L1128" s="54">
        <f>J1128*10000/K1128</f>
        <v>58008.212177584108</v>
      </c>
      <c r="M1128" s="55">
        <v>50.5</v>
      </c>
      <c r="N1128" s="55">
        <v>18.399999999999999</v>
      </c>
      <c r="O1128" s="56">
        <v>0.96469000000000005</v>
      </c>
      <c r="P1128" s="55">
        <v>13.7</v>
      </c>
      <c r="Q1128" s="17" t="s">
        <v>424</v>
      </c>
      <c r="R1128" s="17" t="s">
        <v>424</v>
      </c>
      <c r="S1128" s="17" t="s">
        <v>424</v>
      </c>
      <c r="T1128" s="17" t="s">
        <v>424</v>
      </c>
      <c r="U1128" s="17" t="s">
        <v>424</v>
      </c>
      <c r="V1128" s="17" t="s">
        <v>424</v>
      </c>
      <c r="W1128" s="17" t="s">
        <v>424</v>
      </c>
    </row>
    <row r="1129" spans="1:23" x14ac:dyDescent="0.25">
      <c r="A1129" s="16" t="s">
        <v>784</v>
      </c>
      <c r="B1129" s="17" t="s">
        <v>10</v>
      </c>
      <c r="C1129" s="17" t="s">
        <v>13</v>
      </c>
      <c r="D1129" s="18" t="s">
        <v>260</v>
      </c>
      <c r="E1129" s="18" t="s">
        <v>1740</v>
      </c>
      <c r="F1129" s="18">
        <v>5.94</v>
      </c>
      <c r="G1129" s="23">
        <v>1.99</v>
      </c>
      <c r="H1129" s="20">
        <v>6.89</v>
      </c>
      <c r="I1129" s="25">
        <v>9.2586597604402705</v>
      </c>
      <c r="J1129" s="24">
        <f>G1129/F1129*((100-H1129)/100)*((100-I1129)/100)*100</f>
        <v>28.305325113659528</v>
      </c>
      <c r="K1129" s="53">
        <v>4.3958135109419603</v>
      </c>
      <c r="L1129" s="54">
        <f>J1129*10000/K1129</f>
        <v>64391.551286701644</v>
      </c>
      <c r="M1129" s="55">
        <v>53.9</v>
      </c>
      <c r="N1129" s="55">
        <v>17.100000000000001</v>
      </c>
      <c r="O1129" s="56">
        <v>3.5185</v>
      </c>
      <c r="P1129" s="55">
        <v>20.399999999999999</v>
      </c>
      <c r="Q1129" s="17" t="s">
        <v>424</v>
      </c>
      <c r="R1129" s="17" t="s">
        <v>424</v>
      </c>
      <c r="S1129" s="17" t="s">
        <v>424</v>
      </c>
      <c r="T1129" s="17" t="s">
        <v>424</v>
      </c>
      <c r="U1129" s="17" t="s">
        <v>424</v>
      </c>
      <c r="V1129" s="17" t="s">
        <v>424</v>
      </c>
      <c r="W1129" s="17" t="s">
        <v>424</v>
      </c>
    </row>
    <row r="1130" spans="1:23" x14ac:dyDescent="0.25">
      <c r="A1130" s="16" t="s">
        <v>783</v>
      </c>
      <c r="B1130" s="17" t="s">
        <v>10</v>
      </c>
      <c r="C1130" s="17" t="s">
        <v>13</v>
      </c>
      <c r="D1130" s="18" t="s">
        <v>171</v>
      </c>
      <c r="E1130" s="18" t="s">
        <v>1484</v>
      </c>
      <c r="F1130" s="18">
        <v>5.94</v>
      </c>
      <c r="G1130" s="23">
        <v>1.1200000000000001</v>
      </c>
      <c r="H1130" s="20">
        <v>6.89</v>
      </c>
      <c r="I1130" s="25">
        <v>15.779542416856666</v>
      </c>
      <c r="J1130" s="24">
        <f>G1130/F1130*((100-H1130)/100)*((100-I1130)/100)*100</f>
        <v>14.785822933054634</v>
      </c>
      <c r="K1130" s="53">
        <v>5.6622114216281894</v>
      </c>
      <c r="L1130" s="54">
        <f>J1130*10000/K1130</f>
        <v>26113.159386060008</v>
      </c>
      <c r="M1130" s="55">
        <v>49.1</v>
      </c>
      <c r="N1130" s="55">
        <v>19.7</v>
      </c>
      <c r="O1130" s="56">
        <v>35.786000000000001</v>
      </c>
      <c r="P1130" s="55">
        <v>55.2</v>
      </c>
      <c r="Q1130" s="17" t="s">
        <v>424</v>
      </c>
      <c r="R1130" s="17" t="s">
        <v>424</v>
      </c>
      <c r="S1130" s="17" t="s">
        <v>424</v>
      </c>
      <c r="T1130" s="17" t="s">
        <v>424</v>
      </c>
      <c r="U1130" s="17" t="s">
        <v>424</v>
      </c>
      <c r="V1130" s="17" t="s">
        <v>424</v>
      </c>
      <c r="W1130" s="17" t="s">
        <v>424</v>
      </c>
    </row>
    <row r="1131" spans="1:23" x14ac:dyDescent="0.25">
      <c r="A1131" s="16" t="s">
        <v>782</v>
      </c>
      <c r="B1131" s="17" t="s">
        <v>10</v>
      </c>
      <c r="C1131" s="17" t="s">
        <v>13</v>
      </c>
      <c r="D1131" s="18" t="s">
        <v>50</v>
      </c>
      <c r="E1131" s="18" t="s">
        <v>1758</v>
      </c>
      <c r="F1131" s="18">
        <v>5.94</v>
      </c>
      <c r="G1131" s="23">
        <v>2.14</v>
      </c>
      <c r="H1131" s="20">
        <v>6.89</v>
      </c>
      <c r="I1131" s="25">
        <v>8.2626060908637093</v>
      </c>
      <c r="J1131" s="24">
        <f>G1131/F1131*((100-H1131)/100)*((100-I1131)/100)*100</f>
        <v>30.773015350711301</v>
      </c>
      <c r="K1131" s="53">
        <v>4.5887016848364715</v>
      </c>
      <c r="L1131" s="54">
        <f>J1131*10000/K1131</f>
        <v>67062.575569908644</v>
      </c>
      <c r="M1131" s="55">
        <v>51.9</v>
      </c>
      <c r="N1131" s="55">
        <v>17.2</v>
      </c>
      <c r="O1131" s="56">
        <v>2.9731000000000001</v>
      </c>
      <c r="P1131" s="55">
        <v>13.5</v>
      </c>
      <c r="Q1131" s="17" t="s">
        <v>424</v>
      </c>
      <c r="R1131" s="17" t="s">
        <v>424</v>
      </c>
      <c r="S1131" s="17" t="s">
        <v>424</v>
      </c>
      <c r="T1131" s="17" t="s">
        <v>424</v>
      </c>
      <c r="U1131" s="17" t="s">
        <v>424</v>
      </c>
      <c r="V1131" s="17" t="s">
        <v>424</v>
      </c>
      <c r="W1131" s="17" t="s">
        <v>424</v>
      </c>
    </row>
    <row r="1132" spans="1:23" x14ac:dyDescent="0.25">
      <c r="A1132" s="16" t="s">
        <v>781</v>
      </c>
      <c r="B1132" s="17" t="s">
        <v>10</v>
      </c>
      <c r="C1132" s="17" t="s">
        <v>13</v>
      </c>
      <c r="D1132" s="18" t="s">
        <v>188</v>
      </c>
      <c r="E1132" s="18" t="s">
        <v>1644</v>
      </c>
      <c r="F1132" s="18">
        <v>5.94</v>
      </c>
      <c r="G1132" s="23">
        <v>1.98</v>
      </c>
      <c r="H1132" s="20">
        <v>6.89</v>
      </c>
      <c r="I1132" s="25">
        <v>6.2730360627303652</v>
      </c>
      <c r="J1132" s="24">
        <f>G1132/F1132*((100-H1132)/100)*((100-I1132)/100)*100</f>
        <v>29.089725373997251</v>
      </c>
      <c r="K1132" s="53">
        <v>4.7141424272818453</v>
      </c>
      <c r="L1132" s="54">
        <f>J1132*10000/K1132</f>
        <v>61707.353612500548</v>
      </c>
      <c r="M1132" s="55">
        <v>54.7</v>
      </c>
      <c r="N1132" s="55">
        <v>16.100000000000001</v>
      </c>
      <c r="O1132" s="56">
        <v>0.96841999999999995</v>
      </c>
      <c r="P1132" s="55">
        <v>6.3</v>
      </c>
      <c r="Q1132" s="17" t="s">
        <v>424</v>
      </c>
      <c r="R1132" s="17" t="s">
        <v>424</v>
      </c>
      <c r="S1132" s="17" t="s">
        <v>424</v>
      </c>
      <c r="T1132" s="17" t="s">
        <v>424</v>
      </c>
      <c r="U1132" s="17" t="s">
        <v>424</v>
      </c>
      <c r="V1132" s="17" t="s">
        <v>424</v>
      </c>
      <c r="W1132" s="17" t="s">
        <v>424</v>
      </c>
    </row>
    <row r="1133" spans="1:23" x14ac:dyDescent="0.25">
      <c r="A1133" s="16" t="s">
        <v>1201</v>
      </c>
      <c r="B1133" s="17" t="s">
        <v>10</v>
      </c>
      <c r="C1133" s="17" t="s">
        <v>427</v>
      </c>
      <c r="D1133" s="18" t="s">
        <v>238</v>
      </c>
      <c r="E1133" s="18" t="s">
        <v>1796</v>
      </c>
      <c r="F1133" s="18">
        <v>5.94</v>
      </c>
      <c r="G1133" s="26">
        <v>1.94</v>
      </c>
      <c r="H1133" s="17">
        <v>7.26</v>
      </c>
      <c r="I1133" s="25">
        <v>5.7714665337983746</v>
      </c>
      <c r="J1133" s="24">
        <f>G1133/F1133*((100-H1133)/100)*((100-I1133)/100)*100</f>
        <v>28.540712349649393</v>
      </c>
      <c r="K1133" s="53">
        <v>5.7439024390243905</v>
      </c>
      <c r="L1133" s="54">
        <f>J1133*10000/K1133</f>
        <v>49688.713644824842</v>
      </c>
      <c r="M1133" s="55">
        <v>50.7</v>
      </c>
      <c r="N1133" s="55">
        <v>17.399999999999999</v>
      </c>
      <c r="O1133" s="56">
        <v>4.1829999999999998</v>
      </c>
      <c r="P1133" s="55">
        <v>11</v>
      </c>
      <c r="Q1133" s="17" t="s">
        <v>424</v>
      </c>
      <c r="R1133" s="17" t="s">
        <v>424</v>
      </c>
      <c r="S1133" s="17" t="s">
        <v>424</v>
      </c>
      <c r="T1133" s="17" t="s">
        <v>424</v>
      </c>
      <c r="U1133" s="17" t="s">
        <v>424</v>
      </c>
      <c r="V1133" s="17" t="s">
        <v>424</v>
      </c>
      <c r="W1133" s="17" t="s">
        <v>424</v>
      </c>
    </row>
    <row r="1134" spans="1:23" x14ac:dyDescent="0.25">
      <c r="A1134" s="16" t="s">
        <v>1200</v>
      </c>
      <c r="B1134" s="17" t="s">
        <v>10</v>
      </c>
      <c r="C1134" s="17" t="s">
        <v>427</v>
      </c>
      <c r="D1134" s="18" t="s">
        <v>70</v>
      </c>
      <c r="E1134" s="18" t="s">
        <v>1482</v>
      </c>
      <c r="F1134" s="18">
        <v>5.94</v>
      </c>
      <c r="G1134" s="26">
        <v>1.37</v>
      </c>
      <c r="H1134" s="17">
        <v>7.26</v>
      </c>
      <c r="I1134" s="25">
        <v>8.8422391857506391</v>
      </c>
      <c r="J1134" s="24">
        <f>G1134/F1134*((100-H1134)/100)*((100-I1134)/100)*100</f>
        <v>19.498215338285309</v>
      </c>
      <c r="K1134" s="53">
        <v>4.9476987447698741</v>
      </c>
      <c r="L1134" s="54">
        <f>J1134*10000/K1134</f>
        <v>39408.655102327182</v>
      </c>
      <c r="M1134" s="55">
        <v>52.5</v>
      </c>
      <c r="N1134" s="55">
        <v>19.600000000000001</v>
      </c>
      <c r="O1134" s="56">
        <v>43.581000000000003</v>
      </c>
      <c r="P1134" s="55">
        <v>54.6</v>
      </c>
      <c r="Q1134" s="17" t="s">
        <v>424</v>
      </c>
      <c r="R1134" s="17" t="s">
        <v>424</v>
      </c>
      <c r="S1134" s="17" t="s">
        <v>424</v>
      </c>
      <c r="T1134" s="17" t="s">
        <v>424</v>
      </c>
      <c r="U1134" s="17" t="s">
        <v>424</v>
      </c>
      <c r="V1134" s="17" t="s">
        <v>424</v>
      </c>
      <c r="W1134" s="17" t="s">
        <v>424</v>
      </c>
    </row>
    <row r="1135" spans="1:23" x14ac:dyDescent="0.25">
      <c r="A1135" s="16" t="s">
        <v>1199</v>
      </c>
      <c r="B1135" s="17" t="s">
        <v>10</v>
      </c>
      <c r="C1135" s="17" t="s">
        <v>427</v>
      </c>
      <c r="D1135" s="18" t="s">
        <v>25</v>
      </c>
      <c r="E1135" s="18" t="s">
        <v>1756</v>
      </c>
      <c r="F1135" s="18">
        <v>5.94</v>
      </c>
      <c r="G1135" s="26">
        <v>1.97</v>
      </c>
      <c r="H1135" s="17">
        <v>7.26</v>
      </c>
      <c r="I1135" s="25">
        <v>5.7657657657657593</v>
      </c>
      <c r="J1135" s="24">
        <f>G1135/F1135*((100-H1135)/100)*((100-I1135)/100)*100</f>
        <v>28.983816968483637</v>
      </c>
      <c r="K1135" s="53">
        <v>4.8544698544698548</v>
      </c>
      <c r="L1135" s="54">
        <f>J1135*10000/K1135</f>
        <v>59705.42167811832</v>
      </c>
      <c r="M1135" s="55">
        <v>52.9</v>
      </c>
      <c r="N1135" s="55">
        <v>17.100000000000001</v>
      </c>
      <c r="O1135" s="56">
        <v>1.0658000000000001</v>
      </c>
      <c r="P1135" s="55">
        <v>11</v>
      </c>
      <c r="Q1135" s="17" t="s">
        <v>424</v>
      </c>
      <c r="R1135" s="17" t="s">
        <v>424</v>
      </c>
      <c r="S1135" s="17" t="s">
        <v>424</v>
      </c>
      <c r="T1135" s="17" t="s">
        <v>424</v>
      </c>
      <c r="U1135" s="17" t="s">
        <v>424</v>
      </c>
      <c r="V1135" s="17" t="s">
        <v>424</v>
      </c>
      <c r="W1135" s="17" t="s">
        <v>424</v>
      </c>
    </row>
    <row r="1136" spans="1:23" x14ac:dyDescent="0.25">
      <c r="A1136" s="16" t="s">
        <v>1198</v>
      </c>
      <c r="B1136" s="17" t="s">
        <v>10</v>
      </c>
      <c r="C1136" s="17" t="s">
        <v>427</v>
      </c>
      <c r="D1136" s="18" t="s">
        <v>48</v>
      </c>
      <c r="E1136" s="18" t="s">
        <v>1692</v>
      </c>
      <c r="F1136" s="18">
        <v>5.94</v>
      </c>
      <c r="G1136" s="26">
        <v>1.2</v>
      </c>
      <c r="H1136" s="17">
        <v>7.26</v>
      </c>
      <c r="I1136" s="25">
        <v>7.7817925442848308</v>
      </c>
      <c r="J1136" s="24">
        <f>G1136/F1136*((100-H1136)/100)*((100-I1136)/100)*100</f>
        <v>17.277407190793991</v>
      </c>
      <c r="K1136" s="53">
        <v>4.1607142857142856</v>
      </c>
      <c r="L1136" s="54">
        <f>J1136*10000/K1136</f>
        <v>41525.098827659378</v>
      </c>
      <c r="M1136" s="55">
        <v>48.9</v>
      </c>
      <c r="N1136" s="55">
        <v>19.899999999999999</v>
      </c>
      <c r="O1136" s="56">
        <v>39.802999999999997</v>
      </c>
      <c r="P1136" s="55">
        <v>51.9</v>
      </c>
      <c r="Q1136" s="17" t="s">
        <v>424</v>
      </c>
      <c r="R1136" s="17" t="s">
        <v>424</v>
      </c>
      <c r="S1136" s="17" t="s">
        <v>424</v>
      </c>
      <c r="T1136" s="17" t="s">
        <v>424</v>
      </c>
      <c r="U1136" s="17" t="s">
        <v>424</v>
      </c>
      <c r="V1136" s="17" t="s">
        <v>424</v>
      </c>
      <c r="W1136" s="17" t="s">
        <v>424</v>
      </c>
    </row>
    <row r="1137" spans="1:23" x14ac:dyDescent="0.25">
      <c r="A1137" s="16" t="s">
        <v>1197</v>
      </c>
      <c r="B1137" s="17" t="s">
        <v>10</v>
      </c>
      <c r="C1137" s="17" t="s">
        <v>427</v>
      </c>
      <c r="D1137" s="18" t="s">
        <v>59</v>
      </c>
      <c r="E1137" s="18" t="s">
        <v>1517</v>
      </c>
      <c r="F1137" s="18">
        <v>5.94</v>
      </c>
      <c r="G1137" s="26">
        <v>1.94</v>
      </c>
      <c r="H1137" s="17">
        <v>7.26</v>
      </c>
      <c r="I1137" s="25">
        <v>6.6444330425859377</v>
      </c>
      <c r="J1137" s="24">
        <f>G1137/F1137*((100-H1137)/100)*((100-I1137)/100)*100</f>
        <v>28.276301081621753</v>
      </c>
      <c r="K1137" s="53">
        <v>5.0732217573221758</v>
      </c>
      <c r="L1137" s="54">
        <f>J1137*10000/K1137</f>
        <v>55736.379039237923</v>
      </c>
      <c r="M1137" s="55">
        <v>49.5</v>
      </c>
      <c r="N1137" s="55">
        <v>19.5</v>
      </c>
      <c r="O1137" s="56">
        <v>9.2021999999999995</v>
      </c>
      <c r="P1137" s="55">
        <v>51.5</v>
      </c>
      <c r="Q1137" s="17" t="s">
        <v>424</v>
      </c>
      <c r="R1137" s="17" t="s">
        <v>424</v>
      </c>
      <c r="S1137" s="17" t="s">
        <v>424</v>
      </c>
      <c r="T1137" s="17" t="s">
        <v>424</v>
      </c>
      <c r="U1137" s="17" t="s">
        <v>424</v>
      </c>
      <c r="V1137" s="17" t="s">
        <v>424</v>
      </c>
      <c r="W1137" s="17" t="s">
        <v>424</v>
      </c>
    </row>
    <row r="1138" spans="1:23" x14ac:dyDescent="0.25">
      <c r="A1138" s="16" t="s">
        <v>1196</v>
      </c>
      <c r="B1138" s="17" t="s">
        <v>10</v>
      </c>
      <c r="C1138" s="17" t="s">
        <v>427</v>
      </c>
      <c r="D1138" s="18" t="s">
        <v>186</v>
      </c>
      <c r="E1138" s="18" t="s">
        <v>1480</v>
      </c>
      <c r="F1138" s="18">
        <v>5.94</v>
      </c>
      <c r="G1138" s="26">
        <v>1.4</v>
      </c>
      <c r="H1138" s="17">
        <v>7.26</v>
      </c>
      <c r="I1138" s="25">
        <v>9.0395042602633513</v>
      </c>
      <c r="J1138" s="24">
        <f>G1138/F1138*((100-H1138)/100)*((100-I1138)/100)*100</f>
        <v>19.882065530074826</v>
      </c>
      <c r="K1138" s="53">
        <v>4.8623853211009171</v>
      </c>
      <c r="L1138" s="54">
        <f>J1138*10000/K1138</f>
        <v>40889.530995814261</v>
      </c>
      <c r="M1138" s="55">
        <v>51.8</v>
      </c>
      <c r="N1138" s="55">
        <v>18.600000000000001</v>
      </c>
      <c r="O1138" s="56">
        <v>30.997</v>
      </c>
      <c r="P1138" s="55">
        <v>48</v>
      </c>
      <c r="Q1138" s="17" t="s">
        <v>424</v>
      </c>
      <c r="R1138" s="17" t="s">
        <v>424</v>
      </c>
      <c r="S1138" s="17" t="s">
        <v>424</v>
      </c>
      <c r="T1138" s="17" t="s">
        <v>424</v>
      </c>
      <c r="U1138" s="17" t="s">
        <v>424</v>
      </c>
      <c r="V1138" s="17" t="s">
        <v>424</v>
      </c>
      <c r="W1138" s="17" t="s">
        <v>424</v>
      </c>
    </row>
    <row r="1139" spans="1:23" x14ac:dyDescent="0.25">
      <c r="A1139" s="16" t="s">
        <v>792</v>
      </c>
      <c r="B1139" s="17" t="s">
        <v>10</v>
      </c>
      <c r="C1139" s="17" t="s">
        <v>13</v>
      </c>
      <c r="D1139" s="18" t="s">
        <v>205</v>
      </c>
      <c r="E1139" s="18" t="s">
        <v>1492</v>
      </c>
      <c r="F1139" s="18">
        <v>5.94</v>
      </c>
      <c r="G1139" s="23">
        <v>2.12</v>
      </c>
      <c r="H1139" s="20">
        <v>6.89</v>
      </c>
      <c r="I1139" s="25">
        <v>10.100062539086931</v>
      </c>
      <c r="J1139" s="24">
        <f>G1139/F1139*((100-H1139)/100)*((100-I1139)/100)*100</f>
        <v>29.87480864513385</v>
      </c>
      <c r="K1139" s="53">
        <v>5.1720310765815762</v>
      </c>
      <c r="L1139" s="54">
        <f>J1139*10000/K1139</f>
        <v>57762.237316020597</v>
      </c>
      <c r="M1139" s="55">
        <v>49.6</v>
      </c>
      <c r="N1139" s="55">
        <v>19.600000000000001</v>
      </c>
      <c r="O1139" s="56">
        <v>28.077000000000002</v>
      </c>
      <c r="P1139" s="55">
        <v>45.9</v>
      </c>
      <c r="Q1139" s="17" t="s">
        <v>424</v>
      </c>
      <c r="R1139" s="17" t="s">
        <v>424</v>
      </c>
      <c r="S1139" s="17" t="s">
        <v>424</v>
      </c>
      <c r="T1139" s="17" t="s">
        <v>424</v>
      </c>
      <c r="U1139" s="17" t="s">
        <v>424</v>
      </c>
      <c r="V1139" s="17" t="s">
        <v>424</v>
      </c>
      <c r="W1139" s="17" t="s">
        <v>424</v>
      </c>
    </row>
    <row r="1140" spans="1:23" x14ac:dyDescent="0.25">
      <c r="A1140" s="16" t="s">
        <v>791</v>
      </c>
      <c r="B1140" s="17" t="s">
        <v>10</v>
      </c>
      <c r="C1140" s="17" t="s">
        <v>13</v>
      </c>
      <c r="D1140" s="18" t="s">
        <v>198</v>
      </c>
      <c r="E1140" s="18" t="s">
        <v>1722</v>
      </c>
      <c r="F1140" s="18">
        <v>5.94</v>
      </c>
      <c r="G1140" s="23">
        <v>1.57</v>
      </c>
      <c r="H1140" s="20">
        <v>6.89</v>
      </c>
      <c r="I1140" s="25">
        <v>6.5910967645071699</v>
      </c>
      <c r="J1140" s="24">
        <f>G1140/F1140*((100-H1140)/100)*((100-I1140)/100)*100</f>
        <v>22.987821008422689</v>
      </c>
      <c r="K1140" s="53">
        <v>5.0920910075839654</v>
      </c>
      <c r="L1140" s="54">
        <f>J1140*10000/K1140</f>
        <v>45144.167639944979</v>
      </c>
      <c r="M1140" s="55">
        <v>51.3</v>
      </c>
      <c r="N1140" s="55">
        <v>16.600000000000001</v>
      </c>
      <c r="O1140" s="56">
        <v>0.87048000000000003</v>
      </c>
      <c r="P1140" s="55">
        <v>12.1</v>
      </c>
      <c r="Q1140" s="17" t="s">
        <v>424</v>
      </c>
      <c r="R1140" s="17" t="s">
        <v>424</v>
      </c>
      <c r="S1140" s="17" t="s">
        <v>424</v>
      </c>
      <c r="T1140" s="17" t="s">
        <v>424</v>
      </c>
      <c r="U1140" s="17" t="s">
        <v>424</v>
      </c>
      <c r="V1140" s="17" t="s">
        <v>424</v>
      </c>
      <c r="W1140" s="17" t="s">
        <v>424</v>
      </c>
    </row>
    <row r="1141" spans="1:23" x14ac:dyDescent="0.25">
      <c r="A1141" s="16" t="s">
        <v>790</v>
      </c>
      <c r="B1141" s="17" t="s">
        <v>10</v>
      </c>
      <c r="C1141" s="17" t="s">
        <v>13</v>
      </c>
      <c r="D1141" s="18" t="s">
        <v>189</v>
      </c>
      <c r="E1141" s="18" t="s">
        <v>1508</v>
      </c>
      <c r="F1141" s="18">
        <v>5.94</v>
      </c>
      <c r="G1141" s="23">
        <v>1.88</v>
      </c>
      <c r="H1141" s="20">
        <v>6.89</v>
      </c>
      <c r="I1141" s="25">
        <v>9.332236596126517</v>
      </c>
      <c r="J1141" s="24">
        <f>G1141/F1141*((100-H1141)/100)*((100-I1141)/100)*100</f>
        <v>26.719026678459862</v>
      </c>
      <c r="K1141" s="53">
        <v>4.2405063291139244</v>
      </c>
      <c r="L1141" s="54">
        <f>J1141*10000/K1141</f>
        <v>63009.047988009821</v>
      </c>
      <c r="M1141" s="55">
        <v>52.7</v>
      </c>
      <c r="N1141" s="55">
        <v>16.5</v>
      </c>
      <c r="O1141" s="56">
        <v>8.3721999999999994</v>
      </c>
      <c r="P1141" s="55">
        <v>44.5</v>
      </c>
      <c r="Q1141" s="17" t="s">
        <v>424</v>
      </c>
      <c r="R1141" s="17" t="s">
        <v>424</v>
      </c>
      <c r="S1141" s="17" t="s">
        <v>424</v>
      </c>
      <c r="T1141" s="17" t="s">
        <v>424</v>
      </c>
      <c r="U1141" s="17" t="s">
        <v>424</v>
      </c>
      <c r="V1141" s="17" t="s">
        <v>424</v>
      </c>
      <c r="W1141" s="17" t="s">
        <v>424</v>
      </c>
    </row>
    <row r="1142" spans="1:23" x14ac:dyDescent="0.25">
      <c r="A1142" s="16" t="s">
        <v>789</v>
      </c>
      <c r="B1142" s="17" t="s">
        <v>10</v>
      </c>
      <c r="C1142" s="17" t="s">
        <v>13</v>
      </c>
      <c r="D1142" s="18" t="s">
        <v>270</v>
      </c>
      <c r="E1142" s="18" t="s">
        <v>1690</v>
      </c>
      <c r="F1142" s="18">
        <v>5.94</v>
      </c>
      <c r="G1142" s="23">
        <v>1.2</v>
      </c>
      <c r="H1142" s="20">
        <v>6.89</v>
      </c>
      <c r="I1142" s="25">
        <v>11.686959307914133</v>
      </c>
      <c r="J1142" s="24">
        <f>G1142/F1142*((100-H1142)/100)*((100-I1142)/100)*100</f>
        <v>16.611772159272956</v>
      </c>
      <c r="K1142" s="53">
        <v>4.6294513955726657</v>
      </c>
      <c r="L1142" s="54">
        <f>J1142*10000/K1142</f>
        <v>35882.809300383786</v>
      </c>
      <c r="M1142" s="55">
        <v>49.6</v>
      </c>
      <c r="N1142" s="55">
        <v>20.2</v>
      </c>
      <c r="O1142" s="56">
        <v>36.457000000000001</v>
      </c>
      <c r="P1142" s="55">
        <v>52.4</v>
      </c>
      <c r="Q1142" s="17" t="s">
        <v>424</v>
      </c>
      <c r="R1142" s="17" t="s">
        <v>424</v>
      </c>
      <c r="S1142" s="17" t="s">
        <v>424</v>
      </c>
      <c r="T1142" s="17" t="s">
        <v>424</v>
      </c>
      <c r="U1142" s="17" t="s">
        <v>424</v>
      </c>
      <c r="V1142" s="17" t="s">
        <v>424</v>
      </c>
      <c r="W1142" s="17" t="s">
        <v>424</v>
      </c>
    </row>
    <row r="1143" spans="1:23" x14ac:dyDescent="0.25">
      <c r="A1143" s="16" t="s">
        <v>788</v>
      </c>
      <c r="B1143" s="17" t="s">
        <v>10</v>
      </c>
      <c r="C1143" s="17" t="s">
        <v>13</v>
      </c>
      <c r="D1143" s="18" t="s">
        <v>160</v>
      </c>
      <c r="E1143" s="18" t="s">
        <v>1610</v>
      </c>
      <c r="F1143" s="18">
        <v>5.94</v>
      </c>
      <c r="G1143" s="23">
        <v>1.8</v>
      </c>
      <c r="H1143" s="20">
        <v>6.89</v>
      </c>
      <c r="I1143" s="25">
        <v>7.6349242597244427</v>
      </c>
      <c r="J1143" s="24">
        <f>G1143/F1143*((100-H1143)/100)*((100-I1143)/100)*100</f>
        <v>26.060946067203204</v>
      </c>
      <c r="K1143" s="53">
        <v>4.7330595482546203</v>
      </c>
      <c r="L1143" s="54">
        <f>J1143*10000/K1143</f>
        <v>55061.521625717825</v>
      </c>
      <c r="M1143" s="55">
        <v>53.5</v>
      </c>
      <c r="N1143" s="55">
        <v>16.2</v>
      </c>
      <c r="O1143" s="56">
        <v>7.6035000000000004</v>
      </c>
      <c r="P1143" s="55">
        <v>15.5</v>
      </c>
      <c r="Q1143" s="17" t="s">
        <v>424</v>
      </c>
      <c r="R1143" s="17" t="s">
        <v>424</v>
      </c>
      <c r="S1143" s="17" t="s">
        <v>424</v>
      </c>
      <c r="T1143" s="17" t="s">
        <v>424</v>
      </c>
      <c r="U1143" s="17" t="s">
        <v>424</v>
      </c>
      <c r="V1143" s="17" t="s">
        <v>424</v>
      </c>
      <c r="W1143" s="17" t="s">
        <v>424</v>
      </c>
    </row>
    <row r="1144" spans="1:23" x14ac:dyDescent="0.25">
      <c r="A1144" s="16" t="s">
        <v>787</v>
      </c>
      <c r="B1144" s="17" t="s">
        <v>10</v>
      </c>
      <c r="C1144" s="17" t="s">
        <v>13</v>
      </c>
      <c r="D1144" s="18" t="s">
        <v>159</v>
      </c>
      <c r="E1144" s="18" t="s">
        <v>1496</v>
      </c>
      <c r="F1144" s="18">
        <v>5.94</v>
      </c>
      <c r="G1144" s="23">
        <v>1.38</v>
      </c>
      <c r="H1144" s="20">
        <v>6.89</v>
      </c>
      <c r="I1144" s="25">
        <v>6.9881305637982312</v>
      </c>
      <c r="J1144" s="24">
        <f>G1144/F1144*((100-H1144)/100)*((100-I1144)/100)*100</f>
        <v>20.119970581182741</v>
      </c>
      <c r="K1144" s="53">
        <v>5.3097345132743365</v>
      </c>
      <c r="L1144" s="54">
        <f>J1144*10000/K1144</f>
        <v>37892.611261227496</v>
      </c>
      <c r="M1144" s="55">
        <v>48.8</v>
      </c>
      <c r="N1144" s="55">
        <v>20.6</v>
      </c>
      <c r="O1144" s="56">
        <v>36.497</v>
      </c>
      <c r="P1144" s="55">
        <v>50.5</v>
      </c>
      <c r="Q1144" s="17" t="s">
        <v>424</v>
      </c>
      <c r="R1144" s="17" t="s">
        <v>424</v>
      </c>
      <c r="S1144" s="17" t="s">
        <v>424</v>
      </c>
      <c r="T1144" s="17" t="s">
        <v>424</v>
      </c>
      <c r="U1144" s="17" t="s">
        <v>424</v>
      </c>
      <c r="V1144" s="17" t="s">
        <v>424</v>
      </c>
      <c r="W1144" s="17" t="s">
        <v>424</v>
      </c>
    </row>
    <row r="1145" spans="1:23" x14ac:dyDescent="0.25">
      <c r="A1145" s="16" t="s">
        <v>1207</v>
      </c>
      <c r="B1145" s="17" t="s">
        <v>10</v>
      </c>
      <c r="C1145" s="17" t="s">
        <v>427</v>
      </c>
      <c r="D1145" s="18" t="s">
        <v>258</v>
      </c>
      <c r="E1145" s="18" t="s">
        <v>1664</v>
      </c>
      <c r="F1145" s="18">
        <v>5.94</v>
      </c>
      <c r="G1145" s="26">
        <v>2.0099999999999998</v>
      </c>
      <c r="H1145" s="17">
        <v>7.26</v>
      </c>
      <c r="I1145" s="25">
        <v>6.4384345126235765</v>
      </c>
      <c r="J1145" s="24">
        <f>G1145/F1145*((100-H1145)/100)*((100-I1145)/100)*100</f>
        <v>29.361225862679412</v>
      </c>
      <c r="K1145" s="53">
        <v>4.290843806104129</v>
      </c>
      <c r="L1145" s="54">
        <f>J1145*10000/K1145</f>
        <v>68427.62680130724</v>
      </c>
      <c r="M1145" s="55">
        <v>51.7</v>
      </c>
      <c r="N1145" s="55">
        <v>17.600000000000001</v>
      </c>
      <c r="O1145" s="56">
        <v>3.5325000000000002</v>
      </c>
      <c r="P1145" s="55">
        <v>22</v>
      </c>
      <c r="Q1145" s="17" t="s">
        <v>424</v>
      </c>
      <c r="R1145" s="17" t="s">
        <v>424</v>
      </c>
      <c r="S1145" s="17" t="s">
        <v>424</v>
      </c>
      <c r="T1145" s="17" t="s">
        <v>424</v>
      </c>
      <c r="U1145" s="17" t="s">
        <v>424</v>
      </c>
      <c r="V1145" s="17" t="s">
        <v>424</v>
      </c>
      <c r="W1145" s="17" t="s">
        <v>424</v>
      </c>
    </row>
    <row r="1146" spans="1:23" x14ac:dyDescent="0.25">
      <c r="A1146" s="16" t="s">
        <v>1206</v>
      </c>
      <c r="B1146" s="17" t="s">
        <v>10</v>
      </c>
      <c r="C1146" s="17" t="s">
        <v>427</v>
      </c>
      <c r="D1146" s="18" t="s">
        <v>259</v>
      </c>
      <c r="E1146" s="18" t="s">
        <v>1572</v>
      </c>
      <c r="F1146" s="18">
        <v>5.94</v>
      </c>
      <c r="G1146" s="26">
        <v>1.97</v>
      </c>
      <c r="H1146" s="17">
        <v>7.26</v>
      </c>
      <c r="I1146" s="25">
        <v>5.7653300046809175</v>
      </c>
      <c r="J1146" s="24">
        <f>G1146/F1146*((100-H1146)/100)*((100-I1146)/100)*100</f>
        <v>28.983950996415498</v>
      </c>
      <c r="K1146" s="53">
        <v>4.6555118110236222</v>
      </c>
      <c r="L1146" s="54">
        <f>J1146*10000/K1146</f>
        <v>62257.281632892482</v>
      </c>
      <c r="M1146" s="55">
        <v>51</v>
      </c>
      <c r="N1146" s="55">
        <v>17.3</v>
      </c>
      <c r="O1146" s="56">
        <v>2.1242000000000001</v>
      </c>
      <c r="P1146" s="55">
        <v>13.7</v>
      </c>
      <c r="Q1146" s="17" t="s">
        <v>424</v>
      </c>
      <c r="R1146" s="17" t="s">
        <v>424</v>
      </c>
      <c r="S1146" s="17" t="s">
        <v>424</v>
      </c>
      <c r="T1146" s="17" t="s">
        <v>424</v>
      </c>
      <c r="U1146" s="17" t="s">
        <v>424</v>
      </c>
      <c r="V1146" s="17" t="s">
        <v>424</v>
      </c>
      <c r="W1146" s="17" t="s">
        <v>424</v>
      </c>
    </row>
    <row r="1147" spans="1:23" x14ac:dyDescent="0.25">
      <c r="A1147" s="16" t="s">
        <v>1205</v>
      </c>
      <c r="B1147" s="17" t="s">
        <v>10</v>
      </c>
      <c r="C1147" s="17" t="s">
        <v>427</v>
      </c>
      <c r="D1147" s="18" t="s">
        <v>243</v>
      </c>
      <c r="E1147" s="18" t="s">
        <v>1746</v>
      </c>
      <c r="F1147" s="18">
        <v>5.94</v>
      </c>
      <c r="G1147" s="26">
        <v>1.42</v>
      </c>
      <c r="H1147" s="17">
        <v>7.26</v>
      </c>
      <c r="I1147" s="25">
        <v>9.6010933629452424</v>
      </c>
      <c r="J1147" s="24">
        <f>G1147/F1147*((100-H1147)/100)*((100-I1147)/100)*100</f>
        <v>20.041589788146545</v>
      </c>
      <c r="K1147" s="53">
        <v>5.9675405742821477</v>
      </c>
      <c r="L1147" s="54">
        <f>J1147*10000/K1147</f>
        <v>33584.337699383643</v>
      </c>
      <c r="M1147" s="55">
        <v>52.6</v>
      </c>
      <c r="N1147" s="55">
        <v>16.399999999999999</v>
      </c>
      <c r="O1147" s="56">
        <v>3.6006999999999998</v>
      </c>
      <c r="P1147" s="55">
        <v>13.9</v>
      </c>
      <c r="Q1147" s="17" t="s">
        <v>424</v>
      </c>
      <c r="R1147" s="17" t="s">
        <v>424</v>
      </c>
      <c r="S1147" s="17" t="s">
        <v>424</v>
      </c>
      <c r="T1147" s="17" t="s">
        <v>424</v>
      </c>
      <c r="U1147" s="17" t="s">
        <v>424</v>
      </c>
      <c r="V1147" s="17" t="s">
        <v>424</v>
      </c>
      <c r="W1147" s="17" t="s">
        <v>424</v>
      </c>
    </row>
    <row r="1148" spans="1:23" x14ac:dyDescent="0.25">
      <c r="A1148" s="16" t="s">
        <v>1204</v>
      </c>
      <c r="B1148" s="17" t="s">
        <v>10</v>
      </c>
      <c r="C1148" s="17" t="s">
        <v>427</v>
      </c>
      <c r="D1148" s="18" t="s">
        <v>40</v>
      </c>
      <c r="E1148" s="18" t="s">
        <v>1590</v>
      </c>
      <c r="F1148" s="18">
        <v>5.94</v>
      </c>
      <c r="G1148" s="26">
        <v>1.78</v>
      </c>
      <c r="H1148" s="17">
        <v>7.26</v>
      </c>
      <c r="I1148" s="25">
        <v>6.359300476947543</v>
      </c>
      <c r="J1148" s="24">
        <f>G1148/F1148*((100-H1148)/100)*((100-I1148)/100)*100</f>
        <v>26.023475561122616</v>
      </c>
      <c r="K1148" s="53">
        <v>5.1606217616580308</v>
      </c>
      <c r="L1148" s="54">
        <f>J1148*10000/K1148</f>
        <v>50427.015896552868</v>
      </c>
      <c r="M1148" s="55">
        <v>49.6</v>
      </c>
      <c r="N1148" s="55">
        <v>18</v>
      </c>
      <c r="O1148" s="56">
        <v>2.5036</v>
      </c>
      <c r="P1148" s="55">
        <v>16.899999999999999</v>
      </c>
      <c r="Q1148" s="17" t="s">
        <v>424</v>
      </c>
      <c r="R1148" s="17" t="s">
        <v>424</v>
      </c>
      <c r="S1148" s="17" t="s">
        <v>424</v>
      </c>
      <c r="T1148" s="17" t="s">
        <v>424</v>
      </c>
      <c r="U1148" s="17" t="s">
        <v>424</v>
      </c>
      <c r="V1148" s="17" t="s">
        <v>424</v>
      </c>
      <c r="W1148" s="17" t="s">
        <v>424</v>
      </c>
    </row>
    <row r="1149" spans="1:23" x14ac:dyDescent="0.25">
      <c r="A1149" s="16" t="s">
        <v>1203</v>
      </c>
      <c r="B1149" s="17" t="s">
        <v>10</v>
      </c>
      <c r="C1149" s="17" t="s">
        <v>427</v>
      </c>
      <c r="D1149" s="18" t="s">
        <v>26</v>
      </c>
      <c r="E1149" s="18" t="s">
        <v>1568</v>
      </c>
      <c r="F1149" s="18">
        <v>5.94</v>
      </c>
      <c r="G1149" s="26">
        <v>1.7</v>
      </c>
      <c r="H1149" s="17">
        <v>7.26</v>
      </c>
      <c r="I1149" s="25">
        <v>4.7155909224874781</v>
      </c>
      <c r="J1149" s="24">
        <f>G1149/F1149*((100-H1149)/100)*((100-I1149)/100)*100</f>
        <v>25.290150448387994</v>
      </c>
      <c r="K1149" s="53">
        <v>5.0371155885471897</v>
      </c>
      <c r="L1149" s="54">
        <f>J1149*10000/K1149</f>
        <v>50207.603942799746</v>
      </c>
      <c r="M1149" s="55">
        <v>49.8</v>
      </c>
      <c r="N1149" s="55">
        <v>17.5</v>
      </c>
      <c r="O1149" s="56">
        <v>-0.26</v>
      </c>
      <c r="P1149" s="55">
        <v>15</v>
      </c>
      <c r="Q1149" s="17" t="s">
        <v>424</v>
      </c>
      <c r="R1149" s="17" t="s">
        <v>424</v>
      </c>
      <c r="S1149" s="17" t="s">
        <v>424</v>
      </c>
      <c r="T1149" s="17" t="s">
        <v>424</v>
      </c>
      <c r="U1149" s="17" t="s">
        <v>424</v>
      </c>
      <c r="V1149" s="17" t="s">
        <v>424</v>
      </c>
      <c r="W1149" s="17" t="s">
        <v>424</v>
      </c>
    </row>
    <row r="1150" spans="1:23" x14ac:dyDescent="0.25">
      <c r="A1150" s="16" t="s">
        <v>1202</v>
      </c>
      <c r="B1150" s="17" t="s">
        <v>10</v>
      </c>
      <c r="C1150" s="17" t="s">
        <v>427</v>
      </c>
      <c r="D1150" s="18" t="s">
        <v>78</v>
      </c>
      <c r="E1150" s="18" t="s">
        <v>1588</v>
      </c>
      <c r="F1150" s="18">
        <v>5.94</v>
      </c>
      <c r="G1150" s="26">
        <v>1.67</v>
      </c>
      <c r="H1150" s="17">
        <v>7.26</v>
      </c>
      <c r="I1150" s="25">
        <v>8.4269158206809767</v>
      </c>
      <c r="J1150" s="24">
        <f>G1150/F1150*((100-H1150)/100)*((100-I1150)/100)*100</f>
        <v>23.876186314376056</v>
      </c>
      <c r="K1150" s="53">
        <v>5.9803921568627452</v>
      </c>
      <c r="L1150" s="54">
        <f>J1150*10000/K1150</f>
        <v>39924.114820759962</v>
      </c>
      <c r="M1150" s="55">
        <v>49</v>
      </c>
      <c r="N1150" s="55">
        <v>18.7</v>
      </c>
      <c r="O1150" s="56">
        <v>2.7336999999999998</v>
      </c>
      <c r="P1150" s="55">
        <v>17.399999999999999</v>
      </c>
      <c r="Q1150" s="17" t="s">
        <v>424</v>
      </c>
      <c r="R1150" s="17" t="s">
        <v>424</v>
      </c>
      <c r="S1150" s="17" t="s">
        <v>424</v>
      </c>
      <c r="T1150" s="17" t="s">
        <v>424</v>
      </c>
      <c r="U1150" s="17" t="s">
        <v>424</v>
      </c>
      <c r="V1150" s="17" t="s">
        <v>424</v>
      </c>
      <c r="W1150" s="17" t="s">
        <v>424</v>
      </c>
    </row>
    <row r="1151" spans="1:23" x14ac:dyDescent="0.25">
      <c r="A1151" s="16" t="s">
        <v>798</v>
      </c>
      <c r="B1151" s="17" t="s">
        <v>10</v>
      </c>
      <c r="C1151" s="17" t="s">
        <v>13</v>
      </c>
      <c r="D1151" s="18" t="s">
        <v>229</v>
      </c>
      <c r="E1151" s="18" t="s">
        <v>1770</v>
      </c>
      <c r="F1151" s="18">
        <v>5.94</v>
      </c>
      <c r="G1151" s="23">
        <v>1.94</v>
      </c>
      <c r="H1151" s="20">
        <v>6.89</v>
      </c>
      <c r="I1151" s="25">
        <v>8.9616478364460921</v>
      </c>
      <c r="J1151" s="24">
        <f>G1151/F1151*((100-H1151)/100)*((100-I1151)/100)*100</f>
        <v>27.684456366498484</v>
      </c>
      <c r="K1151" s="53">
        <v>4.610136452241715</v>
      </c>
      <c r="L1151" s="54">
        <f>J1151*10000/K1151</f>
        <v>60051.273217817012</v>
      </c>
      <c r="M1151" s="55">
        <v>52.7</v>
      </c>
      <c r="N1151" s="55">
        <v>17.7</v>
      </c>
      <c r="O1151" s="56">
        <v>0.75419999999999998</v>
      </c>
      <c r="P1151" s="55">
        <v>11.5</v>
      </c>
      <c r="Q1151" s="17" t="s">
        <v>424</v>
      </c>
      <c r="R1151" s="17" t="s">
        <v>424</v>
      </c>
      <c r="S1151" s="17" t="s">
        <v>424</v>
      </c>
      <c r="T1151" s="17" t="s">
        <v>424</v>
      </c>
      <c r="U1151" s="17" t="s">
        <v>424</v>
      </c>
      <c r="V1151" s="17" t="s">
        <v>424</v>
      </c>
      <c r="W1151" s="17" t="s">
        <v>424</v>
      </c>
    </row>
    <row r="1152" spans="1:23" x14ac:dyDescent="0.25">
      <c r="A1152" s="16" t="s">
        <v>797</v>
      </c>
      <c r="B1152" s="17" t="s">
        <v>10</v>
      </c>
      <c r="C1152" s="17" t="s">
        <v>13</v>
      </c>
      <c r="D1152" s="18" t="s">
        <v>62</v>
      </c>
      <c r="E1152" s="18" t="s">
        <v>1600</v>
      </c>
      <c r="F1152" s="18">
        <v>5.94</v>
      </c>
      <c r="G1152" s="23">
        <v>1.93</v>
      </c>
      <c r="H1152" s="20">
        <v>6.89</v>
      </c>
      <c r="I1152" s="25">
        <v>6.5509860877541612</v>
      </c>
      <c r="J1152" s="24">
        <f>G1152/F1152*((100-H1152)/100)*((100-I1152)/100)*100</f>
        <v>28.271048371654167</v>
      </c>
      <c r="K1152" s="53">
        <v>3.6990595611285269</v>
      </c>
      <c r="L1152" s="54">
        <f>J1152*10000/K1152</f>
        <v>76427.664665743039</v>
      </c>
      <c r="M1152" s="55">
        <v>53.2</v>
      </c>
      <c r="N1152" s="55">
        <v>17.100000000000001</v>
      </c>
      <c r="O1152" s="56">
        <v>0.51397999999999999</v>
      </c>
      <c r="P1152" s="55">
        <v>13.2</v>
      </c>
      <c r="Q1152" s="17" t="s">
        <v>424</v>
      </c>
      <c r="R1152" s="17" t="s">
        <v>424</v>
      </c>
      <c r="S1152" s="17" t="s">
        <v>424</v>
      </c>
      <c r="T1152" s="17" t="s">
        <v>424</v>
      </c>
      <c r="U1152" s="17" t="s">
        <v>424</v>
      </c>
      <c r="V1152" s="17" t="s">
        <v>424</v>
      </c>
      <c r="W1152" s="17" t="s">
        <v>424</v>
      </c>
    </row>
    <row r="1153" spans="1:23" x14ac:dyDescent="0.25">
      <c r="A1153" s="16" t="s">
        <v>796</v>
      </c>
      <c r="B1153" s="17" t="s">
        <v>10</v>
      </c>
      <c r="C1153" s="17" t="s">
        <v>13</v>
      </c>
      <c r="D1153" s="18" t="s">
        <v>19</v>
      </c>
      <c r="E1153" s="18" t="s">
        <v>1680</v>
      </c>
      <c r="F1153" s="18">
        <v>5.94</v>
      </c>
      <c r="G1153" s="23">
        <v>1.92</v>
      </c>
      <c r="H1153" s="20">
        <v>6.89</v>
      </c>
      <c r="I1153" s="25">
        <v>7.0876387294297771</v>
      </c>
      <c r="J1153" s="24">
        <f>G1153/F1153*((100-H1153)/100)*((100-I1153)/100)*100</f>
        <v>27.963054409382764</v>
      </c>
      <c r="K1153" s="53">
        <v>4.252978918423465</v>
      </c>
      <c r="L1153" s="54">
        <f>J1153*10000/K1153</f>
        <v>65749.336984130598</v>
      </c>
      <c r="M1153" s="55">
        <v>51.9</v>
      </c>
      <c r="N1153" s="55">
        <v>16.7</v>
      </c>
      <c r="O1153" s="56">
        <v>2.2536999999999998</v>
      </c>
      <c r="P1153" s="55">
        <v>16.7</v>
      </c>
      <c r="Q1153" s="17" t="s">
        <v>424</v>
      </c>
      <c r="R1153" s="17" t="s">
        <v>424</v>
      </c>
      <c r="S1153" s="17" t="s">
        <v>424</v>
      </c>
      <c r="T1153" s="17" t="s">
        <v>424</v>
      </c>
      <c r="U1153" s="17" t="s">
        <v>424</v>
      </c>
      <c r="V1153" s="17" t="s">
        <v>424</v>
      </c>
      <c r="W1153" s="17" t="s">
        <v>424</v>
      </c>
    </row>
    <row r="1154" spans="1:23" x14ac:dyDescent="0.25">
      <c r="A1154" s="16" t="s">
        <v>795</v>
      </c>
      <c r="B1154" s="17" t="s">
        <v>10</v>
      </c>
      <c r="C1154" s="17" t="s">
        <v>13</v>
      </c>
      <c r="D1154" s="18" t="s">
        <v>87</v>
      </c>
      <c r="E1154" s="18" t="s">
        <v>1545</v>
      </c>
      <c r="F1154" s="18">
        <v>5.94</v>
      </c>
      <c r="G1154" s="23">
        <v>1.66</v>
      </c>
      <c r="H1154" s="20">
        <v>6.89</v>
      </c>
      <c r="I1154" s="25">
        <v>13.021113243761992</v>
      </c>
      <c r="J1154" s="24">
        <f>G1154/F1154*((100-H1154)/100)*((100-I1154)/100)*100</f>
        <v>22.632462764561804</v>
      </c>
      <c r="K1154" s="53">
        <v>4.4090056285178241</v>
      </c>
      <c r="L1154" s="54">
        <f>J1154*10000/K1154</f>
        <v>51332.351717069963</v>
      </c>
      <c r="M1154" s="55">
        <v>52.5</v>
      </c>
      <c r="N1154" s="55">
        <v>17.2</v>
      </c>
      <c r="O1154" s="56">
        <v>6.5251000000000001</v>
      </c>
      <c r="P1154" s="55">
        <v>18.8</v>
      </c>
      <c r="Q1154" s="17" t="s">
        <v>424</v>
      </c>
      <c r="R1154" s="17" t="s">
        <v>424</v>
      </c>
      <c r="S1154" s="17" t="s">
        <v>424</v>
      </c>
      <c r="T1154" s="17" t="s">
        <v>424</v>
      </c>
      <c r="U1154" s="17" t="s">
        <v>424</v>
      </c>
      <c r="V1154" s="17" t="s">
        <v>424</v>
      </c>
      <c r="W1154" s="17" t="s">
        <v>424</v>
      </c>
    </row>
    <row r="1155" spans="1:23" x14ac:dyDescent="0.25">
      <c r="A1155" s="16" t="s">
        <v>794</v>
      </c>
      <c r="B1155" s="17" t="s">
        <v>10</v>
      </c>
      <c r="C1155" s="17" t="s">
        <v>13</v>
      </c>
      <c r="D1155" s="18" t="s">
        <v>45</v>
      </c>
      <c r="E1155" s="18" t="s">
        <v>1472</v>
      </c>
      <c r="F1155" s="18">
        <v>5.94</v>
      </c>
      <c r="G1155" s="23">
        <v>1.32</v>
      </c>
      <c r="H1155" s="20">
        <v>6.89</v>
      </c>
      <c r="I1155" s="25">
        <v>10.184331797235018</v>
      </c>
      <c r="J1155" s="24">
        <f>G1155/F1155*((100-H1155)/100)*((100-I1155)/100)*100</f>
        <v>18.583859703020995</v>
      </c>
      <c r="K1155" s="53">
        <v>4.5945945945945947</v>
      </c>
      <c r="L1155" s="54">
        <f>J1155*10000/K1155</f>
        <v>40447.224059516288</v>
      </c>
      <c r="M1155" s="55">
        <v>51.3</v>
      </c>
      <c r="N1155" s="55">
        <v>19.399999999999999</v>
      </c>
      <c r="O1155" s="56">
        <v>40.314999999999998</v>
      </c>
      <c r="P1155" s="55">
        <v>49.7</v>
      </c>
      <c r="Q1155" s="17" t="s">
        <v>424</v>
      </c>
      <c r="R1155" s="17" t="s">
        <v>424</v>
      </c>
      <c r="S1155" s="17" t="s">
        <v>424</v>
      </c>
      <c r="T1155" s="17" t="s">
        <v>424</v>
      </c>
      <c r="U1155" s="17" t="s">
        <v>424</v>
      </c>
      <c r="V1155" s="17" t="s">
        <v>424</v>
      </c>
      <c r="W1155" s="17" t="s">
        <v>424</v>
      </c>
    </row>
    <row r="1156" spans="1:23" x14ac:dyDescent="0.25">
      <c r="A1156" s="16" t="s">
        <v>793</v>
      </c>
      <c r="B1156" s="17" t="s">
        <v>10</v>
      </c>
      <c r="C1156" s="17" t="s">
        <v>13</v>
      </c>
      <c r="D1156" s="18" t="s">
        <v>54</v>
      </c>
      <c r="E1156" s="18" t="s">
        <v>1730</v>
      </c>
      <c r="F1156" s="18">
        <v>5.94</v>
      </c>
      <c r="G1156" s="23">
        <v>1.88</v>
      </c>
      <c r="H1156" s="20">
        <v>6.89</v>
      </c>
      <c r="I1156" s="25">
        <v>12.557478471699687</v>
      </c>
      <c r="J1156" s="24">
        <f>G1156/F1156*((100-H1156)/100)*((100-I1156)/100)*100</f>
        <v>25.768575046229085</v>
      </c>
      <c r="K1156" s="53">
        <v>4.5812807881773399</v>
      </c>
      <c r="L1156" s="54">
        <f>J1156*10000/K1156</f>
        <v>56247.534778328009</v>
      </c>
      <c r="M1156" s="55">
        <v>53.9</v>
      </c>
      <c r="N1156" s="55">
        <v>16.399999999999999</v>
      </c>
      <c r="O1156" s="56">
        <v>8.7118000000000001E-2</v>
      </c>
      <c r="P1156" s="55">
        <v>11.3</v>
      </c>
      <c r="Q1156" s="17" t="s">
        <v>424</v>
      </c>
      <c r="R1156" s="17" t="s">
        <v>424</v>
      </c>
      <c r="S1156" s="17" t="s">
        <v>424</v>
      </c>
      <c r="T1156" s="17" t="s">
        <v>424</v>
      </c>
      <c r="U1156" s="17" t="s">
        <v>424</v>
      </c>
      <c r="V1156" s="17" t="s">
        <v>424</v>
      </c>
      <c r="W1156" s="17" t="s">
        <v>424</v>
      </c>
    </row>
    <row r="1157" spans="1:23" x14ac:dyDescent="0.25">
      <c r="A1157" s="16" t="s">
        <v>1213</v>
      </c>
      <c r="B1157" s="17" t="s">
        <v>10</v>
      </c>
      <c r="C1157" s="17" t="s">
        <v>427</v>
      </c>
      <c r="D1157" s="18" t="s">
        <v>39</v>
      </c>
      <c r="E1157" s="18" t="s">
        <v>1574</v>
      </c>
      <c r="F1157" s="18">
        <v>5.94</v>
      </c>
      <c r="G1157" s="26">
        <v>2.06</v>
      </c>
      <c r="H1157" s="17">
        <v>7.26</v>
      </c>
      <c r="I1157" s="25">
        <v>7.9622132253711282</v>
      </c>
      <c r="J1157" s="24">
        <f>G1157/F1157*((100-H1157)/100)*((100-I1157)/100)*100</f>
        <v>29.601521467486375</v>
      </c>
      <c r="K1157" s="53">
        <v>4.9421661409043116</v>
      </c>
      <c r="L1157" s="54">
        <f>J1157*10000/K1157</f>
        <v>59895.844501233063</v>
      </c>
      <c r="M1157" s="55">
        <v>50.3</v>
      </c>
      <c r="N1157" s="55">
        <v>17.8</v>
      </c>
      <c r="O1157" s="56">
        <v>3.7679999999999998</v>
      </c>
      <c r="P1157" s="55">
        <v>15</v>
      </c>
      <c r="Q1157" s="17" t="s">
        <v>424</v>
      </c>
      <c r="R1157" s="17" t="s">
        <v>424</v>
      </c>
      <c r="S1157" s="17" t="s">
        <v>424</v>
      </c>
      <c r="T1157" s="17" t="s">
        <v>424</v>
      </c>
      <c r="U1157" s="17" t="s">
        <v>424</v>
      </c>
      <c r="V1157" s="17" t="s">
        <v>424</v>
      </c>
      <c r="W1157" s="17" t="s">
        <v>424</v>
      </c>
    </row>
    <row r="1158" spans="1:23" x14ac:dyDescent="0.25">
      <c r="A1158" s="16" t="s">
        <v>1212</v>
      </c>
      <c r="B1158" s="17" t="s">
        <v>10</v>
      </c>
      <c r="C1158" s="17" t="s">
        <v>427</v>
      </c>
      <c r="D1158" s="18" t="s">
        <v>84</v>
      </c>
      <c r="E1158" s="18" t="s">
        <v>1672</v>
      </c>
      <c r="F1158" s="18">
        <v>5.94</v>
      </c>
      <c r="G1158" s="26">
        <v>1.62</v>
      </c>
      <c r="H1158" s="17">
        <v>7.26</v>
      </c>
      <c r="I1158" s="25">
        <v>9.6849474912485327</v>
      </c>
      <c r="J1158" s="24">
        <f>G1158/F1158*((100-H1158)/100)*((100-I1158)/100)*100</f>
        <v>22.843139917258938</v>
      </c>
      <c r="K1158" s="53">
        <v>4.8556701030927831</v>
      </c>
      <c r="L1158" s="54">
        <f>J1158*10000/K1158</f>
        <v>47044.258428325207</v>
      </c>
      <c r="M1158" s="55">
        <v>53.1</v>
      </c>
      <c r="N1158" s="55">
        <v>17.5</v>
      </c>
      <c r="O1158" s="56">
        <v>0.56869000000000003</v>
      </c>
      <c r="P1158" s="55">
        <v>17.100000000000001</v>
      </c>
      <c r="Q1158" s="17" t="s">
        <v>424</v>
      </c>
      <c r="R1158" s="17" t="s">
        <v>424</v>
      </c>
      <c r="S1158" s="17" t="s">
        <v>424</v>
      </c>
      <c r="T1158" s="17" t="s">
        <v>424</v>
      </c>
      <c r="U1158" s="17" t="s">
        <v>424</v>
      </c>
      <c r="V1158" s="17" t="s">
        <v>424</v>
      </c>
      <c r="W1158" s="17" t="s">
        <v>424</v>
      </c>
    </row>
    <row r="1159" spans="1:23" x14ac:dyDescent="0.25">
      <c r="A1159" s="16" t="s">
        <v>1211</v>
      </c>
      <c r="B1159" s="17" t="s">
        <v>10</v>
      </c>
      <c r="C1159" s="17" t="s">
        <v>427</v>
      </c>
      <c r="D1159" s="18" t="s">
        <v>173</v>
      </c>
      <c r="E1159" s="18" t="s">
        <v>1720</v>
      </c>
      <c r="F1159" s="18">
        <v>5.94</v>
      </c>
      <c r="G1159" s="26">
        <v>2.09</v>
      </c>
      <c r="H1159" s="17">
        <v>7.26</v>
      </c>
      <c r="I1159" s="25">
        <v>5.526703356328964</v>
      </c>
      <c r="J1159" s="24">
        <f>G1159/F1159*((100-H1159)/100)*((100-I1159)/100)*100</f>
        <v>30.827336497027218</v>
      </c>
      <c r="K1159" s="53">
        <v>4.5103578154425614</v>
      </c>
      <c r="L1159" s="54">
        <f>J1159*10000/K1159</f>
        <v>68347.873402594792</v>
      </c>
      <c r="M1159" s="55">
        <v>52.9</v>
      </c>
      <c r="N1159" s="55">
        <v>16.7</v>
      </c>
      <c r="O1159" s="56">
        <v>2.9790999999999999</v>
      </c>
      <c r="P1159" s="55">
        <v>9.9</v>
      </c>
      <c r="Q1159" s="17" t="s">
        <v>424</v>
      </c>
      <c r="R1159" s="17" t="s">
        <v>424</v>
      </c>
      <c r="S1159" s="17" t="s">
        <v>424</v>
      </c>
      <c r="T1159" s="17" t="s">
        <v>424</v>
      </c>
      <c r="U1159" s="17" t="s">
        <v>424</v>
      </c>
      <c r="V1159" s="17" t="s">
        <v>424</v>
      </c>
      <c r="W1159" s="17" t="s">
        <v>424</v>
      </c>
    </row>
    <row r="1160" spans="1:23" x14ac:dyDescent="0.25">
      <c r="A1160" s="16" t="s">
        <v>1210</v>
      </c>
      <c r="B1160" s="17" t="s">
        <v>10</v>
      </c>
      <c r="C1160" s="17" t="s">
        <v>427</v>
      </c>
      <c r="D1160" s="18" t="s">
        <v>72</v>
      </c>
      <c r="E1160" s="18" t="s">
        <v>1772</v>
      </c>
      <c r="F1160" s="18">
        <v>5.94</v>
      </c>
      <c r="G1160" s="26">
        <v>1.92</v>
      </c>
      <c r="H1160" s="17">
        <v>7.26</v>
      </c>
      <c r="I1160" s="25">
        <v>8.1715146231275284</v>
      </c>
      <c r="J1160" s="24">
        <f>G1160/F1160*((100-H1160)/100)*((100-I1160)/100)*100</f>
        <v>27.527026210427962</v>
      </c>
      <c r="K1160" s="53">
        <v>5.5791962174940899</v>
      </c>
      <c r="L1160" s="54">
        <f>J1160*10000/K1160</f>
        <v>49338.695283945039</v>
      </c>
      <c r="M1160" s="55">
        <v>53</v>
      </c>
      <c r="N1160" s="55">
        <v>16.8</v>
      </c>
      <c r="O1160" s="56">
        <v>3.4731000000000001</v>
      </c>
      <c r="P1160" s="55">
        <v>15.7</v>
      </c>
      <c r="Q1160" s="17" t="s">
        <v>424</v>
      </c>
      <c r="R1160" s="17" t="s">
        <v>424</v>
      </c>
      <c r="S1160" s="17" t="s">
        <v>424</v>
      </c>
      <c r="T1160" s="17" t="s">
        <v>424</v>
      </c>
      <c r="U1160" s="17" t="s">
        <v>424</v>
      </c>
      <c r="V1160" s="17" t="s">
        <v>424</v>
      </c>
      <c r="W1160" s="17" t="s">
        <v>424</v>
      </c>
    </row>
    <row r="1161" spans="1:23" x14ac:dyDescent="0.25">
      <c r="A1161" s="16" t="s">
        <v>1209</v>
      </c>
      <c r="B1161" s="17" t="s">
        <v>10</v>
      </c>
      <c r="C1161" s="17" t="s">
        <v>427</v>
      </c>
      <c r="D1161" s="18" t="s">
        <v>8</v>
      </c>
      <c r="E1161" s="18" t="s">
        <v>1634</v>
      </c>
      <c r="F1161" s="18">
        <v>5.94</v>
      </c>
      <c r="G1161" s="26">
        <v>1.68</v>
      </c>
      <c r="H1161" s="17">
        <v>7.26</v>
      </c>
      <c r="I1161" s="25">
        <v>5.6342780026990607</v>
      </c>
      <c r="J1161" s="24">
        <f>G1161/F1161*((100-H1161)/100)*((100-I1161)/100)*100</f>
        <v>24.75165228533649</v>
      </c>
      <c r="K1161" s="53">
        <v>4.5472249269717624</v>
      </c>
      <c r="L1161" s="54">
        <f>J1161*10000/K1161</f>
        <v>54432.434469037638</v>
      </c>
      <c r="M1161" s="55">
        <v>52.1</v>
      </c>
      <c r="N1161" s="55">
        <v>17.8</v>
      </c>
      <c r="O1161" s="56">
        <v>1.2823</v>
      </c>
      <c r="P1161" s="55">
        <v>12.1</v>
      </c>
      <c r="Q1161" s="17" t="s">
        <v>424</v>
      </c>
      <c r="R1161" s="17" t="s">
        <v>424</v>
      </c>
      <c r="S1161" s="17" t="s">
        <v>424</v>
      </c>
      <c r="T1161" s="17" t="s">
        <v>424</v>
      </c>
      <c r="U1161" s="17" t="s">
        <v>424</v>
      </c>
      <c r="V1161" s="17" t="s">
        <v>424</v>
      </c>
      <c r="W1161" s="17" t="s">
        <v>424</v>
      </c>
    </row>
    <row r="1162" spans="1:23" x14ac:dyDescent="0.25">
      <c r="A1162" s="16" t="s">
        <v>1208</v>
      </c>
      <c r="B1162" s="17" t="s">
        <v>10</v>
      </c>
      <c r="C1162" s="17" t="s">
        <v>427</v>
      </c>
      <c r="D1162" s="18" t="s">
        <v>246</v>
      </c>
      <c r="E1162" s="18" t="s">
        <v>1616</v>
      </c>
      <c r="F1162" s="18">
        <v>5.94</v>
      </c>
      <c r="G1162" s="26">
        <v>1.96</v>
      </c>
      <c r="H1162" s="17">
        <v>7.26</v>
      </c>
      <c r="I1162" s="25">
        <v>7.6086060506141324</v>
      </c>
      <c r="J1162" s="24">
        <f>G1162/F1162*((100-H1162)/100)*((100-I1162)/100)*100</f>
        <v>28.272762011342508</v>
      </c>
      <c r="K1162" s="53">
        <v>4.0397350993377481</v>
      </c>
      <c r="L1162" s="54">
        <f>J1162*10000/K1162</f>
        <v>69986.673175618344</v>
      </c>
      <c r="M1162" s="55">
        <v>51.5</v>
      </c>
      <c r="N1162" s="55">
        <v>16.899999999999999</v>
      </c>
      <c r="O1162" s="56">
        <v>3.2429000000000001</v>
      </c>
      <c r="P1162" s="55">
        <v>19.899999999999999</v>
      </c>
      <c r="Q1162" s="17" t="s">
        <v>424</v>
      </c>
      <c r="R1162" s="17" t="s">
        <v>424</v>
      </c>
      <c r="S1162" s="17" t="s">
        <v>424</v>
      </c>
      <c r="T1162" s="17" t="s">
        <v>424</v>
      </c>
      <c r="U1162" s="17" t="s">
        <v>424</v>
      </c>
      <c r="V1162" s="17" t="s">
        <v>424</v>
      </c>
      <c r="W1162" s="17" t="s">
        <v>424</v>
      </c>
    </row>
    <row r="1163" spans="1:23" x14ac:dyDescent="0.25">
      <c r="A1163" s="16" t="s">
        <v>804</v>
      </c>
      <c r="B1163" s="17" t="s">
        <v>10</v>
      </c>
      <c r="C1163" s="17" t="s">
        <v>13</v>
      </c>
      <c r="D1163" s="18" t="s">
        <v>99</v>
      </c>
      <c r="E1163" s="18" t="s">
        <v>1646</v>
      </c>
      <c r="F1163" s="18">
        <v>5.94</v>
      </c>
      <c r="G1163" s="23">
        <v>1.72</v>
      </c>
      <c r="H1163" s="20">
        <v>6.89</v>
      </c>
      <c r="I1163" s="25">
        <v>7.6781185151026117</v>
      </c>
      <c r="J1163" s="24">
        <f>G1163/F1163*((100-H1163)/100)*((100-I1163)/100)*100</f>
        <v>24.891036131820083</v>
      </c>
      <c r="K1163" s="53">
        <v>5.2139639639639643</v>
      </c>
      <c r="L1163" s="54">
        <f>J1163*10000/K1163</f>
        <v>47739.179449365511</v>
      </c>
      <c r="M1163" s="55">
        <v>49.4</v>
      </c>
      <c r="N1163" s="55">
        <v>19</v>
      </c>
      <c r="O1163" s="56">
        <v>4.0917000000000003</v>
      </c>
      <c r="P1163" s="55">
        <v>19.899999999999999</v>
      </c>
      <c r="Q1163" s="17" t="s">
        <v>424</v>
      </c>
      <c r="R1163" s="17" t="s">
        <v>424</v>
      </c>
      <c r="S1163" s="17" t="s">
        <v>424</v>
      </c>
      <c r="T1163" s="17" t="s">
        <v>424</v>
      </c>
      <c r="U1163" s="17" t="s">
        <v>424</v>
      </c>
      <c r="V1163" s="17" t="s">
        <v>424</v>
      </c>
      <c r="W1163" s="17" t="s">
        <v>424</v>
      </c>
    </row>
    <row r="1164" spans="1:23" x14ac:dyDescent="0.25">
      <c r="A1164" s="16" t="s">
        <v>803</v>
      </c>
      <c r="B1164" s="17" t="s">
        <v>10</v>
      </c>
      <c r="C1164" s="17" t="s">
        <v>13</v>
      </c>
      <c r="D1164" s="18" t="s">
        <v>33</v>
      </c>
      <c r="E1164" s="18" t="s">
        <v>1732</v>
      </c>
      <c r="F1164" s="18">
        <v>5.94</v>
      </c>
      <c r="G1164" s="23">
        <v>1.64</v>
      </c>
      <c r="H1164" s="20">
        <v>6.89</v>
      </c>
      <c r="I1164" s="25">
        <v>11.502383515300638</v>
      </c>
      <c r="J1164" s="24">
        <f>G1164/F1164*((100-H1164)/100)*((100-I1164)/100)*100</f>
        <v>22.750204438148462</v>
      </c>
      <c r="K1164" s="53">
        <v>4.1360787824529988</v>
      </c>
      <c r="L1164" s="54">
        <f>J1164*10000/K1164</f>
        <v>55004.282158900074</v>
      </c>
      <c r="M1164" s="55">
        <v>48.7</v>
      </c>
      <c r="N1164" s="55">
        <v>17.2</v>
      </c>
      <c r="O1164" s="56">
        <v>1.6732</v>
      </c>
      <c r="P1164" s="55">
        <v>14.5</v>
      </c>
      <c r="Q1164" s="17" t="s">
        <v>424</v>
      </c>
      <c r="R1164" s="17" t="s">
        <v>424</v>
      </c>
      <c r="S1164" s="17" t="s">
        <v>424</v>
      </c>
      <c r="T1164" s="17" t="s">
        <v>424</v>
      </c>
      <c r="U1164" s="17" t="s">
        <v>424</v>
      </c>
      <c r="V1164" s="17" t="s">
        <v>424</v>
      </c>
      <c r="W1164" s="17" t="s">
        <v>424</v>
      </c>
    </row>
    <row r="1165" spans="1:23" x14ac:dyDescent="0.25">
      <c r="A1165" s="16" t="s">
        <v>802</v>
      </c>
      <c r="B1165" s="17" t="s">
        <v>10</v>
      </c>
      <c r="C1165" s="17" t="s">
        <v>13</v>
      </c>
      <c r="D1165" s="18" t="s">
        <v>164</v>
      </c>
      <c r="E1165" s="18" t="s">
        <v>1488</v>
      </c>
      <c r="F1165" s="18">
        <v>5.94</v>
      </c>
      <c r="G1165" s="23">
        <v>1.36</v>
      </c>
      <c r="H1165" s="20">
        <v>6.89</v>
      </c>
      <c r="I1165" s="25">
        <v>13.320552147239267</v>
      </c>
      <c r="J1165" s="24">
        <f>G1165/F1165*((100-H1165)/100)*((100-I1165)/100)*100</f>
        <v>18.478423922249078</v>
      </c>
      <c r="K1165" s="53">
        <v>4.0455341506129594</v>
      </c>
      <c r="L1165" s="54">
        <f>J1165*10000/K1165</f>
        <v>45676.104154130844</v>
      </c>
      <c r="M1165" s="55">
        <v>49.4</v>
      </c>
      <c r="N1165" s="55">
        <v>18.399999999999999</v>
      </c>
      <c r="O1165" s="56">
        <v>36.607999999999997</v>
      </c>
      <c r="P1165" s="55">
        <v>47</v>
      </c>
      <c r="Q1165" s="17" t="s">
        <v>424</v>
      </c>
      <c r="R1165" s="17" t="s">
        <v>424</v>
      </c>
      <c r="S1165" s="17" t="s">
        <v>424</v>
      </c>
      <c r="T1165" s="17" t="s">
        <v>424</v>
      </c>
      <c r="U1165" s="17" t="s">
        <v>424</v>
      </c>
      <c r="V1165" s="17" t="s">
        <v>424</v>
      </c>
      <c r="W1165" s="17" t="s">
        <v>424</v>
      </c>
    </row>
    <row r="1166" spans="1:23" x14ac:dyDescent="0.25">
      <c r="A1166" s="16" t="s">
        <v>801</v>
      </c>
      <c r="B1166" s="17" t="s">
        <v>10</v>
      </c>
      <c r="C1166" s="17" t="s">
        <v>13</v>
      </c>
      <c r="D1166" s="18" t="s">
        <v>299</v>
      </c>
      <c r="E1166" s="18" t="s">
        <v>1674</v>
      </c>
      <c r="F1166" s="18">
        <v>5.94</v>
      </c>
      <c r="G1166" s="23">
        <v>1.57</v>
      </c>
      <c r="H1166" s="20">
        <v>6.89</v>
      </c>
      <c r="I1166" s="25">
        <v>6.3655815375210238</v>
      </c>
      <c r="J1166" s="24">
        <f>G1166/F1166*((100-H1166)/100)*((100-I1166)/100)*100</f>
        <v>23.043320040025296</v>
      </c>
      <c r="K1166" s="53">
        <v>4.5411542100283819</v>
      </c>
      <c r="L1166" s="54">
        <f>J1166*10000/K1166</f>
        <v>50743.311004805713</v>
      </c>
      <c r="M1166" s="55">
        <v>47.8</v>
      </c>
      <c r="N1166" s="55">
        <v>19</v>
      </c>
      <c r="O1166" s="56">
        <v>4.8475000000000001</v>
      </c>
      <c r="P1166" s="55">
        <v>14.7</v>
      </c>
      <c r="Q1166" s="17" t="s">
        <v>424</v>
      </c>
      <c r="R1166" s="17" t="s">
        <v>424</v>
      </c>
      <c r="S1166" s="17" t="s">
        <v>424</v>
      </c>
      <c r="T1166" s="17" t="s">
        <v>424</v>
      </c>
      <c r="U1166" s="17" t="s">
        <v>424</v>
      </c>
      <c r="V1166" s="17" t="s">
        <v>424</v>
      </c>
      <c r="W1166" s="17" t="s">
        <v>424</v>
      </c>
    </row>
    <row r="1167" spans="1:23" x14ac:dyDescent="0.25">
      <c r="A1167" s="16" t="s">
        <v>800</v>
      </c>
      <c r="B1167" s="17" t="s">
        <v>10</v>
      </c>
      <c r="C1167" s="17" t="s">
        <v>13</v>
      </c>
      <c r="D1167" s="18" t="s">
        <v>181</v>
      </c>
      <c r="E1167" s="18" t="s">
        <v>1494</v>
      </c>
      <c r="F1167" s="18">
        <v>5.94</v>
      </c>
      <c r="G1167" s="23">
        <v>1.21</v>
      </c>
      <c r="H1167" s="20">
        <v>6.89</v>
      </c>
      <c r="I1167" s="25">
        <v>10.828661393134174</v>
      </c>
      <c r="J1167" s="24">
        <f>G1167/F1167*((100-H1167)/100)*((100-I1167)/100)*100</f>
        <v>16.912995687877416</v>
      </c>
      <c r="K1167" s="53">
        <v>4.9111807732497388</v>
      </c>
      <c r="L1167" s="54">
        <f>J1167*10000/K1167</f>
        <v>34437.738028295076</v>
      </c>
      <c r="M1167" s="55">
        <v>47.8</v>
      </c>
      <c r="N1167" s="55">
        <v>19.600000000000001</v>
      </c>
      <c r="O1167" s="56">
        <v>23.274000000000001</v>
      </c>
      <c r="P1167" s="55">
        <v>44.4</v>
      </c>
      <c r="Q1167" s="17" t="s">
        <v>424</v>
      </c>
      <c r="R1167" s="17" t="s">
        <v>424</v>
      </c>
      <c r="S1167" s="17" t="s">
        <v>424</v>
      </c>
      <c r="T1167" s="17" t="s">
        <v>424</v>
      </c>
      <c r="U1167" s="17" t="s">
        <v>424</v>
      </c>
      <c r="V1167" s="17" t="s">
        <v>424</v>
      </c>
      <c r="W1167" s="17" t="s">
        <v>424</v>
      </c>
    </row>
    <row r="1168" spans="1:23" x14ac:dyDescent="0.25">
      <c r="A1168" s="16" t="s">
        <v>799</v>
      </c>
      <c r="B1168" s="17" t="s">
        <v>10</v>
      </c>
      <c r="C1168" s="17" t="s">
        <v>13</v>
      </c>
      <c r="D1168" s="18" t="s">
        <v>12</v>
      </c>
      <c r="E1168" s="18" t="s">
        <v>1708</v>
      </c>
      <c r="F1168" s="18">
        <v>5.94</v>
      </c>
      <c r="G1168" s="23">
        <v>1.93</v>
      </c>
      <c r="H1168" s="20">
        <v>6.89</v>
      </c>
      <c r="I1168" s="25">
        <v>6.7740698120444938</v>
      </c>
      <c r="J1168" s="24">
        <f>G1168/F1168*((100-H1168)/100)*((100-I1168)/100)*100</f>
        <v>28.203559047836762</v>
      </c>
      <c r="K1168" s="53">
        <v>5.0599781897491818</v>
      </c>
      <c r="L1168" s="54">
        <f>J1168*10000/K1168</f>
        <v>55738.49923893602</v>
      </c>
      <c r="M1168" s="55">
        <v>50.6</v>
      </c>
      <c r="N1168" s="55">
        <v>17.600000000000001</v>
      </c>
      <c r="O1168" s="56">
        <v>4.8930999999999996</v>
      </c>
      <c r="P1168" s="55">
        <v>11.7</v>
      </c>
      <c r="Q1168" s="17" t="s">
        <v>424</v>
      </c>
      <c r="R1168" s="17" t="s">
        <v>424</v>
      </c>
      <c r="S1168" s="17" t="s">
        <v>424</v>
      </c>
      <c r="T1168" s="17" t="s">
        <v>424</v>
      </c>
      <c r="U1168" s="17" t="s">
        <v>424</v>
      </c>
      <c r="V1168" s="17" t="s">
        <v>424</v>
      </c>
      <c r="W1168" s="17" t="s">
        <v>424</v>
      </c>
    </row>
    <row r="1169" spans="1:23" x14ac:dyDescent="0.25">
      <c r="A1169" s="16" t="s">
        <v>1219</v>
      </c>
      <c r="B1169" s="17" t="s">
        <v>10</v>
      </c>
      <c r="C1169" s="17" t="s">
        <v>427</v>
      </c>
      <c r="D1169" s="18" t="s">
        <v>44</v>
      </c>
      <c r="E1169" s="18" t="s">
        <v>1782</v>
      </c>
      <c r="F1169" s="18">
        <v>5.94</v>
      </c>
      <c r="G1169" s="26">
        <v>2.13</v>
      </c>
      <c r="H1169" s="17">
        <v>7.26</v>
      </c>
      <c r="I1169" s="25">
        <v>7.7986437141366709</v>
      </c>
      <c r="J1169" s="24">
        <f>G1169/F1169*((100-H1169)/100)*((100-I1169)/100)*100</f>
        <v>30.661793864571635</v>
      </c>
      <c r="K1169" s="53">
        <v>4.4413407821229054</v>
      </c>
      <c r="L1169" s="54">
        <f>J1169*10000/K1169</f>
        <v>69037.246562997767</v>
      </c>
      <c r="M1169" s="55">
        <v>53</v>
      </c>
      <c r="N1169" s="55">
        <v>16.399999999999999</v>
      </c>
      <c r="O1169" s="56">
        <v>0.96626000000000001</v>
      </c>
      <c r="P1169" s="55">
        <v>18</v>
      </c>
      <c r="Q1169" s="17" t="s">
        <v>424</v>
      </c>
      <c r="R1169" s="17" t="s">
        <v>424</v>
      </c>
      <c r="S1169" s="17" t="s">
        <v>424</v>
      </c>
      <c r="T1169" s="17" t="s">
        <v>424</v>
      </c>
      <c r="U1169" s="17" t="s">
        <v>424</v>
      </c>
      <c r="V1169" s="17" t="s">
        <v>424</v>
      </c>
      <c r="W1169" s="17" t="s">
        <v>424</v>
      </c>
    </row>
    <row r="1170" spans="1:23" x14ac:dyDescent="0.25">
      <c r="A1170" s="16" t="s">
        <v>1218</v>
      </c>
      <c r="B1170" s="17" t="s">
        <v>10</v>
      </c>
      <c r="C1170" s="17" t="s">
        <v>427</v>
      </c>
      <c r="D1170" s="18" t="s">
        <v>101</v>
      </c>
      <c r="E1170" s="18" t="s">
        <v>1792</v>
      </c>
      <c r="F1170" s="18">
        <v>5.94</v>
      </c>
      <c r="G1170" s="26">
        <v>2.19</v>
      </c>
      <c r="H1170" s="17">
        <v>7.26</v>
      </c>
      <c r="I1170" s="25">
        <v>5.5420318078545909</v>
      </c>
      <c r="J1170" s="24">
        <f>G1170/F1170*((100-H1170)/100)*((100-I1170)/100)*100</f>
        <v>32.297087566676176</v>
      </c>
      <c r="K1170" s="53">
        <v>4.7559808612440193</v>
      </c>
      <c r="L1170" s="54">
        <f>J1170*10000/K1170</f>
        <v>67908.363193514291</v>
      </c>
      <c r="M1170" s="55">
        <v>53</v>
      </c>
      <c r="N1170" s="55">
        <v>16.600000000000001</v>
      </c>
      <c r="O1170" s="56">
        <v>3.8694999999999999</v>
      </c>
      <c r="P1170" s="55">
        <v>19</v>
      </c>
      <c r="Q1170" s="17" t="s">
        <v>424</v>
      </c>
      <c r="R1170" s="17" t="s">
        <v>424</v>
      </c>
      <c r="S1170" s="17" t="s">
        <v>424</v>
      </c>
      <c r="T1170" s="17" t="s">
        <v>424</v>
      </c>
      <c r="U1170" s="17" t="s">
        <v>424</v>
      </c>
      <c r="V1170" s="17" t="s">
        <v>424</v>
      </c>
      <c r="W1170" s="17" t="s">
        <v>424</v>
      </c>
    </row>
    <row r="1171" spans="1:23" x14ac:dyDescent="0.25">
      <c r="A1171" s="16" t="s">
        <v>1217</v>
      </c>
      <c r="B1171" s="17" t="s">
        <v>10</v>
      </c>
      <c r="C1171" s="17" t="s">
        <v>427</v>
      </c>
      <c r="D1171" s="18" t="s">
        <v>222</v>
      </c>
      <c r="E1171" s="18" t="s">
        <v>1700</v>
      </c>
      <c r="F1171" s="18">
        <v>5.94</v>
      </c>
      <c r="G1171" s="26">
        <v>1.33</v>
      </c>
      <c r="H1171" s="17">
        <v>7.26</v>
      </c>
      <c r="I1171" s="25">
        <v>9.7056551960868465</v>
      </c>
      <c r="J1171" s="24">
        <f>G1171/F1171*((100-H1171)/100)*((100-I1171)/100)*100</f>
        <v>18.749635899600715</v>
      </c>
      <c r="K1171" s="53">
        <v>3.4425036390101891</v>
      </c>
      <c r="L1171" s="54">
        <f>J1171*10000/K1171</f>
        <v>54465.115699897215</v>
      </c>
      <c r="M1171" s="55">
        <v>50.9</v>
      </c>
      <c r="N1171" s="55">
        <v>20.2</v>
      </c>
      <c r="O1171" s="56">
        <v>45.103000000000002</v>
      </c>
      <c r="P1171" s="55">
        <v>62.3</v>
      </c>
      <c r="Q1171" s="17" t="s">
        <v>424</v>
      </c>
      <c r="R1171" s="17" t="s">
        <v>424</v>
      </c>
      <c r="S1171" s="17" t="s">
        <v>424</v>
      </c>
      <c r="T1171" s="17" t="s">
        <v>424</v>
      </c>
      <c r="U1171" s="17" t="s">
        <v>424</v>
      </c>
      <c r="V1171" s="17" t="s">
        <v>424</v>
      </c>
      <c r="W1171" s="17" t="s">
        <v>424</v>
      </c>
    </row>
    <row r="1172" spans="1:23" x14ac:dyDescent="0.25">
      <c r="A1172" s="16" t="s">
        <v>1216</v>
      </c>
      <c r="B1172" s="17" t="s">
        <v>10</v>
      </c>
      <c r="C1172" s="17" t="s">
        <v>427</v>
      </c>
      <c r="D1172" s="18" t="s">
        <v>103</v>
      </c>
      <c r="E1172" s="18" t="s">
        <v>1710</v>
      </c>
      <c r="F1172" s="18">
        <v>5.94</v>
      </c>
      <c r="G1172" s="26">
        <v>1.84</v>
      </c>
      <c r="H1172" s="17">
        <v>7.26</v>
      </c>
      <c r="I1172" s="25">
        <v>7.9784043191361746</v>
      </c>
      <c r="J1172" s="24">
        <f>G1172/F1172*((100-H1172)/100)*((100-I1172)/100)*100</f>
        <v>26.435542628847962</v>
      </c>
      <c r="K1172" s="53">
        <v>5.4270270270270267</v>
      </c>
      <c r="L1172" s="54">
        <f>J1172*10000/K1172</f>
        <v>48710.910222478822</v>
      </c>
      <c r="M1172" s="55">
        <v>49.5</v>
      </c>
      <c r="N1172" s="55">
        <v>18.5</v>
      </c>
      <c r="O1172" s="56">
        <v>10.615</v>
      </c>
      <c r="P1172" s="55">
        <v>62.2</v>
      </c>
      <c r="Q1172" s="17" t="s">
        <v>424</v>
      </c>
      <c r="R1172" s="17" t="s">
        <v>424</v>
      </c>
      <c r="S1172" s="17" t="s">
        <v>424</v>
      </c>
      <c r="T1172" s="17" t="s">
        <v>424</v>
      </c>
      <c r="U1172" s="17" t="s">
        <v>424</v>
      </c>
      <c r="V1172" s="17" t="s">
        <v>424</v>
      </c>
      <c r="W1172" s="17" t="s">
        <v>424</v>
      </c>
    </row>
    <row r="1173" spans="1:23" x14ac:dyDescent="0.25">
      <c r="A1173" s="16" t="s">
        <v>1215</v>
      </c>
      <c r="B1173" s="17" t="s">
        <v>10</v>
      </c>
      <c r="C1173" s="17" t="s">
        <v>427</v>
      </c>
      <c r="D1173" s="18" t="s">
        <v>53</v>
      </c>
      <c r="E1173" s="18" t="s">
        <v>1686</v>
      </c>
      <c r="F1173" s="18">
        <v>5.94</v>
      </c>
      <c r="G1173" s="26">
        <v>1.73</v>
      </c>
      <c r="H1173" s="17">
        <v>7.26</v>
      </c>
      <c r="I1173" s="25">
        <v>8.1475846329402764</v>
      </c>
      <c r="J1173" s="24">
        <f>G1173/F1173*((100-H1173)/100)*((100-I1173)/100)*100</f>
        <v>24.809461097599549</v>
      </c>
      <c r="K1173" s="53">
        <v>5.0406504065040654</v>
      </c>
      <c r="L1173" s="54">
        <f>J1173*10000/K1173</f>
        <v>49218.769596850711</v>
      </c>
      <c r="M1173" s="55">
        <v>51.1</v>
      </c>
      <c r="N1173" s="55">
        <v>19.399999999999999</v>
      </c>
      <c r="O1173" s="56">
        <v>41.747</v>
      </c>
      <c r="P1173" s="55">
        <v>51.6</v>
      </c>
      <c r="Q1173" s="17" t="s">
        <v>424</v>
      </c>
      <c r="R1173" s="17" t="s">
        <v>424</v>
      </c>
      <c r="S1173" s="17" t="s">
        <v>424</v>
      </c>
      <c r="T1173" s="17" t="s">
        <v>424</v>
      </c>
      <c r="U1173" s="17" t="s">
        <v>424</v>
      </c>
      <c r="V1173" s="17" t="s">
        <v>424</v>
      </c>
      <c r="W1173" s="17" t="s">
        <v>424</v>
      </c>
    </row>
    <row r="1174" spans="1:23" x14ac:dyDescent="0.25">
      <c r="A1174" s="16" t="s">
        <v>1214</v>
      </c>
      <c r="B1174" s="17" t="s">
        <v>10</v>
      </c>
      <c r="C1174" s="17" t="s">
        <v>427</v>
      </c>
      <c r="D1174" s="18" t="s">
        <v>286</v>
      </c>
      <c r="E1174" s="18" t="s">
        <v>1556</v>
      </c>
      <c r="F1174" s="18">
        <v>5.94</v>
      </c>
      <c r="G1174" s="26">
        <v>2.08</v>
      </c>
      <c r="H1174" s="17">
        <v>7.26</v>
      </c>
      <c r="I1174" s="25">
        <v>8.2950039651070533</v>
      </c>
      <c r="J1174" s="24">
        <f>G1174/F1174*((100-H1174)/100)*((100-I1174)/100)*100</f>
        <v>29.7808423756465</v>
      </c>
      <c r="K1174" s="53">
        <v>5.0553877139979857</v>
      </c>
      <c r="L1174" s="54">
        <f>J1174*10000/K1174</f>
        <v>58909.116492065696</v>
      </c>
      <c r="M1174" s="55">
        <v>52.3</v>
      </c>
      <c r="N1174" s="55">
        <v>17</v>
      </c>
      <c r="O1174" s="56">
        <v>1.0105</v>
      </c>
      <c r="P1174" s="55">
        <v>11.2</v>
      </c>
      <c r="Q1174" s="17" t="s">
        <v>424</v>
      </c>
      <c r="R1174" s="17" t="s">
        <v>424</v>
      </c>
      <c r="S1174" s="17" t="s">
        <v>424</v>
      </c>
      <c r="T1174" s="17" t="s">
        <v>424</v>
      </c>
      <c r="U1174" s="17" t="s">
        <v>424</v>
      </c>
      <c r="V1174" s="17" t="s">
        <v>424</v>
      </c>
      <c r="W1174" s="17" t="s">
        <v>424</v>
      </c>
    </row>
    <row r="1175" spans="1:23" x14ac:dyDescent="0.25">
      <c r="A1175" s="16" t="s">
        <v>810</v>
      </c>
      <c r="B1175" s="17" t="s">
        <v>10</v>
      </c>
      <c r="C1175" s="17" t="s">
        <v>13</v>
      </c>
      <c r="D1175" s="18" t="s">
        <v>88</v>
      </c>
      <c r="E1175" s="18" t="s">
        <v>1506</v>
      </c>
      <c r="F1175" s="18">
        <v>5.94</v>
      </c>
      <c r="G1175" s="23">
        <v>1.36</v>
      </c>
      <c r="H1175" s="20">
        <v>6.89</v>
      </c>
      <c r="I1175" s="25">
        <v>12.747202207573208</v>
      </c>
      <c r="J1175" s="24">
        <f>G1175/F1175*((100-H1175)/100)*((100-I1175)/100)*100</f>
        <v>18.600651318747289</v>
      </c>
      <c r="K1175" s="53">
        <v>5.4588235294117649</v>
      </c>
      <c r="L1175" s="54">
        <f>J1175*10000/K1175</f>
        <v>34074.469010636196</v>
      </c>
      <c r="M1175" s="55">
        <v>45.9</v>
      </c>
      <c r="N1175" s="55">
        <v>21.6</v>
      </c>
      <c r="O1175" s="56">
        <v>8.6656999999999993</v>
      </c>
      <c r="P1175" s="55">
        <v>67.8</v>
      </c>
      <c r="Q1175" s="17" t="s">
        <v>424</v>
      </c>
      <c r="R1175" s="17" t="s">
        <v>424</v>
      </c>
      <c r="S1175" s="17" t="s">
        <v>424</v>
      </c>
      <c r="T1175" s="17" t="s">
        <v>424</v>
      </c>
      <c r="U1175" s="17" t="s">
        <v>424</v>
      </c>
      <c r="V1175" s="17" t="s">
        <v>424</v>
      </c>
      <c r="W1175" s="17" t="s">
        <v>424</v>
      </c>
    </row>
    <row r="1176" spans="1:23" x14ac:dyDescent="0.25">
      <c r="A1176" s="16" t="s">
        <v>809</v>
      </c>
      <c r="B1176" s="17" t="s">
        <v>10</v>
      </c>
      <c r="C1176" s="17" t="s">
        <v>13</v>
      </c>
      <c r="D1176" s="18" t="s">
        <v>162</v>
      </c>
      <c r="E1176" s="18" t="s">
        <v>1535</v>
      </c>
      <c r="F1176" s="18">
        <v>5.94</v>
      </c>
      <c r="G1176" s="23">
        <v>2.2599999999999998</v>
      </c>
      <c r="H1176" s="20">
        <v>6.89</v>
      </c>
      <c r="I1176" s="25">
        <v>8.8156175543770754</v>
      </c>
      <c r="J1176" s="24">
        <f>G1176/F1176*((100-H1176)/100)*((100-I1176)/100)*100</f>
        <v>32.302696868513479</v>
      </c>
      <c r="K1176" s="53">
        <v>4.5052833813640731</v>
      </c>
      <c r="L1176" s="54">
        <f>J1176*10000/K1176</f>
        <v>71699.589424568287</v>
      </c>
      <c r="M1176" s="55">
        <v>51.2</v>
      </c>
      <c r="N1176" s="55">
        <v>17.100000000000001</v>
      </c>
      <c r="O1176" s="56">
        <v>17.91</v>
      </c>
      <c r="P1176" s="55">
        <v>34.9</v>
      </c>
      <c r="Q1176" s="17" t="s">
        <v>424</v>
      </c>
      <c r="R1176" s="17" t="s">
        <v>424</v>
      </c>
      <c r="S1176" s="17" t="s">
        <v>424</v>
      </c>
      <c r="T1176" s="17" t="s">
        <v>424</v>
      </c>
      <c r="U1176" s="17" t="s">
        <v>424</v>
      </c>
      <c r="V1176" s="17" t="s">
        <v>424</v>
      </c>
      <c r="W1176" s="17" t="s">
        <v>424</v>
      </c>
    </row>
    <row r="1177" spans="1:23" x14ac:dyDescent="0.25">
      <c r="A1177" s="16" t="s">
        <v>808</v>
      </c>
      <c r="B1177" s="17" t="s">
        <v>10</v>
      </c>
      <c r="C1177" s="17" t="s">
        <v>13</v>
      </c>
      <c r="D1177" s="18" t="s">
        <v>94</v>
      </c>
      <c r="E1177" s="18" t="s">
        <v>1582</v>
      </c>
      <c r="F1177" s="18">
        <v>5.94</v>
      </c>
      <c r="G1177" s="23">
        <v>1.9</v>
      </c>
      <c r="H1177" s="20">
        <v>6.89</v>
      </c>
      <c r="I1177" s="25">
        <v>11.081288343558283</v>
      </c>
      <c r="J1177" s="24">
        <f>G1177/F1177*((100-H1177)/100)*((100-I1177)/100)*100</f>
        <v>26.482357509140485</v>
      </c>
      <c r="K1177" s="53">
        <v>4.5792563600782783</v>
      </c>
      <c r="L1177" s="54">
        <f>J1177*10000/K1177</f>
        <v>57831.131141755497</v>
      </c>
      <c r="M1177" s="55">
        <v>54.2</v>
      </c>
      <c r="N1177" s="55">
        <v>16.399999999999999</v>
      </c>
      <c r="O1177" s="56">
        <v>3.7233999999999998</v>
      </c>
      <c r="P1177" s="55">
        <v>13.9</v>
      </c>
      <c r="Q1177" s="17" t="s">
        <v>424</v>
      </c>
      <c r="R1177" s="17" t="s">
        <v>424</v>
      </c>
      <c r="S1177" s="17" t="s">
        <v>424</v>
      </c>
      <c r="T1177" s="17" t="s">
        <v>424</v>
      </c>
      <c r="U1177" s="17" t="s">
        <v>424</v>
      </c>
      <c r="V1177" s="17" t="s">
        <v>424</v>
      </c>
      <c r="W1177" s="17" t="s">
        <v>424</v>
      </c>
    </row>
    <row r="1178" spans="1:23" x14ac:dyDescent="0.25">
      <c r="A1178" s="16" t="s">
        <v>807</v>
      </c>
      <c r="B1178" s="17" t="s">
        <v>10</v>
      </c>
      <c r="C1178" s="17" t="s">
        <v>13</v>
      </c>
      <c r="D1178" s="18" t="s">
        <v>276</v>
      </c>
      <c r="E1178" s="18" t="s">
        <v>1742</v>
      </c>
      <c r="F1178" s="18">
        <v>5.94</v>
      </c>
      <c r="G1178" s="23">
        <v>2.17</v>
      </c>
      <c r="H1178" s="20">
        <v>6.89</v>
      </c>
      <c r="I1178" s="25">
        <v>11.349528699517206</v>
      </c>
      <c r="J1178" s="24">
        <f>G1178/F1178*((100-H1178)/100)*((100-I1178)/100)*100</f>
        <v>30.154398115572146</v>
      </c>
      <c r="K1178" s="53">
        <v>4.4106463878327</v>
      </c>
      <c r="L1178" s="54">
        <f>J1178*10000/K1178</f>
        <v>68367.299175823049</v>
      </c>
      <c r="M1178" s="55">
        <v>52.5</v>
      </c>
      <c r="N1178" s="55">
        <v>16.3</v>
      </c>
      <c r="O1178" s="56">
        <v>5.5861000000000001</v>
      </c>
      <c r="P1178" s="55">
        <v>17.100000000000001</v>
      </c>
      <c r="Q1178" s="17" t="s">
        <v>424</v>
      </c>
      <c r="R1178" s="17" t="s">
        <v>424</v>
      </c>
      <c r="S1178" s="17" t="s">
        <v>424</v>
      </c>
      <c r="T1178" s="17" t="s">
        <v>424</v>
      </c>
      <c r="U1178" s="17" t="s">
        <v>424</v>
      </c>
      <c r="V1178" s="17" t="s">
        <v>424</v>
      </c>
      <c r="W1178" s="17" t="s">
        <v>424</v>
      </c>
    </row>
    <row r="1179" spans="1:23" x14ac:dyDescent="0.25">
      <c r="A1179" s="16" t="s">
        <v>806</v>
      </c>
      <c r="B1179" s="17" t="s">
        <v>10</v>
      </c>
      <c r="C1179" s="17" t="s">
        <v>13</v>
      </c>
      <c r="D1179" s="18" t="s">
        <v>278</v>
      </c>
      <c r="E1179" s="18" t="s">
        <v>1596</v>
      </c>
      <c r="F1179" s="18">
        <v>5.94</v>
      </c>
      <c r="G1179" s="23">
        <v>2.13</v>
      </c>
      <c r="H1179" s="20">
        <v>6.89</v>
      </c>
      <c r="I1179" s="25">
        <v>7.9690136524006752</v>
      </c>
      <c r="J1179" s="24">
        <f>G1179/F1179*((100-H1179)/100)*((100-I1179)/100)*100</f>
        <v>30.727240649321867</v>
      </c>
      <c r="K1179" s="53">
        <v>4.2028985507246377</v>
      </c>
      <c r="L1179" s="54">
        <f>J1179*10000/K1179</f>
        <v>73109.641544938233</v>
      </c>
      <c r="M1179" s="55">
        <v>52</v>
      </c>
      <c r="N1179" s="55">
        <v>16.7</v>
      </c>
      <c r="O1179" s="56">
        <v>12.064</v>
      </c>
      <c r="P1179" s="55">
        <v>24.8</v>
      </c>
      <c r="Q1179" s="17" t="s">
        <v>424</v>
      </c>
      <c r="R1179" s="17" t="s">
        <v>424</v>
      </c>
      <c r="S1179" s="17" t="s">
        <v>424</v>
      </c>
      <c r="T1179" s="17" t="s">
        <v>424</v>
      </c>
      <c r="U1179" s="17" t="s">
        <v>424</v>
      </c>
      <c r="V1179" s="17" t="s">
        <v>424</v>
      </c>
      <c r="W1179" s="17" t="s">
        <v>424</v>
      </c>
    </row>
    <row r="1180" spans="1:23" x14ac:dyDescent="0.25">
      <c r="A1180" s="16" t="s">
        <v>805</v>
      </c>
      <c r="B1180" s="17" t="s">
        <v>10</v>
      </c>
      <c r="C1180" s="17" t="s">
        <v>13</v>
      </c>
      <c r="D1180" s="18" t="s">
        <v>266</v>
      </c>
      <c r="E1180" s="18" t="s">
        <v>1486</v>
      </c>
      <c r="F1180" s="18">
        <v>5.94</v>
      </c>
      <c r="G1180" s="23">
        <v>1.18</v>
      </c>
      <c r="H1180" s="20">
        <v>6.89</v>
      </c>
      <c r="I1180" s="25">
        <v>13.520954420312018</v>
      </c>
      <c r="J1180" s="24">
        <f>G1180/F1180*((100-H1180)/100)*((100-I1180)/100)*100</f>
        <v>15.99568256234209</v>
      </c>
      <c r="K1180" s="53">
        <v>5.2608213096559382</v>
      </c>
      <c r="L1180" s="54">
        <f>J1180*10000/K1180</f>
        <v>30405.295334747305</v>
      </c>
      <c r="M1180" s="55">
        <v>49.3</v>
      </c>
      <c r="N1180" s="55">
        <v>18.8</v>
      </c>
      <c r="O1180" s="56">
        <v>33.164000000000001</v>
      </c>
      <c r="P1180" s="55">
        <v>45.1</v>
      </c>
      <c r="Q1180" s="17" t="s">
        <v>424</v>
      </c>
      <c r="R1180" s="17" t="s">
        <v>424</v>
      </c>
      <c r="S1180" s="17" t="s">
        <v>424</v>
      </c>
      <c r="T1180" s="17" t="s">
        <v>424</v>
      </c>
      <c r="U1180" s="17" t="s">
        <v>424</v>
      </c>
      <c r="V1180" s="17" t="s">
        <v>424</v>
      </c>
      <c r="W1180" s="17" t="s">
        <v>424</v>
      </c>
    </row>
    <row r="1181" spans="1:23" x14ac:dyDescent="0.25">
      <c r="A1181" s="66" t="s">
        <v>1225</v>
      </c>
      <c r="B1181" s="17" t="s">
        <v>10</v>
      </c>
      <c r="C1181" s="17" t="s">
        <v>427</v>
      </c>
      <c r="D1181" s="18" t="s">
        <v>117</v>
      </c>
      <c r="E1181" s="18" t="s">
        <v>1854</v>
      </c>
      <c r="F1181" s="18">
        <v>5.94</v>
      </c>
      <c r="G1181" s="26">
        <v>0.77</v>
      </c>
      <c r="H1181" s="17">
        <v>7.26</v>
      </c>
      <c r="I1181" s="25">
        <v>20.080710250201783</v>
      </c>
      <c r="J1181" s="24">
        <f>G1181/F1181*((100-H1181)/100)*((100-I1181)/100)*100</f>
        <v>9.6077786147729647</v>
      </c>
      <c r="K1181" s="53">
        <v>4.8289738430583498</v>
      </c>
      <c r="L1181" s="54">
        <f>J1181*10000/K1181</f>
        <v>19896.108214759017</v>
      </c>
      <c r="M1181" s="55">
        <v>42.9</v>
      </c>
      <c r="N1181" s="55">
        <v>23.1</v>
      </c>
      <c r="O1181" s="56">
        <v>40.567</v>
      </c>
      <c r="P1181" s="55">
        <v>63.3</v>
      </c>
      <c r="Q1181" s="17" t="s">
        <v>424</v>
      </c>
      <c r="R1181" s="17" t="s">
        <v>424</v>
      </c>
      <c r="S1181" s="17" t="s">
        <v>424</v>
      </c>
      <c r="T1181" s="17" t="s">
        <v>424</v>
      </c>
      <c r="U1181" s="17" t="s">
        <v>424</v>
      </c>
      <c r="V1181" s="17" t="s">
        <v>424</v>
      </c>
      <c r="W1181" s="17" t="s">
        <v>424</v>
      </c>
    </row>
    <row r="1182" spans="1:23" x14ac:dyDescent="0.25">
      <c r="A1182" s="66" t="s">
        <v>1224</v>
      </c>
      <c r="B1182" s="17" t="s">
        <v>10</v>
      </c>
      <c r="C1182" s="17" t="s">
        <v>427</v>
      </c>
      <c r="D1182" s="18" t="s">
        <v>123</v>
      </c>
      <c r="E1182" s="18" t="s">
        <v>1850</v>
      </c>
      <c r="F1182" s="18">
        <v>5.94</v>
      </c>
      <c r="G1182" s="26">
        <v>1.22</v>
      </c>
      <c r="H1182" s="17">
        <v>7.26</v>
      </c>
      <c r="I1182" s="25">
        <v>12.130769230769227</v>
      </c>
      <c r="J1182" s="24">
        <f>G1182/F1182*((100-H1182)/100)*((100-I1182)/100)*100</f>
        <v>16.736987883967881</v>
      </c>
      <c r="K1182" s="53">
        <v>4.7173489278752436</v>
      </c>
      <c r="L1182" s="54">
        <f>J1182*10000/K1182</f>
        <v>35479.647869733562</v>
      </c>
      <c r="M1182" s="55">
        <v>50.4</v>
      </c>
      <c r="N1182" s="55">
        <v>19.600000000000001</v>
      </c>
      <c r="O1182" s="56">
        <v>47.390999999999998</v>
      </c>
      <c r="P1182" s="55">
        <v>67.5</v>
      </c>
      <c r="Q1182" s="17" t="s">
        <v>424</v>
      </c>
      <c r="R1182" s="17" t="s">
        <v>424</v>
      </c>
      <c r="S1182" s="17" t="s">
        <v>424</v>
      </c>
      <c r="T1182" s="17" t="s">
        <v>424</v>
      </c>
      <c r="U1182" s="17" t="s">
        <v>424</v>
      </c>
      <c r="V1182" s="17" t="s">
        <v>424</v>
      </c>
      <c r="W1182" s="17" t="s">
        <v>424</v>
      </c>
    </row>
    <row r="1183" spans="1:23" x14ac:dyDescent="0.25">
      <c r="A1183" s="66" t="s">
        <v>1223</v>
      </c>
      <c r="B1183" s="17" t="s">
        <v>10</v>
      </c>
      <c r="C1183" s="17" t="s">
        <v>427</v>
      </c>
      <c r="D1183" s="18" t="s">
        <v>111</v>
      </c>
      <c r="E1183" s="18" t="s">
        <v>1830</v>
      </c>
      <c r="F1183" s="18">
        <v>5.94</v>
      </c>
      <c r="G1183" s="26">
        <v>1.05</v>
      </c>
      <c r="H1183" s="17">
        <v>7.26</v>
      </c>
      <c r="I1183" s="25">
        <v>9.348212841662626</v>
      </c>
      <c r="J1183" s="24">
        <f>G1183/F1183*((100-H1183)/100)*((100-I1183)/100)*100</f>
        <v>14.860941208951884</v>
      </c>
      <c r="K1183" s="53">
        <v>5.4924681344148318</v>
      </c>
      <c r="L1183" s="54">
        <f>J1183*10000/K1183</f>
        <v>27056.945703218302</v>
      </c>
      <c r="M1183" s="55">
        <v>48.3</v>
      </c>
      <c r="N1183" s="55">
        <v>21.4</v>
      </c>
      <c r="O1183" s="56">
        <v>54.895000000000003</v>
      </c>
      <c r="P1183" s="55">
        <v>83</v>
      </c>
      <c r="Q1183" s="17" t="s">
        <v>424</v>
      </c>
      <c r="R1183" s="17" t="s">
        <v>424</v>
      </c>
      <c r="S1183" s="17" t="s">
        <v>424</v>
      </c>
      <c r="T1183" s="17" t="s">
        <v>424</v>
      </c>
      <c r="U1183" s="17" t="s">
        <v>424</v>
      </c>
      <c r="V1183" s="17" t="s">
        <v>424</v>
      </c>
      <c r="W1183" s="17" t="s">
        <v>424</v>
      </c>
    </row>
    <row r="1184" spans="1:23" x14ac:dyDescent="0.25">
      <c r="A1184" s="66" t="s">
        <v>1222</v>
      </c>
      <c r="B1184" s="17" t="s">
        <v>10</v>
      </c>
      <c r="C1184" s="17" t="s">
        <v>427</v>
      </c>
      <c r="D1184" s="18" t="s">
        <v>113</v>
      </c>
      <c r="E1184" s="18" t="s">
        <v>1846</v>
      </c>
      <c r="F1184" s="18">
        <v>5.94</v>
      </c>
      <c r="G1184" s="26">
        <v>1.1599999999999999</v>
      </c>
      <c r="H1184" s="17">
        <v>7.26</v>
      </c>
      <c r="I1184" s="25">
        <v>9.355657832090138</v>
      </c>
      <c r="J1184" s="24">
        <f>G1184/F1184*((100-H1184)/100)*((100-I1184)/100)*100</f>
        <v>16.416453366121669</v>
      </c>
      <c r="K1184" s="53">
        <v>5.138427464008859</v>
      </c>
      <c r="L1184" s="54">
        <f>J1184*10000/K1184</f>
        <v>31948.399546568682</v>
      </c>
      <c r="M1184" s="55">
        <v>48.6</v>
      </c>
      <c r="N1184" s="55">
        <v>21</v>
      </c>
      <c r="O1184" s="56">
        <v>46.277000000000001</v>
      </c>
      <c r="P1184" s="55">
        <v>60.3</v>
      </c>
      <c r="Q1184" s="17" t="s">
        <v>424</v>
      </c>
      <c r="R1184" s="17" t="s">
        <v>424</v>
      </c>
      <c r="S1184" s="17" t="s">
        <v>424</v>
      </c>
      <c r="T1184" s="17" t="s">
        <v>424</v>
      </c>
      <c r="U1184" s="17" t="s">
        <v>424</v>
      </c>
      <c r="V1184" s="17" t="s">
        <v>424</v>
      </c>
      <c r="W1184" s="17" t="s">
        <v>424</v>
      </c>
    </row>
    <row r="1185" spans="1:23" x14ac:dyDescent="0.25">
      <c r="A1185" s="66" t="s">
        <v>1221</v>
      </c>
      <c r="B1185" s="17" t="s">
        <v>10</v>
      </c>
      <c r="C1185" s="17" t="s">
        <v>427</v>
      </c>
      <c r="D1185" s="18" t="s">
        <v>127</v>
      </c>
      <c r="E1185" s="18" t="s">
        <v>1856</v>
      </c>
      <c r="F1185" s="18">
        <v>5.94</v>
      </c>
      <c r="G1185" s="26">
        <v>1.21</v>
      </c>
      <c r="H1185" s="17">
        <v>7.26</v>
      </c>
      <c r="I1185" s="25">
        <v>10.918886106684868</v>
      </c>
      <c r="J1185" s="24">
        <f>G1185/F1185*((100-H1185)/100)*((100-I1185)/100)*100</f>
        <v>16.828742134653055</v>
      </c>
      <c r="K1185" s="53">
        <v>5.2915291529152917</v>
      </c>
      <c r="L1185" s="54">
        <f>J1185*10000/K1185</f>
        <v>31803.173805404629</v>
      </c>
      <c r="M1185" s="55">
        <v>50</v>
      </c>
      <c r="N1185" s="55">
        <v>20.9</v>
      </c>
      <c r="O1185" s="56">
        <v>51.238999999999997</v>
      </c>
      <c r="P1185" s="55">
        <v>66.8</v>
      </c>
      <c r="Q1185" s="17" t="s">
        <v>424</v>
      </c>
      <c r="R1185" s="17" t="s">
        <v>424</v>
      </c>
      <c r="S1185" s="17" t="s">
        <v>424</v>
      </c>
      <c r="T1185" s="17" t="s">
        <v>424</v>
      </c>
      <c r="U1185" s="17" t="s">
        <v>424</v>
      </c>
      <c r="V1185" s="17" t="s">
        <v>424</v>
      </c>
      <c r="W1185" s="17" t="s">
        <v>424</v>
      </c>
    </row>
    <row r="1186" spans="1:23" x14ac:dyDescent="0.25">
      <c r="A1186" s="66" t="s">
        <v>1220</v>
      </c>
      <c r="B1186" s="17" t="s">
        <v>10</v>
      </c>
      <c r="C1186" s="17" t="s">
        <v>427</v>
      </c>
      <c r="D1186" s="18" t="s">
        <v>112</v>
      </c>
      <c r="E1186" s="18" t="s">
        <v>1844</v>
      </c>
      <c r="F1186" s="18">
        <v>5.94</v>
      </c>
      <c r="G1186" s="26">
        <v>1.55</v>
      </c>
      <c r="H1186" s="17">
        <v>7.26</v>
      </c>
      <c r="I1186" s="25">
        <v>8.5589590236805986</v>
      </c>
      <c r="J1186" s="24">
        <f>G1186/F1186*((100-H1186)/100)*((100-I1186)/100)*100</f>
        <v>22.12857797512287</v>
      </c>
      <c r="K1186" s="53">
        <v>5.4878048780487809</v>
      </c>
      <c r="L1186" s="54">
        <f>J1186*10000/K1186</f>
        <v>40323.186532446111</v>
      </c>
      <c r="M1186" s="55">
        <v>48.5</v>
      </c>
      <c r="N1186" s="55">
        <v>19.5</v>
      </c>
      <c r="O1186" s="56">
        <v>3.7280000000000002</v>
      </c>
      <c r="P1186" s="55">
        <v>24.8</v>
      </c>
      <c r="Q1186" s="17" t="s">
        <v>424</v>
      </c>
      <c r="R1186" s="17" t="s">
        <v>424</v>
      </c>
      <c r="S1186" s="17" t="s">
        <v>424</v>
      </c>
      <c r="T1186" s="17" t="s">
        <v>424</v>
      </c>
      <c r="U1186" s="17" t="s">
        <v>424</v>
      </c>
      <c r="V1186" s="17" t="s">
        <v>424</v>
      </c>
      <c r="W1186" s="17" t="s">
        <v>424</v>
      </c>
    </row>
    <row r="1187" spans="1:23" x14ac:dyDescent="0.25">
      <c r="A1187" s="66" t="s">
        <v>1021</v>
      </c>
      <c r="B1187" s="17" t="s">
        <v>7</v>
      </c>
      <c r="C1187" s="17" t="s">
        <v>836</v>
      </c>
      <c r="D1187" s="18" t="s">
        <v>12</v>
      </c>
      <c r="E1187" s="18" t="s">
        <v>1708</v>
      </c>
      <c r="F1187" s="18">
        <v>5.94</v>
      </c>
      <c r="G1187" s="22">
        <v>1.96</v>
      </c>
      <c r="H1187" s="17">
        <v>8.93</v>
      </c>
      <c r="I1187" s="25">
        <v>4.9059616749467718</v>
      </c>
      <c r="J1187" s="24">
        <f>G1187/F1187*((100-H1187)/100)*((100-I1187)/100)*100</f>
        <v>28.575790534873214</v>
      </c>
      <c r="K1187" s="53">
        <v>5.3446327683615822</v>
      </c>
      <c r="L1187" s="54">
        <f>J1187*10000/K1187</f>
        <v>53466.331127616897</v>
      </c>
      <c r="M1187" s="55">
        <v>49.5</v>
      </c>
      <c r="N1187" s="55">
        <v>18.2</v>
      </c>
      <c r="O1187" s="56">
        <v>2.9552999999999998</v>
      </c>
      <c r="P1187" s="55">
        <v>15.7</v>
      </c>
      <c r="Q1187" s="17" t="s">
        <v>424</v>
      </c>
      <c r="R1187" s="17" t="s">
        <v>424</v>
      </c>
      <c r="S1187" s="17" t="s">
        <v>424</v>
      </c>
      <c r="T1187" s="17" t="s">
        <v>424</v>
      </c>
      <c r="U1187" s="17" t="s">
        <v>424</v>
      </c>
      <c r="V1187" s="17" t="s">
        <v>424</v>
      </c>
      <c r="W1187" s="17" t="s">
        <v>424</v>
      </c>
    </row>
    <row r="1188" spans="1:23" x14ac:dyDescent="0.25">
      <c r="A1188" s="66" t="s">
        <v>816</v>
      </c>
      <c r="B1188" s="17" t="s">
        <v>10</v>
      </c>
      <c r="C1188" s="17" t="s">
        <v>13</v>
      </c>
      <c r="D1188" s="18" t="s">
        <v>133</v>
      </c>
      <c r="E1188" s="18" t="s">
        <v>1838</v>
      </c>
      <c r="F1188" s="18">
        <v>5.94</v>
      </c>
      <c r="G1188" s="23">
        <v>1.1399999999999999</v>
      </c>
      <c r="H1188" s="20">
        <v>6.89</v>
      </c>
      <c r="I1188" s="25">
        <v>14.183711416883597</v>
      </c>
      <c r="J1188" s="24">
        <f>G1188/F1188*((100-H1188)/100)*((100-I1188)/100)*100</f>
        <v>15.335024037323777</v>
      </c>
      <c r="K1188" s="53">
        <v>4.9585062240663902</v>
      </c>
      <c r="L1188" s="54">
        <f>J1188*10000/K1188</f>
        <v>30926.701196611128</v>
      </c>
      <c r="M1188" s="55">
        <v>45.1</v>
      </c>
      <c r="N1188" s="55">
        <v>20.5</v>
      </c>
      <c r="O1188" s="56">
        <v>6.4871999999999996</v>
      </c>
      <c r="P1188" s="55">
        <v>64.5</v>
      </c>
      <c r="Q1188" s="17" t="s">
        <v>424</v>
      </c>
      <c r="R1188" s="17" t="s">
        <v>424</v>
      </c>
      <c r="S1188" s="17" t="s">
        <v>424</v>
      </c>
      <c r="T1188" s="17" t="s">
        <v>424</v>
      </c>
      <c r="U1188" s="17" t="s">
        <v>424</v>
      </c>
      <c r="V1188" s="17" t="s">
        <v>424</v>
      </c>
      <c r="W1188" s="17" t="s">
        <v>424</v>
      </c>
    </row>
    <row r="1189" spans="1:23" x14ac:dyDescent="0.25">
      <c r="A1189" s="66" t="s">
        <v>815</v>
      </c>
      <c r="B1189" s="17" t="s">
        <v>10</v>
      </c>
      <c r="C1189" s="17" t="s">
        <v>13</v>
      </c>
      <c r="D1189" s="18" t="s">
        <v>118</v>
      </c>
      <c r="E1189" s="18" t="s">
        <v>1862</v>
      </c>
      <c r="F1189" s="18">
        <v>5.94</v>
      </c>
      <c r="G1189" s="23">
        <v>1.25</v>
      </c>
      <c r="H1189" s="20">
        <v>6.89</v>
      </c>
      <c r="I1189" s="25">
        <v>9.9672667757774196</v>
      </c>
      <c r="J1189" s="24">
        <f>G1189/F1189*((100-H1189)/100)*((100-I1189)/100)*100</f>
        <v>17.640883397532335</v>
      </c>
      <c r="K1189" s="53">
        <v>5.0755939524838016</v>
      </c>
      <c r="L1189" s="54">
        <f>J1189*10000/K1189</f>
        <v>34756.29367258498</v>
      </c>
      <c r="M1189" s="55">
        <v>48.1</v>
      </c>
      <c r="N1189" s="55">
        <v>20.399999999999999</v>
      </c>
      <c r="O1189" s="56">
        <v>10.571999999999999</v>
      </c>
      <c r="P1189" s="55">
        <v>67</v>
      </c>
      <c r="Q1189" s="17" t="s">
        <v>424</v>
      </c>
      <c r="R1189" s="17" t="s">
        <v>424</v>
      </c>
      <c r="S1189" s="17" t="s">
        <v>424</v>
      </c>
      <c r="T1189" s="17" t="s">
        <v>424</v>
      </c>
      <c r="U1189" s="17" t="s">
        <v>424</v>
      </c>
      <c r="V1189" s="17" t="s">
        <v>424</v>
      </c>
      <c r="W1189" s="17" t="s">
        <v>424</v>
      </c>
    </row>
    <row r="1190" spans="1:23" x14ac:dyDescent="0.25">
      <c r="A1190" s="66" t="s">
        <v>814</v>
      </c>
      <c r="B1190" s="17" t="s">
        <v>10</v>
      </c>
      <c r="C1190" s="17" t="s">
        <v>13</v>
      </c>
      <c r="D1190" s="18" t="s">
        <v>110</v>
      </c>
      <c r="E1190" s="18" t="s">
        <v>1822</v>
      </c>
      <c r="F1190" s="18">
        <v>5.94</v>
      </c>
      <c r="G1190" s="23">
        <v>0.87</v>
      </c>
      <c r="H1190" s="20">
        <v>6.89</v>
      </c>
      <c r="I1190" s="25">
        <v>12.620416697782087</v>
      </c>
      <c r="J1190" s="24">
        <f>G1190/F1190*((100-H1190)/100)*((100-I1190)/100)*100</f>
        <v>11.916236213980596</v>
      </c>
      <c r="K1190" s="53">
        <v>4.7305389221556888</v>
      </c>
      <c r="L1190" s="54">
        <f>J1190*10000/K1190</f>
        <v>25190.018325756449</v>
      </c>
      <c r="M1190" s="55">
        <v>47.7</v>
      </c>
      <c r="N1190" s="55">
        <v>20.9</v>
      </c>
      <c r="O1190" s="56">
        <v>36.683999999999997</v>
      </c>
      <c r="P1190" s="55">
        <v>52.8</v>
      </c>
      <c r="Q1190" s="17" t="s">
        <v>424</v>
      </c>
      <c r="R1190" s="17" t="s">
        <v>424</v>
      </c>
      <c r="S1190" s="17" t="s">
        <v>424</v>
      </c>
      <c r="T1190" s="17" t="s">
        <v>424</v>
      </c>
      <c r="U1190" s="17" t="s">
        <v>424</v>
      </c>
      <c r="V1190" s="17" t="s">
        <v>424</v>
      </c>
      <c r="W1190" s="17" t="s">
        <v>424</v>
      </c>
    </row>
    <row r="1191" spans="1:23" x14ac:dyDescent="0.25">
      <c r="A1191" s="66" t="s">
        <v>813</v>
      </c>
      <c r="B1191" s="17" t="s">
        <v>10</v>
      </c>
      <c r="C1191" s="17" t="s">
        <v>13</v>
      </c>
      <c r="D1191" s="18" t="s">
        <v>115</v>
      </c>
      <c r="E1191" s="18" t="s">
        <v>1834</v>
      </c>
      <c r="F1191" s="18">
        <v>5.94</v>
      </c>
      <c r="G1191" s="23">
        <v>0.9</v>
      </c>
      <c r="H1191" s="20">
        <v>6.89</v>
      </c>
      <c r="I1191" s="25">
        <v>14.806119970857287</v>
      </c>
      <c r="J1191" s="24">
        <f>G1191/F1191*((100-H1191)/100)*((100-I1191)/100)*100</f>
        <v>12.018791165929512</v>
      </c>
      <c r="K1191" s="53">
        <v>5.552913198573127</v>
      </c>
      <c r="L1191" s="54">
        <f>J1191*10000/K1191</f>
        <v>21644.1185664812</v>
      </c>
      <c r="M1191" s="55">
        <v>46.1</v>
      </c>
      <c r="N1191" s="55">
        <v>21.2</v>
      </c>
      <c r="O1191" s="56">
        <v>10.105</v>
      </c>
      <c r="P1191" s="55">
        <v>67.900000000000006</v>
      </c>
      <c r="Q1191" s="17" t="s">
        <v>424</v>
      </c>
      <c r="R1191" s="17" t="s">
        <v>424</v>
      </c>
      <c r="S1191" s="17" t="s">
        <v>424</v>
      </c>
      <c r="T1191" s="17" t="s">
        <v>424</v>
      </c>
      <c r="U1191" s="17" t="s">
        <v>424</v>
      </c>
      <c r="V1191" s="17" t="s">
        <v>424</v>
      </c>
      <c r="W1191" s="17" t="s">
        <v>424</v>
      </c>
    </row>
    <row r="1192" spans="1:23" x14ac:dyDescent="0.25">
      <c r="A1192" s="66" t="s">
        <v>812</v>
      </c>
      <c r="B1192" s="17" t="s">
        <v>10</v>
      </c>
      <c r="C1192" s="17" t="s">
        <v>13</v>
      </c>
      <c r="D1192" s="18" t="s">
        <v>111</v>
      </c>
      <c r="E1192" s="18" t="s">
        <v>1830</v>
      </c>
      <c r="F1192" s="18">
        <v>5.94</v>
      </c>
      <c r="G1192" s="23">
        <v>1.39</v>
      </c>
      <c r="H1192" s="20">
        <v>6.89</v>
      </c>
      <c r="I1192" s="25">
        <v>9.1624007715705886</v>
      </c>
      <c r="J1192" s="24">
        <f>G1192/F1192*((100-H1192)/100)*((100-I1192)/100)*100</f>
        <v>19.792029496937872</v>
      </c>
      <c r="K1192" s="53">
        <v>5.2197802197802199</v>
      </c>
      <c r="L1192" s="54">
        <f>J1192*10000/K1192</f>
        <v>37917.361773080971</v>
      </c>
      <c r="M1192" s="55">
        <v>48.4</v>
      </c>
      <c r="N1192" s="55">
        <v>20.6</v>
      </c>
      <c r="O1192" s="56">
        <v>45.256999999999998</v>
      </c>
      <c r="P1192" s="55">
        <v>63.9</v>
      </c>
      <c r="Q1192" s="17" t="s">
        <v>424</v>
      </c>
      <c r="R1192" s="17" t="s">
        <v>424</v>
      </c>
      <c r="S1192" s="17" t="s">
        <v>424</v>
      </c>
      <c r="T1192" s="17" t="s">
        <v>424</v>
      </c>
      <c r="U1192" s="17" t="s">
        <v>424</v>
      </c>
      <c r="V1192" s="17" t="s">
        <v>424</v>
      </c>
      <c r="W1192" s="17" t="s">
        <v>424</v>
      </c>
    </row>
    <row r="1193" spans="1:23" x14ac:dyDescent="0.25">
      <c r="A1193" s="66" t="s">
        <v>811</v>
      </c>
      <c r="B1193" s="17" t="s">
        <v>10</v>
      </c>
      <c r="C1193" s="17" t="s">
        <v>13</v>
      </c>
      <c r="D1193" s="18" t="s">
        <v>12</v>
      </c>
      <c r="E1193" s="18" t="s">
        <v>1708</v>
      </c>
      <c r="F1193" s="18">
        <v>5.94</v>
      </c>
      <c r="G1193" s="23">
        <v>1.49</v>
      </c>
      <c r="H1193" s="20">
        <v>6.89</v>
      </c>
      <c r="I1193" s="25">
        <v>6.9316010699273924</v>
      </c>
      <c r="J1193" s="24">
        <f>G1193/F1193*((100-H1193)/100)*((100-I1193)/100)*100</f>
        <v>21.736939310311108</v>
      </c>
      <c r="K1193" s="53">
        <v>4.5314009661835746</v>
      </c>
      <c r="L1193" s="54">
        <f>J1193*10000/K1193</f>
        <v>47969.578222115131</v>
      </c>
      <c r="M1193" s="55">
        <v>49.8</v>
      </c>
      <c r="N1193" s="55">
        <v>17</v>
      </c>
      <c r="O1193" s="56">
        <v>3.2734999999999999</v>
      </c>
      <c r="P1193" s="55">
        <v>12</v>
      </c>
      <c r="Q1193" s="17" t="s">
        <v>424</v>
      </c>
      <c r="R1193" s="17" t="s">
        <v>424</v>
      </c>
      <c r="S1193" s="17" t="s">
        <v>424</v>
      </c>
      <c r="T1193" s="17" t="s">
        <v>424</v>
      </c>
      <c r="U1193" s="17" t="s">
        <v>424</v>
      </c>
      <c r="V1193" s="17" t="s">
        <v>424</v>
      </c>
      <c r="W1193" s="17" t="s">
        <v>424</v>
      </c>
    </row>
    <row r="1194" spans="1:23" x14ac:dyDescent="0.25">
      <c r="A1194" s="66" t="s">
        <v>1231</v>
      </c>
      <c r="B1194" s="17" t="s">
        <v>10</v>
      </c>
      <c r="C1194" s="17" t="s">
        <v>427</v>
      </c>
      <c r="D1194" s="18" t="s">
        <v>143</v>
      </c>
      <c r="E1194" s="18" t="s">
        <v>1858</v>
      </c>
      <c r="F1194" s="18">
        <v>5.94</v>
      </c>
      <c r="G1194" s="26">
        <v>1.17</v>
      </c>
      <c r="H1194" s="17">
        <v>7.26</v>
      </c>
      <c r="I1194" s="25">
        <v>12.281116895409376</v>
      </c>
      <c r="J1194" s="24">
        <f>G1194/F1194*((100-H1194)/100)*((100-I1194)/100)*100</f>
        <v>16.023581795235835</v>
      </c>
      <c r="K1194" s="53">
        <v>5.375</v>
      </c>
      <c r="L1194" s="54">
        <f>J1194*10000/K1194</f>
        <v>29811.314967880622</v>
      </c>
      <c r="M1194" s="55">
        <v>50</v>
      </c>
      <c r="N1194" s="55">
        <v>20.3</v>
      </c>
      <c r="O1194" s="56">
        <v>47.173999999999999</v>
      </c>
      <c r="P1194" s="55">
        <v>52.9</v>
      </c>
      <c r="Q1194" s="17" t="s">
        <v>424</v>
      </c>
      <c r="R1194" s="17" t="s">
        <v>424</v>
      </c>
      <c r="S1194" s="17" t="s">
        <v>424</v>
      </c>
      <c r="T1194" s="17" t="s">
        <v>424</v>
      </c>
      <c r="U1194" s="17" t="s">
        <v>424</v>
      </c>
      <c r="V1194" s="17" t="s">
        <v>424</v>
      </c>
      <c r="W1194" s="17" t="s">
        <v>424</v>
      </c>
    </row>
    <row r="1195" spans="1:23" x14ac:dyDescent="0.25">
      <c r="A1195" s="66" t="s">
        <v>1230</v>
      </c>
      <c r="B1195" s="17" t="s">
        <v>10</v>
      </c>
      <c r="C1195" s="17" t="s">
        <v>427</v>
      </c>
      <c r="D1195" s="18" t="s">
        <v>12</v>
      </c>
      <c r="E1195" s="18" t="s">
        <v>1708</v>
      </c>
      <c r="F1195" s="18">
        <v>5.94</v>
      </c>
      <c r="G1195" s="26">
        <v>2.12</v>
      </c>
      <c r="H1195" s="17">
        <v>7.26</v>
      </c>
      <c r="I1195" s="25">
        <v>7.3910081743869362</v>
      </c>
      <c r="J1195" s="24">
        <f>G1195/F1195*((100-H1195)/100)*((100-I1195)/100)*100</f>
        <v>30.652765575830966</v>
      </c>
      <c r="K1195" s="53">
        <v>5.1033057851239674</v>
      </c>
      <c r="L1195" s="54">
        <f>J1195*10000/K1195</f>
        <v>60064.528496769984</v>
      </c>
      <c r="M1195" s="55">
        <v>50.5</v>
      </c>
      <c r="N1195" s="55">
        <v>17.8</v>
      </c>
      <c r="O1195" s="56">
        <v>12.831</v>
      </c>
      <c r="P1195" s="55">
        <v>25.7</v>
      </c>
      <c r="Q1195" s="17" t="s">
        <v>424</v>
      </c>
      <c r="R1195" s="17" t="s">
        <v>424</v>
      </c>
      <c r="S1195" s="17" t="s">
        <v>424</v>
      </c>
      <c r="T1195" s="17" t="s">
        <v>424</v>
      </c>
      <c r="U1195" s="17" t="s">
        <v>424</v>
      </c>
      <c r="V1195" s="17" t="s">
        <v>424</v>
      </c>
      <c r="W1195" s="17" t="s">
        <v>424</v>
      </c>
    </row>
    <row r="1196" spans="1:23" x14ac:dyDescent="0.25">
      <c r="A1196" s="66" t="s">
        <v>1229</v>
      </c>
      <c r="B1196" s="17" t="s">
        <v>10</v>
      </c>
      <c r="C1196" s="17" t="s">
        <v>427</v>
      </c>
      <c r="D1196" s="18" t="s">
        <v>116</v>
      </c>
      <c r="E1196" s="18" t="s">
        <v>1860</v>
      </c>
      <c r="F1196" s="18">
        <v>5.94</v>
      </c>
      <c r="G1196" s="26">
        <v>0.82</v>
      </c>
      <c r="H1196" s="17">
        <v>7.26</v>
      </c>
      <c r="I1196" s="25">
        <v>8.7970281378438155</v>
      </c>
      <c r="J1196" s="24">
        <f>G1196/F1196*((100-H1196)/100)*((100-I1196)/100)*100</f>
        <v>11.676252795634712</v>
      </c>
      <c r="K1196" s="53">
        <v>5.2370452039691289</v>
      </c>
      <c r="L1196" s="54">
        <f>J1196*10000/K1196</f>
        <v>22295.497443454071</v>
      </c>
      <c r="M1196" s="55">
        <v>48.9</v>
      </c>
      <c r="N1196" s="55">
        <v>20.2</v>
      </c>
      <c r="O1196" s="56">
        <v>37.585999999999999</v>
      </c>
      <c r="P1196" s="55">
        <v>64.099999999999994</v>
      </c>
      <c r="Q1196" s="17" t="s">
        <v>424</v>
      </c>
      <c r="R1196" s="17" t="s">
        <v>424</v>
      </c>
      <c r="S1196" s="17" t="s">
        <v>424</v>
      </c>
      <c r="T1196" s="17" t="s">
        <v>424</v>
      </c>
      <c r="U1196" s="17" t="s">
        <v>424</v>
      </c>
      <c r="V1196" s="17" t="s">
        <v>424</v>
      </c>
      <c r="W1196" s="17" t="s">
        <v>424</v>
      </c>
    </row>
    <row r="1197" spans="1:23" x14ac:dyDescent="0.25">
      <c r="A1197" s="66" t="s">
        <v>1228</v>
      </c>
      <c r="B1197" s="17" t="s">
        <v>10</v>
      </c>
      <c r="C1197" s="17" t="s">
        <v>427</v>
      </c>
      <c r="D1197" s="18" t="s">
        <v>136</v>
      </c>
      <c r="E1197" s="18" t="s">
        <v>1840</v>
      </c>
      <c r="F1197" s="18">
        <v>5.94</v>
      </c>
      <c r="G1197" s="26">
        <v>1.64</v>
      </c>
      <c r="H1197" s="17">
        <v>7.26</v>
      </c>
      <c r="I1197" s="25">
        <v>8.1150986097639777</v>
      </c>
      <c r="J1197" s="24">
        <f>G1197/F1197*((100-H1197)/100)*((100-I1197)/100)*100</f>
        <v>23.527113532131317</v>
      </c>
      <c r="K1197" s="53">
        <v>5.3685368536853684</v>
      </c>
      <c r="L1197" s="54">
        <f>J1197*10000/K1197</f>
        <v>43824.070083416736</v>
      </c>
      <c r="M1197" s="55">
        <v>49.1</v>
      </c>
      <c r="N1197" s="55">
        <v>18.5</v>
      </c>
      <c r="O1197" s="56">
        <v>5.4505999999999997</v>
      </c>
      <c r="P1197" s="55">
        <v>60.7</v>
      </c>
      <c r="Q1197" s="17" t="s">
        <v>424</v>
      </c>
      <c r="R1197" s="17" t="s">
        <v>424</v>
      </c>
      <c r="S1197" s="17" t="s">
        <v>424</v>
      </c>
      <c r="T1197" s="17" t="s">
        <v>424</v>
      </c>
      <c r="U1197" s="17" t="s">
        <v>424</v>
      </c>
      <c r="V1197" s="17" t="s">
        <v>424</v>
      </c>
      <c r="W1197" s="17" t="s">
        <v>424</v>
      </c>
    </row>
    <row r="1198" spans="1:23" x14ac:dyDescent="0.25">
      <c r="A1198" s="66" t="s">
        <v>1227</v>
      </c>
      <c r="B1198" s="17" t="s">
        <v>10</v>
      </c>
      <c r="C1198" s="17" t="s">
        <v>427</v>
      </c>
      <c r="D1198" s="18" t="s">
        <v>129</v>
      </c>
      <c r="E1198" s="18" t="s">
        <v>1836</v>
      </c>
      <c r="F1198" s="18">
        <v>5.94</v>
      </c>
      <c r="G1198" s="26">
        <v>0.95</v>
      </c>
      <c r="H1198" s="17">
        <v>7.26</v>
      </c>
      <c r="I1198" s="25">
        <v>10.290060398180605</v>
      </c>
      <c r="J1198" s="24">
        <f>G1198/F1198*((100-H1198)/100)*((100-I1198)/100)*100</f>
        <v>13.305917186429452</v>
      </c>
      <c r="K1198" s="53">
        <v>5.4485049833887045</v>
      </c>
      <c r="L1198" s="54">
        <f>J1198*10000/K1198</f>
        <v>24421.226055580886</v>
      </c>
      <c r="M1198" s="55">
        <v>50.1</v>
      </c>
      <c r="N1198" s="55">
        <v>18.2</v>
      </c>
      <c r="O1198" s="56">
        <v>7.1538000000000004</v>
      </c>
      <c r="P1198" s="55">
        <v>59.1</v>
      </c>
      <c r="Q1198" s="17" t="s">
        <v>424</v>
      </c>
      <c r="R1198" s="17" t="s">
        <v>424</v>
      </c>
      <c r="S1198" s="17" t="s">
        <v>424</v>
      </c>
      <c r="T1198" s="17" t="s">
        <v>424</v>
      </c>
      <c r="U1198" s="17" t="s">
        <v>424</v>
      </c>
      <c r="V1198" s="17" t="s">
        <v>424</v>
      </c>
      <c r="W1198" s="17" t="s">
        <v>424</v>
      </c>
    </row>
    <row r="1199" spans="1:23" x14ac:dyDescent="0.25">
      <c r="A1199" s="66" t="s">
        <v>1226</v>
      </c>
      <c r="B1199" s="17" t="s">
        <v>10</v>
      </c>
      <c r="C1199" s="17" t="s">
        <v>427</v>
      </c>
      <c r="D1199" s="18" t="s">
        <v>119</v>
      </c>
      <c r="E1199" s="18" t="s">
        <v>1826</v>
      </c>
      <c r="F1199" s="18">
        <v>5.94</v>
      </c>
      <c r="G1199" s="26">
        <v>0.65</v>
      </c>
      <c r="H1199" s="17">
        <v>7.26</v>
      </c>
      <c r="I1199" s="25">
        <v>15.069361870788747</v>
      </c>
      <c r="J1199" s="24">
        <f>G1199/F1199*((100-H1199)/100)*((100-I1199)/100)*100</f>
        <v>8.6190299613922274</v>
      </c>
      <c r="K1199" s="53">
        <v>4.6925260170293281</v>
      </c>
      <c r="L1199" s="54">
        <f>J1199*10000/K1199</f>
        <v>18367.569897563681</v>
      </c>
      <c r="M1199" s="55">
        <v>49.3</v>
      </c>
      <c r="N1199" s="55">
        <v>20.7</v>
      </c>
      <c r="O1199" s="56">
        <v>41.786999999999999</v>
      </c>
      <c r="P1199" s="55">
        <v>60.5</v>
      </c>
      <c r="Q1199" s="17" t="s">
        <v>424</v>
      </c>
      <c r="R1199" s="17" t="s">
        <v>424</v>
      </c>
      <c r="S1199" s="17" t="s">
        <v>424</v>
      </c>
      <c r="T1199" s="17" t="s">
        <v>424</v>
      </c>
      <c r="U1199" s="17" t="s">
        <v>424</v>
      </c>
      <c r="V1199" s="17" t="s">
        <v>424</v>
      </c>
      <c r="W1199" s="17" t="s">
        <v>424</v>
      </c>
    </row>
    <row r="1200" spans="1:23" x14ac:dyDescent="0.25">
      <c r="A1200" s="66" t="s">
        <v>822</v>
      </c>
      <c r="B1200" s="17" t="s">
        <v>10</v>
      </c>
      <c r="C1200" s="17" t="s">
        <v>13</v>
      </c>
      <c r="D1200" s="18" t="s">
        <v>134</v>
      </c>
      <c r="E1200" s="18" t="s">
        <v>1852</v>
      </c>
      <c r="F1200" s="18">
        <v>5.94</v>
      </c>
      <c r="G1200" s="23">
        <v>0.65</v>
      </c>
      <c r="H1200" s="20">
        <v>6.89</v>
      </c>
      <c r="I1200" s="25">
        <v>21.418212350202264</v>
      </c>
      <c r="J1200" s="24">
        <f>G1200/F1200*((100-H1200)/100)*((100-I1200)/100)*100</f>
        <v>8.0065448842546019</v>
      </c>
      <c r="K1200" s="53">
        <v>3.9795046968403076</v>
      </c>
      <c r="L1200" s="54">
        <f>J1200*10000/K1200</f>
        <v>20119.450771377979</v>
      </c>
      <c r="M1200" s="55">
        <v>46.2</v>
      </c>
      <c r="N1200" s="55">
        <v>21.5</v>
      </c>
      <c r="O1200" s="56">
        <v>51.963000000000001</v>
      </c>
      <c r="P1200" s="55">
        <v>68.900000000000006</v>
      </c>
      <c r="Q1200" s="17" t="s">
        <v>424</v>
      </c>
      <c r="R1200" s="17" t="s">
        <v>424</v>
      </c>
      <c r="S1200" s="17" t="s">
        <v>424</v>
      </c>
      <c r="T1200" s="17" t="s">
        <v>424</v>
      </c>
      <c r="U1200" s="17" t="s">
        <v>424</v>
      </c>
      <c r="V1200" s="17" t="s">
        <v>424</v>
      </c>
      <c r="W1200" s="17" t="s">
        <v>424</v>
      </c>
    </row>
    <row r="1201" spans="1:23" x14ac:dyDescent="0.25">
      <c r="A1201" s="66" t="s">
        <v>821</v>
      </c>
      <c r="B1201" s="17" t="s">
        <v>10</v>
      </c>
      <c r="C1201" s="17" t="s">
        <v>13</v>
      </c>
      <c r="D1201" s="18" t="s">
        <v>116</v>
      </c>
      <c r="E1201" s="18" t="s">
        <v>1860</v>
      </c>
      <c r="F1201" s="18">
        <v>5.94</v>
      </c>
      <c r="G1201" s="23">
        <v>0.83</v>
      </c>
      <c r="H1201" s="20">
        <v>6.89</v>
      </c>
      <c r="I1201" s="25">
        <v>12.523076923076923</v>
      </c>
      <c r="J1201" s="24">
        <f>G1201/F1201*((100-H1201)/100)*((100-I1201)/100)*100</f>
        <v>11.381027500647498</v>
      </c>
      <c r="K1201" s="53">
        <v>4.66</v>
      </c>
      <c r="L1201" s="54">
        <f>J1201*10000/K1201</f>
        <v>24422.805795380897</v>
      </c>
      <c r="M1201" s="55">
        <v>47.6</v>
      </c>
      <c r="N1201" s="55">
        <v>20.3</v>
      </c>
      <c r="O1201" s="56">
        <v>41.051000000000002</v>
      </c>
      <c r="P1201" s="55">
        <v>60.5</v>
      </c>
      <c r="Q1201" s="17" t="s">
        <v>424</v>
      </c>
      <c r="R1201" s="17" t="s">
        <v>424</v>
      </c>
      <c r="S1201" s="17" t="s">
        <v>424</v>
      </c>
      <c r="T1201" s="17" t="s">
        <v>424</v>
      </c>
      <c r="U1201" s="17" t="s">
        <v>424</v>
      </c>
      <c r="V1201" s="17" t="s">
        <v>424</v>
      </c>
      <c r="W1201" s="17" t="s">
        <v>424</v>
      </c>
    </row>
    <row r="1202" spans="1:23" x14ac:dyDescent="0.25">
      <c r="A1202" s="66" t="s">
        <v>820</v>
      </c>
      <c r="B1202" s="17" t="s">
        <v>10</v>
      </c>
      <c r="C1202" s="17" t="s">
        <v>13</v>
      </c>
      <c r="D1202" s="18" t="s">
        <v>117</v>
      </c>
      <c r="E1202" s="18" t="s">
        <v>1854</v>
      </c>
      <c r="F1202" s="18">
        <v>5.94</v>
      </c>
      <c r="G1202" s="23">
        <v>0.84</v>
      </c>
      <c r="H1202" s="20">
        <v>6.89</v>
      </c>
      <c r="I1202" s="25">
        <v>14.370251899240305</v>
      </c>
      <c r="J1202" s="24">
        <f>G1202/F1202*((100-H1202)/100)*((100-I1202)/100)*100</f>
        <v>11.274929478713565</v>
      </c>
      <c r="K1202" s="53">
        <v>4.8746238716148449</v>
      </c>
      <c r="L1202" s="54">
        <f>J1202*10000/K1202</f>
        <v>23129.845041723092</v>
      </c>
      <c r="M1202" s="55">
        <v>45</v>
      </c>
      <c r="N1202" s="55">
        <v>20.8</v>
      </c>
      <c r="O1202" s="56">
        <v>37.113</v>
      </c>
      <c r="P1202" s="55">
        <v>59.5</v>
      </c>
      <c r="Q1202" s="17" t="s">
        <v>424</v>
      </c>
      <c r="R1202" s="17" t="s">
        <v>424</v>
      </c>
      <c r="S1202" s="17" t="s">
        <v>424</v>
      </c>
      <c r="T1202" s="17" t="s">
        <v>424</v>
      </c>
      <c r="U1202" s="17" t="s">
        <v>424</v>
      </c>
      <c r="V1202" s="17" t="s">
        <v>424</v>
      </c>
      <c r="W1202" s="17" t="s">
        <v>424</v>
      </c>
    </row>
    <row r="1203" spans="1:23" x14ac:dyDescent="0.25">
      <c r="A1203" s="66" t="s">
        <v>819</v>
      </c>
      <c r="B1203" s="17" t="s">
        <v>10</v>
      </c>
      <c r="C1203" s="17" t="s">
        <v>13</v>
      </c>
      <c r="D1203" s="18" t="s">
        <v>129</v>
      </c>
      <c r="E1203" s="18" t="s">
        <v>1836</v>
      </c>
      <c r="F1203" s="18">
        <v>5.94</v>
      </c>
      <c r="G1203" s="23">
        <v>1.46</v>
      </c>
      <c r="H1203" s="20">
        <v>6.89</v>
      </c>
      <c r="I1203" s="25">
        <v>10.599829285326306</v>
      </c>
      <c r="J1203" s="24">
        <f>G1203/F1203*((100-H1203)/100)*((100-I1203)/100)*100</f>
        <v>20.459785937803314</v>
      </c>
      <c r="K1203" s="53">
        <v>5.1066098081023457</v>
      </c>
      <c r="L1203" s="54">
        <f>J1203*10000/K1203</f>
        <v>40065.301064007326</v>
      </c>
      <c r="M1203" s="55">
        <v>48.9</v>
      </c>
      <c r="N1203" s="55">
        <v>18.2</v>
      </c>
      <c r="O1203" s="56">
        <v>5.5537000000000001</v>
      </c>
      <c r="P1203" s="55">
        <v>56.2</v>
      </c>
      <c r="Q1203" s="17" t="s">
        <v>424</v>
      </c>
      <c r="R1203" s="17" t="s">
        <v>424</v>
      </c>
      <c r="S1203" s="17" t="s">
        <v>424</v>
      </c>
      <c r="T1203" s="17" t="s">
        <v>424</v>
      </c>
      <c r="U1203" s="17" t="s">
        <v>424</v>
      </c>
      <c r="V1203" s="17" t="s">
        <v>424</v>
      </c>
      <c r="W1203" s="17" t="s">
        <v>424</v>
      </c>
    </row>
    <row r="1204" spans="1:23" x14ac:dyDescent="0.25">
      <c r="A1204" s="66" t="s">
        <v>818</v>
      </c>
      <c r="B1204" s="17" t="s">
        <v>10</v>
      </c>
      <c r="C1204" s="17" t="s">
        <v>13</v>
      </c>
      <c r="D1204" s="18" t="s">
        <v>139</v>
      </c>
      <c r="E1204" s="18" t="s">
        <v>1864</v>
      </c>
      <c r="F1204" s="18">
        <v>5.94</v>
      </c>
      <c r="G1204" s="23">
        <v>1.17</v>
      </c>
      <c r="H1204" s="20">
        <v>6.89</v>
      </c>
      <c r="I1204" s="25">
        <v>16.234711706464768</v>
      </c>
      <c r="J1204" s="24">
        <f>G1204/F1204*((100-H1204)/100)*((100-I1204)/100)*100</f>
        <v>15.362426955930882</v>
      </c>
      <c r="K1204" s="53">
        <v>4.8595213319458894</v>
      </c>
      <c r="L1204" s="54">
        <f>J1204*10000/K1204</f>
        <v>31613.045620234647</v>
      </c>
      <c r="M1204" s="55">
        <v>46</v>
      </c>
      <c r="N1204" s="55">
        <v>19.2</v>
      </c>
      <c r="O1204" s="56">
        <v>8.3966999999999992</v>
      </c>
      <c r="P1204" s="55">
        <v>59.1</v>
      </c>
      <c r="Q1204" s="17" t="s">
        <v>424</v>
      </c>
      <c r="R1204" s="17" t="s">
        <v>424</v>
      </c>
      <c r="S1204" s="17" t="s">
        <v>424</v>
      </c>
      <c r="T1204" s="17" t="s">
        <v>424</v>
      </c>
      <c r="U1204" s="17" t="s">
        <v>424</v>
      </c>
      <c r="V1204" s="17" t="s">
        <v>424</v>
      </c>
      <c r="W1204" s="17" t="s">
        <v>424</v>
      </c>
    </row>
    <row r="1205" spans="1:23" x14ac:dyDescent="0.25">
      <c r="A1205" s="66" t="s">
        <v>817</v>
      </c>
      <c r="B1205" s="17" t="s">
        <v>10</v>
      </c>
      <c r="C1205" s="17" t="s">
        <v>13</v>
      </c>
      <c r="D1205" s="18" t="s">
        <v>112</v>
      </c>
      <c r="E1205" s="18" t="s">
        <v>1844</v>
      </c>
      <c r="F1205" s="18">
        <v>5.94</v>
      </c>
      <c r="G1205" s="23">
        <v>1.5</v>
      </c>
      <c r="H1205" s="20">
        <v>6.89</v>
      </c>
      <c r="I1205" s="25">
        <v>9.4100556855782393</v>
      </c>
      <c r="J1205" s="24">
        <f>G1205/F1205*((100-H1205)/100)*((100-I1205)/100)*100</f>
        <v>21.300075038171233</v>
      </c>
      <c r="K1205" s="53">
        <v>5.365296803652968</v>
      </c>
      <c r="L1205" s="54">
        <f>J1205*10000/K1205</f>
        <v>39699.714326463829</v>
      </c>
      <c r="M1205" s="55">
        <v>48</v>
      </c>
      <c r="N1205" s="55">
        <v>17.7</v>
      </c>
      <c r="O1205" s="56">
        <v>2.6183000000000001</v>
      </c>
      <c r="P1205" s="55">
        <v>25</v>
      </c>
      <c r="Q1205" s="17" t="s">
        <v>424</v>
      </c>
      <c r="R1205" s="17" t="s">
        <v>424</v>
      </c>
      <c r="S1205" s="17" t="s">
        <v>424</v>
      </c>
      <c r="T1205" s="17" t="s">
        <v>424</v>
      </c>
      <c r="U1205" s="17" t="s">
        <v>424</v>
      </c>
      <c r="V1205" s="17" t="s">
        <v>424</v>
      </c>
      <c r="W1205" s="17" t="s">
        <v>424</v>
      </c>
    </row>
    <row r="1206" spans="1:23" x14ac:dyDescent="0.25">
      <c r="A1206" s="66" t="s">
        <v>1237</v>
      </c>
      <c r="B1206" s="17" t="s">
        <v>10</v>
      </c>
      <c r="C1206" s="17" t="s">
        <v>427</v>
      </c>
      <c r="D1206" s="18" t="s">
        <v>121</v>
      </c>
      <c r="E1206" s="18" t="s">
        <v>1820</v>
      </c>
      <c r="F1206" s="18">
        <v>5.94</v>
      </c>
      <c r="G1206" s="26">
        <v>0.97</v>
      </c>
      <c r="H1206" s="17">
        <v>7.26</v>
      </c>
      <c r="I1206" s="25">
        <v>17.177772653908235</v>
      </c>
      <c r="J1206" s="24">
        <f>G1206/F1206*((100-H1206)/100)*((100-I1206)/100)*100</f>
        <v>12.542938321808506</v>
      </c>
      <c r="K1206" s="53">
        <v>5.3371428571428572</v>
      </c>
      <c r="L1206" s="54">
        <f>J1206*10000/K1206</f>
        <v>23501.222765701161</v>
      </c>
      <c r="M1206" s="55">
        <v>50.4</v>
      </c>
      <c r="N1206" s="55">
        <v>22.4</v>
      </c>
      <c r="O1206" s="56">
        <v>49.329000000000001</v>
      </c>
      <c r="P1206" s="55">
        <v>75.400000000000006</v>
      </c>
      <c r="Q1206" s="17" t="s">
        <v>424</v>
      </c>
      <c r="R1206" s="17" t="s">
        <v>424</v>
      </c>
      <c r="S1206" s="17" t="s">
        <v>424</v>
      </c>
      <c r="T1206" s="17" t="s">
        <v>424</v>
      </c>
      <c r="U1206" s="17" t="s">
        <v>424</v>
      </c>
      <c r="V1206" s="17" t="s">
        <v>424</v>
      </c>
      <c r="W1206" s="17" t="s">
        <v>424</v>
      </c>
    </row>
    <row r="1207" spans="1:23" x14ac:dyDescent="0.25">
      <c r="A1207" s="66" t="s">
        <v>1236</v>
      </c>
      <c r="B1207" s="17" t="s">
        <v>10</v>
      </c>
      <c r="C1207" s="17" t="s">
        <v>427</v>
      </c>
      <c r="D1207" s="18" t="s">
        <v>134</v>
      </c>
      <c r="E1207" s="18" t="s">
        <v>1852</v>
      </c>
      <c r="F1207" s="18">
        <v>5.94</v>
      </c>
      <c r="G1207" s="26">
        <v>0.91</v>
      </c>
      <c r="H1207" s="17">
        <v>7.26</v>
      </c>
      <c r="I1207" s="25">
        <v>20.309597523219814</v>
      </c>
      <c r="J1207" s="24">
        <f>G1207/F1207*((100-H1207)/100)*((100-I1207)/100)*100</f>
        <v>11.322127966976261</v>
      </c>
      <c r="K1207" s="53">
        <v>4.2437337942955917</v>
      </c>
      <c r="L1207" s="54">
        <f>J1207*10000/K1207</f>
        <v>26679.637592243449</v>
      </c>
      <c r="M1207" s="55">
        <v>48.1</v>
      </c>
      <c r="N1207" s="55">
        <v>20.8</v>
      </c>
      <c r="O1207" s="56">
        <v>47.475000000000001</v>
      </c>
      <c r="P1207" s="55">
        <v>64.3</v>
      </c>
      <c r="Q1207" s="17" t="s">
        <v>424</v>
      </c>
      <c r="R1207" s="17" t="s">
        <v>424</v>
      </c>
      <c r="S1207" s="17" t="s">
        <v>424</v>
      </c>
      <c r="T1207" s="17" t="s">
        <v>424</v>
      </c>
      <c r="U1207" s="17" t="s">
        <v>424</v>
      </c>
      <c r="V1207" s="17" t="s">
        <v>424</v>
      </c>
      <c r="W1207" s="17" t="s">
        <v>424</v>
      </c>
    </row>
    <row r="1208" spans="1:23" x14ac:dyDescent="0.25">
      <c r="A1208" s="66" t="s">
        <v>1235</v>
      </c>
      <c r="B1208" s="17" t="s">
        <v>10</v>
      </c>
      <c r="C1208" s="17" t="s">
        <v>427</v>
      </c>
      <c r="D1208" s="18" t="s">
        <v>131</v>
      </c>
      <c r="E1208" s="18" t="s">
        <v>1842</v>
      </c>
      <c r="F1208" s="18">
        <v>5.94</v>
      </c>
      <c r="G1208" s="26">
        <v>1.37</v>
      </c>
      <c r="H1208" s="17">
        <v>7.26</v>
      </c>
      <c r="I1208" s="25">
        <v>8.7962962962962923</v>
      </c>
      <c r="J1208" s="24">
        <f>G1208/F1208*((100-H1208)/100)*((100-I1208)/100)*100</f>
        <v>19.508042305773788</v>
      </c>
      <c r="K1208" s="53">
        <v>6.0157273918741812</v>
      </c>
      <c r="L1208" s="54">
        <f>J1208*10000/K1208</f>
        <v>32428.40147996819</v>
      </c>
      <c r="M1208" s="55">
        <v>50.3</v>
      </c>
      <c r="N1208" s="55">
        <v>20.2</v>
      </c>
      <c r="O1208" s="56">
        <v>8.4853000000000005</v>
      </c>
      <c r="P1208" s="55">
        <v>67.400000000000006</v>
      </c>
      <c r="Q1208" s="17" t="s">
        <v>424</v>
      </c>
      <c r="R1208" s="17" t="s">
        <v>424</v>
      </c>
      <c r="S1208" s="17" t="s">
        <v>424</v>
      </c>
      <c r="T1208" s="17" t="s">
        <v>424</v>
      </c>
      <c r="U1208" s="17" t="s">
        <v>424</v>
      </c>
      <c r="V1208" s="17" t="s">
        <v>424</v>
      </c>
      <c r="W1208" s="17" t="s">
        <v>424</v>
      </c>
    </row>
    <row r="1209" spans="1:23" x14ac:dyDescent="0.25">
      <c r="A1209" s="66" t="s">
        <v>1234</v>
      </c>
      <c r="B1209" s="17" t="s">
        <v>10</v>
      </c>
      <c r="C1209" s="17" t="s">
        <v>427</v>
      </c>
      <c r="D1209" s="18" t="s">
        <v>118</v>
      </c>
      <c r="E1209" s="18" t="s">
        <v>1862</v>
      </c>
      <c r="F1209" s="18">
        <v>5.94</v>
      </c>
      <c r="G1209" s="26">
        <v>1.1299999999999999</v>
      </c>
      <c r="H1209" s="17">
        <v>7.26</v>
      </c>
      <c r="I1209" s="25">
        <v>7.7972566566419772</v>
      </c>
      <c r="J1209" s="24">
        <f>G1209/F1209*((100-H1209)/100)*((100-I1209)/100)*100</f>
        <v>16.266830188483524</v>
      </c>
      <c r="K1209" s="53">
        <v>5.2666666666666666</v>
      </c>
      <c r="L1209" s="54">
        <f>J1209*10000/K1209</f>
        <v>30886.386433829477</v>
      </c>
      <c r="M1209" s="55">
        <v>49</v>
      </c>
      <c r="N1209" s="55">
        <v>20.6</v>
      </c>
      <c r="O1209" s="56">
        <v>8.5123999999999995</v>
      </c>
      <c r="P1209" s="55">
        <v>70.7</v>
      </c>
      <c r="Q1209" s="17" t="s">
        <v>424</v>
      </c>
      <c r="R1209" s="17" t="s">
        <v>424</v>
      </c>
      <c r="S1209" s="17" t="s">
        <v>424</v>
      </c>
      <c r="T1209" s="17" t="s">
        <v>424</v>
      </c>
      <c r="U1209" s="17" t="s">
        <v>424</v>
      </c>
      <c r="V1209" s="17" t="s">
        <v>424</v>
      </c>
      <c r="W1209" s="17" t="s">
        <v>424</v>
      </c>
    </row>
    <row r="1210" spans="1:23" x14ac:dyDescent="0.25">
      <c r="A1210" s="66" t="s">
        <v>1233</v>
      </c>
      <c r="B1210" s="17" t="s">
        <v>10</v>
      </c>
      <c r="C1210" s="17" t="s">
        <v>427</v>
      </c>
      <c r="D1210" s="18" t="s">
        <v>132</v>
      </c>
      <c r="E1210" s="18" t="s">
        <v>1828</v>
      </c>
      <c r="F1210" s="18">
        <v>5.94</v>
      </c>
      <c r="G1210" s="26">
        <v>0.82</v>
      </c>
      <c r="H1210" s="17">
        <v>7.26</v>
      </c>
      <c r="I1210" s="25">
        <v>13.676148796498914</v>
      </c>
      <c r="J1210" s="24">
        <f>G1210/F1210*((100-H1210)/100)*((100-I1210)/100)*100</f>
        <v>11.051603784010783</v>
      </c>
      <c r="K1210" s="53">
        <v>4.9893162393162394</v>
      </c>
      <c r="L1210" s="54">
        <f>J1210*10000/K1210</f>
        <v>22150.537776946665</v>
      </c>
      <c r="M1210" s="55">
        <v>48.2</v>
      </c>
      <c r="N1210" s="55">
        <v>21.3</v>
      </c>
      <c r="O1210" s="56">
        <v>4.9100999999999999</v>
      </c>
      <c r="P1210" s="55">
        <v>60.2</v>
      </c>
      <c r="Q1210" s="17" t="s">
        <v>424</v>
      </c>
      <c r="R1210" s="17" t="s">
        <v>424</v>
      </c>
      <c r="S1210" s="17" t="s">
        <v>424</v>
      </c>
      <c r="T1210" s="17" t="s">
        <v>424</v>
      </c>
      <c r="U1210" s="17" t="s">
        <v>424</v>
      </c>
      <c r="V1210" s="17" t="s">
        <v>424</v>
      </c>
      <c r="W1210" s="17" t="s">
        <v>424</v>
      </c>
    </row>
    <row r="1211" spans="1:23" x14ac:dyDescent="0.25">
      <c r="A1211" s="66" t="s">
        <v>1232</v>
      </c>
      <c r="B1211" s="17" t="s">
        <v>10</v>
      </c>
      <c r="C1211" s="17" t="s">
        <v>427</v>
      </c>
      <c r="D1211" s="18" t="s">
        <v>110</v>
      </c>
      <c r="E1211" s="18" t="s">
        <v>1822</v>
      </c>
      <c r="F1211" s="18">
        <v>5.94</v>
      </c>
      <c r="G1211" s="26">
        <v>0.76</v>
      </c>
      <c r="H1211" s="17">
        <v>7.26</v>
      </c>
      <c r="I1211" s="25">
        <v>14.930928351585436</v>
      </c>
      <c r="J1211" s="24">
        <f>G1211/F1211*((100-H1211)/100)*((100-I1211)/100)*100</f>
        <v>10.094061170963323</v>
      </c>
      <c r="K1211" s="53">
        <v>4.833984375</v>
      </c>
      <c r="L1211" s="54">
        <f>J1211*10000/K1211</f>
        <v>20881.451796093825</v>
      </c>
      <c r="M1211" s="55">
        <v>49.8</v>
      </c>
      <c r="N1211" s="55">
        <v>20.2</v>
      </c>
      <c r="O1211" s="56">
        <v>38.134999999999998</v>
      </c>
      <c r="P1211" s="55">
        <v>56</v>
      </c>
      <c r="Q1211" s="17" t="s">
        <v>424</v>
      </c>
      <c r="R1211" s="17" t="s">
        <v>424</v>
      </c>
      <c r="S1211" s="17" t="s">
        <v>424</v>
      </c>
      <c r="T1211" s="17" t="s">
        <v>424</v>
      </c>
      <c r="U1211" s="17" t="s">
        <v>424</v>
      </c>
      <c r="V1211" s="17" t="s">
        <v>424</v>
      </c>
      <c r="W1211" s="17" t="s">
        <v>424</v>
      </c>
    </row>
    <row r="1212" spans="1:23" x14ac:dyDescent="0.25">
      <c r="A1212" s="66" t="s">
        <v>828</v>
      </c>
      <c r="B1212" s="17" t="s">
        <v>10</v>
      </c>
      <c r="C1212" s="17" t="s">
        <v>13</v>
      </c>
      <c r="D1212" s="18" t="s">
        <v>113</v>
      </c>
      <c r="E1212" s="18" t="s">
        <v>1846</v>
      </c>
      <c r="F1212" s="18">
        <v>5.94</v>
      </c>
      <c r="G1212" s="23">
        <v>1.21</v>
      </c>
      <c r="H1212" s="20">
        <v>6.89</v>
      </c>
      <c r="I1212" s="25">
        <v>8.2790919193522825</v>
      </c>
      <c r="J1212" s="24">
        <f>G1212/F1212*((100-H1212)/100)*((100-I1212)/100)*100</f>
        <v>17.396568752829666</v>
      </c>
      <c r="K1212" s="53">
        <v>4.8760330578512399</v>
      </c>
      <c r="L1212" s="54">
        <f>J1212*10000/K1212</f>
        <v>35677.708798176092</v>
      </c>
      <c r="M1212" s="55">
        <v>47.7</v>
      </c>
      <c r="N1212" s="55">
        <v>20.6</v>
      </c>
      <c r="O1212" s="56">
        <v>50.433999999999997</v>
      </c>
      <c r="P1212" s="55">
        <v>59.9</v>
      </c>
      <c r="Q1212" s="17" t="s">
        <v>424</v>
      </c>
      <c r="R1212" s="17" t="s">
        <v>424</v>
      </c>
      <c r="S1212" s="17" t="s">
        <v>424</v>
      </c>
      <c r="T1212" s="17" t="s">
        <v>424</v>
      </c>
      <c r="U1212" s="17" t="s">
        <v>424</v>
      </c>
      <c r="V1212" s="17" t="s">
        <v>424</v>
      </c>
      <c r="W1212" s="17" t="s">
        <v>424</v>
      </c>
    </row>
    <row r="1213" spans="1:23" x14ac:dyDescent="0.25">
      <c r="A1213" s="66" t="s">
        <v>827</v>
      </c>
      <c r="B1213" s="17" t="s">
        <v>10</v>
      </c>
      <c r="C1213" s="17" t="s">
        <v>13</v>
      </c>
      <c r="D1213" s="18" t="s">
        <v>127</v>
      </c>
      <c r="E1213" s="18" t="s">
        <v>1856</v>
      </c>
      <c r="F1213" s="18">
        <v>5.94</v>
      </c>
      <c r="G1213" s="23">
        <v>1.19</v>
      </c>
      <c r="H1213" s="20">
        <v>6.89</v>
      </c>
      <c r="I1213" s="25">
        <v>12.455397892291099</v>
      </c>
      <c r="J1213" s="24">
        <f>G1213/F1213*((100-H1213)/100)*((100-I1213)/100)*100</f>
        <v>16.330001184639801</v>
      </c>
      <c r="K1213" s="53">
        <v>4.9526813880126186</v>
      </c>
      <c r="L1213" s="54">
        <f>J1213*10000/K1213</f>
        <v>32972.040608476535</v>
      </c>
      <c r="M1213" s="55">
        <v>51.1</v>
      </c>
      <c r="N1213" s="55">
        <v>19.8</v>
      </c>
      <c r="O1213" s="56">
        <v>51.152999999999999</v>
      </c>
      <c r="P1213" s="55">
        <v>67.400000000000006</v>
      </c>
      <c r="Q1213" s="17" t="s">
        <v>424</v>
      </c>
      <c r="R1213" s="17" t="s">
        <v>424</v>
      </c>
      <c r="S1213" s="17" t="s">
        <v>424</v>
      </c>
      <c r="T1213" s="17" t="s">
        <v>424</v>
      </c>
      <c r="U1213" s="17" t="s">
        <v>424</v>
      </c>
      <c r="V1213" s="17" t="s">
        <v>424</v>
      </c>
      <c r="W1213" s="17" t="s">
        <v>424</v>
      </c>
    </row>
    <row r="1214" spans="1:23" x14ac:dyDescent="0.25">
      <c r="A1214" s="66" t="s">
        <v>826</v>
      </c>
      <c r="B1214" s="17" t="s">
        <v>10</v>
      </c>
      <c r="C1214" s="17" t="s">
        <v>13</v>
      </c>
      <c r="D1214" s="18" t="s">
        <v>130</v>
      </c>
      <c r="E1214" s="18" t="s">
        <v>1848</v>
      </c>
      <c r="F1214" s="18">
        <v>5.94</v>
      </c>
      <c r="G1214" s="23">
        <v>0.91</v>
      </c>
      <c r="H1214" s="20">
        <v>6.89</v>
      </c>
      <c r="I1214" s="25">
        <v>11.983228511530404</v>
      </c>
      <c r="J1214" s="24">
        <f>G1214/F1214*((100-H1214)/100)*((100-I1214)/100)*100</f>
        <v>12.554999747298279</v>
      </c>
      <c r="K1214" s="53">
        <v>6.2516046213093706</v>
      </c>
      <c r="L1214" s="54">
        <f>J1214*10000/K1214</f>
        <v>20082.843538286161</v>
      </c>
      <c r="M1214" s="55">
        <v>49</v>
      </c>
      <c r="N1214" s="55">
        <v>20.7</v>
      </c>
      <c r="O1214" s="56">
        <v>45.470999999999997</v>
      </c>
      <c r="P1214" s="55">
        <v>73.7</v>
      </c>
      <c r="Q1214" s="17" t="s">
        <v>424</v>
      </c>
      <c r="R1214" s="17" t="s">
        <v>424</v>
      </c>
      <c r="S1214" s="17" t="s">
        <v>424</v>
      </c>
      <c r="T1214" s="17" t="s">
        <v>424</v>
      </c>
      <c r="U1214" s="17" t="s">
        <v>424</v>
      </c>
      <c r="V1214" s="17" t="s">
        <v>424</v>
      </c>
      <c r="W1214" s="17" t="s">
        <v>424</v>
      </c>
    </row>
    <row r="1215" spans="1:23" x14ac:dyDescent="0.25">
      <c r="A1215" s="66" t="s">
        <v>825</v>
      </c>
      <c r="B1215" s="17" t="s">
        <v>10</v>
      </c>
      <c r="C1215" s="17" t="s">
        <v>13</v>
      </c>
      <c r="D1215" s="18" t="s">
        <v>131</v>
      </c>
      <c r="E1215" s="18" t="s">
        <v>1842</v>
      </c>
      <c r="F1215" s="18">
        <v>5.94</v>
      </c>
      <c r="G1215" s="23">
        <v>1.27</v>
      </c>
      <c r="H1215" s="20">
        <v>6.89</v>
      </c>
      <c r="I1215" s="25">
        <v>8.3794788273615559</v>
      </c>
      <c r="J1215" s="24">
        <f>G1215/F1215*((100-H1215)/100)*((100-I1215)/100)*100</f>
        <v>18.239224145636609</v>
      </c>
      <c r="K1215" s="53">
        <v>5.5816686251468859</v>
      </c>
      <c r="L1215" s="54">
        <f>J1215*10000/K1215</f>
        <v>32677.009995656324</v>
      </c>
      <c r="M1215" s="55">
        <v>49.3</v>
      </c>
      <c r="N1215" s="55">
        <v>19.5</v>
      </c>
      <c r="O1215" s="56">
        <v>5.4335000000000004</v>
      </c>
      <c r="P1215" s="55">
        <v>63.3</v>
      </c>
      <c r="Q1215" s="17" t="s">
        <v>424</v>
      </c>
      <c r="R1215" s="17" t="s">
        <v>424</v>
      </c>
      <c r="S1215" s="17" t="s">
        <v>424</v>
      </c>
      <c r="T1215" s="17" t="s">
        <v>424</v>
      </c>
      <c r="U1215" s="17" t="s">
        <v>424</v>
      </c>
      <c r="V1215" s="17" t="s">
        <v>424</v>
      </c>
      <c r="W1215" s="17" t="s">
        <v>424</v>
      </c>
    </row>
    <row r="1216" spans="1:23" x14ac:dyDescent="0.25">
      <c r="A1216" s="66" t="s">
        <v>824</v>
      </c>
      <c r="B1216" s="17" t="s">
        <v>10</v>
      </c>
      <c r="C1216" s="17" t="s">
        <v>13</v>
      </c>
      <c r="D1216" s="18" t="s">
        <v>119</v>
      </c>
      <c r="E1216" s="18" t="s">
        <v>1826</v>
      </c>
      <c r="F1216" s="18">
        <v>5.94</v>
      </c>
      <c r="G1216" s="23">
        <v>0.84</v>
      </c>
      <c r="H1216" s="20">
        <v>6.89</v>
      </c>
      <c r="I1216" s="25">
        <v>10.467689583948065</v>
      </c>
      <c r="J1216" s="24">
        <f>G1216/F1216*((100-H1216)/100)*((100-I1216)/100)*100</f>
        <v>11.78878261815559</v>
      </c>
      <c r="K1216" s="53">
        <v>4.7432024169184288</v>
      </c>
      <c r="L1216" s="54">
        <f>J1216*10000/K1216</f>
        <v>24854.057621716562</v>
      </c>
      <c r="M1216" s="55">
        <v>49.2</v>
      </c>
      <c r="N1216" s="55">
        <v>19.8</v>
      </c>
      <c r="O1216" s="56">
        <v>40.44</v>
      </c>
      <c r="P1216" s="55">
        <v>55.7</v>
      </c>
      <c r="Q1216" s="17" t="s">
        <v>424</v>
      </c>
      <c r="R1216" s="17" t="s">
        <v>424</v>
      </c>
      <c r="S1216" s="17" t="s">
        <v>424</v>
      </c>
      <c r="T1216" s="17" t="s">
        <v>424</v>
      </c>
      <c r="U1216" s="17" t="s">
        <v>424</v>
      </c>
      <c r="V1216" s="17" t="s">
        <v>424</v>
      </c>
      <c r="W1216" s="17" t="s">
        <v>424</v>
      </c>
    </row>
    <row r="1217" spans="1:23" x14ac:dyDescent="0.25">
      <c r="A1217" s="66" t="s">
        <v>823</v>
      </c>
      <c r="B1217" s="17" t="s">
        <v>10</v>
      </c>
      <c r="C1217" s="17" t="s">
        <v>13</v>
      </c>
      <c r="D1217" s="18" t="s">
        <v>121</v>
      </c>
      <c r="E1217" s="18" t="s">
        <v>1820</v>
      </c>
      <c r="F1217" s="18">
        <v>5.94</v>
      </c>
      <c r="G1217" s="23">
        <v>0.88</v>
      </c>
      <c r="H1217" s="20">
        <v>6.89</v>
      </c>
      <c r="I1217" s="25">
        <v>16.23709244654037</v>
      </c>
      <c r="J1217" s="24">
        <f>G1217/F1217*((100-H1217)/100)*((100-I1217)/100)*100</f>
        <v>11.554317514522412</v>
      </c>
      <c r="K1217" s="53">
        <v>5</v>
      </c>
      <c r="L1217" s="54">
        <f>J1217*10000/K1217</f>
        <v>23108.635029044824</v>
      </c>
      <c r="M1217" s="55">
        <v>51.1</v>
      </c>
      <c r="N1217" s="55">
        <v>20.3</v>
      </c>
      <c r="O1217" s="56">
        <v>48.844000000000001</v>
      </c>
      <c r="P1217" s="55">
        <v>61.9</v>
      </c>
      <c r="Q1217" s="17" t="s">
        <v>424</v>
      </c>
      <c r="R1217" s="17" t="s">
        <v>424</v>
      </c>
      <c r="S1217" s="17" t="s">
        <v>424</v>
      </c>
      <c r="T1217" s="17" t="s">
        <v>424</v>
      </c>
      <c r="U1217" s="17" t="s">
        <v>424</v>
      </c>
      <c r="V1217" s="17" t="s">
        <v>424</v>
      </c>
      <c r="W1217" s="17" t="s">
        <v>424</v>
      </c>
    </row>
    <row r="1218" spans="1:23" x14ac:dyDescent="0.25">
      <c r="A1218" s="66" t="s">
        <v>1243</v>
      </c>
      <c r="B1218" s="17" t="s">
        <v>10</v>
      </c>
      <c r="C1218" s="17" t="s">
        <v>427</v>
      </c>
      <c r="D1218" s="18" t="s">
        <v>115</v>
      </c>
      <c r="E1218" s="18" t="s">
        <v>1834</v>
      </c>
      <c r="F1218" s="18">
        <v>5.94</v>
      </c>
      <c r="G1218" s="26">
        <v>1.03</v>
      </c>
      <c r="H1218" s="17">
        <v>7.26</v>
      </c>
      <c r="I1218" s="25">
        <v>16.50761890103125</v>
      </c>
      <c r="J1218" s="24">
        <f>G1218/F1218*((100-H1218)/100)*((100-I1218)/100)*100</f>
        <v>13.426558797663152</v>
      </c>
      <c r="K1218" s="53">
        <v>5.6712962962962967</v>
      </c>
      <c r="L1218" s="54">
        <f>J1218*10000/K1218</f>
        <v>23674.585308532573</v>
      </c>
      <c r="M1218" s="55">
        <v>46.3</v>
      </c>
      <c r="N1218" s="55">
        <v>22.5</v>
      </c>
      <c r="O1218" s="56">
        <v>9.6832999999999991</v>
      </c>
      <c r="P1218" s="55">
        <v>67</v>
      </c>
      <c r="Q1218" s="17" t="s">
        <v>424</v>
      </c>
      <c r="R1218" s="17" t="s">
        <v>424</v>
      </c>
      <c r="S1218" s="17" t="s">
        <v>424</v>
      </c>
      <c r="T1218" s="17" t="s">
        <v>424</v>
      </c>
      <c r="U1218" s="17" t="s">
        <v>424</v>
      </c>
      <c r="V1218" s="17" t="s">
        <v>424</v>
      </c>
      <c r="W1218" s="17" t="s">
        <v>424</v>
      </c>
    </row>
    <row r="1219" spans="1:23" x14ac:dyDescent="0.25">
      <c r="A1219" s="66" t="s">
        <v>1242</v>
      </c>
      <c r="B1219" s="17" t="s">
        <v>10</v>
      </c>
      <c r="C1219" s="17" t="s">
        <v>427</v>
      </c>
      <c r="D1219" s="18" t="s">
        <v>130</v>
      </c>
      <c r="E1219" s="18" t="s">
        <v>1848</v>
      </c>
      <c r="F1219" s="18">
        <v>5.94</v>
      </c>
      <c r="G1219" s="26">
        <v>0.9</v>
      </c>
      <c r="H1219" s="17">
        <v>7.26</v>
      </c>
      <c r="I1219" s="25">
        <v>13.247667125592784</v>
      </c>
      <c r="J1219" s="24">
        <f>G1219/F1219*((100-H1219)/100)*((100-I1219)/100)*100</f>
        <v>12.19001719814019</v>
      </c>
      <c r="K1219" s="53">
        <v>6.1047254150702424</v>
      </c>
      <c r="L1219" s="54">
        <f>J1219*10000/K1219</f>
        <v>19968.166247162699</v>
      </c>
      <c r="M1219" s="55">
        <v>48</v>
      </c>
      <c r="N1219" s="55">
        <v>22.1</v>
      </c>
      <c r="O1219" s="56">
        <v>45.872999999999998</v>
      </c>
      <c r="P1219" s="55">
        <v>74.400000000000006</v>
      </c>
      <c r="Q1219" s="17" t="s">
        <v>424</v>
      </c>
      <c r="R1219" s="17" t="s">
        <v>424</v>
      </c>
      <c r="S1219" s="17" t="s">
        <v>424</v>
      </c>
      <c r="T1219" s="17" t="s">
        <v>424</v>
      </c>
      <c r="U1219" s="17" t="s">
        <v>424</v>
      </c>
      <c r="V1219" s="17" t="s">
        <v>424</v>
      </c>
      <c r="W1219" s="17" t="s">
        <v>424</v>
      </c>
    </row>
    <row r="1220" spans="1:23" x14ac:dyDescent="0.25">
      <c r="A1220" s="66" t="s">
        <v>1241</v>
      </c>
      <c r="B1220" s="17" t="s">
        <v>10</v>
      </c>
      <c r="C1220" s="17" t="s">
        <v>427</v>
      </c>
      <c r="D1220" s="18" t="s">
        <v>109</v>
      </c>
      <c r="E1220" s="18" t="s">
        <v>1832</v>
      </c>
      <c r="F1220" s="18">
        <v>5.94</v>
      </c>
      <c r="G1220" s="26">
        <v>0.94</v>
      </c>
      <c r="H1220" s="17">
        <v>7.26</v>
      </c>
      <c r="I1220" s="25">
        <v>10.449050086355781</v>
      </c>
      <c r="J1220" s="24">
        <f>G1220/F1220*((100-H1220)/100)*((100-I1220)/100)*100</f>
        <v>13.142521530794413</v>
      </c>
      <c r="K1220" s="53">
        <v>4.0206185567010309</v>
      </c>
      <c r="L1220" s="54">
        <f>J1220*10000/K1220</f>
        <v>32687.809961206618</v>
      </c>
      <c r="M1220" s="55">
        <v>51.9</v>
      </c>
      <c r="N1220" s="55">
        <v>19.600000000000001</v>
      </c>
      <c r="O1220" s="56">
        <v>47.295000000000002</v>
      </c>
      <c r="P1220" s="55">
        <v>60</v>
      </c>
      <c r="Q1220" s="17" t="s">
        <v>424</v>
      </c>
      <c r="R1220" s="17" t="s">
        <v>424</v>
      </c>
      <c r="S1220" s="17" t="s">
        <v>424</v>
      </c>
      <c r="T1220" s="17" t="s">
        <v>424</v>
      </c>
      <c r="U1220" s="17" t="s">
        <v>424</v>
      </c>
      <c r="V1220" s="17" t="s">
        <v>424</v>
      </c>
      <c r="W1220" s="17" t="s">
        <v>424</v>
      </c>
    </row>
    <row r="1221" spans="1:23" x14ac:dyDescent="0.25">
      <c r="A1221" s="66" t="s">
        <v>1240</v>
      </c>
      <c r="B1221" s="17" t="s">
        <v>10</v>
      </c>
      <c r="C1221" s="17" t="s">
        <v>427</v>
      </c>
      <c r="D1221" s="18" t="s">
        <v>139</v>
      </c>
      <c r="E1221" s="18" t="s">
        <v>1864</v>
      </c>
      <c r="F1221" s="18">
        <v>5.94</v>
      </c>
      <c r="G1221" s="26">
        <v>1.65</v>
      </c>
      <c r="H1221" s="17">
        <v>7.26</v>
      </c>
      <c r="I1221" s="25">
        <v>12.634534394010297</v>
      </c>
      <c r="J1221" s="24">
        <f>G1221/F1221*((100-H1221)/100)*((100-I1221)/100)*100</f>
        <v>22.506314667498565</v>
      </c>
      <c r="K1221" s="53">
        <v>4.9256900212314223</v>
      </c>
      <c r="L1221" s="54">
        <f>J1221*10000/K1221</f>
        <v>45691.699174102694</v>
      </c>
      <c r="M1221" s="55">
        <v>46.8</v>
      </c>
      <c r="N1221" s="55">
        <v>19.7</v>
      </c>
      <c r="O1221" s="56">
        <v>5.9474</v>
      </c>
      <c r="P1221" s="55">
        <v>62</v>
      </c>
      <c r="Q1221" s="17" t="s">
        <v>424</v>
      </c>
      <c r="R1221" s="17" t="s">
        <v>424</v>
      </c>
      <c r="S1221" s="17" t="s">
        <v>424</v>
      </c>
      <c r="T1221" s="17" t="s">
        <v>424</v>
      </c>
      <c r="U1221" s="17" t="s">
        <v>424</v>
      </c>
      <c r="V1221" s="17" t="s">
        <v>424</v>
      </c>
      <c r="W1221" s="17" t="s">
        <v>424</v>
      </c>
    </row>
    <row r="1222" spans="1:23" x14ac:dyDescent="0.25">
      <c r="A1222" s="66" t="s">
        <v>1239</v>
      </c>
      <c r="B1222" s="17" t="s">
        <v>10</v>
      </c>
      <c r="C1222" s="17" t="s">
        <v>427</v>
      </c>
      <c r="D1222" s="18" t="s">
        <v>133</v>
      </c>
      <c r="E1222" s="18" t="s">
        <v>1838</v>
      </c>
      <c r="F1222" s="18">
        <v>5.94</v>
      </c>
      <c r="G1222" s="26">
        <v>1.25</v>
      </c>
      <c r="H1222" s="17">
        <v>7.26</v>
      </c>
      <c r="I1222" s="25">
        <v>8.9483997387328529</v>
      </c>
      <c r="J1222" s="24">
        <f>G1222/F1222*((100-H1222)/100)*((100-I1222)/100)*100</f>
        <v>17.769624175567998</v>
      </c>
      <c r="K1222" s="53">
        <v>5.0053134962805528</v>
      </c>
      <c r="L1222" s="54">
        <f>J1222*10000/K1222</f>
        <v>35501.52091127279</v>
      </c>
      <c r="M1222" s="55">
        <v>46.2</v>
      </c>
      <c r="N1222" s="55">
        <v>20.399999999999999</v>
      </c>
      <c r="O1222" s="56">
        <v>8.3158999999999992</v>
      </c>
      <c r="P1222" s="55">
        <v>60.9</v>
      </c>
      <c r="Q1222" s="17" t="s">
        <v>424</v>
      </c>
      <c r="R1222" s="17" t="s">
        <v>424</v>
      </c>
      <c r="S1222" s="17" t="s">
        <v>424</v>
      </c>
      <c r="T1222" s="17" t="s">
        <v>424</v>
      </c>
      <c r="U1222" s="17" t="s">
        <v>424</v>
      </c>
      <c r="V1222" s="17" t="s">
        <v>424</v>
      </c>
      <c r="W1222" s="17" t="s">
        <v>424</v>
      </c>
    </row>
    <row r="1223" spans="1:23" x14ac:dyDescent="0.25">
      <c r="A1223" s="66" t="s">
        <v>1238</v>
      </c>
      <c r="B1223" s="17" t="s">
        <v>10</v>
      </c>
      <c r="C1223" s="17" t="s">
        <v>427</v>
      </c>
      <c r="D1223" s="18" t="s">
        <v>114</v>
      </c>
      <c r="E1223" s="18" t="s">
        <v>1824</v>
      </c>
      <c r="F1223" s="18">
        <v>5.94</v>
      </c>
      <c r="G1223" s="26">
        <v>1.54</v>
      </c>
      <c r="H1223" s="17">
        <v>7.26</v>
      </c>
      <c r="I1223" s="25">
        <v>8.5730446024563669</v>
      </c>
      <c r="J1223" s="24">
        <f>G1223/F1223*((100-H1223)/100)*((100-I1223)/100)*100</f>
        <v>21.982426261102734</v>
      </c>
      <c r="K1223" s="53">
        <v>5.1803278688524594</v>
      </c>
      <c r="L1223" s="54">
        <f>J1223*10000/K1223</f>
        <v>42434.430440736287</v>
      </c>
      <c r="M1223" s="55">
        <v>51.3</v>
      </c>
      <c r="N1223" s="55">
        <v>19.399999999999999</v>
      </c>
      <c r="O1223" s="56">
        <v>48.323999999999998</v>
      </c>
      <c r="P1223" s="55">
        <v>56.2</v>
      </c>
      <c r="Q1223" s="17" t="s">
        <v>424</v>
      </c>
      <c r="R1223" s="17" t="s">
        <v>424</v>
      </c>
      <c r="S1223" s="17" t="s">
        <v>424</v>
      </c>
      <c r="T1223" s="17" t="s">
        <v>424</v>
      </c>
      <c r="U1223" s="17" t="s">
        <v>424</v>
      </c>
      <c r="V1223" s="17" t="s">
        <v>424</v>
      </c>
      <c r="W1223" s="17" t="s">
        <v>424</v>
      </c>
    </row>
    <row r="1224" spans="1:23" x14ac:dyDescent="0.25">
      <c r="A1224" s="66" t="s">
        <v>834</v>
      </c>
      <c r="B1224" s="17" t="s">
        <v>10</v>
      </c>
      <c r="C1224" s="17" t="s">
        <v>13</v>
      </c>
      <c r="D1224" s="18" t="s">
        <v>143</v>
      </c>
      <c r="E1224" s="18" t="s">
        <v>1858</v>
      </c>
      <c r="F1224" s="18">
        <v>5.94</v>
      </c>
      <c r="G1224" s="22">
        <v>1.65</v>
      </c>
      <c r="H1224" s="20">
        <v>6.89</v>
      </c>
      <c r="I1224" s="25">
        <v>7.9304267872193677</v>
      </c>
      <c r="J1224" s="24">
        <f>G1224/F1224*((100-H1224)/100)*((100-I1224)/100)*100</f>
        <v>23.812772116227784</v>
      </c>
      <c r="K1224" s="53">
        <v>5.4608294930875578</v>
      </c>
      <c r="L1224" s="54">
        <f>J1224*10000/K1224</f>
        <v>43606.51096389391</v>
      </c>
      <c r="M1224" s="55">
        <v>50.7</v>
      </c>
      <c r="N1224" s="55">
        <v>19</v>
      </c>
      <c r="O1224" s="56">
        <v>48.259</v>
      </c>
      <c r="P1224" s="55">
        <v>56.6</v>
      </c>
      <c r="Q1224" s="17" t="s">
        <v>424</v>
      </c>
      <c r="R1224" s="17" t="s">
        <v>424</v>
      </c>
      <c r="S1224" s="17" t="s">
        <v>424</v>
      </c>
      <c r="T1224" s="17" t="s">
        <v>424</v>
      </c>
      <c r="U1224" s="17" t="s">
        <v>424</v>
      </c>
      <c r="V1224" s="17" t="s">
        <v>424</v>
      </c>
      <c r="W1224" s="17" t="s">
        <v>424</v>
      </c>
    </row>
    <row r="1225" spans="1:23" x14ac:dyDescent="0.25">
      <c r="A1225" s="66" t="s">
        <v>833</v>
      </c>
      <c r="B1225" s="17" t="s">
        <v>10</v>
      </c>
      <c r="C1225" s="17" t="s">
        <v>13</v>
      </c>
      <c r="D1225" s="18" t="s">
        <v>114</v>
      </c>
      <c r="E1225" s="18" t="s">
        <v>1824</v>
      </c>
      <c r="F1225" s="18">
        <v>5.94</v>
      </c>
      <c r="G1225" s="23">
        <v>1.73</v>
      </c>
      <c r="H1225" s="20">
        <v>6.89</v>
      </c>
      <c r="I1225" s="25">
        <v>7.4099616858237569</v>
      </c>
      <c r="J1225" s="24">
        <f>G1225/F1225*((100-H1225)/100)*((100-I1225)/100)*100</f>
        <v>25.108469947237378</v>
      </c>
      <c r="K1225" s="53">
        <v>4.8911917098445592</v>
      </c>
      <c r="L1225" s="54">
        <f>J1225*10000/K1225</f>
        <v>51334.054023483208</v>
      </c>
      <c r="M1225" s="55">
        <v>50.7</v>
      </c>
      <c r="N1225" s="55">
        <v>18</v>
      </c>
      <c r="O1225" s="56">
        <v>42.167999999999999</v>
      </c>
      <c r="P1225" s="55">
        <v>49.6</v>
      </c>
      <c r="Q1225" s="17" t="s">
        <v>424</v>
      </c>
      <c r="R1225" s="17" t="s">
        <v>424</v>
      </c>
      <c r="S1225" s="17" t="s">
        <v>424</v>
      </c>
      <c r="T1225" s="17" t="s">
        <v>424</v>
      </c>
      <c r="U1225" s="17" t="s">
        <v>424</v>
      </c>
      <c r="V1225" s="17" t="s">
        <v>424</v>
      </c>
      <c r="W1225" s="17" t="s">
        <v>424</v>
      </c>
    </row>
    <row r="1226" spans="1:23" x14ac:dyDescent="0.25">
      <c r="A1226" s="66" t="s">
        <v>832</v>
      </c>
      <c r="B1226" s="17" t="s">
        <v>10</v>
      </c>
      <c r="C1226" s="17" t="s">
        <v>13</v>
      </c>
      <c r="D1226" s="18" t="s">
        <v>136</v>
      </c>
      <c r="E1226" s="18" t="s">
        <v>1840</v>
      </c>
      <c r="F1226" s="18">
        <v>5.94</v>
      </c>
      <c r="G1226" s="23">
        <v>1.76</v>
      </c>
      <c r="H1226" s="20">
        <v>6.89</v>
      </c>
      <c r="I1226" s="25">
        <v>7.4613145396047162</v>
      </c>
      <c r="J1226" s="24">
        <f>G1226/F1226*((100-H1226)/100)*((100-I1226)/100)*100</f>
        <v>25.529709639162686</v>
      </c>
      <c r="K1226" s="53">
        <v>4.8170128585558851</v>
      </c>
      <c r="L1226" s="54">
        <f>J1226*10000/K1226</f>
        <v>52999.048142081061</v>
      </c>
      <c r="M1226" s="55">
        <v>48.8</v>
      </c>
      <c r="N1226" s="55">
        <v>18.2</v>
      </c>
      <c r="O1226" s="56">
        <v>4.1505999999999998</v>
      </c>
      <c r="P1226" s="55">
        <v>47</v>
      </c>
      <c r="Q1226" s="17" t="s">
        <v>424</v>
      </c>
      <c r="R1226" s="17" t="s">
        <v>424</v>
      </c>
      <c r="S1226" s="17" t="s">
        <v>424</v>
      </c>
      <c r="T1226" s="17" t="s">
        <v>424</v>
      </c>
      <c r="U1226" s="17" t="s">
        <v>424</v>
      </c>
      <c r="V1226" s="17" t="s">
        <v>424</v>
      </c>
      <c r="W1226" s="17" t="s">
        <v>424</v>
      </c>
    </row>
    <row r="1227" spans="1:23" x14ac:dyDescent="0.25">
      <c r="A1227" s="66" t="s">
        <v>831</v>
      </c>
      <c r="B1227" s="17" t="s">
        <v>10</v>
      </c>
      <c r="C1227" s="17" t="s">
        <v>13</v>
      </c>
      <c r="D1227" s="18" t="s">
        <v>123</v>
      </c>
      <c r="E1227" s="18" t="s">
        <v>1850</v>
      </c>
      <c r="F1227" s="18">
        <v>5.94</v>
      </c>
      <c r="G1227" s="23">
        <v>1.25</v>
      </c>
      <c r="H1227" s="20">
        <v>6.89</v>
      </c>
      <c r="I1227" s="25">
        <v>9.5205216724204043</v>
      </c>
      <c r="J1227" s="24">
        <f>G1227/F1227*((100-H1227)/100)*((100-I1227)/100)*100</f>
        <v>17.728417986281432</v>
      </c>
      <c r="K1227" s="53">
        <v>4.6322827125119392</v>
      </c>
      <c r="L1227" s="54">
        <f>J1227*10000/K1227</f>
        <v>38271.450786879708</v>
      </c>
      <c r="M1227" s="55">
        <v>48.9</v>
      </c>
      <c r="N1227" s="55">
        <v>19.5</v>
      </c>
      <c r="O1227" s="56">
        <v>44.319000000000003</v>
      </c>
      <c r="P1227" s="55">
        <v>68.3</v>
      </c>
      <c r="Q1227" s="17" t="s">
        <v>424</v>
      </c>
      <c r="R1227" s="17" t="s">
        <v>424</v>
      </c>
      <c r="S1227" s="17" t="s">
        <v>424</v>
      </c>
      <c r="T1227" s="17" t="s">
        <v>424</v>
      </c>
      <c r="U1227" s="17" t="s">
        <v>424</v>
      </c>
      <c r="V1227" s="17" t="s">
        <v>424</v>
      </c>
      <c r="W1227" s="17" t="s">
        <v>424</v>
      </c>
    </row>
    <row r="1228" spans="1:23" x14ac:dyDescent="0.25">
      <c r="A1228" s="66" t="s">
        <v>830</v>
      </c>
      <c r="B1228" s="17" t="s">
        <v>10</v>
      </c>
      <c r="C1228" s="17" t="s">
        <v>13</v>
      </c>
      <c r="D1228" s="18" t="s">
        <v>132</v>
      </c>
      <c r="E1228" s="18" t="s">
        <v>1828</v>
      </c>
      <c r="F1228" s="18">
        <v>5.94</v>
      </c>
      <c r="G1228" s="23">
        <v>0.92</v>
      </c>
      <c r="H1228" s="20">
        <v>6.89</v>
      </c>
      <c r="I1228" s="25">
        <v>8.3397092578423813</v>
      </c>
      <c r="J1228" s="24">
        <f>G1228/F1228*((100-H1228)/100)*((100-I1228)/100)*100</f>
        <v>13.218401510643286</v>
      </c>
      <c r="K1228" s="53">
        <v>4.7023208879919274</v>
      </c>
      <c r="L1228" s="54">
        <f>J1228*10000/K1228</f>
        <v>28110.377461475317</v>
      </c>
      <c r="M1228" s="55">
        <v>47.9</v>
      </c>
      <c r="N1228" s="55">
        <v>20.5</v>
      </c>
      <c r="O1228" s="56">
        <v>9.6194000000000006</v>
      </c>
      <c r="P1228" s="55">
        <v>50.1</v>
      </c>
      <c r="Q1228" s="17" t="s">
        <v>424</v>
      </c>
      <c r="R1228" s="17" t="s">
        <v>424</v>
      </c>
      <c r="S1228" s="17" t="s">
        <v>424</v>
      </c>
      <c r="T1228" s="17" t="s">
        <v>424</v>
      </c>
      <c r="U1228" s="17" t="s">
        <v>424</v>
      </c>
      <c r="V1228" s="17" t="s">
        <v>424</v>
      </c>
      <c r="W1228" s="17" t="s">
        <v>424</v>
      </c>
    </row>
    <row r="1229" spans="1:23" x14ac:dyDescent="0.25">
      <c r="A1229" s="66" t="s">
        <v>829</v>
      </c>
      <c r="B1229" s="17" t="s">
        <v>10</v>
      </c>
      <c r="C1229" s="17" t="s">
        <v>13</v>
      </c>
      <c r="D1229" s="18" t="s">
        <v>109</v>
      </c>
      <c r="E1229" s="18" t="s">
        <v>1832</v>
      </c>
      <c r="F1229" s="18">
        <v>5.94</v>
      </c>
      <c r="G1229" s="23">
        <v>0.76</v>
      </c>
      <c r="H1229" s="20">
        <v>6.89</v>
      </c>
      <c r="I1229" s="25">
        <v>8.0958946078431424</v>
      </c>
      <c r="J1229" s="24">
        <f>G1229/F1229*((100-H1229)/100)*((100-I1229)/100)*100</f>
        <v>10.948594869239784</v>
      </c>
      <c r="K1229" s="53">
        <v>3.929471032745592</v>
      </c>
      <c r="L1229" s="54">
        <f>J1229*10000/K1229</f>
        <v>27862.770276206375</v>
      </c>
      <c r="M1229" s="55">
        <v>50.4</v>
      </c>
      <c r="N1229" s="55">
        <v>19</v>
      </c>
      <c r="O1229" s="56">
        <v>47.07</v>
      </c>
      <c r="P1229" s="55">
        <v>58.2</v>
      </c>
      <c r="Q1229" s="17" t="s">
        <v>424</v>
      </c>
      <c r="R1229" s="17" t="s">
        <v>424</v>
      </c>
      <c r="S1229" s="17" t="s">
        <v>424</v>
      </c>
      <c r="T1229" s="17" t="s">
        <v>424</v>
      </c>
      <c r="U1229" s="17" t="s">
        <v>424</v>
      </c>
      <c r="V1229" s="17" t="s">
        <v>424</v>
      </c>
      <c r="W1229" s="17" t="s">
        <v>424</v>
      </c>
    </row>
  </sheetData>
  <autoFilter ref="A5:W1229">
    <sortState ref="A6:W1229">
      <sortCondition ref="V5:V1229"/>
    </sortState>
  </autoFilter>
  <mergeCells count="2">
    <mergeCell ref="B1:D1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Genotype list</vt:lpstr>
      <vt:lpstr>Experimental design</vt:lpstr>
      <vt:lpstr>DATA</vt:lpstr>
    </vt:vector>
  </TitlesOfParts>
  <Company>INRA UMRSAS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Nesi</dc:creator>
  <cp:lastModifiedBy>Anne-Sophie Bouchet</cp:lastModifiedBy>
  <cp:lastPrinted>2015-06-30T20:15:09Z</cp:lastPrinted>
  <dcterms:created xsi:type="dcterms:W3CDTF">2015-06-29T13:32:37Z</dcterms:created>
  <dcterms:modified xsi:type="dcterms:W3CDTF">2015-12-16T13:05:02Z</dcterms:modified>
</cp:coreProperties>
</file>